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2\"/>
    </mc:Choice>
  </mc:AlternateContent>
  <xr:revisionPtr revIDLastSave="0" documentId="13_ncr:1_{5D2C18D4-83B1-43CD-9FDD-CBF11A1D83F4}" xr6:coauthVersionLast="46" xr6:coauthVersionMax="47" xr10:uidLastSave="{00000000-0000-0000-0000-000000000000}"/>
  <x:bookViews>
    <x:workbookView xWindow="-120" yWindow="-120" windowWidth="20730" windowHeight="11160" tabRatio="780" firstSheet="16" activeTab="17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R1'!$A$5:$X$30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81029" fullCalcOnLoad="1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<x:sst xmlns:x="http://schemas.openxmlformats.org/spreadsheetml/2006/main" count="7547" uniqueCount="345">
  <x:si>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</x:si>
  <x:si>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</x:si>
  <x:si>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</x:si>
  <x:si>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</x:si>
  <x:si>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</x:si>
  <x:si>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</x:si>
  <x:si>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</x:si>
  <x:si>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</x:si>
  <x:si>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</x:si>
  <x:si>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</x:si>
  <x:si>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</x:si>
  <x:si>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</x:si>
  <x:si>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</x:si>
  <x:si>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</x:si>
  <x:si>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</x:si>
  <x:si>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</x:si>
  <x:si>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</x:si>
  <x:si>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</x:si>
  <x:si>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</x:si>
  <x:si>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</x:si>
  <x:si>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</x:si>
  <x:si>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</x:si>
  <x:si>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</x:si>
  <x:si>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</x:si>
  <x:si>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</x:si>
  <x:si>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</x:si>
  <x:si>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</x:si>
  <x:si>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</x:si>
  <x:si>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</x:si>
  <x:si>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</x:si>
  <x:si>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</x:si>
  <x:si>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</x:si>
  <x:si>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</x:si>
  <x:si>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</x:si>
  <x:si>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</x:si>
  <x:si>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</x:si>
  <x:si>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</x:si>
  <x:si>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</x:si>
  <x:si>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</x:si>
  <x:si>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</x:si>
  <x:si>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</x:si>
  <x:si>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</x:si>
  <x:si>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</x:si>
  <x:si>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</x:si>
  <x:si>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</x:si>
  <x:si>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</x:si>
  <x:si>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</x:si>
  <x:si>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</x:si>
  <x:si>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</x:si>
  <x:si>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</x:si>
  <x:si>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</x:si>
  <x:si>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</x:si>
  <x:si>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</x:si>
  <x:si>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</x:si>
  <x:si>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</x:si>
  <x:si>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</x:si>
  <x:si>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</x:si>
  <x:si>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</x:si>
  <x:si>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</x:si>
  <x:si>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</x:si>
  <x:si>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</x:si>
  <x:si>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</x:si>
  <x:si>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</x:si>
  <x:si>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</x:si>
  <x:si>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</x:si>
  <x:si>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</x:si>
  <x:si>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</x:si>
  <x:si>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</x:si>
  <x:si>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</x:si>
  <x:si>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</x:si>
  <x:si>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</x:si>
  <x:si>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</x:si>
  <x:si>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</x:si>
  <x:si>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</x:si>
  <x:si>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</x:si>
  <x:si>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</x:si>
  <x:si>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</x:si>
  <x:si>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</x:si>
  <x:si>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</x:si>
  <x:si>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</x:si>
  <x:si>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</x:si>
  <x:si>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</x:si>
  <x:si>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</x:si>
  <x:si>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</x:si>
  <x:si>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</x:si>
  <x:si>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</x:si>
  <x:si>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</x:si>
  <x:si>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</x:si>
  <x:si>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</x:si>
  <x:si>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</x:si>
  <x:si>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</x:si>
  <x:si>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</x:si>
  <x:si>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</x:si>
  <x:si>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</x:si>
  <x:si>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</x:si>
  <x:si>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</x:si>
  <x:si>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</x:si>
  <x:si>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</x:si>
  <x:si>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</x:si>
  <x:si>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</x:si>
  <x:si>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</x:si>
  <x:si>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</x:si>
  <x:si>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</x:si>
  <x:si>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</x:si>
  <x:si>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</x:si>
  <x:si>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</x:si>
  <x:si>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</x:si>
  <x:si>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</x:si>
  <x:si>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</x:si>
  <x:si>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</x:si>
  <x:si>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</x:si>
  <x:si>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</x:si>
  <x:si>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</x:si>
  <x:si>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</x:si>
  <x:si>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</x:si>
  <x:si>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</x:si>
  <x:si>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</x:si>
  <x:si>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</x:si>
  <x:si>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</x:si>
  <x:si>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</x:si>
  <x:si>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</x:si>
  <x:si>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</x:si>
  <x:si>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</x:si>
  <x:si>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</x:si>
  <x:si>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</x:si>
  <x:si>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</x:si>
  <x:si>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</x:si>
  <x:si>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</x:si>
  <x:si>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</x:si>
  <x:si>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</x:si>
  <x:si>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</x:si>
  <x:si>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</x:si>
  <x:si>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</x:si>
  <x:si>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</x:si>
  <x:si>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</x:si>
  <x:si>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</x:si>
  <x:si>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</x:si>
  <x:si>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</x:si>
  <x:si>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</x:si>
  <x:si>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</x:si>
  <x:si>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</x:si>
  <x:si>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</x:si>
  <x:si>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</x:si>
  <x:si>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</x:si>
  <x:si>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</x:si>
  <x:si>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</x:si>
  <x:si>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</x:si>
  <x:si>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</x:si>
  <x:si>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</x:si>
  <x:si>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</x:si>
  <x:si>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</x:si>
  <x:si>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</x:si>
  <x:si>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</x:si>
  <x:si>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</x:si>
  <x:si>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</x:si>
  <x:si>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</x:si>
  <x:si>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</x:si>
  <x:si>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</x:si>
  <x:si>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</x:si>
  <x:si>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</x:si>
  <x:si>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</x:si>
  <x:si>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</x:si>
  <x:si>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</x:si>
  <x:si>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</x:si>
  <x:si>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</x:si>
  <x:si>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</x:si>
  <x:si>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</x:si>
  <x:si>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</x:si>
  <x:si>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</x:si>
  <x:si>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</x:si>
  <x:si>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</x:si>
  <x:si>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</x:si>
  <x:si>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</x:si>
  <x:si>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</x:si>
  <x:si>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</x:si>
  <x:si>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</x:si>
  <x:si>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</x:si>
  <x:si>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</x:si>
  <x:si>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</x:si>
  <x:si>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</x:si>
  <x:si>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</x:si>
  <x:si>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</x:si>
  <x:si>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</x:si>
  <x:si>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</x:si>
  <x:si>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</x:si>
  <x:si>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</x:si>
  <x:si>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</x:si>
  <x:si>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</x:si>
  <x:si>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</x:si>
  <x:si>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</x:si>
  <x:si>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</x:si>
  <x:si>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</x:si>
  <x:si>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</x:si>
  <x:si>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</x:si>
  <x:si>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</x:si>
  <x:si>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</x:si>
  <x:si>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</x:si>
  <x:si>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</x:si>
  <x:si>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</x:si>
  <x:si>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</x:si>
  <x:si>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</x:si>
  <x:si>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</x:si>
  <x:si>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</x:si>
  <x:si>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</x:si>
  <x:si>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ENEL / RECIP.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</x:si>
  <x:si>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</x:si>
  <x:si>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</x:si>
  <x:si>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</x:si>
  <x:si>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</x:si>
  <x:si>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</x:si>
  <x:si>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</x:si>
  <x:si>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</x:si>
  <x:si>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</x:si>
  <x:si>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</x:si>
  <x:si>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</x:si>
  <x:si>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</x:si>
  <x:si>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</x:si>
  <x:si>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</x:si>
  <x:si>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</x:si>
  <x:si>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</x:si>
  <x:si>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</x:si>
  <x:si>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</x:si>
  <x:si>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 Rec.Intereses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</x:si>
  <x:si>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</x:si>
  <x:si>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</x:si>
  <x:si>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</x:si>
  <x:si>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</x:si>
  <x:si>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</x:si>
  <x:si>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</x:si>
  <x:si>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</x:si>
  <x:si>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</x:si>
  <x:si>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</x:si>
  <x:si>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</x:si>
  <x:si>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</x:si>
  <x:si>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</x:si>
  <x:si>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</x:si>
  <x:si>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</x:si>
  <x:si>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</x:si>
  <x:si>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</x:si>
  <x:si>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</x:si>
  <x:si>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</x:si>
  <x:si>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</x:si>
  <x:si>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</x:si>
  <x:si>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</x:si>
  <x:si>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</x:si>
  <x:si>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</x:si>
  <x:si>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</x:si>
  <x:si>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</x:si>
  <x:si>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</x:si>
  <x:si>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</x:si>
  <x:si>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</x:si>
  <x:si>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</x:si>
  <x:si>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</x:si>
  <x:si>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</x:si>
  <x:si>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</x:si>
  <x:si>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</x:si>
  <x:si>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</x:si>
  <x:si>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</x:si>
  <x:si>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</x:si>
  <x:si>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</x:si>
  <x:si>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</x:si>
  <x:si>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</x:si>
  <x:si>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</x:si>
  <x:si>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</x:si>
  <x:si>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</x:si>
  <x:si>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</x:si>
  <x:si>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</x:si>
  <x:si>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</x:si>
  <x:si>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</x:si>
  <x:si>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</x:si>
  <x:si>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</x:si>
  <x:si>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</x:si>
  <x:si>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</x:si>
  <x:si>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</x:si>
  <x:si>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</x:si>
  <x:si>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</x:si>
  <x:si>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</x:si>
  <x:si>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</x:si>
  <x:si>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</x:si>
  <x:si>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</x:si>
  <x:si>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</x:si>
  <x:si>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</x:si>
  <x:si>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</x:si>
  <x:si>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</x:si>
  <x:si>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</x:si>
  <x:si>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</x:si>
  <x:si>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</x:si>
  <x:si>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</x:si>
  <x:si>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</x:si>
  <x:si>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</x:si>
  <x:si>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</x:si>
  <x:si>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</x:si>
  <x:si>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</x:si>
  <x:si>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</x:si>
  <x:si>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</x:si>
  <x:si>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</x:si>
  <x:si>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</x:si>
  <x:si>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</x:si>
  <x:si>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</x:si>
  <x:si>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</x:si>
  <x:si>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</x:si>
  <x:si>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</x:si>
  <x:si>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</x:si>
  <x:si>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</x:si>
  <x:si>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</x:si>
  <x:si>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</x:si>
  <x:si>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</x:si>
  <x:si>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</x:si>
  <x:si>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</x:si>
  <x:si>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</x:si>
  <x:si>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</x:si>
  <x:si>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</x:si>
  <x:si>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</x:si>
  <x:si>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</x:si>
  <x:si>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</x:si>
  <x:si>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</x:si>
  <x:si>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</x:si>
  <x:si>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</x:si>
  <x:si>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</x:si>
  <x:si>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</x:si>
  <x:si>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</x:si>
  <x:si>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</x:si>
  <x:si>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</x:si>
  <x:si>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</x:si>
  <x:si>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</x:si>
  <x:si>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</x:si>
  <x:si>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</x:si>
  <x:si>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</x:si>
  <x:si>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</x:si>
  <x:si>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</x:si>
  <x:si>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</x:si>
  <x:si>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</x:si>
  <x:si>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9</x:t>
  </x:si>
  <x:si>
    <x:t>A</x:t>
  </x:si>
  <x:si>
    <x:t>QUINCENA</x:t>
  </x:si>
  <x:si>
    <x:t>Recaudo ENERBIT - ASE 1</x:t>
  </x:si>
  <x:si>
    <x:t>Recaudo ENERBIT - ASE 2</x:t>
  </x:si>
  <x:si>
    <x:t>Recaudo ENERBIT - ASE 3</x:t>
  </x:si>
  <x:si>
    <x:t>Recaudo ENERBIT - ASE 4</x:t>
  </x:si>
  <x:si>
    <x:t>2026072</x:t>
  </x:si>
  <x:si>
    <x:t>04/08/2026</x:t>
  </x:si>
  <x:si>
    <x:t>10:15 AM</x:t>
  </x:si>
  <x:si>
    <x:t>16/07/2026</x:t>
  </x:si>
  <x:si>
    <x:t>31/07/2026</x:t>
  </x:si>
  <x:si>
    <x:t>OJO/// PRIMERA QUINCENA SELECCIONAR 1; SEGUNDA QUINCENA SELECCIONAR 2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</x:si>
</x:sst>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3.xml" Id="rId3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0.xml" Id="rId20" /><Relationship Type="http://schemas.openxmlformats.org/officeDocument/2006/relationships/worksheet" Target="worksheets/sheet29.xml" Id="rId29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topLeftCell="A21" zoomScale="94" zoomScaleNormal="94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3.5" thickBot="1" x14ac:dyDescent="0.25"/>
    <x:row r="2" spans="2:13" s="95" customFormat="1" ht="13.5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59">
        <x:v>0</x:v>
      </x:c>
      <x:c r="F3" s="159" t="n">
        <x:v>0</x:v>
      </x:c>
      <x:c r="G3" s="159" t="n">
        <x:v>0</x:v>
      </x:c>
      <x:c r="J3" s="593"/>
    </x:row>
    <x:row r="4" spans="2:13" x14ac:dyDescent="0.2">
      <x:c r="C4" s="162">
        <x:v>2</x:v>
      </x:c>
      <x:c r="D4" s="159">
        <x:v>0</x:v>
      </x:c>
      <x:c r="E4" s="159">
        <x:v>0</x:v>
      </x:c>
      <x:c r="F4" s="159" t="n">
        <x:v>18262430</x:v>
      </x:c>
      <x:c r="G4" s="159" t="n">
        <x:v>217</x:v>
      </x:c>
      <x:c r="J4" s="593"/>
    </x:row>
    <x:row r="5" spans="2:13" x14ac:dyDescent="0.2">
      <x:c r="C5" s="162">
        <x:v>3</x:v>
      </x:c>
      <x:c r="D5" s="159">
        <x:v>0</x:v>
      </x:c>
      <x:c r="E5" s="159">
        <x:v>0</x:v>
      </x:c>
      <x:c r="F5" s="159" t="n">
        <x:v>0</x:v>
      </x:c>
      <x:c r="G5" s="159" t="n">
        <x:v>0</x:v>
      </x:c>
      <x:c r="J5" s="593"/>
    </x:row>
    <x:row r="6" spans="2:13" ht="13.5" customHeight="1" x14ac:dyDescent="0.2">
      <x:c r="C6" s="162">
        <x:v>4</x:v>
      </x:c>
      <x:c r="D6" s="159">
        <x:v>0</x:v>
      </x:c>
      <x:c r="E6" s="159">
        <x:v>0</x:v>
      </x:c>
      <x:c r="F6" s="159" t="n">
        <x:v>8615850</x:v>
      </x:c>
      <x:c r="G6" s="159" t="n">
        <x:v>64</x:v>
      </x:c>
      <x:c r="J6" s="593"/>
    </x:row>
    <x:row r="7" spans="2:13" ht="13.5" customHeight="1" x14ac:dyDescent="0.2">
      <x:c r="C7" s="162">
        <x:v>5</x:v>
      </x:c>
      <x:c r="D7" s="159">
        <x:v>0</x:v>
      </x:c>
      <x:c r="E7" s="159">
        <x:v>0</x:v>
      </x:c>
      <x:c r="F7" s="159" t="n">
        <x:v>0</x:v>
      </x:c>
      <x:c r="G7" s="159" t="n">
        <x:v>0</x:v>
      </x:c>
      <x:c r="J7" s="593"/>
    </x:row>
    <x:row r="8" spans="2:13" ht="13.5" thickBot="1" x14ac:dyDescent="0.25">
      <x:c r="C8" s="166" t="s">
        <x:v>89</x:v>
      </x:c>
      <x:c r="D8" s="167"/>
      <x:c r="E8" s="168"/>
      <x:c r="F8" s="168"/>
      <x:c r="G8" s="169"/>
      <x:c r="J8" s="593"/>
    </x:row>
    <x:row r="9" spans="2:13" ht="13.5" thickBot="1" x14ac:dyDescent="0.25">
      <x:c r="D9" s="170">
        <x:v>0</x:v>
      </x:c>
      <x:c r="E9" s="170">
        <x:v>0</x:v>
      </x:c>
      <x:c r="F9" s="170" t="n">
        <x:v>26878280</x:v>
      </x:c>
      <x:c r="G9" s="170" t="n">
        <x:v>281</x:v>
      </x:c>
      <x:c r="J9" s="593"/>
    </x:row>
    <x:row r="10" spans="2:13" ht="13.5" thickBot="1" x14ac:dyDescent="0.25"/>
    <x:row r="11" spans="2:13" s="95" customFormat="1" ht="13.5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3">
        <x:v>0</x:v>
      </x:c>
      <x:c r="E13" s="164">
        <x:v>0</x:v>
      </x:c>
      <x:c r="F13" s="164" t="n">
        <x:v>798760</x:v>
      </x:c>
      <x:c r="G13" s="165" t="n">
        <x:v>7</x:v>
      </x:c>
    </x:row>
    <x:row r="14" spans="2:13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3">
        <x:v>0</x:v>
      </x:c>
      <x:c r="E15" s="164">
        <x:v>0</x:v>
      </x:c>
      <x:c r="F15" s="164" t="n">
        <x:v>228530</x:v>
      </x:c>
      <x:c r="G15" s="165" t="n">
        <x:v>1</x:v>
      </x:c>
    </x:row>
    <x:row r="16" spans="2:13" x14ac:dyDescent="0.2">
      <x:c r="C16" s="162">
        <x:v>5</x:v>
      </x:c>
      <x:c r="D16" s="163">
        <x:v>0</x:v>
      </x:c>
      <x:c r="E16" s="164">
        <x:v>0</x:v>
      </x:c>
      <x:c r="F16" s="164" t="n">
        <x:v>0</x:v>
      </x:c>
      <x:c r="G16" s="165" t="n">
        <x:v>0</x:v>
      </x:c>
    </x:row>
    <x:row r="17" spans="1:11" ht="13.5" thickBot="1" x14ac:dyDescent="0.25">
      <x:c r="C17" s="166" t="s">
        <x:v>89</x:v>
      </x:c>
      <x:c r="D17" s="167"/>
      <x:c r="E17" s="168"/>
      <x:c r="F17" s="168"/>
      <x:c r="G17" s="169"/>
    </x:row>
    <x:row r="18" spans="1:11" ht="13.5" thickBot="1" x14ac:dyDescent="0.25">
      <x:c r="D18" s="170">
        <x:v>0</x:v>
      </x:c>
      <x:c r="E18" s="170">
        <x:v>0</x:v>
      </x:c>
      <x:c r="F18" s="170" t="n">
        <x:v>1027290</x:v>
      </x:c>
      <x:c r="G18" s="170" t="n">
        <x:v>8</x:v>
      </x:c>
    </x:row>
    <x:row r="19" spans="1:11" ht="13.5" thickBot="1" x14ac:dyDescent="0.25"/>
    <x:row r="20" spans="1:11" ht="13.5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19061190</x:v>
      </x:c>
      <x:c r="G22" s="165" t="n">
        <x:v>224</x:v>
      </x:c>
      <x:c r="I22" s="163">
        <x:v>0</x:v>
      </x:c>
      <x:c r="J22" s="165">
        <x:v>0</x:v>
      </x:c>
    </x:row>
    <x:row r="23" spans="1:11" s="151" customForma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8844380</x:v>
      </x:c>
      <x:c r="G24" s="165" t="n">
        <x:v>65</x:v>
      </x:c>
      <x:c r="I24" s="163">
        <x:v>0</x:v>
      </x:c>
      <x:c r="J24" s="165">
        <x:v>0</x:v>
      </x:c>
    </x:row>
    <x:row r="25" spans="1:11" s="151" customForma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1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3.5" thickBot="1" x14ac:dyDescent="0.25">
      <x:c r="D27" s="170">
        <x:v>0</x:v>
      </x:c>
      <x:c r="E27" s="170">
        <x:v>0</x:v>
      </x:c>
      <x:c r="F27" s="170" t="n">
        <x:v>27905570</x:v>
      </x:c>
      <x:c r="G27" s="170" t="n">
        <x:v>289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F31" si="0">E9=SUM(E3:E8)</x:f>
        <x:v>1</x:v>
      </x:c>
      <x:c r="F31" s="151" t="b">
        <x:f t="shared" si="0"/>
        <x:v>1</x:v>
      </x:c>
      <x:c r="G31" s="151" t="b">
        <x:f>G9=SUM(G3:G8)</x:f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="88" zoomScaleNormal="88" workbookViewId="0">
      <x:selection activeCell="D31" sqref="D3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17277226302</x:v>
      </x:c>
      <x:c r="G3" s="161" t="n">
        <x:v>316936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19264884848</x:v>
      </x:c>
      <x:c r="G4" s="165" t="n">
        <x:v>396694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15047689272</x:v>
      </x:c>
      <x:c r="G5" s="165" t="n">
        <x:v>273948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7298795841</x:v>
      </x:c>
      <x:c r="G6" s="165" t="n">
        <x:v>142161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11700424846</x:v>
      </x:c>
      <x:c r="G7" s="165" t="n">
        <x:v>249311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70589021109</x:v>
      </x:c>
      <x:c r="G9" s="170" t="n">
        <x:v>1379050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208241806</x:v>
      </x:c>
      <x:c r="G12" s="161" t="n">
        <x:v>4505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47318959</x:v>
      </x:c>
      <x:c r="G13" s="165" t="n">
        <x:v>914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96850450</x:v>
      </x:c>
      <x:c r="G14" s="165" t="n">
        <x:v>2077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96874840</x:v>
      </x:c>
      <x:c r="G15" s="165" t="n">
        <x:v>2369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80297730</x:v>
      </x:c>
      <x:c r="G16" s="165" t="n">
        <x:v>1887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529583785</x:v>
      </x:c>
      <x:c r="G18" s="170" t="n">
        <x:v>11752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17485468108</x:v>
      </x:c>
      <x:c r="G21" s="161" t="n">
        <x:v>321441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19312203807</x:v>
      </x:c>
      <x:c r="G22" s="165" t="n">
        <x:v>397608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15144539722</x:v>
      </x:c>
      <x:c r="G23" s="165" t="n">
        <x:v>276025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7395670681</x:v>
      </x:c>
      <x:c r="G24" s="165" t="n">
        <x:v>144530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11780722576</x:v>
      </x:c>
      <x:c r="G25" s="165" t="n">
        <x:v>251198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71118604894</x:v>
      </x:c>
      <x:c r="G27" s="170" t="n">
        <x:v>1390802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 t="shared" si="2"/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I11" sqref="I11"/>
    </x:sheetView>
  </x:sheetViews>
  <x:sheetFormatPr baseColWidth="10" defaultRowHeight="12.75" x14ac:dyDescent="0.2"/>
  <x:cols>
    <x:col min="1" max="1" width="2.28515625" customWidth="1"/>
    <x:col min="2" max="2" width="12.7109375" bestFit="1" customWidth="1"/>
    <x:col min="3" max="3" width="7.28515625" customWidth="1"/>
    <x:col min="4" max="4" width="16" style="151" bestFit="1" customWidth="1"/>
    <x:col min="5" max="5" width="20.42578125" style="151" customWidth="1"/>
    <x:col min="6" max="6" width="16" style="151" bestFit="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</x:cols>
  <x:sheetData>
    <x:row r="1" spans="2:13" ht="14.65" customHeight="1" thickBot="1" x14ac:dyDescent="0.25"/>
    <x:row r="2" spans="2:13" s="95" customFormat="1" ht="12.6" customHeight="1" thickBot="1" x14ac:dyDescent="0.25">
      <x:c r="B2" s="95" t="s">
        <x:v>132</x:v>
      </x:c>
      <x:c r="C2" s="185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ht="12.6" customHeight="1" x14ac:dyDescent="0.2">
      <x:c r="C3" s="158">
        <x:v>1</x:v>
      </x:c>
      <x:c r="D3" s="159">
        <x:v>0</x:v>
      </x:c>
      <x:c r="E3" s="160">
        <x:v>0</x:v>
      </x:c>
      <x:c r="F3" s="160" t="n">
        <x:v>0</x:v>
      </x:c>
      <x:c r="G3" s="161" t="n">
        <x:v>0</x:v>
      </x:c>
      <x:c r="J3" s="593"/>
    </x:row>
    <x:row r="4" spans="2:13" ht="12.6" customHeight="1" x14ac:dyDescent="0.2">
      <x:c r="C4" s="162">
        <x:v>2</x:v>
      </x:c>
      <x:c r="D4" s="163">
        <x:v>0</x:v>
      </x:c>
      <x:c r="E4" s="164">
        <x:v>0</x:v>
      </x:c>
      <x:c r="F4" s="164" t="n">
        <x:v>0</x:v>
      </x:c>
      <x:c r="G4" s="165" t="n">
        <x:v>0</x:v>
      </x:c>
      <x:c r="J4" s="593"/>
    </x:row>
    <x:row r="5" spans="2:13" ht="12.6" customHeight="1" x14ac:dyDescent="0.2">
      <x:c r="C5" s="162">
        <x:v>3</x:v>
      </x:c>
      <x:c r="D5" s="163">
        <x:v>0</x:v>
      </x:c>
      <x:c r="E5" s="164">
        <x:v>0</x:v>
      </x:c>
      <x:c r="F5" s="164" t="n">
        <x:v>0</x:v>
      </x:c>
      <x:c r="G5" s="165" t="n">
        <x:v>0</x:v>
      </x:c>
      <x:c r="J5" s="593"/>
    </x:row>
    <x:row r="6" spans="2:13" ht="12.6" customHeight="1" x14ac:dyDescent="0.2">
      <x:c r="C6" s="162">
        <x:v>4</x:v>
      </x:c>
      <x:c r="D6" s="163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2.6" customHeight="1" x14ac:dyDescent="0.2">
      <x:c r="C7" s="162">
        <x:v>5</x:v>
      </x:c>
      <x:c r="D7" s="163">
        <x:v>0</x:v>
      </x:c>
      <x:c r="E7" s="164">
        <x:v>0</x:v>
      </x:c>
      <x:c r="F7" s="164" t="n">
        <x:v>32068500</x:v>
      </x:c>
      <x:c r="G7" s="165" t="n">
        <x:v>539</x:v>
      </x:c>
    </x:row>
    <x:row r="8" spans="2:13" ht="12.6" customHeight="1" thickBot="1" x14ac:dyDescent="0.25">
      <x:c r="C8" s="166" t="s">
        <x:v>89</x:v>
      </x:c>
      <x:c r="D8" s="167"/>
      <x:c r="E8" s="168"/>
      <x:c r="F8" s="168"/>
      <x:c r="G8" s="169"/>
    </x:row>
    <x:row r="9" spans="2:13" ht="12.6" customHeight="1" thickBot="1" x14ac:dyDescent="0.25">
      <x:c r="D9" s="170">
        <x:v>0</x:v>
      </x:c>
      <x:c r="E9" s="170">
        <x:v>0</x:v>
      </x:c>
      <x:c r="F9" s="170" t="n">
        <x:v>32068500</x:v>
      </x:c>
      <x:c r="G9" s="170" t="n">
        <x:v>539</x:v>
      </x:c>
    </x:row>
    <x:row r="10" spans="2:13" ht="12.6" customHeight="1" thickBot="1" x14ac:dyDescent="0.25"/>
    <x:row r="11" spans="2:13" s="95" customFormat="1" ht="12.6" customHeight="1" thickBot="1" x14ac:dyDescent="0.25">
      <x:c r="C11" s="185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ht="12.6" customHeight="1" x14ac:dyDescent="0.2">
      <x:c r="B12" s="94" t="s">
        <x:v>140</x:v>
      </x:c>
      <x:c r="C12" s="158">
        <x:v>1</x:v>
      </x:c>
      <x:c r="D12" s="159">
        <x:v>0</x:v>
      </x:c>
      <x:c r="E12" s="160">
        <x:v>0</x:v>
      </x:c>
      <x:c r="F12" s="160" t="n">
        <x:v>0</x:v>
      </x:c>
      <x:c r="G12" s="161" t="n">
        <x:v>0</x:v>
      </x:c>
    </x:row>
    <x:row r="13" spans="2:13" ht="12.6" customHeight="1" x14ac:dyDescent="0.2">
      <x:c r="C13" s="162">
        <x:v>2</x:v>
      </x:c>
      <x:c r="D13" s="163">
        <x:v>0</x:v>
      </x:c>
      <x:c r="E13" s="164">
        <x:v>0</x:v>
      </x:c>
      <x:c r="F13" s="164" t="n">
        <x:v>0</x:v>
      </x:c>
      <x:c r="G13" s="165" t="n">
        <x:v>0</x:v>
      </x:c>
    </x:row>
    <x:row r="14" spans="2:13" ht="12.6" customHeight="1" x14ac:dyDescent="0.2">
      <x:c r="C14" s="162">
        <x:v>3</x:v>
      </x:c>
      <x:c r="D14" s="163">
        <x:v>0</x:v>
      </x:c>
      <x:c r="E14" s="164">
        <x:v>0</x:v>
      </x:c>
      <x:c r="F14" s="164" t="n">
        <x:v>0</x:v>
      </x:c>
      <x:c r="G14" s="165" t="n">
        <x:v>0</x:v>
      </x:c>
    </x:row>
    <x:row r="15" spans="2:13" ht="12.6" customHeight="1" x14ac:dyDescent="0.2">
      <x:c r="C15" s="162">
        <x:v>4</x:v>
      </x:c>
      <x:c r="D15" s="163">
        <x:v>0</x:v>
      </x:c>
      <x:c r="E15" s="164">
        <x:v>0</x:v>
      </x:c>
      <x:c r="F15" s="164" t="n">
        <x:v>0</x:v>
      </x:c>
      <x:c r="G15" s="165" t="n">
        <x:v>0</x:v>
      </x:c>
    </x:row>
    <x:row r="16" spans="2:13" ht="12.6" customHeight="1" x14ac:dyDescent="0.2">
      <x:c r="C16" s="162">
        <x:v>5</x:v>
      </x:c>
      <x:c r="D16" s="163">
        <x:v>0</x:v>
      </x:c>
      <x:c r="E16" s="164">
        <x:v>0</x:v>
      </x:c>
      <x:c r="F16" s="164" t="n">
        <x:v>488120</x:v>
      </x:c>
      <x:c r="G16" s="165" t="n">
        <x:v>11</x:v>
      </x:c>
    </x:row>
    <x:row r="17" spans="1:11" ht="12.6" customHeight="1" thickBot="1" x14ac:dyDescent="0.25">
      <x:c r="C17" s="166" t="s">
        <x:v>89</x:v>
      </x:c>
      <x:c r="D17" s="167"/>
      <x:c r="E17" s="168"/>
      <x:c r="F17" s="168"/>
      <x:c r="G17" s="169"/>
    </x:row>
    <x:row r="18" spans="1:11" ht="12.6" customHeight="1" thickBot="1" x14ac:dyDescent="0.25">
      <x:c r="D18" s="170">
        <x:v>0</x:v>
      </x:c>
      <x:c r="E18" s="170">
        <x:v>0</x:v>
      </x:c>
      <x:c r="F18" s="170" t="n">
        <x:v>488120</x:v>
      </x:c>
      <x:c r="G18" s="170" t="n">
        <x:v>11</x:v>
      </x:c>
    </x:row>
    <x:row r="19" spans="1:11" ht="12.6" customHeight="1" thickBot="1" x14ac:dyDescent="0.25"/>
    <x:row r="20" spans="1:11" ht="12.6" customHeight="1" thickBot="1" x14ac:dyDescent="0.25">
      <x:c r="C20" s="185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1" s="151" customFormat="1" ht="12.6" customHeight="1" x14ac:dyDescent="0.2">
      <x:c r="B21" s="18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1" s="151" customFormat="1" ht="12.6" customHeight="1" x14ac:dyDescent="0.2">
      <x:c r="B2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1" s="151" customFormat="1" ht="12.6" customHeight="1" x14ac:dyDescent="0.2">
      <x:c r="B23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1" s="151" customFormat="1" ht="12.6" customHeight="1" x14ac:dyDescent="0.2">
      <x:c r="B24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1" s="151" customFormat="1" ht="12.6" customHeight="1" x14ac:dyDescent="0.2">
      <x:c r="B25"/>
      <x:c r="C25" s="162">
        <x:v>5</x:v>
      </x:c>
      <x:c r="D25" s="163">
        <x:v>0</x:v>
      </x:c>
      <x:c r="E25" s="164">
        <x:v>0</x:v>
      </x:c>
      <x:c r="F25" s="164" t="n">
        <x:v>32556620</x:v>
      </x:c>
      <x:c r="G25" s="165" t="n">
        <x:v>550</x:v>
      </x:c>
      <x:c r="I25" s="163">
        <x:v>0</x:v>
      </x:c>
      <x:c r="J25" s="165">
        <x:v>0</x:v>
      </x:c>
    </x:row>
    <x:row r="26" spans="1:11" ht="12.6" customHeight="1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1" ht="12.6" customHeight="1" thickBot="1" x14ac:dyDescent="0.25">
      <x:c r="D27" s="170">
        <x:v>0</x:v>
      </x:c>
      <x:c r="E27" s="170">
        <x:v>0</x:v>
      </x:c>
      <x:c r="F27" s="170" t="n">
        <x:v>32556620</x:v>
      </x:c>
      <x:c r="G27" s="170" t="n">
        <x:v>550</x:v>
      </x:c>
      <x:c r="I27" s="183">
        <x:v>0</x:v>
      </x:c>
      <x:c r="J27" s="184">
        <x:v>0</x:v>
      </x:c>
    </x:row>
    <x:row r="29" spans="1:1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</x:row>
    <x:row r="31" spans="1:1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</x:row>
    <x:row r="33" spans="2:10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</x:row>
    <x:row r="35" spans="2:10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I35" s="151" t="b">
        <x:f>I27=SUM(I21:I26)</x:f>
        <x:v>1</x:v>
      </x:c>
      <x:c r="J35" s="151" t="b">
        <x:f t="shared" si="2"/>
        <x:v>1</x:v>
      </x:c>
    </x:row>
    <x:row r="69" spans="5:5" x14ac:dyDescent="0.2">
      <x:c r="E69" s="151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topLeftCell="A9" workbookViewId="0"/>
  </x:sheetViews>
  <x:sheetFormatPr baseColWidth="10" defaultColWidth="11.42578125" defaultRowHeight="12.75" x14ac:dyDescent="0.2"/>
  <x:cols>
    <x:col min="1" max="1" width="2.28515625" style="192" customWidth="1"/>
    <x:col min="2" max="2" width="25" style="192" bestFit="1" customWidth="1"/>
    <x:col min="3" max="3" width="4.7109375" style="192" bestFit="1" customWidth="1"/>
    <x:col min="4" max="4" width="13.7109375" style="151" bestFit="1" customWidth="1"/>
    <x:col min="5" max="5" width="19" style="151" bestFit="1" customWidth="1"/>
    <x:col min="6" max="6" width="13.7109375" style="151" bestFit="1" customWidth="1"/>
    <x:col min="7" max="7" width="19" style="151" bestFit="1" customWidth="1"/>
    <x:col min="8" max="8" width="3.7109375" style="151" customWidth="1"/>
    <x:col min="9" max="9" width="20" style="151" bestFit="1" customWidth="1"/>
    <x:col min="10" max="10" width="26.5703125" style="151" bestFit="1" customWidth="1"/>
    <x:col min="11" max="13" width="19.7109375" style="151" customWidth="1"/>
    <x:col min="14" max="16384" width="11.42578125" style="192"/>
  </x:cols>
  <x:sheetData>
    <x:row r="1" spans="2:13" ht="13.5" thickBot="1" x14ac:dyDescent="0.25"/>
    <x:row r="2" spans="2:13" s="193" customFormat="1" ht="13.5" thickBot="1" x14ac:dyDescent="0.25">
      <x:c r="B2" s="193" t="s">
        <x:v>157</x:v>
      </x:c>
      <x:c r="C2" s="194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157"/>
      <x:c r="K2" s="157"/>
      <x:c r="L2" s="157"/>
      <x:c r="M2" s="157"/>
    </x:row>
    <x:row r="3" spans="2:13" x14ac:dyDescent="0.2">
      <x:c r="C3" s="158">
        <x:v>1</x:v>
      </x:c>
      <x:c r="D3" s="159">
        <x:v>0</x:v>
      </x:c>
      <x:c r="E3" s="164">
        <x:v>0</x:v>
      </x:c>
      <x:c r="F3" s="160" t="n">
        <x:v>0</x:v>
      </x:c>
      <x:c r="G3" s="161" t="n">
        <x:v>0</x:v>
      </x:c>
    </x:row>
    <x:row r="4" spans="2:13" x14ac:dyDescent="0.2">
      <x:c r="C4" s="162">
        <x:v>2</x:v>
      </x:c>
      <x:c r="D4" s="164">
        <x:v>0</x:v>
      </x:c>
      <x:c r="E4" s="164">
        <x:v>0</x:v>
      </x:c>
      <x:c r="F4" s="164" t="n">
        <x:v>0</x:v>
      </x:c>
      <x:c r="G4" s="165" t="n">
        <x:v>0</x:v>
      </x:c>
    </x:row>
    <x:row r="5" spans="2:13" x14ac:dyDescent="0.2">
      <x:c r="C5" s="162">
        <x:v>3</x:v>
      </x:c>
      <x:c r="D5" s="164">
        <x:v>0</x:v>
      </x:c>
      <x:c r="E5" s="164">
        <x:v>0</x:v>
      </x:c>
      <x:c r="F5" s="164" t="n">
        <x:v>0</x:v>
      </x:c>
      <x:c r="G5" s="165" t="n">
        <x:v>0</x:v>
      </x:c>
    </x:row>
    <x:row r="6" spans="2:13" ht="13.5" customHeight="1" x14ac:dyDescent="0.2">
      <x:c r="C6" s="162">
        <x:v>4</x:v>
      </x:c>
      <x:c r="D6" s="164">
        <x:v>0</x:v>
      </x:c>
      <x:c r="E6" s="164">
        <x:v>0</x:v>
      </x:c>
      <x:c r="F6" s="164" t="n">
        <x:v>0</x:v>
      </x:c>
      <x:c r="G6" s="165" t="n">
        <x:v>0</x:v>
      </x:c>
    </x:row>
    <x:row r="7" spans="2:13" ht="13.5" customHeight="1" x14ac:dyDescent="0.2">
      <x:c r="C7" s="162">
        <x:v>5</x:v>
      </x:c>
      <x:c r="D7" s="164">
        <x:v>0</x:v>
      </x:c>
      <x:c r="E7" s="164">
        <x:v>0</x:v>
      </x:c>
      <x:c r="F7" s="164" t="n">
        <x:v>0</x:v>
      </x:c>
      <x:c r="G7" s="165" t="n">
        <x:v>0</x:v>
      </x:c>
    </x:row>
    <x:row r="8" spans="2:13" ht="13.5" thickBot="1" x14ac:dyDescent="0.25">
      <x:c r="C8" s="166" t="s">
        <x:v>89</x:v>
      </x:c>
      <x:c r="D8" s="167"/>
      <x:c r="E8" s="168"/>
      <x:c r="F8" s="168"/>
      <x:c r="G8" s="169"/>
    </x:row>
    <x:row r="9" spans="2:13" ht="13.5" thickBot="1" x14ac:dyDescent="0.25">
      <x:c r="D9" s="170">
        <x:v>0</x:v>
      </x:c>
      <x:c r="E9" s="170">
        <x:v>0</x:v>
      </x:c>
      <x:c r="F9" s="170" t="n">
        <x:v>0</x:v>
      </x:c>
      <x:c r="G9" s="170" t="n">
        <x:v>0</x:v>
      </x:c>
    </x:row>
    <x:row r="10" spans="2:13" ht="13.5" thickBot="1" x14ac:dyDescent="0.25"/>
    <x:row r="11" spans="2:13" s="193" customFormat="1" ht="13.5" thickBot="1" x14ac:dyDescent="0.25">
      <x:c r="C11" s="194" t="s">
        <x:v>3</x:v>
      </x:c>
      <x:c r="D11" s="154" t="s">
        <x:v>136</x:v>
      </x:c>
      <x:c r="E11" s="155" t="s">
        <x:v>137</x:v>
      </x:c>
      <x:c r="F11" s="155" t="s">
        <x:v>138</x:v>
      </x:c>
      <x:c r="G11" s="156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95" t="s">
        <x:v>158</x:v>
      </x:c>
      <x:c r="C12" s="158">
        <x:v>1</x:v>
      </x:c>
      <x:c r="D12" s="159">
        <x:v>0</x:v>
      </x:c>
      <x:c r="E12" s="164">
        <x:v>0</x:v>
      </x:c>
      <x:c r="F12" s="160" t="n">
        <x:v>0</x:v>
      </x:c>
      <x:c r="G12" s="161" t="n">
        <x:v>0</x:v>
      </x:c>
    </x:row>
    <x:row r="13" spans="2:13" x14ac:dyDescent="0.2">
      <x:c r="C13" s="162">
        <x:v>2</x:v>
      </x:c>
      <x:c r="D13" s="164">
        <x:v>0</x:v>
      </x:c>
      <x:c r="E13" s="164">
        <x:v>0</x:v>
      </x:c>
      <x:c r="F13" s="164" t="n">
        <x:v>0</x:v>
      </x:c>
      <x:c r="G13" s="165" t="n">
        <x:v>0</x:v>
      </x:c>
    </x:row>
    <x:row r="14" spans="2:13" x14ac:dyDescent="0.2">
      <x:c r="C14" s="162">
        <x:v>3</x:v>
      </x:c>
      <x:c r="D14" s="164">
        <x:v>0</x:v>
      </x:c>
      <x:c r="E14" s="164">
        <x:v>0</x:v>
      </x:c>
      <x:c r="F14" s="164" t="n">
        <x:v>0</x:v>
      </x:c>
      <x:c r="G14" s="165" t="n">
        <x:v>0</x:v>
      </x:c>
    </x:row>
    <x:row r="15" spans="2:13" x14ac:dyDescent="0.2">
      <x:c r="C15" s="162">
        <x:v>4</x:v>
      </x:c>
      <x:c r="D15" s="164">
        <x:v>0</x:v>
      </x:c>
      <x:c r="E15" s="164">
        <x:v>0</x:v>
      </x:c>
      <x:c r="F15" s="164" t="n">
        <x:v>0</x:v>
      </x:c>
      <x:c r="G15" s="165" t="n">
        <x:v>0</x:v>
      </x:c>
    </x:row>
    <x:row r="16" spans="2:13" x14ac:dyDescent="0.2">
      <x:c r="C16" s="162">
        <x:v>5</x:v>
      </x:c>
      <x:c r="D16" s="164">
        <x:v>0</x:v>
      </x:c>
      <x:c r="E16" s="164">
        <x:v>0</x:v>
      </x:c>
      <x:c r="F16" s="164" t="n">
        <x:v>0</x:v>
      </x:c>
      <x:c r="G16" s="165" t="n">
        <x:v>0</x:v>
      </x:c>
    </x:row>
    <x:row r="17" spans="1:13" ht="13.5" thickBot="1" x14ac:dyDescent="0.25">
      <x:c r="C17" s="166" t="s">
        <x:v>89</x:v>
      </x:c>
      <x:c r="D17" s="167"/>
      <x:c r="E17" s="168"/>
      <x:c r="F17" s="168"/>
      <x:c r="G17" s="169"/>
    </x:row>
    <x:row r="18" spans="1:13" ht="13.5" thickBot="1" x14ac:dyDescent="0.25">
      <x:c r="D18" s="170">
        <x:v>0</x:v>
      </x:c>
      <x:c r="E18" s="170">
        <x:v>0</x:v>
      </x:c>
      <x:c r="F18" s="170" t="n">
        <x:v>0</x:v>
      </x:c>
      <x:c r="G18" s="170" t="n">
        <x:v>0</x:v>
      </x:c>
    </x:row>
    <x:row r="19" spans="1:13" ht="13.5" thickBot="1" x14ac:dyDescent="0.25"/>
    <x:row r="20" spans="1:13" ht="13.5" thickBot="1" x14ac:dyDescent="0.25">
      <x:c r="C20" s="194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96" t="s">
        <x:v>2</x:v>
      </x:c>
      <x:c r="C21" s="158">
        <x:v>1</x:v>
      </x:c>
      <x:c r="D21" s="159">
        <x:v>0</x:v>
      </x:c>
      <x:c r="E21" s="160">
        <x:v>0</x:v>
      </x:c>
      <x:c r="F21" s="160" t="n">
        <x:v>0</x:v>
      </x:c>
      <x:c r="G21" s="161" t="n">
        <x:v>0</x:v>
      </x:c>
      <x:c r="I21" s="159">
        <x:v>0</x:v>
      </x:c>
      <x:c r="J21" s="161">
        <x:v>0</x:v>
      </x:c>
    </x:row>
    <x:row r="22" spans="1:13" s="151" customFormat="1" x14ac:dyDescent="0.2">
      <x:c r="B22" s="192"/>
      <x:c r="C22" s="162">
        <x:v>2</x:v>
      </x:c>
      <x:c r="D22" s="163">
        <x:v>0</x:v>
      </x:c>
      <x:c r="E22" s="164">
        <x:v>0</x:v>
      </x:c>
      <x:c r="F22" s="164" t="n">
        <x:v>0</x:v>
      </x:c>
      <x:c r="G22" s="165" t="n">
        <x:v>0</x:v>
      </x:c>
      <x:c r="I22" s="163">
        <x:v>0</x:v>
      </x:c>
      <x:c r="J22" s="165">
        <x:v>0</x:v>
      </x:c>
    </x:row>
    <x:row r="23" spans="1:13" s="151" customFormat="1" x14ac:dyDescent="0.2">
      <x:c r="B23" s="192"/>
      <x:c r="C23" s="162">
        <x:v>3</x:v>
      </x:c>
      <x:c r="D23" s="163">
        <x:v>0</x:v>
      </x:c>
      <x:c r="E23" s="164">
        <x:v>0</x:v>
      </x:c>
      <x:c r="F23" s="164" t="n">
        <x:v>0</x:v>
      </x:c>
      <x:c r="G23" s="165" t="n">
        <x:v>0</x:v>
      </x:c>
      <x:c r="I23" s="163">
        <x:v>0</x:v>
      </x:c>
      <x:c r="J23" s="165">
        <x:v>0</x:v>
      </x:c>
    </x:row>
    <x:row r="24" spans="1:13" s="151" customFormat="1" x14ac:dyDescent="0.2">
      <x:c r="B24" s="192"/>
      <x:c r="C24" s="162">
        <x:v>4</x:v>
      </x:c>
      <x:c r="D24" s="163">
        <x:v>0</x:v>
      </x:c>
      <x:c r="E24" s="164">
        <x:v>0</x:v>
      </x:c>
      <x:c r="F24" s="164" t="n">
        <x:v>0</x:v>
      </x:c>
      <x:c r="G24" s="165" t="n">
        <x:v>0</x:v>
      </x:c>
      <x:c r="I24" s="163">
        <x:v>0</x:v>
      </x:c>
      <x:c r="J24" s="165">
        <x:v>0</x:v>
      </x:c>
    </x:row>
    <x:row r="25" spans="1:13" s="151" customFormat="1" x14ac:dyDescent="0.2">
      <x:c r="B25" s="192"/>
      <x:c r="C25" s="162">
        <x:v>5</x:v>
      </x:c>
      <x:c r="D25" s="163">
        <x:v>0</x:v>
      </x:c>
      <x:c r="E25" s="164">
        <x:v>0</x:v>
      </x:c>
      <x:c r="F25" s="164" t="n">
        <x:v>0</x:v>
      </x:c>
      <x:c r="G25" s="165" t="n">
        <x:v>0</x:v>
      </x:c>
      <x:c r="I25" s="163">
        <x:v>0</x:v>
      </x:c>
      <x:c r="J25" s="165">
        <x:v>0</x:v>
      </x:c>
    </x:row>
    <x:row r="26" spans="1:13" ht="13.5" thickBot="1" x14ac:dyDescent="0.25">
      <x:c r="C26" s="166" t="s">
        <x:v>89</x:v>
      </x:c>
      <x:c r="D26" s="167"/>
      <x:c r="E26" s="168"/>
      <x:c r="F26" s="168"/>
      <x:c r="G26" s="169"/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0</x:v>
      </x:c>
      <x:c r="G27" s="170" t="n">
        <x:v>0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G33" si="1">E18=SUM(E12:E17)</x:f>
        <x:v>1</x:v>
      </x:c>
      <x:c r="F33" s="151" t="b">
        <x:f t="shared" si="1"/>
        <x:v>1</x:v>
      </x:c>
      <x:c r="G33" s="151" t="b">
        <x:f t="shared" si="1"/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 t="shared" si="2"/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topLeftCell="A12" zoomScaleNormal="100" workbookViewId="0">
      <x:selection activeCell="K20" sqref="K20"/>
    </x:sheetView>
  </x:sheetViews>
  <x:sheetFormatPr baseColWidth="10" defaultColWidth="11.42578125" defaultRowHeight="12.75" x14ac:dyDescent="0.2"/>
  <x:cols>
    <x:col min="1" max="1" width="2.28515625" style="150" customWidth="1"/>
    <x:col min="2" max="2" width="12.7109375" style="150" bestFit="1" customWidth="1"/>
    <x:col min="3" max="3" width="7.28515625" style="150" customWidth="1"/>
    <x:col min="4" max="4" width="15.28515625" style="151" customWidth="1"/>
    <x:col min="5" max="5" width="20.42578125" style="151" customWidth="1"/>
    <x:col min="6" max="6" width="15.28515625" style="151" customWidth="1"/>
    <x:col min="7" max="7" width="20.28515625" style="151" customWidth="1"/>
    <x:col min="8" max="8" width="3.7109375" style="151" customWidth="1"/>
    <x:col min="9" max="10" width="26.5703125" style="151" bestFit="1" customWidth="1"/>
    <x:col min="11" max="13" width="19.7109375" style="151" customWidth="1"/>
    <x:col min="14" max="16384" width="11.42578125" style="150"/>
  </x:cols>
  <x:sheetData>
    <x:row r="1" spans="2:13" ht="13.5" thickBot="1" x14ac:dyDescent="0.25"/>
    <x:row r="2" spans="2:13" s="152" customFormat="1" ht="13.5" thickBot="1" x14ac:dyDescent="0.25">
      <x:c r="B2" s="152" t="s">
        <x:v>132</x:v>
      </x:c>
      <x:c r="C2" s="153" t="s">
        <x:v>3</x:v>
      </x:c>
      <x:c r="D2" s="154" t="s">
        <x:v>136</x:v>
      </x:c>
      <x:c r="E2" s="155" t="s">
        <x:v>137</x:v>
      </x:c>
      <x:c r="F2" s="155" t="s">
        <x:v>138</x:v>
      </x:c>
      <x:c r="G2" s="156" t="s">
        <x:v>139</x:v>
      </x:c>
      <x:c r="H2" s="157"/>
      <x:c r="I2" s="157"/>
      <x:c r="J2" s="592"/>
      <x:c r="K2" s="157"/>
      <x:c r="L2" s="157"/>
      <x:c r="M2" s="157"/>
    </x:row>
    <x:row r="3" spans="2:13" x14ac:dyDescent="0.2">
      <x:c r="C3" s="158">
        <x:v>1</x:v>
      </x:c>
      <x:c r="D3" s="218">
        <x:v>0</x:v>
      </x:c>
      <x:c r="E3" s="160">
        <x:v>0</x:v>
      </x:c>
      <x:c r="F3" s="160" t="n">
        <x:v>708118766</x:v>
      </x:c>
      <x:c r="G3" s="161" t="n">
        <x:v>2516</x:v>
      </x:c>
      <x:c r="J3" s="593"/>
    </x:row>
    <x:row r="4" spans="2:13" x14ac:dyDescent="0.2">
      <x:c r="C4" s="162">
        <x:v>2</x:v>
      </x:c>
      <x:c r="D4" s="219">
        <x:v>0</x:v>
      </x:c>
      <x:c r="E4" s="164">
        <x:v>0</x:v>
      </x:c>
      <x:c r="F4" s="164" t="n">
        <x:v>2044964380</x:v>
      </x:c>
      <x:c r="G4" s="165" t="n">
        <x:v>10424</x:v>
      </x:c>
      <x:c r="J4" s="593"/>
    </x:row>
    <x:row r="5" spans="2:13" x14ac:dyDescent="0.2">
      <x:c r="C5" s="162">
        <x:v>3</x:v>
      </x:c>
      <x:c r="D5" s="219">
        <x:v>0</x:v>
      </x:c>
      <x:c r="E5" s="164">
        <x:v>0</x:v>
      </x:c>
      <x:c r="F5" s="164" t="n">
        <x:v>799641564</x:v>
      </x:c>
      <x:c r="G5" s="165" t="n">
        <x:v>2133</x:v>
      </x:c>
      <x:c r="J5" s="593"/>
    </x:row>
    <x:row r="6" spans="2:13" x14ac:dyDescent="0.2">
      <x:c r="C6" s="162">
        <x:v>4</x:v>
      </x:c>
      <x:c r="D6" s="219">
        <x:v>0</x:v>
      </x:c>
      <x:c r="E6" s="164">
        <x:v>0</x:v>
      </x:c>
      <x:c r="F6" s="164" t="n">
        <x:v>769620840</x:v>
      </x:c>
      <x:c r="G6" s="165" t="n">
        <x:v>4462</x:v>
      </x:c>
    </x:row>
    <x:row r="7" spans="2:13" x14ac:dyDescent="0.2">
      <x:c r="C7" s="162">
        <x:v>5</x:v>
      </x:c>
      <x:c r="D7" s="219">
        <x:v>0</x:v>
      </x:c>
      <x:c r="E7" s="164">
        <x:v>0</x:v>
      </x:c>
      <x:c r="F7" s="164" t="n">
        <x:v>305626540</x:v>
      </x:c>
      <x:c r="G7" s="165" t="n">
        <x:v>1484</x:v>
      </x:c>
    </x:row>
    <x:row r="8" spans="2:13" ht="13.5" thickBot="1" x14ac:dyDescent="0.25">
      <x:c r="C8" s="166" t="s">
        <x:v>89</x:v>
      </x:c>
      <x:c r="D8" s="220">
        <x:v>0</x:v>
      </x:c>
      <x:c r="E8" s="168">
        <x:v>0</x:v>
      </x:c>
      <x:c r="F8" s="168" t="n">
        <x:v>0</x:v>
      </x:c>
      <x:c r="G8" s="169" t="n">
        <x:v>0</x:v>
      </x:c>
    </x:row>
    <x:row r="9" spans="2:13" ht="13.5" thickBot="1" x14ac:dyDescent="0.25">
      <x:c r="D9" s="170">
        <x:v>0</x:v>
      </x:c>
      <x:c r="E9" s="170">
        <x:v>0</x:v>
      </x:c>
      <x:c r="F9" s="170" t="n">
        <x:v>4627972090</x:v>
      </x:c>
      <x:c r="G9" s="170" t="n">
        <x:v>21019</x:v>
      </x:c>
    </x:row>
    <x:row r="10" spans="2:13" ht="13.5" thickBot="1" x14ac:dyDescent="0.25">
      <x:c r="D10" s="221"/>
    </x:row>
    <x:row r="11" spans="2:13" s="152" customFormat="1" ht="13.5" thickBot="1" x14ac:dyDescent="0.25">
      <x:c r="C11" s="153" t="s">
        <x:v>3</x:v>
      </x:c>
      <x:c r="D11" s="153" t="s">
        <x:v>136</x:v>
      </x:c>
      <x:c r="E11" s="171" t="s">
        <x:v>137</x:v>
      </x:c>
      <x:c r="F11" s="171" t="s">
        <x:v>138</x:v>
      </x:c>
      <x:c r="G11" s="172" t="s">
        <x:v>139</x:v>
      </x:c>
      <x:c r="H11" s="157"/>
      <x:c r="I11" s="157"/>
      <x:c r="J11" s="157"/>
      <x:c r="K11" s="157"/>
      <x:c r="L11" s="157"/>
      <x:c r="M11" s="157"/>
    </x:row>
    <x:row r="12" spans="2:13" x14ac:dyDescent="0.2">
      <x:c r="B12" s="173" t="s">
        <x:v>140</x:v>
      </x:c>
      <x:c r="C12" s="174">
        <x:v>1</x:v>
      </x:c>
      <x:c r="D12" s="218">
        <x:v>0</x:v>
      </x:c>
      <x:c r="E12" s="160">
        <x:v>0</x:v>
      </x:c>
      <x:c r="F12" s="160" t="n">
        <x:v>202466152</x:v>
      </x:c>
      <x:c r="G12" s="161" t="n">
        <x:v>535</x:v>
      </x:c>
    </x:row>
    <x:row r="13" spans="2:13" x14ac:dyDescent="0.2">
      <x:c r="C13" s="175">
        <x:v>2</x:v>
      </x:c>
      <x:c r="D13" s="219">
        <x:v>0</x:v>
      </x:c>
      <x:c r="E13" s="164">
        <x:v>0</x:v>
      </x:c>
      <x:c r="F13" s="164" t="n">
        <x:v>341841786</x:v>
      </x:c>
      <x:c r="G13" s="165" t="n">
        <x:v>623</x:v>
      </x:c>
    </x:row>
    <x:row r="14" spans="2:13" x14ac:dyDescent="0.2">
      <x:c r="C14" s="175">
        <x:v>3</x:v>
      </x:c>
      <x:c r="D14" s="219">
        <x:v>0</x:v>
      </x:c>
      <x:c r="E14" s="164">
        <x:v>0</x:v>
      </x:c>
      <x:c r="F14" s="164" t="n">
        <x:v>469277064</x:v>
      </x:c>
      <x:c r="G14" s="165" t="n">
        <x:v>248</x:v>
      </x:c>
    </x:row>
    <x:row r="15" spans="2:13" x14ac:dyDescent="0.2">
      <x:c r="C15" s="175">
        <x:v>4</x:v>
      </x:c>
      <x:c r="D15" s="219">
        <x:v>0</x:v>
      </x:c>
      <x:c r="E15" s="164">
        <x:v>0</x:v>
      </x:c>
      <x:c r="F15" s="164" t="n">
        <x:v>208355087</x:v>
      </x:c>
      <x:c r="G15" s="165" t="n">
        <x:v>216</x:v>
      </x:c>
    </x:row>
    <x:row r="16" spans="2:13" x14ac:dyDescent="0.2">
      <x:c r="C16" s="175">
        <x:v>5</x:v>
      </x:c>
      <x:c r="D16" s="219">
        <x:v>0</x:v>
      </x:c>
      <x:c r="E16" s="164">
        <x:v>0</x:v>
      </x:c>
      <x:c r="F16" s="164" t="n">
        <x:v>35584035</x:v>
      </x:c>
      <x:c r="G16" s="165" t="n">
        <x:v>152</x:v>
      </x:c>
    </x:row>
    <x:row r="17" spans="1:13" ht="13.5" thickBot="1" x14ac:dyDescent="0.25">
      <x:c r="C17" s="176" t="s">
        <x:v>89</x:v>
      </x:c>
      <x:c r="D17" s="220">
        <x:v>0</x:v>
      </x:c>
      <x:c r="E17" s="168">
        <x:v>0</x:v>
      </x:c>
      <x:c r="F17" s="168" t="n">
        <x:v>0</x:v>
      </x:c>
      <x:c r="G17" s="169" t="n">
        <x:v>0</x:v>
      </x:c>
    </x:row>
    <x:row r="18" spans="1:13" ht="13.5" thickBot="1" x14ac:dyDescent="0.25">
      <x:c r="D18" s="177">
        <x:v>0</x:v>
      </x:c>
      <x:c r="E18" s="177">
        <x:v>0</x:v>
      </x:c>
      <x:c r="F18" s="177" t="n">
        <x:v>1257524124</x:v>
      </x:c>
      <x:c r="G18" s="177" t="n">
        <x:v>1774</x:v>
      </x:c>
    </x:row>
    <x:row r="19" spans="1:13" ht="13.5" thickBot="1" x14ac:dyDescent="0.25"/>
    <x:row r="20" spans="1:13" ht="13.5" thickBot="1" x14ac:dyDescent="0.25">
      <x:c r="C20" s="153" t="s">
        <x:v>3</x:v>
      </x:c>
      <x:c r="D20" s="154" t="s">
        <x:v>136</x:v>
      </x:c>
      <x:c r="E20" s="155" t="s">
        <x:v>137</x:v>
      </x:c>
      <x:c r="F20" s="155" t="s">
        <x:v>138</x:v>
      </x:c>
      <x:c r="G20" s="156" t="s">
        <x:v>139</x:v>
      </x:c>
      <x:c r="I20" s="178" t="s">
        <x:v>141</x:v>
      </x:c>
      <x:c r="J20" s="179" t="s">
        <x:v>142</x:v>
      </x:c>
    </x:row>
    <x:row r="21" spans="1:13" s="151" customFormat="1" x14ac:dyDescent="0.2">
      <x:c r="B21" s="180" t="s">
        <x:v>2</x:v>
      </x:c>
      <x:c r="C21" s="158">
        <x:v>1</x:v>
      </x:c>
      <x:c r="D21" s="218">
        <x:v>0</x:v>
      </x:c>
      <x:c r="E21" s="160">
        <x:v>0</x:v>
      </x:c>
      <x:c r="F21" s="160" t="n">
        <x:v>910584918</x:v>
      </x:c>
      <x:c r="G21" s="161" t="n">
        <x:v>3051</x:v>
      </x:c>
      <x:c r="I21" s="159">
        <x:v>0</x:v>
      </x:c>
      <x:c r="J21" s="161">
        <x:v>0</x:v>
      </x:c>
    </x:row>
    <x:row r="22" spans="1:13" s="151" customFormat="1" x14ac:dyDescent="0.2">
      <x:c r="B22" s="150"/>
      <x:c r="C22" s="162">
        <x:v>2</x:v>
      </x:c>
      <x:c r="D22" s="219">
        <x:v>0</x:v>
      </x:c>
      <x:c r="E22" s="164">
        <x:v>0</x:v>
      </x:c>
      <x:c r="F22" s="164" t="n">
        <x:v>2386806166</x:v>
      </x:c>
      <x:c r="G22" s="165" t="n">
        <x:v>11047</x:v>
      </x:c>
      <x:c r="I22" s="163">
        <x:v>0</x:v>
      </x:c>
      <x:c r="J22" s="165">
        <x:v>0</x:v>
      </x:c>
    </x:row>
    <x:row r="23" spans="1:13" s="151" customFormat="1" x14ac:dyDescent="0.2">
      <x:c r="B23" s="150"/>
      <x:c r="C23" s="162">
        <x:v>3</x:v>
      </x:c>
      <x:c r="D23" s="219">
        <x:v>0</x:v>
      </x:c>
      <x:c r="E23" s="164">
        <x:v>0</x:v>
      </x:c>
      <x:c r="F23" s="164" t="n">
        <x:v>1268918628</x:v>
      </x:c>
      <x:c r="G23" s="165" t="n">
        <x:v>2381</x:v>
      </x:c>
      <x:c r="I23" s="163">
        <x:v>0</x:v>
      </x:c>
      <x:c r="J23" s="165">
        <x:v>0</x:v>
      </x:c>
    </x:row>
    <x:row r="24" spans="1:13" s="151" customFormat="1" x14ac:dyDescent="0.2">
      <x:c r="B24" s="150"/>
      <x:c r="C24" s="162">
        <x:v>4</x:v>
      </x:c>
      <x:c r="D24" s="219">
        <x:v>0</x:v>
      </x:c>
      <x:c r="E24" s="164">
        <x:v>0</x:v>
      </x:c>
      <x:c r="F24" s="164" t="n">
        <x:v>977975927</x:v>
      </x:c>
      <x:c r="G24" s="165" t="n">
        <x:v>4678</x:v>
      </x:c>
      <x:c r="I24" s="163">
        <x:v>0</x:v>
      </x:c>
      <x:c r="J24" s="165">
        <x:v>0</x:v>
      </x:c>
    </x:row>
    <x:row r="25" spans="1:13" s="151" customFormat="1" x14ac:dyDescent="0.2">
      <x:c r="B25" s="150"/>
      <x:c r="C25" s="162">
        <x:v>5</x:v>
      </x:c>
      <x:c r="D25" s="219">
        <x:v>0</x:v>
      </x:c>
      <x:c r="E25" s="164">
        <x:v>0</x:v>
      </x:c>
      <x:c r="F25" s="164" t="n">
        <x:v>341210575</x:v>
      </x:c>
      <x:c r="G25" s="165" t="n">
        <x:v>1636</x:v>
      </x:c>
      <x:c r="I25" s="163">
        <x:v>0</x:v>
      </x:c>
      <x:c r="J25" s="165">
        <x:v>0</x:v>
      </x:c>
    </x:row>
    <x:row r="26" spans="1:13" ht="13.5" thickBot="1" x14ac:dyDescent="0.25">
      <x:c r="C26" s="222" t="s">
        <x:v>89</x:v>
      </x:c>
      <x:c r="D26" s="220">
        <x:v>0</x:v>
      </x:c>
      <x:c r="E26" s="168">
        <x:v>0</x:v>
      </x:c>
      <x:c r="F26" s="168" t="n">
        <x:v>0</x:v>
      </x:c>
      <x:c r="G26" s="169" t="n">
        <x:v>0</x:v>
      </x:c>
      <x:c r="I26" s="181">
        <x:v>0</x:v>
      </x:c>
      <x:c r="J26" s="182">
        <x:v>0</x:v>
      </x:c>
    </x:row>
    <x:row r="27" spans="1:13" ht="13.5" thickBot="1" x14ac:dyDescent="0.25">
      <x:c r="D27" s="170">
        <x:v>0</x:v>
      </x:c>
      <x:c r="E27" s="170">
        <x:v>0</x:v>
      </x:c>
      <x:c r="F27" s="170" t="n">
        <x:v>5885496214</x:v>
      </x:c>
      <x:c r="G27" s="170" t="n">
        <x:v>22793</x:v>
      </x:c>
      <x:c r="I27" s="183">
        <x:v>0</x:v>
      </x:c>
      <x:c r="J27" s="184">
        <x:v>0</x:v>
      </x:c>
    </x:row>
    <x:row r="29" spans="1:13" customFormat="1" x14ac:dyDescent="0.2">
      <x:c r="A29" s="197"/>
      <x:c r="B29" s="197"/>
      <x:c r="C29" s="197"/>
      <x:c r="D29" s="417"/>
      <x:c r="E29" s="417"/>
      <x:c r="F29" s="417"/>
      <x:c r="G29" s="417"/>
      <x:c r="H29" s="417"/>
      <x:c r="I29" s="417"/>
      <x:c r="J29" s="417"/>
      <x:c r="K29" s="417"/>
      <x:c r="L29" s="151"/>
      <x:c r="M29" s="151"/>
    </x:row>
    <x:row r="30" spans="1:13" customFormat="1" x14ac:dyDescent="0.2">
      <x:c r="D30" s="151"/>
      <x:c r="E30" s="151"/>
      <x:c r="F30" s="151"/>
      <x:c r="G30" s="151"/>
      <x:c r="H30" s="151"/>
      <x:c r="I30" s="151"/>
      <x:c r="J30" s="151"/>
      <x:c r="K30" s="151"/>
      <x:c r="L30" s="151"/>
      <x:c r="M30" s="151"/>
    </x:row>
    <x:row r="31" spans="1:13" customFormat="1" x14ac:dyDescent="0.2">
      <x:c r="B31" s="95" t="s">
        <x:v>132</x:v>
      </x:c>
      <x:c r="D31" s="151" t="b">
        <x:f>D9=SUM(D3:D8)</x:f>
        <x:v>1</x:v>
      </x:c>
      <x:c r="E31" s="151" t="b">
        <x:f t="shared" ref="E31:G31" si="0">E9=SUM(E3:E8)</x:f>
        <x:v>1</x:v>
      </x:c>
      <x:c r="F31" s="151" t="b">
        <x:f t="shared" si="0"/>
        <x:v>1</x:v>
      </x:c>
      <x:c r="G31" s="151" t="b">
        <x:f t="shared" si="0"/>
        <x:v>1</x:v>
      </x:c>
      <x:c r="H31" s="151"/>
      <x:c r="I31" s="151"/>
      <x:c r="J31" s="151"/>
      <x:c r="K31" s="151"/>
      <x:c r="L31" s="151"/>
      <x:c r="M31" s="151"/>
    </x:row>
    <x:row r="32" spans="1:13" customFormat="1" x14ac:dyDescent="0.2">
      <x:c r="D32" s="151"/>
      <x:c r="E32" s="151"/>
      <x:c r="F32" s="151"/>
      <x:c r="G32" s="151"/>
      <x:c r="H32" s="151"/>
      <x:c r="I32" s="151"/>
      <x:c r="J32" s="151"/>
      <x:c r="K32" s="151"/>
      <x:c r="L32" s="151"/>
      <x:c r="M32" s="151"/>
    </x:row>
    <x:row r="33" spans="2:13" customFormat="1" x14ac:dyDescent="0.2">
      <x:c r="B33" s="94" t="s">
        <x:v>140</x:v>
      </x:c>
      <x:c r="D33" s="151" t="b">
        <x:f>D18=SUM(D12:D17)</x:f>
        <x:v>1</x:v>
      </x:c>
      <x:c r="E33" s="151" t="b">
        <x:f t="shared" ref="E33:F33" si="1">E18=SUM(E12:E17)</x:f>
        <x:v>1</x:v>
      </x:c>
      <x:c r="F33" s="151" t="b">
        <x:f t="shared" si="1"/>
        <x:v>1</x:v>
      </x:c>
      <x:c r="G33" s="151" t="b">
        <x:f>G18=SUM(G12:G17)</x:f>
        <x:v>1</x:v>
      </x:c>
      <x:c r="H33" s="151"/>
      <x:c r="I33" s="151"/>
      <x:c r="J33" s="151"/>
      <x:c r="K33" s="151"/>
      <x:c r="L33" s="151"/>
      <x:c r="M33" s="151"/>
    </x:row>
    <x:row r="34" spans="2:13" customFormat="1" x14ac:dyDescent="0.2">
      <x:c r="D34" s="151"/>
      <x:c r="E34" s="151"/>
      <x:c r="F34" s="151"/>
      <x:c r="G34" s="151"/>
      <x:c r="H34" s="151"/>
      <x:c r="I34" s="151"/>
      <x:c r="J34" s="151"/>
      <x:c r="K34" s="151"/>
      <x:c r="L34" s="151"/>
      <x:c r="M34" s="151"/>
    </x:row>
    <x:row r="35" spans="2:13" customFormat="1" x14ac:dyDescent="0.2">
      <x:c r="B35" s="94" t="s">
        <x:v>2</x:v>
      </x:c>
      <x:c r="D35" s="151" t="b">
        <x:f>D27=SUM(D21:D26)</x:f>
        <x:v>1</x:v>
      </x:c>
      <x:c r="E35" s="151" t="b">
        <x:f t="shared" ref="E35:J35" si="2">E27=SUM(E21:E26)</x:f>
        <x:v>1</x:v>
      </x:c>
      <x:c r="F35" s="151" t="b">
        <x:f>F27=SUM(F21:F26)</x:f>
        <x:v>1</x:v>
      </x:c>
      <x:c r="G35" s="151" t="b">
        <x:f t="shared" si="2"/>
        <x:v>1</x:v>
      </x:c>
      <x:c r="H35" s="151"/>
      <x:c r="I35" s="151" t="b">
        <x:f t="shared" si="2"/>
        <x:v>1</x:v>
      </x:c>
      <x:c r="J35" s="151" t="b">
        <x:f t="shared" si="2"/>
        <x:v>1</x:v>
      </x:c>
      <x:c r="K35" s="151"/>
      <x:c r="L35" s="151"/>
      <x:c r="M35" s="151"/>
    </x:row>
    <x:row r="36" spans="2:13" customFormat="1" x14ac:dyDescent="0.2">
      <x:c r="D36" s="151"/>
      <x:c r="E36" s="151"/>
      <x:c r="F36" s="151"/>
      <x:c r="G36" s="151"/>
      <x:c r="H36" s="151"/>
      <x:c r="I36" s="151"/>
      <x:c r="J36" s="151"/>
      <x:c r="K36" s="151"/>
      <x:c r="L36" s="151"/>
      <x:c r="M36" s="151"/>
    </x:row>
    <x:row r="37" spans="2:13" customFormat="1" x14ac:dyDescent="0.2">
      <x:c r="D37" s="151"/>
      <x:c r="E37" s="151"/>
      <x:c r="F37" s="151"/>
      <x:c r="G37" s="151"/>
      <x:c r="H37" s="151"/>
      <x:c r="I37" s="151"/>
      <x:c r="J37" s="151"/>
      <x:c r="K37" s="151"/>
      <x:c r="L37" s="151"/>
      <x:c r="M37" s="151"/>
    </x:row>
    <x:row r="69" spans="5:5" x14ac:dyDescent="0.2">
      <x:c r="E69" s="151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5" zoomScaleNormal="95" workbookViewId="0">
      <x:selection activeCell="A59" sqref="A59"/>
    </x:sheetView>
  </x:sheetViews>
  <x:sheetFormatPr baseColWidth="10" defaultRowHeight="12.75" x14ac:dyDescent="0.2"/>
  <x:cols>
    <x:col min="1" max="1" width="6" customWidth="1"/>
    <x:col min="2" max="2" width="47.7109375" bestFit="1" customWidth="1"/>
    <x:col min="3" max="9" width="22.7109375" customWidth="1"/>
    <x:col min="10" max="10" width="17.7109375" customWidth="1"/>
  </x:cols>
  <x:sheetData>
    <x:row r="1" spans="1:10" x14ac:dyDescent="0.2">
      <x:c r="C1" s="201" t="s">
        <x:v>155</x:v>
      </x:c>
      <x:c r="D1" s="201" t="s">
        <x:v>76</x:v>
      </x:c>
      <x:c r="E1" s="201" t="s">
        <x:v>85</x:v>
      </x:c>
      <x:c r="F1" s="201" t="s">
        <x:v>120</x:v>
      </x:c>
      <x:c r="G1" s="201" t="s">
        <x:v>326</x:v>
      </x:c>
      <x:c r="H1" s="201" t="s">
        <x:v>119</x:v>
      </x:c>
      <x:c r="I1" s="201" t="s">
        <x:v>70</x:v>
      </x:c>
    </x:row>
    <x:row r="2" spans="1:10" x14ac:dyDescent="0.2">
      <x:c r="B2" t="s">
        <x:v>97</x:v>
      </x:c>
      <x:c r="C2" s="202">
        <x:f>C13+C23+C32+C41+C51</x:f>
        <x:v>0</x:v>
      </x:c>
      <x:c r="D2" s="202">
        <x:f t="shared" ref="D2:H2" si="0">D13+D23+D32+D41+D51</x:f>
        <x:v>0</x:v>
      </x:c>
      <x:c r="E2" s="202">
        <x:f t="shared" si="0"/>
        <x:v>0</x:v>
      </x:c>
      <x:c r="F2" s="202">
        <x:f t="shared" si="0"/>
        <x:v>0</x:v>
      </x:c>
      <x:c r="G2" s="202">
        <x:f t="shared" si="0"/>
        <x:v>0</x:v>
      </x:c>
      <x:c r="H2" s="202">
        <x:f t="shared" si="0"/>
        <x:v>0</x:v>
      </x:c>
      <x:c r="I2" s="612">
        <x:f>SUM(C2:H2)</x:f>
        <x:v>0</x:v>
      </x:c>
    </x:row>
    <x:row r="3" spans="1:10" x14ac:dyDescent="0.2">
      <x:c r="B3" t="s">
        <x:v>98</x:v>
      </x:c>
      <x:c r="C3" s="202">
        <x:f>C14+C24+C33+C42+C52</x:f>
        <x:v>0</x:v>
      </x:c>
      <x:c r="D3" s="202">
        <x:f t="shared" ref="D3:H5" si="1">D14+D24+D33+D42+D52</x:f>
        <x:v>0</x:v>
      </x:c>
      <x:c r="E3" s="202">
        <x:f t="shared" si="1"/>
        <x:v>0</x:v>
      </x:c>
      <x:c r="F3" s="202">
        <x:f t="shared" si="1"/>
        <x:v>0</x:v>
      </x:c>
      <x:c r="G3" s="202">
        <x:f t="shared" ref="G3" si="2">G14+G24+G33+G42+G52</x:f>
        <x:v>0</x:v>
      </x:c>
      <x:c r="H3" s="202">
        <x:f t="shared" si="1"/>
        <x:v>0</x:v>
      </x:c>
      <x:c r="I3" s="612">
        <x:f>SUM(C3:H3)</x:f>
        <x:v>0</x:v>
      </x:c>
      <x:c r="J3" t="s">
        <x:v>1</x:v>
      </x:c>
    </x:row>
    <x:row r="4" spans="1:10" x14ac:dyDescent="0.2">
      <x:c r="B4" t="s">
        <x:v>131</x:v>
      </x:c>
      <x:c r="C4" s="202">
        <x:f>C15+C25+C34+C43+C53</x:f>
        <x:v>0</x:v>
      </x:c>
      <x:c r="D4" s="202">
        <x:f t="shared" si="1"/>
        <x:v>0</x:v>
      </x:c>
      <x:c r="E4" s="202">
        <x:f t="shared" si="1"/>
        <x:v>0</x:v>
      </x:c>
      <x:c r="F4" s="202">
        <x:f t="shared" si="1"/>
        <x:v>0</x:v>
      </x:c>
      <x:c r="G4" s="202">
        <x:f t="shared" ref="G4" si="3">G15+G25+G34+G43+G53</x:f>
        <x:v>0</x:v>
      </x:c>
      <x:c r="H4" s="202">
        <x:f t="shared" si="1"/>
        <x:v>0</x:v>
      </x:c>
      <x:c r="I4" s="612">
        <x:f>SUM(C4:H4)</x:f>
        <x:v>0</x:v>
      </x:c>
    </x:row>
    <x:row r="5" spans="1:10" ht="13.5" thickBot="1" x14ac:dyDescent="0.25">
      <x:c r="B5" t="s">
        <x:v>168</x:v>
      </x:c>
      <x:c r="C5" s="202">
        <x:f>C16+C26+C35+C44+C54</x:f>
        <x:v>0</x:v>
      </x:c>
      <x:c r="D5" s="202">
        <x:f t="shared" si="1"/>
        <x:v>0</x:v>
      </x:c>
      <x:c r="E5" s="202">
        <x:f t="shared" si="1"/>
        <x:v>0</x:v>
      </x:c>
      <x:c r="F5" s="202">
        <x:f t="shared" si="1"/>
        <x:v>0</x:v>
      </x:c>
      <x:c r="G5" s="202">
        <x:f t="shared" ref="G5" si="4">G16+G26+G35+G44+G54</x:f>
        <x:v>0</x:v>
      </x:c>
      <x:c r="H5" s="202">
        <x:f t="shared" si="1"/>
        <x:v>0</x:v>
      </x:c>
      <x:c r="I5" s="613">
        <x:f>SUM(C5:H5)</x:f>
        <x:v>0</x:v>
      </x:c>
    </x:row>
    <x:row r="6" spans="1:10" ht="13.5" thickBot="1" x14ac:dyDescent="0.25">
      <x:c r="B6" t="s">
        <x:v>70</x:v>
      </x:c>
      <x:c r="C6" s="170">
        <x:f>SUM(C2:C5)</x:f>
        <x:v>0</x:v>
      </x:c>
      <x:c r="D6" s="170">
        <x:f t="shared" ref="D6:H6" si="5">SUM(D2:D5)</x:f>
        <x:v>0</x:v>
      </x:c>
      <x:c r="E6" s="170">
        <x:f t="shared" si="5"/>
        <x:v>0</x:v>
      </x:c>
      <x:c r="F6" s="170">
        <x:f t="shared" si="5"/>
        <x:v>0</x:v>
      </x:c>
      <x:c r="G6" s="170">
        <x:f t="shared" si="5"/>
        <x:v>0</x:v>
      </x:c>
      <x:c r="H6" s="170">
        <x:f t="shared" si="5"/>
        <x:v>0</x:v>
      </x:c>
      <x:c r="I6" s="611">
        <x:f>SUM(I2:I5)</x:f>
        <x:v>0</x:v>
      </x:c>
    </x:row>
    <x:row r="7" spans="1:10" x14ac:dyDescent="0.2">
      <x:c r="C7" s="203" t="b">
        <x:f>C6=(C17+C27+C36+C45+C55)</x:f>
        <x:v>1</x:v>
      </x:c>
      <x:c r="D7" s="203" t="b">
        <x:f t="shared" ref="D7:H7" si="6">D6=(D17+D27+D36+D45+D55)</x:f>
        <x:v>1</x:v>
      </x:c>
      <x:c r="E7" s="203" t="b">
        <x:f t="shared" si="6"/>
        <x:v>1</x:v>
      </x:c>
      <x:c r="F7" s="203" t="b">
        <x:f t="shared" si="6"/>
        <x:v>1</x:v>
      </x:c>
      <x:c r="G7" s="203"/>
      <x:c r="H7" s="203" t="b">
        <x:f t="shared" si="6"/>
        <x:v>1</x:v>
      </x:c>
      <x:c r="I7" s="203" t="b">
        <x:f>I6=(I17+I27+I36+I45+I55)</x:f>
        <x:v>1</x:v>
      </x:c>
    </x:row>
    <x:row r="8" spans="1:10" x14ac:dyDescent="0.2">
      <x:c r="A8" s="197"/>
      <x:c r="B8" s="197"/>
      <x:c r="C8" s="197"/>
      <x:c r="D8" s="197"/>
      <x:c r="E8" s="197"/>
      <x:c r="F8" s="197"/>
      <x:c r="G8" s="197"/>
      <x:c r="H8" s="197"/>
      <x:c r="I8" s="197"/>
      <x:c r="J8" s="197"/>
    </x:row>
    <x:row r="10" spans="1:10" ht="15" x14ac:dyDescent="0.25">
      <x:c r="B10" s="50" t="s">
        <x:v>99</x:v>
      </x:c>
      <x:c r="H10" s="191"/>
    </x:row>
    <x:row r="11" spans="1:10" x14ac:dyDescent="0.2">
      <x:c r="B11" s="107" t="s">
        <x:v>96</x:v>
      </x:c>
    </x:row>
    <x:row r="12" spans="1:10" x14ac:dyDescent="0.2">
      <x:c r="C12" s="201" t="s">
        <x:v>155</x:v>
      </x:c>
      <x:c r="D12" s="201" t="s">
        <x:v>76</x:v>
      </x:c>
      <x:c r="E12" s="201" t="s">
        <x:v>85</x:v>
      </x:c>
      <x:c r="F12" s="201" t="s">
        <x:v>120</x:v>
      </x:c>
      <x:c r="G12" s="201" t="s">
        <x:v>326</x:v>
      </x:c>
      <x:c r="H12" s="201" t="s">
        <x:v>119</x:v>
      </x:c>
      <x:c r="I12" s="201" t="s">
        <x:v>70</x:v>
      </x:c>
    </x:row>
    <x:row r="13" spans="1:10" x14ac:dyDescent="0.2">
      <x:c r="B13" t="s">
        <x:v>97</x:v>
      </x:c>
      <x:c r="C13" s="199" t="n">
        <x:v>17445127414</x:v>
      </x:c>
      <x:c r="D13" s="199">
        <x:v>0</x:v>
      </x:c>
      <x:c r="E13" s="199">
        <x:v>0</x:v>
      </x:c>
      <x:c r="F13" s="199">
        <x:v>0</x:v>
      </x:c>
      <x:c r="G13" s="199">
        <x:v>0</x:v>
      </x:c>
      <x:c r="H13" s="199" t="n">
        <x:v>878866230</x:v>
      </x:c>
      <x:c r="I13" s="612">
        <x:f>SUM(C13:H13)</x:f>
        <x:v>0</x:v>
      </x:c>
      <x:c r="J13" s="203" t="b">
        <x:f>SUM(C13:H13)=I13</x:f>
        <x:v>1</x:v>
      </x:c>
    </x:row>
    <x:row r="14" spans="1:10" x14ac:dyDescent="0.2">
      <x:c r="B14" s="89" t="s">
        <x:v>98</x:v>
      </x:c>
      <x:c r="C14" s="199" t="n">
        <x:v>40340694</x:v>
      </x:c>
      <x:c r="D14" s="199">
        <x:v>0</x:v>
      </x:c>
      <x:c r="E14" s="199">
        <x:v>0</x:v>
      </x:c>
      <x:c r="F14" s="199">
        <x:v>0</x:v>
      </x:c>
      <x:c r="G14" s="199">
        <x:v>0</x:v>
      </x:c>
      <x:c r="H14" s="199" t="n">
        <x:v>20016520.48</x:v>
      </x:c>
      <x:c r="I14" s="612">
        <x:f t="shared" ref="I14:I16" si="7">SUM(C14:H14)</x:f>
        <x:v>0</x:v>
      </x:c>
      <x:c r="J14" s="203" t="b">
        <x:f t="shared" ref="J14:J17" si="8">SUM(C14:H14)=I14</x:f>
        <x:v>1</x:v>
      </x:c>
    </x:row>
    <x:row r="15" spans="1:10" x14ac:dyDescent="0.2">
      <x:c r="B15" t="s">
        <x:v>131</x:v>
      </x:c>
      <x:c r="C15" s="199" t="n">
        <x:v>0</x:v>
      </x:c>
      <x:c r="D15" s="199">
        <x:v>0</x:v>
      </x:c>
      <x:c r="E15" s="199">
        <x:v>0</x:v>
      </x:c>
      <x:c r="F15" s="199">
        <x:v>0</x:v>
      </x:c>
      <x:c r="G15" s="199">
        <x:v>0</x:v>
      </x:c>
      <x:c r="H15" s="199" t="n">
        <x:v>11702167.52</x:v>
      </x:c>
      <x:c r="I15" s="612">
        <x:f t="shared" si="7"/>
        <x:v>0</x:v>
      </x:c>
      <x:c r="J15" s="203" t="b">
        <x:f t="shared" si="8"/>
        <x:v>1</x:v>
      </x:c>
    </x:row>
    <x:row r="16" spans="1:10" ht="13.5" thickBot="1" x14ac:dyDescent="0.25">
      <x:c r="B16" t="s">
        <x:v>168</x:v>
      </x:c>
      <x:c r="C16" s="610" t="n">
        <x:v>0</x:v>
      </x:c>
      <x:c r="D16" s="610">
        <x:v>0</x:v>
      </x:c>
      <x:c r="E16" s="610">
        <x:v>0</x:v>
      </x:c>
      <x:c r="F16" s="610">
        <x:v>0</x:v>
      </x:c>
      <x:c r="G16" s="610">
        <x:v>0</x:v>
      </x:c>
      <x:c r="H16" s="610" t="n">
        <x:v>0</x:v>
      </x:c>
      <x:c r="I16" s="613">
        <x:f t="shared" si="7"/>
        <x:v>0</x:v>
      </x:c>
      <x:c r="J16" s="203" t="b">
        <x:f t="shared" si="8"/>
        <x:v>1</x:v>
      </x:c>
    </x:row>
    <x:row r="17" spans="2:11" ht="13.5" thickBot="1" x14ac:dyDescent="0.25">
      <x:c r="B17" s="89" t="s">
        <x:v>70</x:v>
      </x:c>
      <x:c r="C17" s="170">
        <x:f>SUM(C13:C16)</x:f>
        <x:v>0</x:v>
      </x:c>
      <x:c r="D17" s="170">
        <x:f t="shared" ref="D17:I17" si="9">SUM(D13:D16)</x:f>
        <x:v>0</x:v>
      </x:c>
      <x:c r="E17" s="170">
        <x:f t="shared" si="9"/>
        <x:v>0</x:v>
      </x:c>
      <x:c r="F17" s="170">
        <x:f t="shared" si="9"/>
        <x:v>0</x:v>
      </x:c>
      <x:c r="G17" s="170">
        <x:f t="shared" si="9"/>
        <x:v>0</x:v>
      </x:c>
      <x:c r="H17" s="170">
        <x:f>SUM(H13:H16)</x:f>
        <x:v>0</x:v>
      </x:c>
      <x:c r="I17" s="611">
        <x:f t="shared" si="9"/>
        <x:v>0</x:v>
      </x:c>
      <x:c r="J17" s="203" t="b">
        <x:f t="shared" si="8"/>
        <x:v>1</x:v>
      </x:c>
      <x:c r="K17" s="115"/>
    </x:row>
    <x:row r="18" spans="2:11" x14ac:dyDescent="0.2">
      <x:c r="B18" s="89"/>
      <x:c r="C18" s="106"/>
      <x:c r="D18" s="106"/>
      <x:c r="E18" s="106"/>
      <x:c r="F18" s="106"/>
      <x:c r="G18" s="106"/>
      <x:c r="H18" s="106"/>
      <x:c r="I18" s="106"/>
    </x:row>
    <x:row r="19" spans="2:11" x14ac:dyDescent="0.2">
      <x:c r="C19" s="132"/>
      <x:c r="D19" s="191"/>
      <x:c r="I19" s="191"/>
    </x:row>
    <x:row r="20" spans="2:11" ht="15" x14ac:dyDescent="0.25">
      <x:c r="B20" s="50" t="s">
        <x:v>100</x:v>
      </x:c>
    </x:row>
    <x:row r="21" spans="2:11" x14ac:dyDescent="0.2">
      <x:c r="B21" s="107" t="s">
        <x:v>96</x:v>
      </x:c>
    </x:row>
    <x:row r="22" spans="2:11" x14ac:dyDescent="0.2">
      <x:c r="C22" s="201" t="s">
        <x:v>155</x:v>
      </x:c>
      <x:c r="D22" s="201" t="s">
        <x:v>76</x:v>
      </x:c>
      <x:c r="E22" s="201" t="s">
        <x:v>85</x:v>
      </x:c>
      <x:c r="F22" s="201" t="s">
        <x:v>120</x:v>
      </x:c>
      <x:c r="G22" s="201" t="s">
        <x:v>326</x:v>
      </x:c>
      <x:c r="H22" s="201" t="s">
        <x:v>119</x:v>
      </x:c>
      <x:c r="I22" s="201" t="s">
        <x:v>70</x:v>
      </x:c>
    </x:row>
    <x:row r="23" spans="2:11" x14ac:dyDescent="0.2">
      <x:c r="B23" t="s">
        <x:v>97</x:v>
      </x:c>
      <x:c r="C23" s="199" t="n">
        <x:v>19260091230.78</x:v>
      </x:c>
      <x:c r="D23" s="199">
        <x:v>0</x:v>
      </x:c>
      <x:c r="E23" s="199">
        <x:v>0</x:v>
      </x:c>
      <x:c r="F23" s="199" t="n">
        <x:v>9350210</x:v>
      </x:c>
      <x:c r="G23" s="199">
        <x:v>0</x:v>
      </x:c>
      <x:c r="H23" s="199" t="n">
        <x:v>2260522795</x:v>
      </x:c>
      <x:c r="I23" s="612">
        <x:f>SUM(C23:H23)</x:f>
        <x:v>0</x:v>
      </x:c>
      <x:c r="J23" s="203" t="b">
        <x:f t="shared" ref="J23:J26" si="10">SUM(C23:H23)=I23</x:f>
        <x:v>1</x:v>
      </x:c>
    </x:row>
    <x:row r="24" spans="2:11" x14ac:dyDescent="0.2">
      <x:c r="B24" s="89" t="s">
        <x:v>98</x:v>
      </x:c>
      <x:c r="C24" s="199" t="n">
        <x:v>53772356.22</x:v>
      </x:c>
      <x:c r="D24" s="199">
        <x:v>0</x:v>
      </x:c>
      <x:c r="E24" s="199">
        <x:v>0</x:v>
      </x:c>
      <x:c r="F24" s="199" t="n">
        <x:v>9710980</x:v>
      </x:c>
      <x:c r="G24" s="199">
        <x:v>0</x:v>
      </x:c>
      <x:c r="H24" s="199" t="n">
        <x:v>126283371</x:v>
      </x:c>
      <x:c r="I24" s="612">
        <x:f t="shared" ref="I24:I26" si="11">SUM(C24:H24)</x:f>
        <x:v>0</x:v>
      </x:c>
      <x:c r="J24" s="203" t="b">
        <x:f t="shared" si="10"/>
        <x:v>1</x:v>
      </x:c>
    </x:row>
    <x:row r="25" spans="2:11" x14ac:dyDescent="0.2">
      <x:c r="B25" s="89" t="s">
        <x:v>131</x:v>
      </x:c>
      <x:c r="C25" s="199" t="n">
        <x:v>0</x:v>
      </x:c>
      <x:c r="D25" s="199">
        <x:v>0</x:v>
      </x:c>
      <x:c r="E25" s="199">
        <x:v>0</x:v>
      </x:c>
      <x:c r="F25" s="199" t="n">
        <x:v>0</x:v>
      </x:c>
      <x:c r="G25" s="199">
        <x:v>0</x:v>
      </x:c>
      <x:c r="H25" s="199" t="n">
        <x:v>0</x:v>
      </x:c>
      <x:c r="I25" s="612">
        <x:f t="shared" si="11"/>
        <x:v>0</x:v>
      </x:c>
      <x:c r="J25" s="203" t="b">
        <x:f t="shared" si="10"/>
        <x:v>1</x:v>
      </x:c>
    </x:row>
    <x:row r="26" spans="2:11" ht="13.5" thickBot="1" x14ac:dyDescent="0.25">
      <x:c r="B26" s="89" t="s">
        <x:v>168</x:v>
      </x:c>
      <x:c r="C26" s="610" t="n">
        <x:v>0</x:v>
      </x:c>
      <x:c r="D26" s="610">
        <x:v>0</x:v>
      </x:c>
      <x:c r="E26" s="610">
        <x:v>0</x:v>
      </x:c>
      <x:c r="F26" s="610" t="n">
        <x:v>0</x:v>
      </x:c>
      <x:c r="G26" s="610">
        <x:v>0</x:v>
      </x:c>
      <x:c r="H26" s="610" t="n">
        <x:v>0</x:v>
      </x:c>
      <x:c r="I26" s="613">
        <x:f t="shared" si="11"/>
        <x:v>0</x:v>
      </x:c>
      <x:c r="J26" s="203" t="b">
        <x:f t="shared" si="10"/>
        <x:v>1</x:v>
      </x:c>
    </x:row>
    <x:row r="27" spans="2:11" ht="13.5" thickBot="1" x14ac:dyDescent="0.25">
      <x:c r="B27" s="89" t="s">
        <x:v>70</x:v>
      </x:c>
      <x:c r="C27" s="170">
        <x:f>SUM(C23:C26)</x:f>
        <x:v>0</x:v>
      </x:c>
      <x:c r="D27" s="170">
        <x:f t="shared" ref="D27:E27" si="12">SUM(D23:D26)</x:f>
        <x:v>0</x:v>
      </x:c>
      <x:c r="E27" s="170">
        <x:f t="shared" si="12"/>
        <x:v>0</x:v>
      </x:c>
      <x:c r="F27" s="170">
        <x:f>SUM(F23:F26)</x:f>
        <x:v>0</x:v>
      </x:c>
      <x:c r="G27" s="170">
        <x:f>SUM(G23:G26)</x:f>
        <x:v>0</x:v>
      </x:c>
      <x:c r="H27" s="170">
        <x:f>SUM(H23:H26)</x:f>
        <x:v>0</x:v>
      </x:c>
      <x:c r="I27" s="611">
        <x:f>SUM(I23:I26)</x:f>
        <x:v>0</x:v>
      </x:c>
      <x:c r="J27" s="203" t="b">
        <x:f>SUM(C27:H27)=I27</x:f>
        <x:v>1</x:v>
      </x:c>
    </x:row>
    <x:row r="29" spans="2:11" ht="15" x14ac:dyDescent="0.25">
      <x:c r="B29" s="50" t="s">
        <x:v>101</x:v>
      </x:c>
      <x:c r="H29" s="191"/>
      <x:c r="I29" s="191"/>
    </x:row>
    <x:row r="30" spans="2:11" x14ac:dyDescent="0.2">
      <x:c r="B30" s="107" t="s">
        <x:v>96</x:v>
      </x:c>
    </x:row>
    <x:row r="31" spans="2:11" x14ac:dyDescent="0.2">
      <x:c r="C31" s="201" t="s">
        <x:v>155</x:v>
      </x:c>
      <x:c r="D31" s="201" t="s">
        <x:v>76</x:v>
      </x:c>
      <x:c r="E31" s="201" t="s">
        <x:v>85</x:v>
      </x:c>
      <x:c r="F31" s="201" t="s">
        <x:v>120</x:v>
      </x:c>
      <x:c r="G31" s="201" t="s">
        <x:v>326</x:v>
      </x:c>
      <x:c r="H31" s="201" t="s">
        <x:v>119</x:v>
      </x:c>
      <x:c r="I31" s="201" t="s">
        <x:v>70</x:v>
      </x:c>
    </x:row>
    <x:row r="32" spans="2:11" x14ac:dyDescent="0.2">
      <x:c r="B32" s="89" t="s">
        <x:v>97</x:v>
      </x:c>
      <x:c r="C32" s="199" t="n">
        <x:v>15124893786</x:v>
      </x:c>
      <x:c r="D32" s="199">
        <x:v>0</x:v>
      </x:c>
      <x:c r="E32" s="199">
        <x:v>0</x:v>
      </x:c>
      <x:c r="F32" s="199">
        <x:v>0</x:v>
      </x:c>
      <x:c r="G32" s="199">
        <x:v>0</x:v>
      </x:c>
      <x:c r="H32" s="199" t="n">
        <x:v>1255924231.01</x:v>
      </x:c>
      <x:c r="I32" s="612">
        <x:f>SUM(C32:H32)</x:f>
        <x:v>0</x:v>
      </x:c>
      <x:c r="J32" s="203" t="b">
        <x:f>SUM(C32:H32)=I32</x:f>
        <x:v>1</x:v>
      </x:c>
    </x:row>
    <x:row r="33" spans="2:10" x14ac:dyDescent="0.2">
      <x:c r="B33" s="89" t="s">
        <x:v>98</x:v>
      </x:c>
      <x:c r="C33" s="199" t="n">
        <x:v>20418516</x:v>
      </x:c>
      <x:c r="D33" s="199">
        <x:v>0</x:v>
      </x:c>
      <x:c r="E33" s="199">
        <x:v>0</x:v>
      </x:c>
      <x:c r="F33" s="199">
        <x:v>0</x:v>
      </x:c>
      <x:c r="G33" s="199">
        <x:v>0</x:v>
      </x:c>
      <x:c r="H33" s="199" t="n">
        <x:v>10719555.23</x:v>
      </x:c>
      <x:c r="I33" s="612">
        <x:f>SUM(C33:H33)</x:f>
        <x:v>0</x:v>
      </x:c>
      <x:c r="J33" s="203" t="b">
        <x:f t="shared" ref="J33:J36" si="13">SUM(C33:H33)=I33</x:f>
        <x:v>1</x:v>
      </x:c>
    </x:row>
    <x:row r="34" spans="2:10" x14ac:dyDescent="0.2">
      <x:c r="B34" s="89" t="s">
        <x:v>131</x:v>
      </x:c>
      <x:c r="C34" s="199" t="n">
        <x:v>0</x:v>
      </x:c>
      <x:c r="D34" s="199">
        <x:v>0</x:v>
      </x:c>
      <x:c r="E34" s="199">
        <x:v>0</x:v>
      </x:c>
      <x:c r="F34" s="199">
        <x:v>0</x:v>
      </x:c>
      <x:c r="G34" s="199">
        <x:v>0</x:v>
      </x:c>
      <x:c r="H34" s="199" t="n">
        <x:v>2274841.76</x:v>
      </x:c>
      <x:c r="I34" s="612">
        <x:f t="shared" ref="I34:I35" si="14">SUM(C34:H34)</x:f>
        <x:v>0</x:v>
      </x:c>
      <x:c r="J34" s="203" t="b">
        <x:f t="shared" si="13"/>
        <x:v>1</x:v>
      </x:c>
    </x:row>
    <x:row r="35" spans="2:10" ht="13.5" thickBot="1" x14ac:dyDescent="0.25">
      <x:c r="B35" s="89" t="s">
        <x:v>168</x:v>
      </x:c>
      <x:c r="C35" s="610" t="n">
        <x:v>0</x:v>
      </x:c>
      <x:c r="D35" s="610">
        <x:v>0</x:v>
      </x:c>
      <x:c r="E35" s="610">
        <x:v>0</x:v>
      </x:c>
      <x:c r="F35" s="610">
        <x:v>0</x:v>
      </x:c>
      <x:c r="G35" s="610">
        <x:v>0</x:v>
      </x:c>
      <x:c r="H35" s="610" t="n">
        <x:v>0</x:v>
      </x:c>
      <x:c r="I35" s="613">
        <x:f t="shared" si="14"/>
        <x:v>0</x:v>
      </x:c>
      <x:c r="J35" s="203" t="b">
        <x:f t="shared" si="13"/>
        <x:v>1</x:v>
      </x:c>
    </x:row>
    <x:row r="36" spans="2:10" ht="13.5" thickBot="1" x14ac:dyDescent="0.25">
      <x:c r="B36" s="89" t="s">
        <x:v>70</x:v>
      </x:c>
      <x:c r="C36" s="170">
        <x:f>SUM(C32:C35)</x:f>
        <x:v>0</x:v>
      </x:c>
      <x:c r="D36" s="170">
        <x:f t="shared" ref="D36:G36" si="15">SUM(D32:D35)</x:f>
        <x:v>0</x:v>
      </x:c>
      <x:c r="E36" s="170">
        <x:f t="shared" si="15"/>
        <x:v>0</x:v>
      </x:c>
      <x:c r="F36" s="170">
        <x:f t="shared" si="15"/>
        <x:v>0</x:v>
      </x:c>
      <x:c r="G36" s="170">
        <x:f t="shared" si="15"/>
        <x:v>0</x:v>
      </x:c>
      <x:c r="H36" s="170">
        <x:f>SUM(H32:H35)</x:f>
        <x:v>0</x:v>
      </x:c>
      <x:c r="I36" s="611">
        <x:f>SUM(I32:I35)</x:f>
        <x:v>0</x:v>
      </x:c>
      <x:c r="J36" s="203" t="b">
        <x:f t="shared" si="13"/>
        <x:v>1</x:v>
      </x:c>
    </x:row>
    <x:row r="38" spans="2:10" ht="15" x14ac:dyDescent="0.25">
      <x:c r="B38" s="50" t="s">
        <x:v>102</x:v>
      </x:c>
    </x:row>
    <x:row r="39" spans="2:10" x14ac:dyDescent="0.2">
      <x:c r="B39" s="107" t="s">
        <x:v>96</x:v>
      </x:c>
    </x:row>
    <x:row r="40" spans="2:10" x14ac:dyDescent="0.2">
      <x:c r="C40" s="201" t="s">
        <x:v>155</x:v>
      </x:c>
      <x:c r="D40" s="201" t="s">
        <x:v>76</x:v>
      </x:c>
      <x:c r="E40" s="201" t="s">
        <x:v>85</x:v>
      </x:c>
      <x:c r="F40" s="201" t="s">
        <x:v>120</x:v>
      </x:c>
      <x:c r="G40" s="201" t="s">
        <x:v>326</x:v>
      </x:c>
      <x:c r="H40" s="201" t="s">
        <x:v>119</x:v>
      </x:c>
      <x:c r="I40" s="201" t="s">
        <x:v>70</x:v>
      </x:c>
    </x:row>
    <x:row r="41" spans="2:10" x14ac:dyDescent="0.2">
      <x:c r="B41" s="89" t="s">
        <x:v>97</x:v>
      </x:c>
      <x:c r="C41" s="199" t="n">
        <x:v>7358390426</x:v>
      </x:c>
      <x:c r="D41" s="199">
        <x:v>0</x:v>
      </x:c>
      <x:c r="E41" s="199">
        <x:v>0</x:v>
      </x:c>
      <x:c r="F41" s="199" t="n">
        <x:v>4363050</x:v>
      </x:c>
      <x:c r="G41" s="199">
        <x:v>0</x:v>
      </x:c>
      <x:c r="H41" s="199" t="n">
        <x:v>908362098.18</x:v>
      </x:c>
      <x:c r="I41" s="612">
        <x:f t="shared" ref="I41:I44" si="16">SUM(C41:H41)</x:f>
        <x:v>0</x:v>
      </x:c>
      <x:c r="J41" s="203" t="b">
        <x:f>SUM(C41:H41)=I41</x:f>
        <x:v>1</x:v>
      </x:c>
    </x:row>
    <x:row r="42" spans="2:10" x14ac:dyDescent="0.2">
      <x:c r="B42" s="89" t="s">
        <x:v>98</x:v>
      </x:c>
      <x:c r="C42" s="199" t="n">
        <x:v>37713515</x:v>
      </x:c>
      <x:c r="D42" s="199">
        <x:v>0</x:v>
      </x:c>
      <x:c r="E42" s="199">
        <x:v>0</x:v>
      </x:c>
      <x:c r="F42" s="199" t="n">
        <x:v>4481330</x:v>
      </x:c>
      <x:c r="G42" s="199">
        <x:v>0</x:v>
      </x:c>
      <x:c r="H42" s="199" t="n">
        <x:v>57223143.46</x:v>
      </x:c>
      <x:c r="I42" s="612">
        <x:f t="shared" si="16"/>
        <x:v>0</x:v>
      </x:c>
      <x:c r="J42" s="203" t="b">
        <x:f t="shared" ref="J42:J45" si="17">SUM(C42:H42)=I42</x:f>
        <x:v>1</x:v>
      </x:c>
    </x:row>
    <x:row r="43" spans="2:10" x14ac:dyDescent="0.2">
      <x:c r="B43" s="89" t="s">
        <x:v>131</x:v>
      </x:c>
      <x:c r="C43" s="199" t="n">
        <x:v>0</x:v>
      </x:c>
      <x:c r="D43" s="199">
        <x:v>0</x:v>
      </x:c>
      <x:c r="E43" s="199">
        <x:v>0</x:v>
      </x:c>
      <x:c r="F43" s="199" t="n">
        <x:v>0</x:v>
      </x:c>
      <x:c r="G43" s="199">
        <x:v>0</x:v>
      </x:c>
      <x:c r="H43" s="199" t="n">
        <x:v>12390685.36</x:v>
      </x:c>
      <x:c r="I43" s="612">
        <x:f t="shared" si="16"/>
        <x:v>0</x:v>
      </x:c>
      <x:c r="J43" s="203" t="b">
        <x:f t="shared" si="17"/>
        <x:v>1</x:v>
      </x:c>
    </x:row>
    <x:row r="44" spans="2:10" ht="13.5" thickBot="1" x14ac:dyDescent="0.25">
      <x:c r="B44" s="89" t="s">
        <x:v>168</x:v>
      </x:c>
      <x:c r="C44" s="610" t="n">
        <x:v>0</x:v>
      </x:c>
      <x:c r="D44" s="610">
        <x:v>0</x:v>
      </x:c>
      <x:c r="E44" s="610">
        <x:v>0</x:v>
      </x:c>
      <x:c r="F44" s="610" t="n">
        <x:v>0</x:v>
      </x:c>
      <x:c r="G44" s="610">
        <x:v>0</x:v>
      </x:c>
      <x:c r="H44" s="610" t="n">
        <x:v>0</x:v>
      </x:c>
      <x:c r="I44" s="613">
        <x:f t="shared" si="16"/>
        <x:v>0</x:v>
      </x:c>
      <x:c r="J44" s="203" t="b">
        <x:f t="shared" si="17"/>
        <x:v>1</x:v>
      </x:c>
    </x:row>
    <x:row r="45" spans="2:10" ht="13.5" thickBot="1" x14ac:dyDescent="0.25">
      <x:c r="B45" s="89" t="s">
        <x:v>70</x:v>
      </x:c>
      <x:c r="C45" s="170">
        <x:f>SUM(C41:C44)</x:f>
        <x:v>0</x:v>
      </x:c>
      <x:c r="D45" s="170">
        <x:f t="shared" ref="D45:E45" si="18">SUM(D41:D44)</x:f>
        <x:v>0</x:v>
      </x:c>
      <x:c r="E45" s="170">
        <x:f t="shared" si="18"/>
        <x:v>0</x:v>
      </x:c>
      <x:c r="F45" s="170">
        <x:f>SUM(F41:F44)</x:f>
        <x:v>0</x:v>
      </x:c>
      <x:c r="G45" s="170">
        <x:f>SUM(G41:G44)</x:f>
        <x:v>0</x:v>
      </x:c>
      <x:c r="H45" s="170">
        <x:f>SUM(H41:H44)</x:f>
        <x:v>0</x:v>
      </x:c>
      <x:c r="I45" s="611">
        <x:f>SUM(I41:I44)</x:f>
        <x:v>0</x:v>
      </x:c>
      <x:c r="J45" s="203" t="b">
        <x:f t="shared" si="17"/>
        <x:v>1</x:v>
      </x:c>
    </x:row>
    <x:row r="46" spans="2:10" x14ac:dyDescent="0.2">
      <x:c r="B46" s="89"/>
      <x:c r="C46" s="106"/>
      <x:c r="D46" s="106"/>
      <x:c r="E46" s="106"/>
      <x:c r="F46" s="106"/>
      <x:c r="G46" s="106"/>
      <x:c r="H46" s="106"/>
    </x:row>
    <x:row r="47" spans="2:10" x14ac:dyDescent="0.2">
      <x:c r="F47" s="191"/>
      <x:c r="G47" s="191"/>
    </x:row>
    <x:row r="48" spans="2:10" ht="15" x14ac:dyDescent="0.25">
      <x:c r="B48" s="50" t="s">
        <x:v>103</x:v>
      </x:c>
    </x:row>
    <x:row r="49" spans="2:10" x14ac:dyDescent="0.2">
      <x:c r="B49" s="107" t="s">
        <x:v>96</x:v>
      </x:c>
    </x:row>
    <x:row r="50" spans="2:10" x14ac:dyDescent="0.2">
      <x:c r="C50" s="201" t="s">
        <x:v>155</x:v>
      </x:c>
      <x:c r="D50" s="201" t="s">
        <x:v>76</x:v>
      </x:c>
      <x:c r="E50" s="201" t="s">
        <x:v>85</x:v>
      </x:c>
      <x:c r="F50" s="201" t="s">
        <x:v>120</x:v>
      </x:c>
      <x:c r="G50" s="201" t="s">
        <x:v>326</x:v>
      </x:c>
      <x:c r="H50" s="201" t="s">
        <x:v>119</x:v>
      </x:c>
      <x:c r="I50" s="201" t="s">
        <x:v>70</x:v>
      </x:c>
    </x:row>
    <x:row r="51" spans="2:10" x14ac:dyDescent="0.2">
      <x:c r="B51" t="s">
        <x:v>97</x:v>
      </x:c>
      <x:c r="C51" s="199" t="n">
        <x:v>11757334219</x:v>
      </x:c>
      <x:c r="D51" s="199">
        <x:v>0</x:v>
      </x:c>
      <x:c r="E51" s="199">
        <x:v>0</x:v>
      </x:c>
      <x:c r="F51" s="199">
        <x:v>0</x:v>
      </x:c>
      <x:c r="G51" s="199" t="n">
        <x:v>28784210</x:v>
      </x:c>
      <x:c r="H51" s="199" t="n">
        <x:v>328895723.05</x:v>
      </x:c>
      <x:c r="I51" s="612">
        <x:f t="shared" ref="I51:I54" si="19">SUM(C51:H51)</x:f>
        <x:v>0</x:v>
      </x:c>
      <x:c r="J51" s="203" t="b">
        <x:f>SUM(C51:H51)=I51</x:f>
        <x:v>1</x:v>
      </x:c>
    </x:row>
    <x:row r="52" spans="2:10" x14ac:dyDescent="0.2">
      <x:c r="B52" s="89" t="s">
        <x:v>98</x:v>
      </x:c>
      <x:c r="C52" s="199" t="n">
        <x:v>23895807</x:v>
      </x:c>
      <x:c r="D52" s="199">
        <x:v>0</x:v>
      </x:c>
      <x:c r="E52" s="199">
        <x:v>0</x:v>
      </x:c>
      <x:c r="F52" s="199">
        <x:v>0</x:v>
      </x:c>
      <x:c r="G52" s="199" t="n">
        <x:v>3772410</x:v>
      </x:c>
      <x:c r="H52" s="199" t="n">
        <x:v>11551639</x:v>
      </x:c>
      <x:c r="I52" s="612">
        <x:f>SUM(C52:H52)</x:f>
        <x:v>0</x:v>
      </x:c>
      <x:c r="J52" s="203" t="b">
        <x:f t="shared" ref="J52:J55" si="20">SUM(C52:H52)=I52</x:f>
        <x:v>1</x:v>
      </x:c>
    </x:row>
    <x:row r="53" spans="2:10" x14ac:dyDescent="0.2">
      <x:c r="B53" s="89" t="s">
        <x:v>131</x:v>
      </x:c>
      <x:c r="C53" s="199" t="n">
        <x:v>0</x:v>
      </x:c>
      <x:c r="D53" s="199">
        <x:v>0</x:v>
      </x:c>
      <x:c r="E53" s="199">
        <x:v>0</x:v>
      </x:c>
      <x:c r="F53" s="199">
        <x:v>0</x:v>
      </x:c>
      <x:c r="G53" s="199" t="n">
        <x:v>0</x:v>
      </x:c>
      <x:c r="H53" s="199" t="n">
        <x:v>763212.95</x:v>
      </x:c>
      <x:c r="I53" s="612">
        <x:f t="shared" si="19"/>
        <x:v>0</x:v>
      </x:c>
      <x:c r="J53" s="203" t="b">
        <x:f t="shared" si="20"/>
        <x:v>1</x:v>
      </x:c>
    </x:row>
    <x:row r="54" spans="2:10" ht="13.5" thickBot="1" x14ac:dyDescent="0.25">
      <x:c r="B54" s="89" t="s">
        <x:v>168</x:v>
      </x:c>
      <x:c r="C54" s="610" t="n">
        <x:v>0</x:v>
      </x:c>
      <x:c r="D54" s="610">
        <x:v>0</x:v>
      </x:c>
      <x:c r="E54" s="610">
        <x:v>0</x:v>
      </x:c>
      <x:c r="F54" s="610">
        <x:v>0</x:v>
      </x:c>
      <x:c r="G54" s="610" t="n">
        <x:v>0</x:v>
      </x:c>
      <x:c r="H54" s="610" t="n">
        <x:v>0</x:v>
      </x:c>
      <x:c r="I54" s="613">
        <x:f t="shared" si="19"/>
        <x:v>0</x:v>
      </x:c>
      <x:c r="J54" s="203" t="b">
        <x:f t="shared" si="20"/>
        <x:v>1</x:v>
      </x:c>
    </x:row>
    <x:row r="55" spans="2:10" ht="13.5" thickBot="1" x14ac:dyDescent="0.25">
      <x:c r="B55" s="89" t="s">
        <x:v>70</x:v>
      </x:c>
      <x:c r="C55" s="170">
        <x:f>SUM(C51:C54)</x:f>
        <x:v>0</x:v>
      </x:c>
      <x:c r="D55" s="170">
        <x:f t="shared" ref="D55:G55" si="21">SUM(D51:D54)</x:f>
        <x:v>0</x:v>
      </x:c>
      <x:c r="E55" s="170">
        <x:f t="shared" si="21"/>
        <x:v>0</x:v>
      </x:c>
      <x:c r="F55" s="170">
        <x:f t="shared" si="21"/>
        <x:v>0</x:v>
      </x:c>
      <x:c r="G55" s="170">
        <x:f t="shared" si="21"/>
        <x:v>0</x:v>
      </x:c>
      <x:c r="H55" s="170">
        <x:f>SUM(H51:H54)</x:f>
        <x:v>0</x:v>
      </x:c>
      <x:c r="I55" s="611">
        <x:f>SUM(I51:I54)</x:f>
        <x:v>0</x:v>
      </x:c>
      <x:c r="J55" s="203" t="b">
        <x:f t="shared" si="20"/>
        <x:v>1</x:v>
      </x:c>
    </x:row>
    <x:row r="57" spans="2:10" x14ac:dyDescent="0.2">
      <x:c r="H57" s="191"/>
      <x:c r="I57" s="191"/>
    </x:row>
    <x:row r="58" spans="2:10" ht="13.5" thickBot="1" x14ac:dyDescent="0.25">
      <x:c r="F58" s="191"/>
      <x:c r="G58" s="191"/>
      <x:c r="H58" s="191"/>
      <x:c r="I58" s="191"/>
    </x:row>
    <x:row r="59" spans="2:10" ht="18.75" thickBot="1" x14ac:dyDescent="0.3">
      <x:c r="B59" s="596" t="s">
        <x:v>334</x:v>
      </x:c>
      <x:c r="C59" s="614" t="n">
        <x:v>2</x:v>
      </x:c>
      <x:c r="D59" s="597" t="s">
        <x:v>344</x:v>
      </x:c>
      <x:c r="H59" s="151"/>
    </x:row>
    <x:row r="60" spans="2:10" x14ac:dyDescent="0.2">
      <x:c r="H60" s="191"/>
    </x:row>
    <x:row r="61" spans="2:10" x14ac:dyDescent="0.2">
      <x:c r="B61" t="s">
        <x:v>1</x:v>
      </x:c>
      <x:c r="C61" s="132"/>
      <x:c r="E61" s="131"/>
    </x:row>
    <x:row r="62" spans="2:10" x14ac:dyDescent="0.2">
      <x:c r="B62" s="598" t="s">
        <x:v>207</x:v>
      </x:c>
      <x:c r="C62" s="599">
        <x:f>IF($C$59=1,'Recaudo ENEL'!D21,'Recaudo ENEL'!F21)</x:f>
        <x:v>0</x:v>
      </x:c>
      <x:c r="D62" s="598" t="b">
        <x:f>C17=C62</x:f>
        <x:v>1</x:v>
      </x:c>
      <x:c r="E62" s="600">
        <x:f>C17-C62</x:f>
        <x:v>0</x:v>
      </x:c>
      <x:c r="F62" s="191"/>
    </x:row>
    <x:row r="63" spans="2:10" x14ac:dyDescent="0.2">
      <x:c r="B63" s="598" t="s">
        <x:v>335</x:v>
      </x:c>
      <x:c r="C63" s="599">
        <x:f>IF($C$59=1,'Recaudo ENERBIT'!D21,'Recaudo ENERBIT'!F21)</x:f>
        <x:v>0</x:v>
      </x:c>
      <x:c r="D63" s="598" t="b">
        <x:f>G17=C63</x:f>
        <x:v>1</x:v>
      </x:c>
      <x:c r="E63" s="600">
        <x:f>G17-C63</x:f>
        <x:v>0</x:v>
      </x:c>
    </x:row>
    <x:row r="64" spans="2:10" x14ac:dyDescent="0.2">
      <x:c r="B64" s="601" t="s">
        <x:v>209</x:v>
      </x:c>
      <x:c r="C64" s="602">
        <x:f>IF($C$59=1,'Recaudo EAAB Reciprocidad'!D22,'Recaudo EAAB Reciprocidad'!F22)</x:f>
        <x:v>0</x:v>
      </x:c>
      <x:c r="D64" s="601" t="b">
        <x:f>F27=C64</x:f>
        <x:v>1</x:v>
      </x:c>
      <x:c r="E64" s="603">
        <x:f>F27-C64</x:f>
        <x:v>0</x:v>
      </x:c>
      <x:c r="H64" s="151"/>
    </x:row>
    <x:row r="65" spans="2:7" x14ac:dyDescent="0.2">
      <x:c r="B65" s="601" t="s">
        <x:v>324</x:v>
      </x:c>
      <x:c r="C65" s="602">
        <x:f>IF($C$59=1,'Recaudo ENEL'!D22,'Recaudo ENEL'!F22)</x:f>
        <x:v>0</x:v>
      </x:c>
      <x:c r="D65" s="601" t="b">
        <x:f>C27=C65</x:f>
        <x:v>1</x:v>
      </x:c>
      <x:c r="E65" s="603">
        <x:f>C27-C65</x:f>
        <x:v>0</x:v>
      </x:c>
      <x:c r="F65" s="131"/>
    </x:row>
    <x:row r="66" spans="2:7" x14ac:dyDescent="0.2">
      <x:c r="B66" s="601" t="s">
        <x:v>336</x:v>
      </x:c>
      <x:c r="C66" s="602">
        <x:f>IF($C$59=1,'Recaudo ENERBIT'!D22,'Recaudo ENERBIT'!F22)</x:f>
        <x:v>0</x:v>
      </x:c>
      <x:c r="D66" s="601" t="b">
        <x:f>G27=C66</x:f>
        <x:v>1</x:v>
      </x:c>
      <x:c r="E66" s="603">
        <x:f>G27-C66</x:f>
        <x:v>0</x:v>
      </x:c>
    </x:row>
    <x:row r="67" spans="2:7" x14ac:dyDescent="0.2">
      <x:c r="B67" s="598" t="s">
        <x:v>211</x:v>
      </x:c>
      <x:c r="C67" s="599">
        <x:f>IF($C$59=1,'Recaudo ENEL'!D23,'Recaudo ENEL'!F23)</x:f>
        <x:v>0</x:v>
      </x:c>
      <x:c r="D67" s="598" t="b">
        <x:f>C36=C67</x:f>
        <x:v>1</x:v>
      </x:c>
      <x:c r="E67" s="600">
        <x:f>C36-C67</x:f>
        <x:v>0</x:v>
      </x:c>
      <x:c r="F67" s="606"/>
    </x:row>
    <x:row r="68" spans="2:7" x14ac:dyDescent="0.2">
      <x:c r="B68" s="598" t="s">
        <x:v>337</x:v>
      </x:c>
      <x:c r="C68" s="599">
        <x:f>IF($C$59=1,'Recaudo ENERBIT'!D23,'Recaudo ENERBIT'!F23)</x:f>
        <x:v>0</x:v>
      </x:c>
      <x:c r="D68" s="598" t="b">
        <x:f>G36=C68</x:f>
        <x:v>1</x:v>
      </x:c>
      <x:c r="E68" s="600">
        <x:f>G36-C68</x:f>
        <x:v>0</x:v>
      </x:c>
    </x:row>
    <x:row r="69" spans="2:7" x14ac:dyDescent="0.2">
      <x:c r="B69" s="601" t="s">
        <x:v>210</x:v>
      </x:c>
      <x:c r="C69" s="602">
        <x:f>IF($C$59=1,'Recaudo EAAB Reciprocidad'!D24,'Recaudo EAAB Reciprocidad'!F24)</x:f>
        <x:v>0</x:v>
      </x:c>
      <x:c r="D69" s="601" t="b">
        <x:f>F45=C69</x:f>
        <x:v>1</x:v>
      </x:c>
      <x:c r="E69" s="603">
        <x:f>F45-C69</x:f>
        <x:v>0</x:v>
      </x:c>
    </x:row>
    <x:row r="70" spans="2:7" x14ac:dyDescent="0.2">
      <x:c r="B70" s="601" t="s">
        <x:v>325</x:v>
      </x:c>
      <x:c r="C70" s="602">
        <x:f>IF($C$59=1,'Recaudo ENEL'!D24,'Recaudo ENEL'!F24)</x:f>
        <x:v>0</x:v>
      </x:c>
      <x:c r="D70" s="601" t="b">
        <x:f>C45=C70</x:f>
        <x:v>1</x:v>
      </x:c>
      <x:c r="E70" s="603">
        <x:f>C45-C70</x:f>
        <x:v>0</x:v>
      </x:c>
      <x:c r="F70" s="131"/>
    </x:row>
    <x:row r="71" spans="2:7" x14ac:dyDescent="0.2">
      <x:c r="B71" s="601" t="s">
        <x:v>338</x:v>
      </x:c>
      <x:c r="C71" s="602">
        <x:f>IF($C$59=1,'Recaudo ENERBIT'!D24,'Recaudo ENERBIT'!F24)</x:f>
        <x:v>0</x:v>
      </x:c>
      <x:c r="D71" s="601" t="b">
        <x:f>G45=C71</x:f>
        <x:v>1</x:v>
      </x:c>
      <x:c r="E71" s="603">
        <x:f>G45-C71</x:f>
        <x:v>0</x:v>
      </x:c>
      <x:c r="F71" s="191"/>
    </x:row>
    <x:row r="72" spans="2:7" x14ac:dyDescent="0.2">
      <x:c r="B72" s="598" t="s">
        <x:v>208</x:v>
      </x:c>
      <x:c r="C72" s="599">
        <x:f>IF($C$59=1,'Recaudo ENEL'!D25,'Recaudo ENEL'!F25)</x:f>
        <x:v>0</x:v>
      </x:c>
      <x:c r="D72" s="598" t="b">
        <x:f>C55=C72</x:f>
        <x:v>1</x:v>
      </x:c>
      <x:c r="E72" s="600">
        <x:f>C55-C72</x:f>
        <x:v>0</x:v>
      </x:c>
      <x:c r="F72" s="131"/>
    </x:row>
    <x:row r="73" spans="2:7" x14ac:dyDescent="0.2">
      <x:c r="B73" s="598" t="s">
        <x:v>327</x:v>
      </x:c>
      <x:c r="C73" s="599">
        <x:f>IF($C$59=1,'Recaudo ENERBIT'!D25,'Recaudo ENERBIT'!F25)</x:f>
        <x:v>0</x:v>
      </x:c>
      <x:c r="D73" s="598" t="b">
        <x:f>G55=C73</x:f>
        <x:v>1</x:v>
      </x:c>
      <x:c r="E73" s="600">
        <x:f>G55-C73</x:f>
        <x:v>0</x:v>
      </x:c>
    </x:row>
    <x:row r="74" spans="2:7" x14ac:dyDescent="0.2">
      <x:c r="C74" s="151"/>
    </x:row>
    <x:row r="75" spans="2:7" x14ac:dyDescent="0.2">
      <x:c r="B75" s="598" t="s">
        <x:v>261</x:v>
      </x:c>
      <x:c r="C75" s="599">
        <x:f>IF($C$59=1,'Recaudo Directa Occidente'!D21,'Recaudo Directa Occidente'!F21)</x:f>
        <x:v>0</x:v>
      </x:c>
      <x:c r="D75" s="598" t="b">
        <x:f>C75=H17</x:f>
        <x:v>1</x:v>
      </x:c>
      <x:c r="E75" s="600">
        <x:f>C75-H17</x:f>
        <x:v>0</x:v>
      </x:c>
      <x:c r="F75" s="574"/>
      <x:c r="G75" s="574"/>
    </x:row>
    <x:row r="76" spans="2:7" x14ac:dyDescent="0.2">
      <x:c r="B76" s="601" t="s">
        <x:v>262</x:v>
      </x:c>
      <x:c r="C76" s="602">
        <x:f>IF($C$59=1,'Recaudo Directa Occidente'!D22,'Recaudo Directa Occidente'!F22)</x:f>
        <x:v>0</x:v>
      </x:c>
      <x:c r="D76" s="601" t="b">
        <x:f>C76=H27</x:f>
        <x:v>1</x:v>
      </x:c>
      <x:c r="E76" s="603">
        <x:f>C76-H27</x:f>
        <x:v>0</x:v>
      </x:c>
    </x:row>
    <x:row r="77" spans="2:7" x14ac:dyDescent="0.2">
      <x:c r="B77" s="598" t="s">
        <x:v>263</x:v>
      </x:c>
      <x:c r="C77" s="599">
        <x:f>IF($C$59=1,'Recaudo Directa Occidente'!D23,'Recaudo Directa Occidente'!F23)</x:f>
        <x:v>0</x:v>
      </x:c>
      <x:c r="D77" s="598" t="b">
        <x:f>C77=H36</x:f>
        <x:v>1</x:v>
      </x:c>
      <x:c r="E77" s="600">
        <x:f>C77-H36</x:f>
        <x:v>0</x:v>
      </x:c>
      <x:c r="F77" s="191"/>
      <x:c r="G77" s="191"/>
    </x:row>
    <x:row r="78" spans="2:7" x14ac:dyDescent="0.2">
      <x:c r="B78" s="601" t="s">
        <x:v>264</x:v>
      </x:c>
      <x:c r="C78" s="602">
        <x:f>IF($C$59=1,'Recaudo Directa Occidente'!D24,'Recaudo Directa Occidente'!F24)</x:f>
        <x:v>0</x:v>
      </x:c>
      <x:c r="D78" s="601" t="b">
        <x:f>C78=H45</x:f>
        <x:v>1</x:v>
      </x:c>
      <x:c r="E78" s="603">
        <x:f>C78-H45</x:f>
        <x:v>0</x:v>
      </x:c>
    </x:row>
    <x:row r="79" spans="2:7" x14ac:dyDescent="0.2">
      <x:c r="B79" s="598" t="s">
        <x:v>265</x:v>
      </x:c>
      <x:c r="C79" s="599">
        <x:f>IF($C$59=1,'Recaudo Directa Occidente'!D25,'Recaudo Directa Occidente'!F25)</x:f>
        <x:v>0</x:v>
      </x:c>
      <x:c r="D79" s="598" t="b">
        <x:f>C79=H55</x:f>
        <x:v>1</x:v>
      </x:c>
      <x:c r="E79" s="600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="88" zoomScaleNormal="88" workbookViewId="0">
      <x:selection activeCell="P22" sqref="P22"/>
    </x:sheetView>
  </x:sheetViews>
  <x:sheetFormatPr baseColWidth="10" defaultRowHeight="12.75" x14ac:dyDescent="0.2"/>
  <x:cols>
    <x:col min="1" max="1" width="3.42578125" customWidth="1"/>
    <x:col min="2" max="2" width="20.7109375" bestFit="1" customWidth="1"/>
    <x:col min="3" max="3" width="13.28515625" bestFit="1" customWidth="1"/>
    <x:col min="4" max="6" width="12.7109375" bestFit="1" customWidth="1"/>
    <x:col min="7" max="7" width="12.5703125" customWidth="1"/>
    <x:col min="8" max="14" width="12.7109375" bestFit="1" customWidth="1"/>
    <x:col min="16" max="16" width="12.7109375" bestFit="1" customWidth="1"/>
  </x:cols>
  <x:sheetData>
    <x:row r="1" spans="1:16" ht="13.5" thickBot="1" x14ac:dyDescent="0.25">
      <x:c r="C1" s="767" t="s">
        <x:v>99</x:v>
      </x:c>
      <x:c r="D1" s="767"/>
      <x:c r="E1" s="767" t="s">
        <x:v>100</x:v>
      </x:c>
      <x:c r="F1" s="767"/>
      <x:c r="G1" s="767" t="s">
        <x:v>101</x:v>
      </x:c>
      <x:c r="H1" s="767"/>
      <x:c r="I1" s="767" t="s">
        <x:v>102</x:v>
      </x:c>
      <x:c r="J1" s="767"/>
      <x:c r="K1" s="767" t="s">
        <x:v>103</x:v>
      </x:c>
      <x:c r="L1" s="767"/>
      <x:c r="M1" s="767" t="s">
        <x:v>2</x:v>
      </x:c>
      <x:c r="N1" s="767"/>
    </x:row>
    <x:row r="2" spans="1:16" x14ac:dyDescent="0.2">
      <x:c r="C2" s="204" t="s">
        <x:v>149</x:v>
      </x:c>
      <x:c r="D2" s="595" t="s">
        <x:v>150</x:v>
      </x:c>
      <x:c r="E2" s="595" t="s">
        <x:v>149</x:v>
      </x:c>
      <x:c r="F2" s="595" t="s">
        <x:v>150</x:v>
      </x:c>
      <x:c r="G2" s="595" t="s">
        <x:v>149</x:v>
      </x:c>
      <x:c r="H2" s="595" t="s">
        <x:v>150</x:v>
      </x:c>
      <x:c r="I2" s="595" t="s">
        <x:v>149</x:v>
      </x:c>
      <x:c r="J2" s="595" t="s">
        <x:v>150</x:v>
      </x:c>
      <x:c r="K2" s="595" t="s">
        <x:v>149</x:v>
      </x:c>
      <x:c r="L2" s="595" t="s">
        <x:v>150</x:v>
      </x:c>
      <x:c r="M2" s="204" t="s">
        <x:v>149</x:v>
      </x:c>
      <x:c r="N2" s="205" t="s">
        <x:v>150</x:v>
      </x:c>
    </x:row>
    <x:row r="3" spans="1:16" x14ac:dyDescent="0.2">
      <x:c r="B3" s="617" t="s">
        <x:v>151</x:v>
      </x:c>
      <x:c r="C3" s="738">
        <x:f>C11+C19+C27+C35+C43</x:f>
        <x:v>0</x:v>
      </x:c>
      <x:c r="D3" s="739">
        <x:f>D11+D19+D27+D35+D43</x:f>
        <x:v>0</x:v>
      </x:c>
      <x:c r="E3" s="739">
        <x:f t="shared" ref="E3:K3" si="0">E11+E19+E27+E35+E43</x:f>
        <x:v>0</x:v>
      </x:c>
      <x:c r="F3" s="739">
        <x:f>F11+F19+F27+F35+F43</x:f>
        <x:v>0</x:v>
      </x:c>
      <x:c r="G3" s="739">
        <x:f t="shared" si="0"/>
        <x:v>0</x:v>
      </x:c>
      <x:c r="H3" s="739">
        <x:f t="shared" si="0"/>
        <x:v>0</x:v>
      </x:c>
      <x:c r="I3" s="739">
        <x:f t="shared" si="0"/>
        <x:v>0</x:v>
      </x:c>
      <x:c r="J3" s="739">
        <x:f t="shared" si="0"/>
        <x:v>0</x:v>
      </x:c>
      <x:c r="K3" s="739">
        <x:f t="shared" si="0"/>
        <x:v>0</x:v>
      </x:c>
      <x:c r="L3" s="739">
        <x:f>L11+L19+L27+L35+L43</x:f>
        <x:v>0</x:v>
      </x:c>
      <x:c r="M3" s="740">
        <x:f>C3+E3+G3+I3+K3</x:f>
        <x:v>0</x:v>
      </x:c>
      <x:c r="N3" s="741">
        <x:f>D3+F3+H3+J3+L3</x:f>
        <x:v>0</x:v>
      </x:c>
      <x:c r="P3" s="188" t="b">
        <x:f>N3=(-VALIDACION_TOTAL!M9)</x:f>
        <x:v>1</x:v>
      </x:c>
    </x:row>
    <x:row r="4" spans="1:16" ht="13.5" thickBot="1" x14ac:dyDescent="0.25">
      <x:c r="B4" s="617" t="s">
        <x:v>152</x:v>
      </x:c>
      <x:c r="C4" s="742">
        <x:f>C12+C20+C28+C36+C44</x:f>
        <x:v>0</x:v>
      </x:c>
      <x:c r="D4" s="743">
        <x:f>D12+D20+D28+D36+D44</x:f>
        <x:v>0</x:v>
      </x:c>
      <x:c r="E4" s="743">
        <x:f t="shared" ref="E4:K4" si="1">E12+E20+E28+E36+E44</x:f>
        <x:v>0</x:v>
      </x:c>
      <x:c r="F4" s="743">
        <x:f t="shared" si="1"/>
        <x:v>0</x:v>
      </x:c>
      <x:c r="G4" s="743">
        <x:f t="shared" si="1"/>
        <x:v>0</x:v>
      </x:c>
      <x:c r="H4" s="743">
        <x:f t="shared" si="1"/>
        <x:v>0</x:v>
      </x:c>
      <x:c r="I4" s="743">
        <x:f t="shared" si="1"/>
        <x:v>0</x:v>
      </x:c>
      <x:c r="J4" s="743">
        <x:f t="shared" si="1"/>
        <x:v>0</x:v>
      </x:c>
      <x:c r="K4" s="743">
        <x:f t="shared" si="1"/>
        <x:v>0</x:v>
      </x:c>
      <x:c r="L4" s="743">
        <x:f>L12+L20+L28+L36+L44</x:f>
        <x:v>0</x:v>
      </x:c>
      <x:c r="M4" s="744">
        <x:f>C4+E4+G4+I4+K4</x:f>
        <x:v>0</x:v>
      </x:c>
      <x:c r="N4" s="745">
        <x:f>D4+F4+H4+J4+L4</x:f>
        <x:v>0</x:v>
      </x:c>
      <x:c r="P4" s="188" t="b">
        <x:f>N4=(-'CONSOLIDADO_TOTAL RECAUDO'!L131)</x:f>
        <x:v>1</x:v>
      </x:c>
    </x:row>
    <x:row r="5" spans="1:16" ht="13.5" thickBot="1" x14ac:dyDescent="0.25">
      <x:c r="B5" s="190" t="s">
        <x:v>2</x:v>
      </x:c>
      <x:c r="C5" s="746">
        <x:f>SUM(C3:C4)</x:f>
        <x:v>0</x:v>
      </x:c>
      <x:c r="D5" s="746">
        <x:f t="shared" ref="D5:L5" si="2">SUM(D3:D4)</x:f>
        <x:v>0</x:v>
      </x:c>
      <x:c r="E5" s="746">
        <x:f t="shared" si="2"/>
        <x:v>0</x:v>
      </x:c>
      <x:c r="F5" s="746">
        <x:f t="shared" si="2"/>
        <x:v>0</x:v>
      </x:c>
      <x:c r="G5" s="746">
        <x:f t="shared" si="2"/>
        <x:v>0</x:v>
      </x:c>
      <x:c r="H5" s="746">
        <x:f t="shared" si="2"/>
        <x:v>0</x:v>
      </x:c>
      <x:c r="I5" s="746">
        <x:f t="shared" si="2"/>
        <x:v>0</x:v>
      </x:c>
      <x:c r="J5" s="746">
        <x:f t="shared" si="2"/>
        <x:v>0</x:v>
      </x:c>
      <x:c r="K5" s="746">
        <x:f>SUM(K3:K4)</x:f>
        <x:v>0</x:v>
      </x:c>
      <x:c r="L5" s="746">
        <x:f t="shared" si="2"/>
        <x:v>0</x:v>
      </x:c>
      <x:c r="M5" s="746">
        <x:f t="shared" ref="M5" si="3">SUM(M3:M4)</x:f>
        <x:v>0</x:v>
      </x:c>
      <x:c r="N5" s="746">
        <x:f>SUM(N3:N4)</x:f>
        <x:v>0</x:v>
      </x:c>
    </x:row>
    <x:row r="6" spans="1:16" x14ac:dyDescent="0.2">
      <x:c r="C6" s="188" t="b">
        <x:f t="shared" ref="C6:K6" si="4">C5=(C13+C21+C29+C37+C45)</x:f>
        <x:v>1</x:v>
      </x:c>
      <x:c r="D6" s="188" t="b">
        <x:f t="shared" si="4"/>
        <x:v>1</x:v>
      </x:c>
      <x:c r="E6" s="188" t="b">
        <x:f t="shared" si="4"/>
        <x:v>1</x:v>
      </x:c>
      <x:c r="F6" s="188" t="b">
        <x:f t="shared" si="4"/>
        <x:v>1</x:v>
      </x:c>
      <x:c r="G6" s="188" t="b">
        <x:f t="shared" si="4"/>
        <x:v>1</x:v>
      </x:c>
      <x:c r="H6" s="188" t="b">
        <x:f t="shared" si="4"/>
        <x:v>1</x:v>
      </x:c>
      <x:c r="I6" s="188" t="b">
        <x:f t="shared" si="4"/>
        <x:v>1</x:v>
      </x:c>
      <x:c r="J6" s="188" t="b">
        <x:f t="shared" si="4"/>
        <x:v>1</x:v>
      </x:c>
      <x:c r="K6" s="188" t="b">
        <x:f t="shared" si="4"/>
        <x:v>1</x:v>
      </x:c>
      <x:c r="L6" s="188" t="b">
        <x:f>L5=(L13+L21+L29+L37+L45)</x:f>
        <x:v>1</x:v>
      </x:c>
      <x:c r="M6" s="188" t="b">
        <x:f t="shared" ref="M6" si="5">M5=(M13+M21+M29+M37+M45)</x:f>
        <x:v>1</x:v>
      </x:c>
      <x:c r="N6" s="188" t="b">
        <x:f>N5=(N13+N21+N29+N37+N45)</x:f>
        <x:v>1</x:v>
      </x:c>
    </x:row>
    <x:row r="7" spans="1:16" x14ac:dyDescent="0.2">
      <x:c r="A7" s="197"/>
      <x:c r="B7" s="197"/>
      <x:c r="C7" s="197"/>
      <x:c r="D7" s="197"/>
      <x:c r="E7" s="197"/>
      <x:c r="F7" s="197"/>
      <x:c r="G7" s="197"/>
      <x:c r="H7" s="197"/>
      <x:c r="I7" s="197"/>
      <x:c r="J7" s="197"/>
      <x:c r="K7" s="197"/>
      <x:c r="L7" s="197"/>
      <x:c r="M7" s="197"/>
      <x:c r="N7" s="197"/>
      <x:c r="O7" s="197"/>
      <x:c r="P7" s="197"/>
    </x:row>
    <x:row r="8" spans="1:16" ht="15" x14ac:dyDescent="0.25">
      <x:c r="B8" s="187" t="s">
        <x:v>148</x:v>
      </x:c>
      <x:c r="C8" s="188"/>
    </x:row>
    <x:row r="9" spans="1:16" x14ac:dyDescent="0.2">
      <x:c r="C9" s="767" t="s">
        <x:v>99</x:v>
      </x:c>
      <x:c r="D9" s="767"/>
      <x:c r="E9" s="767" t="s">
        <x:v>100</x:v>
      </x:c>
      <x:c r="F9" s="767"/>
      <x:c r="G9" s="767" t="s">
        <x:v>101</x:v>
      </x:c>
      <x:c r="H9" s="767"/>
      <x:c r="I9" s="767" t="s">
        <x:v>102</x:v>
      </x:c>
      <x:c r="J9" s="767"/>
      <x:c r="K9" s="767" t="s">
        <x:v>103</x:v>
      </x:c>
      <x:c r="L9" s="767"/>
      <x:c r="M9" s="767" t="s">
        <x:v>2</x:v>
      </x:c>
      <x:c r="N9" s="767"/>
    </x:row>
    <x:row r="10" spans="1:16" x14ac:dyDescent="0.2">
      <x:c r="C10" s="189" t="s">
        <x:v>149</x:v>
      </x:c>
      <x:c r="D10" s="189" t="s">
        <x:v>150</x:v>
      </x:c>
      <x:c r="E10" s="189" t="s">
        <x:v>149</x:v>
      </x:c>
      <x:c r="F10" s="189" t="s">
        <x:v>150</x:v>
      </x:c>
      <x:c r="G10" s="189" t="s">
        <x:v>149</x:v>
      </x:c>
      <x:c r="H10" s="189" t="s">
        <x:v>150</x:v>
      </x:c>
      <x:c r="I10" s="189" t="s">
        <x:v>149</x:v>
      </x:c>
      <x:c r="J10" s="189" t="s">
        <x:v>150</x:v>
      </x:c>
      <x:c r="K10" s="189" t="s">
        <x:v>149</x:v>
      </x:c>
      <x:c r="L10" s="189" t="s">
        <x:v>150</x:v>
      </x:c>
      <x:c r="M10" s="189" t="s">
        <x:v>149</x:v>
      </x:c>
      <x:c r="N10" s="189" t="s">
        <x:v>150</x:v>
      </x:c>
    </x:row>
    <x:row r="11" spans="1:16" x14ac:dyDescent="0.2">
      <x:c r="B11" s="617" t="s">
        <x:v>151</x:v>
      </x:c>
      <x:c r="C11" s="200">
        <x:v>0</x:v>
      </x:c>
      <x:c r="D11" s="200">
        <x:v>0</x:v>
      </x:c>
      <x:c r="E11" s="200">
        <x:v>0</x:v>
      </x:c>
      <x:c r="F11" s="200">
        <x:v>0</x:v>
      </x:c>
      <x:c r="G11" s="200">
        <x:v>0</x:v>
      </x:c>
      <x:c r="H11" s="200">
        <x:v>0</x:v>
      </x:c>
      <x:c r="I11" s="200">
        <x:v>0</x:v>
      </x:c>
      <x:c r="J11" s="200">
        <x:v>0</x:v>
      </x:c>
      <x:c r="K11" s="199">
        <x:v>0</x:v>
      </x:c>
      <x:c r="L11" s="200">
        <x:v>0</x:v>
      </x:c>
      <x:c r="M11" s="615">
        <x:f>C11+E11+G11+I11+K11</x:f>
        <x:v>0</x:v>
      </x:c>
      <x:c r="N11" s="616">
        <x:f>D11+F11+H11+J11+L11</x:f>
        <x:v>0</x:v>
      </x:c>
    </x:row>
    <x:row r="12" spans="1:16" ht="13.5" thickBot="1" x14ac:dyDescent="0.25">
      <x:c r="B12" s="617" t="s">
        <x:v>152</x:v>
      </x:c>
      <x:c r="C12" s="200">
        <x:v>0</x:v>
      </x:c>
      <x:c r="D12" s="200">
        <x:v>0</x:v>
      </x:c>
      <x:c r="E12" s="200">
        <x:v>0</x:v>
      </x:c>
      <x:c r="F12" s="200">
        <x:v>0</x:v>
      </x:c>
      <x:c r="G12" s="200">
        <x:v>0</x:v>
      </x:c>
      <x:c r="H12" s="200">
        <x:v>0</x:v>
      </x:c>
      <x:c r="I12" s="200">
        <x:v>0</x:v>
      </x:c>
      <x:c r="J12" s="200">
        <x:v>0</x:v>
      </x:c>
      <x:c r="K12" s="199">
        <x:v>0</x:v>
      </x:c>
      <x:c r="L12" s="200">
        <x:v>0</x:v>
      </x:c>
      <x:c r="M12" s="615">
        <x:f>C12+E12+G12+I12+K12</x:f>
        <x:v>0</x:v>
      </x:c>
      <x:c r="N12" s="616">
        <x:f>D12+F12+H12+J12+L12</x:f>
        <x:v>0</x:v>
      </x:c>
    </x:row>
    <x:row r="13" spans="1:16" ht="13.5" thickBot="1" x14ac:dyDescent="0.25">
      <x:c r="B13" s="190" t="s">
        <x:v>2</x:v>
      </x:c>
      <x:c r="C13" s="170">
        <x:f>SUM(C11:C12)</x:f>
        <x:v>0</x:v>
      </x:c>
      <x:c r="D13" s="170">
        <x:f t="shared" ref="D13:N13" si="6">SUM(D11:D12)</x:f>
        <x:v>0</x:v>
      </x:c>
      <x:c r="E13" s="170">
        <x:f t="shared" si="6"/>
        <x:v>0</x:v>
      </x:c>
      <x:c r="F13" s="170">
        <x:f t="shared" si="6"/>
        <x:v>0</x:v>
      </x:c>
      <x:c r="G13" s="170">
        <x:f>SUM(G11:G12)</x:f>
        <x:v>0</x:v>
      </x:c>
      <x:c r="H13" s="170">
        <x:f>SUM(H11:H12)</x:f>
        <x:v>0</x:v>
      </x:c>
      <x:c r="I13" s="170">
        <x:f t="shared" si="6"/>
        <x:v>0</x:v>
      </x:c>
      <x:c r="J13" s="170">
        <x:f t="shared" si="6"/>
        <x:v>0</x:v>
      </x:c>
      <x:c r="K13" s="170">
        <x:f t="shared" si="6"/>
        <x:v>0</x:v>
      </x:c>
      <x:c r="L13" s="170">
        <x:f t="shared" si="6"/>
        <x:v>0</x:v>
      </x:c>
      <x:c r="M13" s="170">
        <x:f t="shared" si="6"/>
        <x:v>0</x:v>
      </x:c>
      <x:c r="N13" s="170">
        <x:f t="shared" si="6"/>
        <x:v>0</x:v>
      </x:c>
    </x:row>
    <x:row r="14" spans="1:16" x14ac:dyDescent="0.2">
      <x:c r="E14" s="191"/>
    </x:row>
    <x:row r="16" spans="1:16" ht="15" x14ac:dyDescent="0.25">
      <x:c r="B16" s="187" t="s">
        <x:v>153</x:v>
      </x:c>
      <x:c r="C16" s="188"/>
    </x:row>
    <x:row r="17" spans="2:14" x14ac:dyDescent="0.2">
      <x:c r="C17" s="767" t="s">
        <x:v>99</x:v>
      </x:c>
      <x:c r="D17" s="767"/>
      <x:c r="E17" s="767" t="s">
        <x:v>100</x:v>
      </x:c>
      <x:c r="F17" s="767"/>
      <x:c r="G17" s="767" t="s">
        <x:v>101</x:v>
      </x:c>
      <x:c r="H17" s="767"/>
      <x:c r="I17" s="767" t="s">
        <x:v>102</x:v>
      </x:c>
      <x:c r="J17" s="767"/>
      <x:c r="K17" s="767" t="s">
        <x:v>103</x:v>
      </x:c>
      <x:c r="L17" s="767"/>
      <x:c r="M17" s="767" t="s">
        <x:v>2</x:v>
      </x:c>
      <x:c r="N17" s="767"/>
    </x:row>
    <x:row r="18" spans="2:14" x14ac:dyDescent="0.2">
      <x:c r="C18" s="189" t="s">
        <x:v>149</x:v>
      </x:c>
      <x:c r="D18" s="189" t="s">
        <x:v>150</x:v>
      </x:c>
      <x:c r="E18" s="189" t="s">
        <x:v>149</x:v>
      </x:c>
      <x:c r="F18" s="189" t="s">
        <x:v>150</x:v>
      </x:c>
      <x:c r="G18" s="189" t="s">
        <x:v>149</x:v>
      </x:c>
      <x:c r="H18" s="189" t="s">
        <x:v>150</x:v>
      </x:c>
      <x:c r="I18" s="189" t="s">
        <x:v>149</x:v>
      </x:c>
      <x:c r="J18" s="189" t="s">
        <x:v>150</x:v>
      </x:c>
      <x:c r="K18" s="189" t="s">
        <x:v>149</x:v>
      </x:c>
      <x:c r="L18" s="189" t="s">
        <x:v>150</x:v>
      </x:c>
      <x:c r="M18" s="189" t="s">
        <x:v>149</x:v>
      </x:c>
      <x:c r="N18" s="189" t="s">
        <x:v>150</x:v>
      </x:c>
    </x:row>
    <x:row r="19" spans="2:14" x14ac:dyDescent="0.2">
      <x:c r="B19" s="617" t="s">
        <x:v>151</x:v>
      </x:c>
      <x:c r="C19" s="200">
        <x:v>0</x:v>
      </x:c>
      <x:c r="D19" s="200">
        <x:v>0</x:v>
      </x:c>
      <x:c r="E19" s="200">
        <x:v>0</x:v>
      </x:c>
      <x:c r="F19" s="200">
        <x:v>0</x:v>
      </x:c>
      <x:c r="G19" s="200">
        <x:v>0</x:v>
      </x:c>
      <x:c r="H19" s="200">
        <x:v>0</x:v>
      </x:c>
      <x:c r="I19" s="200">
        <x:v>0</x:v>
      </x:c>
      <x:c r="J19" s="200">
        <x:v>0</x:v>
      </x:c>
      <x:c r="K19" s="199">
        <x:v>0</x:v>
      </x:c>
      <x:c r="L19" s="200">
        <x:v>0</x:v>
      </x:c>
      <x:c r="M19" s="615">
        <x:f>C19+E19+G19+I19+K19</x:f>
        <x:v>0</x:v>
      </x:c>
      <x:c r="N19" s="616">
        <x:f>D19+F19+H19+J19+L19</x:f>
        <x:v>0</x:v>
      </x:c>
    </x:row>
    <x:row r="20" spans="2:14" ht="13.5" thickBot="1" x14ac:dyDescent="0.25">
      <x:c r="B20" s="617" t="s">
        <x:v>152</x:v>
      </x:c>
      <x:c r="C20" s="200">
        <x:v>0</x:v>
      </x:c>
      <x:c r="D20" s="200">
        <x:v>0</x:v>
      </x:c>
      <x:c r="E20" s="200">
        <x:v>0</x:v>
      </x:c>
      <x:c r="F20" s="200">
        <x:v>0</x:v>
      </x:c>
      <x:c r="G20" s="200">
        <x:v>0</x:v>
      </x:c>
      <x:c r="H20" s="200">
        <x:v>0</x:v>
      </x:c>
      <x:c r="I20" s="200">
        <x:v>0</x:v>
      </x:c>
      <x:c r="J20" s="200">
        <x:v>0</x:v>
      </x:c>
      <x:c r="K20" s="199">
        <x:v>0</x:v>
      </x:c>
      <x:c r="L20" s="200">
        <x:v>0</x:v>
      </x:c>
      <x:c r="M20" s="615">
        <x:f>C20+E20+G20+I20+K20</x:f>
        <x:v>0</x:v>
      </x:c>
      <x:c r="N20" s="616">
        <x:f>D20+F20+H20+J20+L20</x:f>
        <x:v>0</x:v>
      </x:c>
    </x:row>
    <x:row r="21" spans="2:14" ht="13.5" thickBot="1" x14ac:dyDescent="0.25">
      <x:c r="B21" s="190" t="s">
        <x:v>2</x:v>
      </x:c>
      <x:c r="C21" s="170">
        <x:f>SUM(C19:C20)</x:f>
        <x:v>0</x:v>
      </x:c>
      <x:c r="D21" s="170">
        <x:f t="shared" ref="D21:L21" si="7">SUM(D19:D20)</x:f>
        <x:v>0</x:v>
      </x:c>
      <x:c r="E21" s="170">
        <x:f t="shared" si="7"/>
        <x:v>0</x:v>
      </x:c>
      <x:c r="F21" s="170">
        <x:f t="shared" si="7"/>
        <x:v>0</x:v>
      </x:c>
      <x:c r="G21" s="170">
        <x:f t="shared" si="7"/>
        <x:v>0</x:v>
      </x:c>
      <x:c r="H21" s="170">
        <x:f t="shared" si="7"/>
        <x:v>0</x:v>
      </x:c>
      <x:c r="I21" s="170">
        <x:f t="shared" si="7"/>
        <x:v>0</x:v>
      </x:c>
      <x:c r="J21" s="170">
        <x:f t="shared" si="7"/>
        <x:v>0</x:v>
      </x:c>
      <x:c r="K21" s="170">
        <x:f t="shared" si="7"/>
        <x:v>0</x:v>
      </x:c>
      <x:c r="L21" s="170">
        <x:f t="shared" si="7"/>
        <x:v>0</x:v>
      </x:c>
      <x:c r="M21" s="170">
        <x:f>C21+E21+G21+I21+K21</x:f>
        <x:v>0</x:v>
      </x:c>
      <x:c r="N21" s="170">
        <x:f t="shared" ref="N21" si="8">SUM(N19:N20)</x:f>
        <x:v>0</x:v>
      </x:c>
    </x:row>
    <x:row r="24" spans="2:14" ht="15" x14ac:dyDescent="0.25">
      <x:c r="B24" s="187" t="s">
        <x:v>154</x:v>
      </x:c>
      <x:c r="C24" s="188"/>
    </x:row>
    <x:row r="25" spans="2:14" x14ac:dyDescent="0.2">
      <x:c r="C25" s="767" t="s">
        <x:v>99</x:v>
      </x:c>
      <x:c r="D25" s="767"/>
      <x:c r="E25" s="767" t="s">
        <x:v>100</x:v>
      </x:c>
      <x:c r="F25" s="767"/>
      <x:c r="G25" s="767" t="s">
        <x:v>101</x:v>
      </x:c>
      <x:c r="H25" s="767"/>
      <x:c r="I25" s="767" t="s">
        <x:v>102</x:v>
      </x:c>
      <x:c r="J25" s="767"/>
      <x:c r="K25" s="767" t="s">
        <x:v>103</x:v>
      </x:c>
      <x:c r="L25" s="767"/>
      <x:c r="M25" s="767" t="s">
        <x:v>2</x:v>
      </x:c>
      <x:c r="N25" s="767"/>
    </x:row>
    <x:row r="26" spans="2:14" x14ac:dyDescent="0.2">
      <x:c r="C26" s="189" t="s">
        <x:v>149</x:v>
      </x:c>
      <x:c r="D26" s="189" t="s">
        <x:v>150</x:v>
      </x:c>
      <x:c r="E26" s="189" t="s">
        <x:v>149</x:v>
      </x:c>
      <x:c r="F26" s="189" t="s">
        <x:v>150</x:v>
      </x:c>
      <x:c r="G26" s="189" t="s">
        <x:v>149</x:v>
      </x:c>
      <x:c r="H26" s="189" t="s">
        <x:v>150</x:v>
      </x:c>
      <x:c r="I26" s="189" t="s">
        <x:v>149</x:v>
      </x:c>
      <x:c r="J26" s="189" t="s">
        <x:v>150</x:v>
      </x:c>
      <x:c r="K26" s="189" t="s">
        <x:v>149</x:v>
      </x:c>
      <x:c r="L26" s="189" t="s">
        <x:v>150</x:v>
      </x:c>
      <x:c r="M26" s="189" t="s">
        <x:v>149</x:v>
      </x:c>
      <x:c r="N26" s="189" t="s">
        <x:v>150</x:v>
      </x:c>
    </x:row>
    <x:row r="27" spans="2:14" x14ac:dyDescent="0.2">
      <x:c r="B27" s="617" t="s">
        <x:v>151</x:v>
      </x:c>
      <x:c r="C27" s="200">
        <x:v>0</x:v>
      </x:c>
      <x:c r="D27" s="200">
        <x:v>0</x:v>
      </x:c>
      <x:c r="E27" s="200">
        <x:v>0</x:v>
      </x:c>
      <x:c r="F27" s="200">
        <x:v>0</x:v>
      </x:c>
      <x:c r="G27" s="200">
        <x:v>0</x:v>
      </x:c>
      <x:c r="H27" s="200">
        <x:v>0</x:v>
      </x:c>
      <x:c r="I27" s="200">
        <x:v>0</x:v>
      </x:c>
      <x:c r="J27" s="200">
        <x:v>0</x:v>
      </x:c>
      <x:c r="K27" s="199">
        <x:v>0</x:v>
      </x:c>
      <x:c r="L27" s="200">
        <x:v>0</x:v>
      </x:c>
      <x:c r="M27" s="615">
        <x:f>C27+E27+G27+I27+K27</x:f>
        <x:v>0</x:v>
      </x:c>
      <x:c r="N27" s="616">
        <x:f>D27+F27+H27+J27+L27</x:f>
        <x:v>0</x:v>
      </x:c>
    </x:row>
    <x:row r="28" spans="2:14" ht="13.5" thickBot="1" x14ac:dyDescent="0.25">
      <x:c r="B28" s="617" t="s">
        <x:v>152</x:v>
      </x:c>
      <x:c r="C28" s="200">
        <x:v>0</x:v>
      </x:c>
      <x:c r="D28" s="200">
        <x:v>0</x:v>
      </x:c>
      <x:c r="E28" s="200">
        <x:v>0</x:v>
      </x:c>
      <x:c r="F28" s="200">
        <x:v>0</x:v>
      </x:c>
      <x:c r="G28" s="200">
        <x:v>0</x:v>
      </x:c>
      <x:c r="H28" s="200">
        <x:v>0</x:v>
      </x:c>
      <x:c r="I28" s="200">
        <x:v>0</x:v>
      </x:c>
      <x:c r="J28" s="200">
        <x:v>0</x:v>
      </x:c>
      <x:c r="K28" s="199">
        <x:v>0</x:v>
      </x:c>
      <x:c r="L28" s="200">
        <x:v>0</x:v>
      </x:c>
      <x:c r="M28" s="615">
        <x:f>C28+E28+G28+I28+K28</x:f>
        <x:v>0</x:v>
      </x:c>
      <x:c r="N28" s="616">
        <x:f>D28+F28+H28+J28+L28</x:f>
        <x:v>0</x:v>
      </x:c>
    </x:row>
    <x:row r="29" spans="2:14" ht="13.5" thickBot="1" x14ac:dyDescent="0.25">
      <x:c r="B29" s="190" t="s">
        <x:v>2</x:v>
      </x:c>
      <x:c r="C29" s="170">
        <x:f t="shared" ref="C29:N29" si="9">SUM(C27:C28)</x:f>
        <x:v>0</x:v>
      </x:c>
      <x:c r="D29" s="170">
        <x:f t="shared" si="9"/>
        <x:v>0</x:v>
      </x:c>
      <x:c r="E29" s="170">
        <x:f t="shared" si="9"/>
        <x:v>0</x:v>
      </x:c>
      <x:c r="F29" s="170">
        <x:f t="shared" si="9"/>
        <x:v>0</x:v>
      </x:c>
      <x:c r="G29" s="170">
        <x:f t="shared" si="9"/>
        <x:v>0</x:v>
      </x:c>
      <x:c r="H29" s="170">
        <x:f t="shared" si="9"/>
        <x:v>0</x:v>
      </x:c>
      <x:c r="I29" s="170">
        <x:f t="shared" si="9"/>
        <x:v>0</x:v>
      </x:c>
      <x:c r="J29" s="170">
        <x:f t="shared" si="9"/>
        <x:v>0</x:v>
      </x:c>
      <x:c r="K29" s="170">
        <x:f t="shared" si="9"/>
        <x:v>0</x:v>
      </x:c>
      <x:c r="L29" s="170">
        <x:f t="shared" si="9"/>
        <x:v>0</x:v>
      </x:c>
      <x:c r="M29" s="170">
        <x:f t="shared" si="9"/>
        <x:v>0</x:v>
      </x:c>
      <x:c r="N29" s="170">
        <x:f t="shared" si="9"/>
        <x:v>0</x:v>
      </x:c>
    </x:row>
    <x:row r="32" spans="2:14" ht="15" x14ac:dyDescent="0.25">
      <x:c r="B32" s="187" t="s">
        <x:v>155</x:v>
      </x:c>
      <x:c r="C32" s="188"/>
    </x:row>
    <x:row r="33" spans="2:14" x14ac:dyDescent="0.2">
      <x:c r="C33" s="767" t="s">
        <x:v>99</x:v>
      </x:c>
      <x:c r="D33" s="767"/>
      <x:c r="E33" s="767" t="s">
        <x:v>100</x:v>
      </x:c>
      <x:c r="F33" s="767"/>
      <x:c r="G33" s="767" t="s">
        <x:v>101</x:v>
      </x:c>
      <x:c r="H33" s="767"/>
      <x:c r="I33" s="767" t="s">
        <x:v>102</x:v>
      </x:c>
      <x:c r="J33" s="767"/>
      <x:c r="K33" s="767" t="s">
        <x:v>103</x:v>
      </x:c>
      <x:c r="L33" s="767"/>
      <x:c r="M33" s="767" t="s">
        <x:v>2</x:v>
      </x:c>
      <x:c r="N33" s="767"/>
    </x:row>
    <x:row r="34" spans="2:14" x14ac:dyDescent="0.2">
      <x:c r="C34" s="189" t="s">
        <x:v>149</x:v>
      </x:c>
      <x:c r="D34" s="189" t="s">
        <x:v>150</x:v>
      </x:c>
      <x:c r="E34" s="189" t="s">
        <x:v>149</x:v>
      </x:c>
      <x:c r="F34" s="189" t="s">
        <x:v>150</x:v>
      </x:c>
      <x:c r="G34" s="189" t="s">
        <x:v>149</x:v>
      </x:c>
      <x:c r="H34" s="189" t="s">
        <x:v>150</x:v>
      </x:c>
      <x:c r="I34" s="189" t="s">
        <x:v>149</x:v>
      </x:c>
      <x:c r="J34" s="189" t="s">
        <x:v>150</x:v>
      </x:c>
      <x:c r="K34" s="189" t="s">
        <x:v>149</x:v>
      </x:c>
      <x:c r="L34" s="189" t="s">
        <x:v>150</x:v>
      </x:c>
      <x:c r="M34" s="189" t="s">
        <x:v>149</x:v>
      </x:c>
      <x:c r="N34" s="189" t="s">
        <x:v>150</x:v>
      </x:c>
    </x:row>
    <x:row r="35" spans="2:14" x14ac:dyDescent="0.2">
      <x:c r="B35" s="617" t="s">
        <x:v>151</x:v>
      </x:c>
      <x:c r="C35" s="200">
        <x:v>0</x:v>
      </x:c>
      <x:c r="D35" s="200">
        <x:v>0</x:v>
      </x:c>
      <x:c r="E35" s="200">
        <x:v>0</x:v>
      </x:c>
      <x:c r="F35" s="200">
        <x:v>0</x:v>
      </x:c>
      <x:c r="G35" s="200">
        <x:v>0</x:v>
      </x:c>
      <x:c r="H35" s="200">
        <x:v>0</x:v>
      </x:c>
      <x:c r="I35" s="200">
        <x:v>0</x:v>
      </x:c>
      <x:c r="J35" s="200">
        <x:v>0</x:v>
      </x:c>
      <x:c r="K35" s="199">
        <x:v>0</x:v>
      </x:c>
      <x:c r="L35" s="200">
        <x:v>0</x:v>
      </x:c>
      <x:c r="M35" s="615">
        <x:f>C35+E35+G35+I35+K35</x:f>
        <x:v>0</x:v>
      </x:c>
      <x:c r="N35" s="616">
        <x:f>D35+F35+H35+J35+L35</x:f>
        <x:v>0</x:v>
      </x:c>
    </x:row>
    <x:row r="36" spans="2:14" ht="13.5" thickBot="1" x14ac:dyDescent="0.25">
      <x:c r="B36" s="617" t="s">
        <x:v>152</x:v>
      </x:c>
      <x:c r="C36" s="200">
        <x:v>0</x:v>
      </x:c>
      <x:c r="D36" s="200">
        <x:v>0</x:v>
      </x:c>
      <x:c r="E36" s="200">
        <x:v>0</x:v>
      </x:c>
      <x:c r="F36" s="200">
        <x:v>0</x:v>
      </x:c>
      <x:c r="G36" s="200">
        <x:v>0</x:v>
      </x:c>
      <x:c r="H36" s="200">
        <x:v>0</x:v>
      </x:c>
      <x:c r="I36" s="200">
        <x:v>0</x:v>
      </x:c>
      <x:c r="J36" s="200">
        <x:v>0</x:v>
      </x:c>
      <x:c r="K36" s="199">
        <x:v>0</x:v>
      </x:c>
      <x:c r="L36" s="200">
        <x:v>0</x:v>
      </x:c>
      <x:c r="M36" s="615">
        <x:f>C36+E36+G36+I36+K36</x:f>
        <x:v>0</x:v>
      </x:c>
      <x:c r="N36" s="616">
        <x:f>D36+F36+H36+J36+L36</x:f>
        <x:v>0</x:v>
      </x:c>
    </x:row>
    <x:row r="37" spans="2:14" ht="13.5" thickBot="1" x14ac:dyDescent="0.25">
      <x:c r="B37" s="190" t="s">
        <x:v>2</x:v>
      </x:c>
      <x:c r="C37" s="170">
        <x:f>SUM(C35:C36)</x:f>
        <x:v>0</x:v>
      </x:c>
      <x:c r="D37" s="170">
        <x:f t="shared" ref="D37:L37" si="10">SUM(D35:D36)</x:f>
        <x:v>0</x:v>
      </x:c>
      <x:c r="E37" s="170">
        <x:f t="shared" si="10"/>
        <x:v>0</x:v>
      </x:c>
      <x:c r="F37" s="170">
        <x:f t="shared" si="10"/>
        <x:v>0</x:v>
      </x:c>
      <x:c r="G37" s="170">
        <x:f t="shared" si="10"/>
        <x:v>0</x:v>
      </x:c>
      <x:c r="H37" s="170">
        <x:f t="shared" si="10"/>
        <x:v>0</x:v>
      </x:c>
      <x:c r="I37" s="170">
        <x:f t="shared" si="10"/>
        <x:v>0</x:v>
      </x:c>
      <x:c r="J37" s="170">
        <x:f t="shared" si="10"/>
        <x:v>0</x:v>
      </x:c>
      <x:c r="K37" s="170">
        <x:f t="shared" si="10"/>
        <x:v>0</x:v>
      </x:c>
      <x:c r="L37" s="170">
        <x:f t="shared" si="10"/>
        <x:v>0</x:v>
      </x:c>
      <x:c r="M37" s="170">
        <x:f>SUM(M35:M36)</x:f>
        <x:v>0</x:v>
      </x:c>
      <x:c r="N37" s="170">
        <x:f t="shared" ref="N37" si="11">SUM(N35:N36)</x:f>
        <x:v>0</x:v>
      </x:c>
    </x:row>
    <x:row r="39" spans="2:14" x14ac:dyDescent="0.2">
      <x:c r="L39" s="191"/>
    </x:row>
    <x:row r="40" spans="2:14" ht="15" x14ac:dyDescent="0.25">
      <x:c r="B40" s="187" t="s">
        <x:v>326</x:v>
      </x:c>
      <x:c r="C40" s="188"/>
    </x:row>
    <x:row r="41" spans="2:14" x14ac:dyDescent="0.2">
      <x:c r="C41" s="767" t="s">
        <x:v>99</x:v>
      </x:c>
      <x:c r="D41" s="767"/>
      <x:c r="E41" s="767" t="s">
        <x:v>100</x:v>
      </x:c>
      <x:c r="F41" s="767"/>
      <x:c r="G41" s="767" t="s">
        <x:v>101</x:v>
      </x:c>
      <x:c r="H41" s="767"/>
      <x:c r="I41" s="767" t="s">
        <x:v>102</x:v>
      </x:c>
      <x:c r="J41" s="767"/>
      <x:c r="K41" s="767" t="s">
        <x:v>103</x:v>
      </x:c>
      <x:c r="L41" s="767"/>
      <x:c r="M41" s="767" t="s">
        <x:v>2</x:v>
      </x:c>
      <x:c r="N41" s="767"/>
    </x:row>
    <x:row r="42" spans="2:14" x14ac:dyDescent="0.2">
      <x:c r="C42" s="189" t="s">
        <x:v>149</x:v>
      </x:c>
      <x:c r="D42" s="189" t="s">
        <x:v>150</x:v>
      </x:c>
      <x:c r="E42" s="189" t="s">
        <x:v>149</x:v>
      </x:c>
      <x:c r="F42" s="189" t="s">
        <x:v>150</x:v>
      </x:c>
      <x:c r="G42" s="189" t="s">
        <x:v>149</x:v>
      </x:c>
      <x:c r="H42" s="189" t="s">
        <x:v>150</x:v>
      </x:c>
      <x:c r="I42" s="189" t="s">
        <x:v>149</x:v>
      </x:c>
      <x:c r="J42" s="189" t="s">
        <x:v>150</x:v>
      </x:c>
      <x:c r="K42" s="189" t="s">
        <x:v>149</x:v>
      </x:c>
      <x:c r="L42" s="189" t="s">
        <x:v>150</x:v>
      </x:c>
      <x:c r="M42" s="189" t="s">
        <x:v>149</x:v>
      </x:c>
      <x:c r="N42" s="189" t="s">
        <x:v>150</x:v>
      </x:c>
    </x:row>
    <x:row r="43" spans="2:14" x14ac:dyDescent="0.2">
      <x:c r="B43" s="617" t="s">
        <x:v>151</x:v>
      </x:c>
      <x:c r="C43" s="200">
        <x:v>0</x:v>
      </x:c>
      <x:c r="D43" s="200">
        <x:v>0</x:v>
      </x:c>
      <x:c r="E43" s="200">
        <x:v>0</x:v>
      </x:c>
      <x:c r="F43" s="200">
        <x:v>0</x:v>
      </x:c>
      <x:c r="G43" s="200">
        <x:v>0</x:v>
      </x:c>
      <x:c r="H43" s="200">
        <x:v>0</x:v>
      </x:c>
      <x:c r="I43" s="200">
        <x:v>0</x:v>
      </x:c>
      <x:c r="J43" s="200">
        <x:v>0</x:v>
      </x:c>
      <x:c r="K43" s="199">
        <x:v>0</x:v>
      </x:c>
      <x:c r="L43" s="200">
        <x:v>0</x:v>
      </x:c>
      <x:c r="M43" s="615">
        <x:f>C43+E43+G43+I43+K43</x:f>
        <x:v>0</x:v>
      </x:c>
      <x:c r="N43" s="616">
        <x:f>D43+F43+H43+J43+L43</x:f>
        <x:v>0</x:v>
      </x:c>
    </x:row>
    <x:row r="44" spans="2:14" ht="13.5" thickBot="1" x14ac:dyDescent="0.25">
      <x:c r="B44" s="617" t="s">
        <x:v>152</x:v>
      </x:c>
      <x:c r="C44" s="200">
        <x:v>0</x:v>
      </x:c>
      <x:c r="D44" s="200">
        <x:v>0</x:v>
      </x:c>
      <x:c r="E44" s="200">
        <x:v>0</x:v>
      </x:c>
      <x:c r="F44" s="200">
        <x:v>0</x:v>
      </x:c>
      <x:c r="G44" s="200">
        <x:v>0</x:v>
      </x:c>
      <x:c r="H44" s="200">
        <x:v>0</x:v>
      </x:c>
      <x:c r="I44" s="200">
        <x:v>0</x:v>
      </x:c>
      <x:c r="J44" s="200">
        <x:v>0</x:v>
      </x:c>
      <x:c r="K44" s="199">
        <x:v>0</x:v>
      </x:c>
      <x:c r="L44" s="200">
        <x:v>0</x:v>
      </x:c>
      <x:c r="M44" s="615">
        <x:f>C44+E44+G44+I44+K44</x:f>
        <x:v>0</x:v>
      </x:c>
      <x:c r="N44" s="616">
        <x:f>D44+F44+H44+J44+L44</x:f>
        <x:v>0</x:v>
      </x:c>
    </x:row>
    <x:row r="45" spans="2:14" ht="13.5" thickBot="1" x14ac:dyDescent="0.25">
      <x:c r="B45" s="190" t="s">
        <x:v>2</x:v>
      </x:c>
      <x:c r="C45" s="170">
        <x:f>SUM(C43:C44)</x:f>
        <x:v>0</x:v>
      </x:c>
      <x:c r="D45" s="170">
        <x:f t="shared" ref="D45:J45" si="12">SUM(D43:D44)</x:f>
        <x:v>0</x:v>
      </x:c>
      <x:c r="E45" s="170">
        <x:f t="shared" si="12"/>
        <x:v>0</x:v>
      </x:c>
      <x:c r="F45" s="170">
        <x:f t="shared" si="12"/>
        <x:v>0</x:v>
      </x:c>
      <x:c r="G45" s="170">
        <x:f t="shared" si="12"/>
        <x:v>0</x:v>
      </x:c>
      <x:c r="H45" s="170">
        <x:f t="shared" si="12"/>
        <x:v>0</x:v>
      </x:c>
      <x:c r="I45" s="170">
        <x:f t="shared" si="12"/>
        <x:v>0</x:v>
      </x:c>
      <x:c r="J45" s="170">
        <x:f t="shared" si="12"/>
        <x:v>0</x:v>
      </x:c>
      <x:c r="K45" s="170">
        <x:f>SUM(K43:K44)</x:f>
        <x:v>0</x:v>
      </x:c>
      <x:c r="L45" s="170">
        <x:f>SUM(L43:L44)</x:f>
        <x:v>0</x:v>
      </x:c>
      <x:c r="M45" s="170">
        <x:f>SUM(M43:M44)</x:f>
        <x:v>0</x:v>
      </x:c>
      <x:c r="N45" s="170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40"/>
  <x:sheetViews>
    <x:sheetView zoomScale="88" zoomScaleNormal="88" workbookViewId="0">
      <x:selection activeCell="O15" sqref="O15"/>
    </x:sheetView>
  </x:sheetViews>
  <x:sheetFormatPr baseColWidth="10" defaultRowHeight="12.75" x14ac:dyDescent="0.2"/>
  <x:cols>
    <x:col min="1" max="1" width="2.42578125" customWidth="1"/>
    <x:col min="2" max="2" width="8" customWidth="1"/>
    <x:col min="3" max="3" width="15.7109375" bestFit="1" customWidth="1"/>
    <x:col min="4" max="4" width="1.7109375" customWidth="1"/>
    <x:col min="5" max="5" width="14.7109375" customWidth="1"/>
    <x:col min="6" max="6" width="15.7109375" bestFit="1" customWidth="1"/>
    <x:col min="7" max="7" width="1.7109375" customWidth="1"/>
    <x:col min="8" max="8" width="9.28515625" customWidth="1"/>
    <x:col min="9" max="9" width="15.7109375" bestFit="1" customWidth="1"/>
    <x:col min="10" max="10" width="1.7109375" customWidth="1"/>
    <x:col min="11" max="11" width="14.28515625" customWidth="1"/>
    <x:col min="12" max="12" width="17.42578125" customWidth="1"/>
    <x:col min="13" max="13" width="1.7109375" customWidth="1"/>
    <x:col min="14" max="14" width="14.28515625" customWidth="1"/>
    <x:col min="15" max="15" width="17.42578125" customWidth="1"/>
    <x:col min="16" max="16" width="1.7109375" customWidth="1"/>
    <x:col min="17" max="17" width="20.28515625" customWidth="1"/>
    <x:col min="18" max="18" width="15.7109375" bestFit="1" customWidth="1"/>
    <x:col min="19" max="19" width="3.5703125" customWidth="1"/>
    <x:col min="20" max="20" width="48.42578125" bestFit="1" customWidth="1"/>
  </x:cols>
  <x:sheetData>
    <x:row r="1" spans="2:20" s="50" customFormat="1" ht="15.75" thickBot="1" x14ac:dyDescent="0.3">
      <x:c r="B1" s="50" t="s">
        <x:v>2</x:v>
      </x:c>
      <x:c r="D1" s="618"/>
      <x:c r="E1" s="50" t="s">
        <x:v>160</x:v>
      </x:c>
      <x:c r="G1" s="618"/>
      <x:c r="H1" s="50" t="s">
        <x:v>155</x:v>
      </x:c>
      <x:c r="J1" s="618"/>
      <x:c r="K1" s="619" t="s">
        <x:v>326</x:v>
      </x:c>
      <x:c r="L1" s="619"/>
      <x:c r="M1" s="618"/>
      <x:c r="N1" s="50" t="s">
        <x:v>119</x:v>
      </x:c>
      <x:c r="P1" s="618"/>
      <x:c r="Q1" s="50" t="s">
        <x:v>165</x:v>
      </x:c>
    </x:row>
    <x:row r="2" spans="2:20" ht="36.75" thickBot="1" x14ac:dyDescent="0.25">
      <x:c r="B2" s="11" t="s">
        <x:v>3</x:v>
      </x:c>
      <x:c r="C2" s="12" t="s">
        <x:v>114</x:v>
      </x:c>
      <x:c r="D2" s="197"/>
      <x:c r="E2" s="11" t="s">
        <x:v>3</x:v>
      </x:c>
      <x:c r="F2" s="12" t="s">
        <x:v>114</x:v>
      </x:c>
      <x:c r="G2" s="197"/>
      <x:c r="H2" s="11" t="s">
        <x:v>3</x:v>
      </x:c>
      <x:c r="I2" s="12" t="s">
        <x:v>114</x:v>
      </x:c>
      <x:c r="J2" s="197"/>
      <x:c r="K2" s="11" t="s">
        <x:v>3</x:v>
      </x:c>
      <x:c r="L2" s="12" t="s">
        <x:v>114</x:v>
      </x:c>
      <x:c r="M2" s="197"/>
      <x:c r="N2" s="11" t="s">
        <x:v>3</x:v>
      </x:c>
      <x:c r="O2" s="12" t="s">
        <x:v>114</x:v>
      </x:c>
      <x:c r="P2" s="197"/>
      <x:c r="Q2" s="11" t="s">
        <x:v>3</x:v>
      </x:c>
      <x:c r="R2" s="12" t="s">
        <x:v>114</x:v>
      </x:c>
      <x:c r="T2" t="s">
        <x:v>94</x:v>
      </x:c>
    </x:row>
    <x:row r="3" spans="2:20" x14ac:dyDescent="0.2">
      <x:c r="B3" s="14">
        <x:v>1</x:v>
      </x:c>
      <x:c r="C3" s="747">
        <x:f>'REPORTE RECAUDO x BANCO'!I14</x:f>
        <x:v>0</x:v>
      </x:c>
      <x:c r="D3" s="197"/>
      <x:c r="E3" s="14">
        <x:v>1</x:v>
      </x:c>
      <x:c r="F3" s="15">
        <x:f>'REPORTE RECAUDO x BANCO'!F14</x:f>
        <x:v>0</x:v>
      </x:c>
      <x:c r="G3" s="197"/>
      <x:c r="H3" s="14">
        <x:v>1</x:v>
      </x:c>
      <x:c r="I3" s="15">
        <x:f>'REPORTE RECAUDO x BANCO'!C14</x:f>
        <x:v>0</x:v>
      </x:c>
      <x:c r="J3" s="197"/>
      <x:c r="K3" s="14">
        <x:v>1</x:v>
      </x:c>
      <x:c r="L3" s="15">
        <x:f>'REPORTE RECAUDO x BANCO'!G14</x:f>
        <x:v>0</x:v>
      </x:c>
      <x:c r="M3" s="197"/>
      <x:c r="N3" s="14">
        <x:v>1</x:v>
      </x:c>
      <x:c r="O3" s="15">
        <x:f>'REPORTE RECAUDO x BANCO'!H14</x:f>
        <x:v>0</x:v>
      </x:c>
      <x:c r="P3" s="197"/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">
      <x:c r="B4" s="16">
        <x:v>2</x:v>
      </x:c>
      <x:c r="C4" s="747">
        <x:f>'REPORTE RECAUDO x BANCO'!I24</x:f>
        <x:v>0</x:v>
      </x:c>
      <x:c r="D4" s="197"/>
      <x:c r="E4" s="16">
        <x:v>2</x:v>
      </x:c>
      <x:c r="F4" s="15">
        <x:f>'REPORTE RECAUDO x BANCO'!F24</x:f>
        <x:v>0</x:v>
      </x:c>
      <x:c r="G4" s="197"/>
      <x:c r="H4" s="16">
        <x:v>2</x:v>
      </x:c>
      <x:c r="I4" s="15">
        <x:f>'REPORTE RECAUDO x BANCO'!C24</x:f>
        <x:v>0</x:v>
      </x:c>
      <x:c r="J4" s="197"/>
      <x:c r="K4" s="16">
        <x:v>2</x:v>
      </x:c>
      <x:c r="L4" s="15">
        <x:f>'REPORTE RECAUDO x BANCO'!G24</x:f>
        <x:v>0</x:v>
      </x:c>
      <x:c r="M4" s="197"/>
      <x:c r="N4" s="16">
        <x:v>2</x:v>
      </x:c>
      <x:c r="O4" s="15">
        <x:f>'REPORTE RECAUDO x BANCO'!H24</x:f>
        <x:v>0</x:v>
      </x:c>
      <x:c r="P4" s="197"/>
      <x:c r="Q4" s="16">
        <x:v>2</x:v>
      </x:c>
      <x:c r="R4" s="15">
        <x:f>'REPORTE RECAUDO x BANCO'!D24+'REPORTE RECAUDO x BANCO'!E24</x:f>
        <x:v>0</x:v>
      </x:c>
    </x:row>
    <x:row r="5" spans="2:20" x14ac:dyDescent="0.2">
      <x:c r="B5" s="16">
        <x:v>3</x:v>
      </x:c>
      <x:c r="C5" s="747">
        <x:f>'REPORTE RECAUDO x BANCO'!I33</x:f>
        <x:v>0</x:v>
      </x:c>
      <x:c r="D5" s="197"/>
      <x:c r="E5" s="16">
        <x:v>3</x:v>
      </x:c>
      <x:c r="F5" s="15">
        <x:f>'REPORTE RECAUDO x BANCO'!F33</x:f>
        <x:v>0</x:v>
      </x:c>
      <x:c r="G5" s="197"/>
      <x:c r="H5" s="16">
        <x:v>3</x:v>
      </x:c>
      <x:c r="I5" s="15">
        <x:f>'REPORTE RECAUDO x BANCO'!C33</x:f>
        <x:v>0</x:v>
      </x:c>
      <x:c r="J5" s="197"/>
      <x:c r="K5" s="16">
        <x:v>3</x:v>
      </x:c>
      <x:c r="L5" s="15">
        <x:f>'REPORTE RECAUDO x BANCO'!G33</x:f>
        <x:v>0</x:v>
      </x:c>
      <x:c r="M5" s="197"/>
      <x:c r="N5" s="16">
        <x:v>3</x:v>
      </x:c>
      <x:c r="O5" s="15">
        <x:f>'REPORTE RECAUDO x BANCO'!H33</x:f>
        <x:v>0</x:v>
      </x:c>
      <x:c r="P5" s="197"/>
      <x:c r="Q5" s="16">
        <x:v>3</x:v>
      </x:c>
      <x:c r="R5" s="15">
        <x:f>'REPORTE RECAUDO x BANCO'!D33+'REPORTE RECAUDO x BANCO'!E33</x:f>
        <x:v>0</x:v>
      </x:c>
    </x:row>
    <x:row r="6" spans="2:20" x14ac:dyDescent="0.2">
      <x:c r="B6" s="16">
        <x:v>4</x:v>
      </x:c>
      <x:c r="C6" s="747">
        <x:f>'REPORTE RECAUDO x BANCO'!I42</x:f>
        <x:v>0</x:v>
      </x:c>
      <x:c r="D6" s="197"/>
      <x:c r="E6" s="16">
        <x:v>4</x:v>
      </x:c>
      <x:c r="F6" s="15">
        <x:f>'REPORTE RECAUDO x BANCO'!F42</x:f>
        <x:v>0</x:v>
      </x:c>
      <x:c r="G6" s="197"/>
      <x:c r="H6" s="16">
        <x:v>4</x:v>
      </x:c>
      <x:c r="I6" s="15">
        <x:f>'REPORTE RECAUDO x BANCO'!C42</x:f>
        <x:v>0</x:v>
      </x:c>
      <x:c r="J6" s="197"/>
      <x:c r="K6" s="16">
        <x:v>4</x:v>
      </x:c>
      <x:c r="L6" s="15">
        <x:f>'REPORTE RECAUDO x BANCO'!G42</x:f>
        <x:v>0</x:v>
      </x:c>
      <x:c r="M6" s="197"/>
      <x:c r="N6" s="16">
        <x:v>4</x:v>
      </x:c>
      <x:c r="O6" s="15">
        <x:f>'REPORTE RECAUDO x BANCO'!H42</x:f>
        <x:v>0</x:v>
      </x:c>
      <x:c r="P6" s="197"/>
      <x:c r="Q6" s="16">
        <x:v>4</x:v>
      </x:c>
      <x:c r="R6" s="15">
        <x:f>'REPORTE RECAUDO x BANCO'!D42+'REPORTE RECAUDO x BANCO'!E42</x:f>
        <x:v>0</x:v>
      </x:c>
    </x:row>
    <x:row r="7" spans="2:20" ht="13.5" thickBot="1" x14ac:dyDescent="0.25">
      <x:c r="B7" s="19">
        <x:v>5</x:v>
      </x:c>
      <x:c r="C7" s="747">
        <x:f>'REPORTE RECAUDO x BANCO'!I52</x:f>
        <x:v>0</x:v>
      </x:c>
      <x:c r="D7" s="197"/>
      <x:c r="E7" s="19">
        <x:v>5</x:v>
      </x:c>
      <x:c r="F7" s="15">
        <x:f>'REPORTE RECAUDO x BANCO'!F52</x:f>
        <x:v>0</x:v>
      </x:c>
      <x:c r="G7" s="197"/>
      <x:c r="H7" s="19">
        <x:v>5</x:v>
      </x:c>
      <x:c r="I7" s="15">
        <x:f>'REPORTE RECAUDO x BANCO'!C52</x:f>
        <x:v>0</x:v>
      </x:c>
      <x:c r="J7" s="197"/>
      <x:c r="K7" s="19">
        <x:v>5</x:v>
      </x:c>
      <x:c r="L7" s="15">
        <x:f>'REPORTE RECAUDO x BANCO'!G52</x:f>
        <x:v>0</x:v>
      </x:c>
      <x:c r="M7" s="197"/>
      <x:c r="N7" s="19">
        <x:v>5</x:v>
      </x:c>
      <x:c r="O7" s="15">
        <x:f>'REPORTE RECAUDO x BANCO'!H52</x:f>
        <x:v>0</x:v>
      </x:c>
      <x:c r="P7" s="197"/>
      <x:c r="Q7" s="19">
        <x:v>5</x:v>
      </x:c>
      <x:c r="R7" s="15">
        <x:f>'REPORTE RECAUDO x BANCO'!D52+'REPORTE RECAUDO x BANCO'!E52</x:f>
        <x:v>0</x:v>
      </x:c>
    </x:row>
    <x:row r="8" spans="2:20" ht="13.5" thickBot="1" x14ac:dyDescent="0.25">
      <x:c r="B8" s="21"/>
      <x:c r="C8" s="748">
        <x:f>SUM(C3:C7)</x:f>
        <x:v>0</x:v>
      </x:c>
      <x:c r="D8" s="197"/>
      <x:c r="E8" s="21"/>
      <x:c r="F8" s="170">
        <x:f>SUM(F3:F7)</x:f>
        <x:v>0</x:v>
      </x:c>
      <x:c r="G8" s="197"/>
      <x:c r="H8" s="21"/>
      <x:c r="I8" s="170">
        <x:f>SUM(I3:I7)</x:f>
        <x:v>0</x:v>
      </x:c>
      <x:c r="J8" s="197"/>
      <x:c r="K8" s="21"/>
      <x:c r="L8" s="170">
        <x:f>SUM(L3:L7)</x:f>
        <x:v>0</x:v>
      </x:c>
      <x:c r="M8" s="197"/>
      <x:c r="N8" s="21"/>
      <x:c r="O8" s="170">
        <x:f>SUM(O3:O7)</x:f>
        <x:v>0</x:v>
      </x:c>
      <x:c r="P8" s="197"/>
      <x:c r="Q8" s="21"/>
      <x:c r="R8" s="170">
        <x:f>SUM(R3:R7)</x:f>
        <x:v>0</x:v>
      </x:c>
    </x:row>
    <x:row r="9" spans="2:20" x14ac:dyDescent="0.2">
      <x:c r="C9" s="188" t="b">
        <x:f>C8='REPORTE RECAUDO x BANCO'!I3</x:f>
        <x:v>1</x:v>
      </x:c>
      <x:c r="D9" s="197"/>
      <x:c r="F9" s="188" t="b">
        <x:f>F8='REPORTE RECAUDO x BANCO'!F3</x:f>
        <x:v>1</x:v>
      </x:c>
      <x:c r="G9" s="197"/>
      <x:c r="I9" s="188" t="b">
        <x:f>I8='REPORTE RECAUDO x BANCO'!C3</x:f>
        <x:v>1</x:v>
      </x:c>
      <x:c r="J9" s="197"/>
      <x:c r="L9" s="188" t="b">
        <x:f>L8='REPORTE RECAUDO x BANCO'!G3</x:f>
        <x:v>1</x:v>
      </x:c>
      <x:c r="M9" s="197"/>
      <x:c r="O9" s="188" t="b">
        <x:f>O8='REPORTE RECAUDO x BANCO'!H3</x:f>
        <x:v>1</x:v>
      </x:c>
      <x:c r="P9" s="197"/>
      <x:c r="R9" s="188" t="b">
        <x:f>R8='REPORTE RECAUDO x BANCO'!D3+'REPORTE RECAUDO x BANCO'!E3</x:f>
        <x:v>1</x:v>
      </x:c>
    </x:row>
    <x:row r="10" spans="2:20" ht="13.5" thickBot="1" x14ac:dyDescent="0.25">
      <x:c r="D10" s="197"/>
      <x:c r="G10" s="197"/>
      <x:c r="J10" s="197"/>
      <x:c r="M10" s="197"/>
      <x:c r="P10" s="197"/>
    </x:row>
    <x:row r="11" spans="2:20" ht="60.75" thickBot="1" x14ac:dyDescent="0.25">
      <x:c r="B11" s="11" t="s">
        <x:v>3</x:v>
      </x:c>
      <x:c r="C11" s="12" t="s">
        <x:v>145</x:v>
      </x:c>
      <x:c r="D11" s="197"/>
      <x:c r="E11" s="11" t="s">
        <x:v>3</x:v>
      </x:c>
      <x:c r="F11" s="12" t="s">
        <x:v>145</x:v>
      </x:c>
      <x:c r="G11" s="197"/>
      <x:c r="H11" s="11" t="s">
        <x:v>3</x:v>
      </x:c>
      <x:c r="I11" s="12" t="s">
        <x:v>145</x:v>
      </x:c>
      <x:c r="J11" s="197"/>
      <x:c r="K11" s="11" t="s">
        <x:v>3</x:v>
      </x:c>
      <x:c r="L11" s="12" t="s">
        <x:v>145</x:v>
      </x:c>
      <x:c r="M11" s="197"/>
      <x:c r="N11" s="11" t="s">
        <x:v>3</x:v>
      </x:c>
      <x:c r="O11" s="12" t="s">
        <x:v>145</x:v>
      </x:c>
      <x:c r="P11" s="197"/>
      <x:c r="Q11" s="11" t="s">
        <x:v>3</x:v>
      </x:c>
      <x:c r="R11" s="12" t="s">
        <x:v>145</x:v>
      </x:c>
      <x:c r="T11" s="131" t="s">
        <x:v>146</x:v>
      </x:c>
    </x:row>
    <x:row r="12" spans="2:20" x14ac:dyDescent="0.2">
      <x:c r="B12" s="14">
        <x:v>1</x:v>
      </x:c>
      <x:c r="C12" s="747">
        <x:f>'ANT EXT-REV'!C4</x:f>
        <x:v>0</x:v>
      </x:c>
      <x:c r="D12" s="197"/>
      <x:c r="E12" s="14">
        <x:v>1</x:v>
      </x:c>
      <x:c r="F12" s="15">
        <x:f>'ANT EXT-REV'!C20</x:f>
        <x:v>0</x:v>
      </x:c>
      <x:c r="G12" s="197"/>
      <x:c r="H12" s="14">
        <x:v>1</x:v>
      </x:c>
      <x:c r="I12" s="15">
        <x:f>'ANT EXT-REV'!C36</x:f>
        <x:v>0</x:v>
      </x:c>
      <x:c r="J12" s="197"/>
      <x:c r="K12" s="14">
        <x:v>1</x:v>
      </x:c>
      <x:c r="L12" s="15">
        <x:f>'ANT EXT-REV'!C44</x:f>
        <x:v>0</x:v>
      </x:c>
      <x:c r="M12" s="197"/>
      <x:c r="N12" s="14">
        <x:v>1</x:v>
      </x:c>
      <x:c r="O12" s="15">
        <x:f>'ANT EXT-REV'!C12</x:f>
        <x:v>0</x:v>
      </x:c>
      <x:c r="P12" s="197"/>
      <x:c r="Q12" s="14">
        <x:v>1</x:v>
      </x:c>
      <x:c r="R12" s="15">
        <x:f>'ANT EXT-REV'!C28</x:f>
        <x:v>0</x:v>
      </x:c>
      <x:c r="T12" s="131" t="s">
        <x:v>147</x:v>
      </x:c>
    </x:row>
    <x:row r="13" spans="2:20" x14ac:dyDescent="0.2">
      <x:c r="B13" s="16">
        <x:v>2</x:v>
      </x:c>
      <x:c r="C13" s="747">
        <x:f>'ANT EXT-REV'!E4</x:f>
        <x:v>0</x:v>
      </x:c>
      <x:c r="D13" s="197"/>
      <x:c r="E13" s="16">
        <x:v>2</x:v>
      </x:c>
      <x:c r="F13" s="15">
        <x:f>'ANT EXT-REV'!E20</x:f>
        <x:v>0</x:v>
      </x:c>
      <x:c r="G13" s="197"/>
      <x:c r="H13" s="16">
        <x:v>2</x:v>
      </x:c>
      <x:c r="I13" s="15">
        <x:f>'ANT EXT-REV'!E36</x:f>
        <x:v>0</x:v>
      </x:c>
      <x:c r="J13" s="197"/>
      <x:c r="K13" s="16">
        <x:v>2</x:v>
      </x:c>
      <x:c r="L13" s="15">
        <x:f>'ANT EXT-REV'!E44</x:f>
        <x:v>0</x:v>
      </x:c>
      <x:c r="M13" s="197"/>
      <x:c r="N13" s="16">
        <x:v>2</x:v>
      </x:c>
      <x:c r="O13" s="15">
        <x:f>'ANT EXT-REV'!E12</x:f>
        <x:v>0</x:v>
      </x:c>
      <x:c r="P13" s="197"/>
      <x:c r="Q13" s="16">
        <x:v>2</x:v>
      </x:c>
      <x:c r="R13" s="15">
        <x:f>'ANT EXT-REV'!E28</x:f>
        <x:v>0</x:v>
      </x:c>
    </x:row>
    <x:row r="14" spans="2:20" x14ac:dyDescent="0.2">
      <x:c r="B14" s="16">
        <x:v>3</x:v>
      </x:c>
      <x:c r="C14" s="747">
        <x:f>'ANT EXT-REV'!G4</x:f>
        <x:v>0</x:v>
      </x:c>
      <x:c r="D14" s="197"/>
      <x:c r="E14" s="16">
        <x:v>3</x:v>
      </x:c>
      <x:c r="F14" s="15">
        <x:f>'ANT EXT-REV'!G20</x:f>
        <x:v>0</x:v>
      </x:c>
      <x:c r="G14" s="197"/>
      <x:c r="H14" s="16">
        <x:v>3</x:v>
      </x:c>
      <x:c r="I14" s="15">
        <x:f>'ANT EXT-REV'!G36</x:f>
        <x:v>0</x:v>
      </x:c>
      <x:c r="J14" s="197"/>
      <x:c r="K14" s="16">
        <x:v>3</x:v>
      </x:c>
      <x:c r="L14" s="15">
        <x:f>'ANT EXT-REV'!G44</x:f>
        <x:v>0</x:v>
      </x:c>
      <x:c r="M14" s="197"/>
      <x:c r="N14" s="16">
        <x:v>3</x:v>
      </x:c>
      <x:c r="O14" s="15">
        <x:f>'ANT EXT-REV'!G12</x:f>
        <x:v>0</x:v>
      </x:c>
      <x:c r="P14" s="197"/>
      <x:c r="Q14" s="16">
        <x:v>3</x:v>
      </x:c>
      <x:c r="R14" s="15">
        <x:f>'ANT EXT-REV'!G28</x:f>
        <x:v>0</x:v>
      </x:c>
    </x:row>
    <x:row r="15" spans="2:20" x14ac:dyDescent="0.2">
      <x:c r="B15" s="16">
        <x:v>4</x:v>
      </x:c>
      <x:c r="C15" s="747">
        <x:f>'ANT EXT-REV'!I4</x:f>
        <x:v>0</x:v>
      </x:c>
      <x:c r="D15" s="197"/>
      <x:c r="E15" s="16">
        <x:v>4</x:v>
      </x:c>
      <x:c r="F15" s="15">
        <x:f>'ANT EXT-REV'!I20</x:f>
        <x:v>0</x:v>
      </x:c>
      <x:c r="G15" s="197"/>
      <x:c r="H15" s="16">
        <x:v>4</x:v>
      </x:c>
      <x:c r="I15" s="15">
        <x:f>'ANT EXT-REV'!I36</x:f>
        <x:v>0</x:v>
      </x:c>
      <x:c r="J15" s="197"/>
      <x:c r="K15" s="16">
        <x:v>4</x:v>
      </x:c>
      <x:c r="L15" s="15">
        <x:f>'ANT EXT-REV'!I44</x:f>
        <x:v>0</x:v>
      </x:c>
      <x:c r="M15" s="197"/>
      <x:c r="N15" s="16">
        <x:v>4</x:v>
      </x:c>
      <x:c r="O15" s="15">
        <x:f>'ANT EXT-REV'!I12</x:f>
        <x:v>0</x:v>
      </x:c>
      <x:c r="P15" s="197"/>
      <x:c r="Q15" s="16">
        <x:v>4</x:v>
      </x:c>
      <x:c r="R15" s="15">
        <x:f>'ANT EXT-REV'!I28</x:f>
        <x:v>0</x:v>
      </x:c>
    </x:row>
    <x:row r="16" spans="2:20" ht="13.5" thickBot="1" x14ac:dyDescent="0.25">
      <x:c r="B16" s="19">
        <x:v>5</x:v>
      </x:c>
      <x:c r="C16" s="747">
        <x:f>'ANT EXT-REV'!K4</x:f>
        <x:v>0</x:v>
      </x:c>
      <x:c r="D16" s="197"/>
      <x:c r="E16" s="19">
        <x:v>5</x:v>
      </x:c>
      <x:c r="F16" s="15">
        <x:f>'ANT EXT-REV'!K20</x:f>
        <x:v>0</x:v>
      </x:c>
      <x:c r="G16" s="197"/>
      <x:c r="H16" s="19">
        <x:v>5</x:v>
      </x:c>
      <x:c r="I16" s="15">
        <x:f>'ANT EXT-REV'!K36</x:f>
        <x:v>0</x:v>
      </x:c>
      <x:c r="J16" s="197"/>
      <x:c r="K16" s="19">
        <x:v>5</x:v>
      </x:c>
      <x:c r="L16" s="15">
        <x:f>'ANT EXT-REV'!K44</x:f>
        <x:v>0</x:v>
      </x:c>
      <x:c r="M16" s="197"/>
      <x:c r="N16" s="19">
        <x:v>5</x:v>
      </x:c>
      <x:c r="O16" s="15">
        <x:f>'ANT EXT-REV'!K12</x:f>
        <x:v>0</x:v>
      </x:c>
      <x:c r="P16" s="197"/>
      <x:c r="Q16" s="19">
        <x:v>5</x:v>
      </x:c>
      <x:c r="R16" s="15">
        <x:f>'ANT EXT-REV'!K28</x:f>
        <x:v>0</x:v>
      </x:c>
    </x:row>
    <x:row r="17" spans="2:20" ht="13.5" thickBot="1" x14ac:dyDescent="0.25">
      <x:c r="B17" s="21"/>
      <x:c r="C17" s="748">
        <x:f>SUM(C12:C16)</x:f>
        <x:v>0</x:v>
      </x:c>
      <x:c r="D17" s="197"/>
      <x:c r="E17" s="21"/>
      <x:c r="F17" s="170">
        <x:f>SUM(F12:F16)</x:f>
        <x:v>0</x:v>
      </x:c>
      <x:c r="G17" s="197"/>
      <x:c r="H17" s="21"/>
      <x:c r="I17" s="170">
        <x:f>SUM(I12:I16)</x:f>
        <x:v>0</x:v>
      </x:c>
      <x:c r="J17" s="197"/>
      <x:c r="K17" s="21"/>
      <x:c r="L17" s="170">
        <x:f>SUM(L12:L16)</x:f>
        <x:v>0</x:v>
      </x:c>
      <x:c r="M17" s="197"/>
      <x:c r="N17" s="21"/>
      <x:c r="O17" s="170">
        <x:f>SUM(O12:O16)</x:f>
        <x:v>0</x:v>
      </x:c>
      <x:c r="P17" s="197"/>
      <x:c r="Q17" s="21"/>
      <x:c r="R17" s="170">
        <x:f>SUM(R12:R16)</x:f>
        <x:v>0</x:v>
      </x:c>
    </x:row>
    <x:row r="18" spans="2:20" x14ac:dyDescent="0.2">
      <x:c r="C18" s="188" t="b">
        <x:f>C17='ANT EXT-REV'!M4</x:f>
        <x:v>1</x:v>
      </x:c>
      <x:c r="D18" s="197"/>
      <x:c r="F18" s="188" t="b">
        <x:f>F17='ANT EXT-REV'!M20</x:f>
        <x:v>1</x:v>
      </x:c>
      <x:c r="G18" s="197"/>
      <x:c r="I18" s="188" t="b">
        <x:f>I17='ANT EXT-REV'!M36</x:f>
        <x:v>1</x:v>
      </x:c>
      <x:c r="J18" s="197"/>
      <x:c r="L18" s="188" t="b">
        <x:f>L17='ANT EXT-REV'!M44</x:f>
        <x:v>1</x:v>
      </x:c>
      <x:c r="M18" s="197"/>
      <x:c r="O18" s="188" t="b">
        <x:f>O17='ANT EXT-REV'!M12</x:f>
        <x:v>1</x:v>
      </x:c>
      <x:c r="P18" s="197"/>
      <x:c r="R18" s="188" t="b">
        <x:f>R17='ANT EXT-REV'!M28</x:f>
        <x:v>1</x:v>
      </x:c>
    </x:row>
    <x:row r="19" spans="2:20" ht="13.5" thickBot="1" x14ac:dyDescent="0.25">
      <x:c r="D19" s="197"/>
      <x:c r="G19" s="197"/>
      <x:c r="J19" s="197"/>
      <x:c r="M19" s="197"/>
      <x:c r="P19" s="197"/>
    </x:row>
    <x:row r="20" spans="2:20" ht="36.75" thickBot="1" x14ac:dyDescent="0.25">
      <x:c r="B20" s="11" t="s">
        <x:v>3</x:v>
      </x:c>
      <x:c r="C20" s="12" t="s">
        <x:v>169</x:v>
      </x:c>
      <x:c r="D20" s="197"/>
      <x:c r="E20" s="11" t="s">
        <x:v>3</x:v>
      </x:c>
      <x:c r="F20" s="12" t="s">
        <x:v>169</x:v>
      </x:c>
      <x:c r="G20" s="197"/>
      <x:c r="H20" s="11" t="s">
        <x:v>3</x:v>
      </x:c>
      <x:c r="I20" s="12" t="s">
        <x:v>169</x:v>
      </x:c>
      <x:c r="J20" s="197"/>
      <x:c r="K20" s="11" t="s">
        <x:v>3</x:v>
      </x:c>
      <x:c r="L20" s="12" t="s">
        <x:v>169</x:v>
      </x:c>
      <x:c r="M20" s="197"/>
      <x:c r="N20" s="11" t="s">
        <x:v>3</x:v>
      </x:c>
      <x:c r="O20" s="12" t="s">
        <x:v>169</x:v>
      </x:c>
      <x:c r="P20" s="197"/>
      <x:c r="Q20" s="11" t="s">
        <x:v>3</x:v>
      </x:c>
      <x:c r="R20" s="12" t="s">
        <x:v>169</x:v>
      </x:c>
      <x:c r="T20" s="131" t="s">
        <x:v>170</x:v>
      </x:c>
    </x:row>
    <x:row r="21" spans="2:20" x14ac:dyDescent="0.2">
      <x:c r="B21" s="14">
        <x:v>1</x:v>
      </x:c>
      <x:c r="C21" s="747">
        <x:f>'ANT EXT-REV'!D4</x:f>
        <x:v>0</x:v>
      </x:c>
      <x:c r="D21" s="197"/>
      <x:c r="E21" s="14">
        <x:v>1</x:v>
      </x:c>
      <x:c r="F21" s="15">
        <x:f>'ANT EXT-REV'!D20</x:f>
        <x:v>0</x:v>
      </x:c>
      <x:c r="G21" s="197"/>
      <x:c r="H21" s="14">
        <x:v>1</x:v>
      </x:c>
      <x:c r="I21" s="15">
        <x:f>'ANT EXT-REV'!D36</x:f>
        <x:v>0</x:v>
      </x:c>
      <x:c r="J21" s="197"/>
      <x:c r="K21" s="14">
        <x:v>1</x:v>
      </x:c>
      <x:c r="L21" s="15">
        <x:f>'ANT EXT-REV'!D44</x:f>
        <x:v>0</x:v>
      </x:c>
      <x:c r="M21" s="197"/>
      <x:c r="N21" s="14">
        <x:v>1</x:v>
      </x:c>
      <x:c r="O21" s="15">
        <x:f>'ANT EXT-REV'!D12</x:f>
        <x:v>0</x:v>
      </x:c>
      <x:c r="P21" s="197"/>
      <x:c r="Q21" s="14">
        <x:v>1</x:v>
      </x:c>
      <x:c r="R21" s="15">
        <x:f>'ANT EXT-REV'!D28</x:f>
        <x:v>0</x:v>
      </x:c>
      <x:c r="T21" s="131" t="s">
        <x:v>147</x:v>
      </x:c>
    </x:row>
    <x:row r="22" spans="2:20" x14ac:dyDescent="0.2">
      <x:c r="B22" s="16">
        <x:v>2</x:v>
      </x:c>
      <x:c r="C22" s="747">
        <x:f>'ANT EXT-REV'!F4</x:f>
        <x:v>0</x:v>
      </x:c>
      <x:c r="D22" s="197"/>
      <x:c r="E22" s="16">
        <x:v>2</x:v>
      </x:c>
      <x:c r="F22" s="15">
        <x:f>'ANT EXT-REV'!F20</x:f>
        <x:v>0</x:v>
      </x:c>
      <x:c r="G22" s="197"/>
      <x:c r="H22" s="16">
        <x:v>2</x:v>
      </x:c>
      <x:c r="I22" s="15">
        <x:f>'ANT EXT-REV'!F36</x:f>
        <x:v>0</x:v>
      </x:c>
      <x:c r="J22" s="197"/>
      <x:c r="K22" s="16">
        <x:v>2</x:v>
      </x:c>
      <x:c r="L22" s="15">
        <x:f>'ANT EXT-REV'!F44</x:f>
        <x:v>0</x:v>
      </x:c>
      <x:c r="M22" s="197"/>
      <x:c r="N22" s="16">
        <x:v>2</x:v>
      </x:c>
      <x:c r="O22" s="15">
        <x:f>'ANT EXT-REV'!F12</x:f>
        <x:v>0</x:v>
      </x:c>
      <x:c r="P22" s="197"/>
      <x:c r="Q22" s="16">
        <x:v>2</x:v>
      </x:c>
      <x:c r="R22" s="15">
        <x:f>'ANT EXT-REV'!F28</x:f>
        <x:v>0</x:v>
      </x:c>
    </x:row>
    <x:row r="23" spans="2:20" x14ac:dyDescent="0.2">
      <x:c r="B23" s="16">
        <x:v>3</x:v>
      </x:c>
      <x:c r="C23" s="747">
        <x:f>'ANT EXT-REV'!H4</x:f>
        <x:v>0</x:v>
      </x:c>
      <x:c r="D23" s="197"/>
      <x:c r="E23" s="16">
        <x:v>3</x:v>
      </x:c>
      <x:c r="F23" s="15">
        <x:f>'ANT EXT-REV'!H20</x:f>
        <x:v>0</x:v>
      </x:c>
      <x:c r="G23" s="197"/>
      <x:c r="H23" s="16">
        <x:v>3</x:v>
      </x:c>
      <x:c r="I23" s="15">
        <x:f>'ANT EXT-REV'!H36</x:f>
        <x:v>0</x:v>
      </x:c>
      <x:c r="J23" s="197"/>
      <x:c r="K23" s="16">
        <x:v>3</x:v>
      </x:c>
      <x:c r="L23" s="15">
        <x:f>'ANT EXT-REV'!H44</x:f>
        <x:v>0</x:v>
      </x:c>
      <x:c r="M23" s="197"/>
      <x:c r="N23" s="16">
        <x:v>3</x:v>
      </x:c>
      <x:c r="O23" s="15">
        <x:f>'ANT EXT-REV'!H12</x:f>
        <x:v>0</x:v>
      </x:c>
      <x:c r="P23" s="197"/>
      <x:c r="Q23" s="16">
        <x:v>3</x:v>
      </x:c>
      <x:c r="R23" s="15">
        <x:f>'ANT EXT-REV'!H28</x:f>
        <x:v>0</x:v>
      </x:c>
    </x:row>
    <x:row r="24" spans="2:20" x14ac:dyDescent="0.2">
      <x:c r="B24" s="16">
        <x:v>4</x:v>
      </x:c>
      <x:c r="C24" s="747">
        <x:f>'ANT EXT-REV'!J4</x:f>
        <x:v>0</x:v>
      </x:c>
      <x:c r="D24" s="197"/>
      <x:c r="E24" s="16">
        <x:v>4</x:v>
      </x:c>
      <x:c r="F24" s="15">
        <x:f>'ANT EXT-REV'!J20</x:f>
        <x:v>0</x:v>
      </x:c>
      <x:c r="G24" s="197"/>
      <x:c r="H24" s="16">
        <x:v>4</x:v>
      </x:c>
      <x:c r="I24" s="15">
        <x:f>'ANT EXT-REV'!J36</x:f>
        <x:v>0</x:v>
      </x:c>
      <x:c r="J24" s="197"/>
      <x:c r="K24" s="16">
        <x:v>4</x:v>
      </x:c>
      <x:c r="L24" s="15">
        <x:f>'ANT EXT-REV'!J44</x:f>
        <x:v>0</x:v>
      </x:c>
      <x:c r="M24" s="197"/>
      <x:c r="N24" s="16">
        <x:v>4</x:v>
      </x:c>
      <x:c r="O24" s="15">
        <x:f>'ANT EXT-REV'!J12</x:f>
        <x:v>0</x:v>
      </x:c>
      <x:c r="P24" s="197"/>
      <x:c r="Q24" s="16">
        <x:v>4</x:v>
      </x:c>
      <x:c r="R24" s="15">
        <x:f>'ANT EXT-REV'!J28</x:f>
        <x:v>0</x:v>
      </x:c>
    </x:row>
    <x:row r="25" spans="2:20" ht="13.5" thickBot="1" x14ac:dyDescent="0.25">
      <x:c r="B25" s="19">
        <x:v>5</x:v>
      </x:c>
      <x:c r="C25" s="747">
        <x:f>'ANT EXT-REV'!L4</x:f>
        <x:v>0</x:v>
      </x:c>
      <x:c r="D25" s="197"/>
      <x:c r="E25" s="19">
        <x:v>5</x:v>
      </x:c>
      <x:c r="F25" s="15">
        <x:f>'ANT EXT-REV'!L20</x:f>
        <x:v>0</x:v>
      </x:c>
      <x:c r="G25" s="197"/>
      <x:c r="H25" s="19">
        <x:v>5</x:v>
      </x:c>
      <x:c r="I25" s="15">
        <x:f>'ANT EXT-REV'!L36</x:f>
        <x:v>0</x:v>
      </x:c>
      <x:c r="J25" s="197"/>
      <x:c r="K25" s="19">
        <x:v>5</x:v>
      </x:c>
      <x:c r="L25" s="15">
        <x:f>'ANT EXT-REV'!L44</x:f>
        <x:v>0</x:v>
      </x:c>
      <x:c r="M25" s="197"/>
      <x:c r="N25" s="19">
        <x:v>5</x:v>
      </x:c>
      <x:c r="O25" s="15">
        <x:f>'ANT EXT-REV'!L12</x:f>
        <x:v>0</x:v>
      </x:c>
      <x:c r="P25" s="197"/>
      <x:c r="Q25" s="19">
        <x:v>5</x:v>
      </x:c>
      <x:c r="R25" s="15">
        <x:f>'ANT EXT-REV'!L28</x:f>
        <x:v>0</x:v>
      </x:c>
    </x:row>
    <x:row r="26" spans="2:20" ht="13.5" thickBot="1" x14ac:dyDescent="0.25">
      <x:c r="B26" s="21"/>
      <x:c r="C26" s="748">
        <x:f t="shared" ref="C26" si="0">SUM(C21:C25)</x:f>
        <x:v>0</x:v>
      </x:c>
      <x:c r="D26" s="197"/>
      <x:c r="E26" s="21"/>
      <x:c r="F26" s="170">
        <x:f t="shared" ref="F26" si="1">SUM(F21:F25)</x:f>
        <x:v>0</x:v>
      </x:c>
      <x:c r="G26" s="197"/>
      <x:c r="H26" s="21"/>
      <x:c r="I26" s="170">
        <x:f t="shared" ref="I26" si="2">SUM(I21:I25)</x:f>
        <x:v>0</x:v>
      </x:c>
      <x:c r="J26" s="197"/>
      <x:c r="K26" s="21"/>
      <x:c r="L26" s="170">
        <x:f t="shared" ref="L26:O26" si="3">SUM(L21:L25)</x:f>
        <x:v>0</x:v>
      </x:c>
      <x:c r="M26" s="197"/>
      <x:c r="N26" s="21"/>
      <x:c r="O26" s="170">
        <x:f t="shared" si="3"/>
        <x:v>0</x:v>
      </x:c>
      <x:c r="P26" s="197"/>
      <x:c r="Q26" s="21"/>
      <x:c r="R26" s="170">
        <x:f t="shared" ref="R26" si="4">SUM(R21:R25)</x:f>
        <x:v>0</x:v>
      </x:c>
    </x:row>
    <x:row r="27" spans="2:20" x14ac:dyDescent="0.2">
      <x:c r="C27" s="188" t="b">
        <x:f>C26='ANT EXT-REV'!N4</x:f>
        <x:v>1</x:v>
      </x:c>
      <x:c r="D27" s="197"/>
      <x:c r="F27" s="188" t="b">
        <x:f>F26='ANT EXT-REV'!N20</x:f>
        <x:v>1</x:v>
      </x:c>
      <x:c r="G27" s="197"/>
      <x:c r="I27" s="188" t="b">
        <x:f>I26='ANT EXT-REV'!N36</x:f>
        <x:v>1</x:v>
      </x:c>
      <x:c r="J27" s="197"/>
      <x:c r="L27" s="188" t="b">
        <x:f>L26='ANT EXT-REV'!N44</x:f>
        <x:v>1</x:v>
      </x:c>
      <x:c r="M27" s="197"/>
      <x:c r="O27" s="188" t="b">
        <x:f>O26='ANT EXT-REV'!N12</x:f>
        <x:v>1</x:v>
      </x:c>
      <x:c r="P27" s="197"/>
      <x:c r="R27" s="188" t="b">
        <x:f>R26='ANT EXT-REV'!N28</x:f>
        <x:v>1</x:v>
      </x:c>
    </x:row>
    <x:row r="28" spans="2:20" x14ac:dyDescent="0.2">
      <x:c r="D28" s="197"/>
      <x:c r="G28" s="197"/>
      <x:c r="J28" s="197"/>
      <x:c r="M28" s="197"/>
      <x:c r="P28" s="197"/>
    </x:row>
    <x:row r="29" spans="2:20" x14ac:dyDescent="0.2">
      <x:c r="D29" s="197"/>
      <x:c r="G29" s="197"/>
      <x:c r="J29" s="197"/>
      <x:c r="M29" s="197"/>
      <x:c r="P29" s="197"/>
    </x:row>
    <x:row r="30" spans="2:20" x14ac:dyDescent="0.2">
      <x:c r="D30" s="197"/>
      <x:c r="G30" s="197"/>
      <x:c r="J30" s="197"/>
      <x:c r="M30" s="197"/>
      <x:c r="P30" s="197"/>
    </x:row>
    <x:row r="31" spans="2:20" x14ac:dyDescent="0.2">
      <x:c r="D31" s="197"/>
      <x:c r="G31" s="197"/>
      <x:c r="J31" s="197"/>
      <x:c r="M31" s="197"/>
      <x:c r="P31" s="197"/>
    </x:row>
    <x:row r="32" spans="2:20" x14ac:dyDescent="0.2">
      <x:c r="D32" s="197"/>
      <x:c r="G32" s="197"/>
      <x:c r="J32" s="197"/>
      <x:c r="M32" s="197"/>
      <x:c r="P32" s="197"/>
    </x:row>
    <x:row r="33" spans="4:16" x14ac:dyDescent="0.2">
      <x:c r="D33" s="197"/>
      <x:c r="G33" s="197"/>
      <x:c r="J33" s="197"/>
      <x:c r="M33" s="197"/>
      <x:c r="P33" s="197"/>
    </x:row>
    <x:row r="34" spans="4:16" x14ac:dyDescent="0.2">
      <x:c r="D34" s="197"/>
      <x:c r="G34" s="197"/>
      <x:c r="J34" s="197"/>
      <x:c r="M34" s="197"/>
      <x:c r="P34" s="197"/>
    </x:row>
    <x:row r="35" spans="4:16" x14ac:dyDescent="0.2">
      <x:c r="D35" s="197"/>
      <x:c r="G35" s="197"/>
      <x:c r="J35" s="197"/>
      <x:c r="M35" s="197"/>
      <x:c r="P35" s="197"/>
    </x:row>
    <x:row r="36" spans="4:16" x14ac:dyDescent="0.2">
      <x:c r="D36" s="197"/>
      <x:c r="G36" s="197"/>
      <x:c r="J36" s="197"/>
      <x:c r="M36" s="197"/>
      <x:c r="P36" s="197"/>
    </x:row>
    <x:row r="37" spans="4:16" x14ac:dyDescent="0.2">
      <x:c r="D37" s="197"/>
      <x:c r="G37" s="197"/>
      <x:c r="J37" s="197"/>
      <x:c r="M37" s="197"/>
      <x:c r="P37" s="197"/>
    </x:row>
    <x:row r="38" spans="4:16" x14ac:dyDescent="0.2">
      <x:c r="D38" s="197"/>
      <x:c r="G38" s="197"/>
      <x:c r="J38" s="197"/>
      <x:c r="M38" s="197"/>
      <x:c r="P38" s="197"/>
    </x:row>
    <x:row r="39" spans="4:16" x14ac:dyDescent="0.2">
      <x:c r="D39" s="197"/>
      <x:c r="G39" s="197"/>
      <x:c r="J39" s="197"/>
      <x:c r="M39" s="197"/>
      <x:c r="P39" s="197"/>
    </x:row>
    <x:row r="40" spans="4:16" x14ac:dyDescent="0.2">
      <x:c r="D40" s="197"/>
      <x:c r="G40" s="197"/>
      <x:c r="J40" s="197"/>
      <x:c r="M40" s="197"/>
      <x:c r="P40" s="197"/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I13" sqref="I13"/>
    </x:sheetView>
  </x:sheetViews>
  <x:sheetFormatPr baseColWidth="10" defaultRowHeight="12.75" x14ac:dyDescent="0.2"/>
  <x:cols>
    <x:col min="3" max="3" width="11.42578125" style="116"/>
    <x:col min="4" max="4" width="19.28515625" customWidth="1"/>
    <x:col min="5" max="5" width="18.28515625" customWidth="1"/>
    <x:col min="6" max="7" width="18" customWidth="1"/>
    <x:col min="8" max="8" width="27.7109375" customWidth="1"/>
    <x:col min="9" max="9" width="33.5703125" customWidth="1"/>
    <x:col min="13" max="13" width="28.42578125" customWidth="1"/>
    <x:col min="17" max="17" width="12.7109375" bestFit="1" customWidth="1"/>
  </x:cols>
  <x:sheetData>
    <x:row r="1" spans="1:17" ht="13.5" thickBot="1" x14ac:dyDescent="0.25">
      <x:c r="H1" s="426" t="s">
        <x:v>1</x:v>
      </x:c>
    </x:row>
    <x:row r="2" spans="1:17" ht="15.75" thickBot="1" x14ac:dyDescent="0.3">
      <x:c r="C2" s="117" t="s">
        <x:v>3</x:v>
      </x:c>
      <x:c r="D2" s="620" t="s">
        <x:v>110</x:v>
      </x:c>
      <x:c r="E2" s="620" t="s">
        <x:v>109</x:v>
      </x:c>
      <x:c r="F2" s="118" t="s">
        <x:v>111</x:v>
      </x:c>
      <x:c r="G2" s="421"/>
      <x:c r="H2" s="621" t="s">
        <x:v>196</x:v>
      </x:c>
      <x:c r="M2" s="594"/>
      <x:c r="Q2" s="509"/>
    </x:row>
    <x:row r="3" spans="1:17" ht="13.5" thickBot="1" x14ac:dyDescent="0.25">
      <x:c r="C3" s="432">
        <x:v>1</x:v>
      </x:c>
      <x:c r="D3" s="749" t="n">
        <x:v>-6202728417.6</x:v>
      </x:c>
      <x:c r="E3" s="750" t="n">
        <x:v>2592514668.33</x:v>
      </x:c>
      <x:c r="F3" s="751">
        <x:f>D3+E3</x:f>
        <x:v>0</x:v>
      </x:c>
      <x:c r="G3" s="422"/>
      <x:c r="H3" s="756">
        <x:f>DetRetri2026072!J9</x:f>
        <x:v>0</x:v>
      </x:c>
      <x:c r="I3" s="757">
        <x:f>F3-H3</x:f>
        <x:v>0</x:v>
      </x:c>
    </x:row>
    <x:row r="4" spans="1:17" ht="13.5" thickBot="1" x14ac:dyDescent="0.25">
      <x:c r="C4" s="433">
        <x:v>2</x:v>
      </x:c>
      <x:c r="D4" s="752" t="n">
        <x:v>-6674386829.58</x:v>
      </x:c>
      <x:c r="E4" s="753" t="n">
        <x:v>2384510488.25</x:v>
      </x:c>
      <x:c r="F4" s="751">
        <x:f>D4+E4</x:f>
        <x:v>0</x:v>
      </x:c>
      <x:c r="G4" s="422"/>
      <x:c r="H4" s="758">
        <x:f>DetRetri2026072!J10</x:f>
        <x:v>0</x:v>
      </x:c>
      <x:c r="I4" s="757">
        <x:f t="shared" ref="I4:I7" si="0">F4-H4</x:f>
        <x:v>0</x:v>
      </x:c>
    </x:row>
    <x:row r="5" spans="1:17" ht="13.5" thickBot="1" x14ac:dyDescent="0.25">
      <x:c r="C5" s="433">
        <x:v>3</x:v>
      </x:c>
      <x:c r="D5" s="752" t="n">
        <x:v>-2191389399.81</x:v>
      </x:c>
      <x:c r="E5" s="753" t="n">
        <x:v>1362127166.51</x:v>
      </x:c>
      <x:c r="F5" s="751">
        <x:f>D5+E5</x:f>
        <x:v>0</x:v>
      </x:c>
      <x:c r="G5" s="422"/>
      <x:c r="H5" s="758">
        <x:f>DetRetri2026072!J11</x:f>
        <x:v>0</x:v>
      </x:c>
      <x:c r="I5" s="757">
        <x:f t="shared" si="0"/>
        <x:v>0</x:v>
      </x:c>
    </x:row>
    <x:row r="6" spans="1:17" ht="13.5" thickBot="1" x14ac:dyDescent="0.25">
      <x:c r="C6" s="433">
        <x:v>4</x:v>
      </x:c>
      <x:c r="D6" s="752" t="n">
        <x:v>-2584194619.01</x:v>
      </x:c>
      <x:c r="E6" s="753" t="n">
        <x:v>1877958693.8</x:v>
      </x:c>
      <x:c r="F6" s="751">
        <x:f>D6+E6</x:f>
        <x:v>0</x:v>
      </x:c>
      <x:c r="G6" s="422"/>
      <x:c r="H6" s="758">
        <x:f>DetRetri2026072!J12</x:f>
        <x:v>0</x:v>
      </x:c>
      <x:c r="I6" s="757">
        <x:f t="shared" si="0"/>
        <x:v>0</x:v>
      </x:c>
    </x:row>
    <x:row r="7" spans="1:17" ht="13.5" thickBot="1" x14ac:dyDescent="0.25">
      <x:c r="C7" s="434">
        <x:v>5</x:v>
      </x:c>
      <x:c r="D7" s="754" t="n">
        <x:v>-1237570991.61</x:v>
      </x:c>
      <x:c r="E7" s="755" t="n">
        <x:v>1214167050.3</x:v>
      </x:c>
      <x:c r="F7" s="751">
        <x:f>D7+E7</x:f>
        <x:v>0</x:v>
      </x:c>
      <x:c r="G7" s="422"/>
      <x:c r="H7" s="759">
        <x:f>DetRetri2026072!J13</x:f>
        <x:v>0</x:v>
      </x:c>
      <x:c r="I7" s="757">
        <x:f t="shared" si="0"/>
        <x:v>0</x:v>
      </x:c>
    </x:row>
    <x:row r="8" spans="1:17" ht="13.5" thickBot="1" x14ac:dyDescent="0.25">
      <x:c r="D8" s="133"/>
      <x:c r="E8" s="133"/>
      <x:c r="F8" s="133"/>
      <x:c r="G8" s="423"/>
      <x:c r="H8" s="132"/>
      <x:c r="I8" s="217"/>
    </x:row>
    <x:row r="9" spans="1:17" ht="13.5" thickBot="1" x14ac:dyDescent="0.25">
      <x:c r="D9" s="133"/>
      <x:c r="E9" s="133"/>
      <x:c r="F9" s="748">
        <x:f>SUM(F3:F7)</x:f>
        <x:v>0</x:v>
      </x:c>
      <x:c r="G9" s="422"/>
      <x:c r="H9" s="746">
        <x:f>SUM(H3:H7)</x:f>
        <x:v>0</x:v>
      </x:c>
      <x:c r="I9" s="746">
        <x:f>F9-H9</x:f>
        <x:v>0</x:v>
      </x:c>
    </x:row>
    <x:row r="10" spans="1:17" ht="13.5" thickBot="1" x14ac:dyDescent="0.25">
      <x:c r="D10" s="133"/>
      <x:c r="E10" s="133"/>
      <x:c r="F10" s="133"/>
      <x:c r="G10" s="423"/>
      <x:c r="H10" s="206" t="b">
        <x:f>H9=DetRetri2026072!J14</x:f>
        <x:v>1</x:v>
      </x:c>
    </x:row>
    <x:row r="11" spans="1:17" ht="13.5" thickBot="1" x14ac:dyDescent="0.25">
      <x:c r="D11" s="748">
        <x:f>SUM(D3:D7)</x:f>
        <x:v>0</x:v>
      </x:c>
      <x:c r="E11" s="748">
        <x:f t="shared" ref="E11" si="1">SUM(E3:E7)</x:f>
        <x:v>0</x:v>
      </x:c>
      <x:c r="F11" s="748">
        <x:f>SUM(D3:E7)</x:f>
        <x:v>0</x:v>
      </x:c>
      <x:c r="G11" s="424"/>
      <x:c r="H11" s="133"/>
    </x:row>
    <x:row r="12" spans="1:17" x14ac:dyDescent="0.2">
      <x:c r="D12" s="133"/>
      <x:c r="E12" s="133"/>
      <x:c r="F12" s="206" t="b">
        <x:f>ROUND(F11,2)=ROUND(F9,2)</x:f>
        <x:v>1</x:v>
      </x:c>
      <x:c r="H12" s="133"/>
    </x:row>
    <x:row r="13" spans="1:17" x14ac:dyDescent="0.2">
      <x:c r="D13" s="133"/>
      <x:c r="E13" s="133"/>
      <x:c r="F13" s="508">
        <x:f>ROUND(F11,2)-ROUND(F9,2)</x:f>
        <x:v>0</x:v>
      </x:c>
      <x:c r="G13" s="423"/>
      <x:c r="H13" s="133"/>
    </x:row>
    <x:row r="14" spans="1:17" x14ac:dyDescent="0.2">
      <x:c r="H14" s="132"/>
      <x:c r="I14" s="126"/>
    </x:row>
    <x:row r="15" spans="1:17" x14ac:dyDescent="0.2">
      <x:c r="H15" s="132"/>
      <x:c r="I15" s="126"/>
    </x:row>
    <x:row r="16" spans="1:17" x14ac:dyDescent="0.2">
      <x:c r="A16" s="197"/>
      <x:c r="B16" s="197"/>
      <x:c r="C16" s="418"/>
      <x:c r="D16" s="197"/>
      <x:c r="E16" s="197"/>
      <x:c r="F16" s="197"/>
      <x:c r="G16" s="197"/>
      <x:c r="H16" s="419"/>
      <x:c r="I16" s="420"/>
      <x:c r="J16" s="197"/>
    </x:row>
    <x:row r="17" spans="4:9" ht="13.5" thickBot="1" x14ac:dyDescent="0.25">
      <x:c r="D17" s="207"/>
      <x:c r="E17" s="207"/>
      <x:c r="F17" s="207"/>
      <x:c r="G17" s="207"/>
      <x:c r="H17" s="132"/>
      <x:c r="I17" s="126"/>
    </x:row>
    <x:row r="18" spans="4:9" ht="15.75" thickBot="1" x14ac:dyDescent="0.3">
      <x:c r="D18" s="117" t="s">
        <x:v>3</x:v>
      </x:c>
      <x:c r="E18" s="427" t="s">
        <x:v>195</x:v>
      </x:c>
      <x:c r="F18" s="431" t="s">
        <x:v>199</x:v>
      </x:c>
      <x:c r="G18" s="425" t="s">
        <x:v>198</x:v>
      </x:c>
      <x:c r="H18" s="622" t="s">
        <x:v>197</x:v>
      </x:c>
      <x:c r="I18" s="126"/>
    </x:row>
    <x:row r="19" spans="4:9" x14ac:dyDescent="0.2">
      <x:c r="D19" s="432">
        <x:v>1</x:v>
      </x:c>
      <x:c r="E19" s="760">
        <x:f>'CONSOLIDADO_TOTAL RECAUDO'!J104</x:f>
        <x:v>0</x:v>
      </x:c>
      <x:c r="F19" s="435" t="b">
        <x:f>E19=F3</x:f>
        <x:v>1</x:v>
      </x:c>
      <x:c r="G19" s="435" t="b">
        <x:f>E19=H3</x:f>
        <x:v>1</x:v>
      </x:c>
      <x:c r="H19" s="764">
        <x:f>E19-H3</x:f>
        <x:v>0</x:v>
      </x:c>
      <x:c r="I19" s="126"/>
    </x:row>
    <x:row r="20" spans="4:9" x14ac:dyDescent="0.2">
      <x:c r="D20" s="433">
        <x:v>2</x:v>
      </x:c>
      <x:c r="E20" s="761">
        <x:f>'CONSOLIDADO_TOTAL RECAUDO'!J105</x:f>
        <x:v>0</x:v>
      </x:c>
      <x:c r="F20" s="428" t="b">
        <x:f t="shared" ref="F20:F23" si="2">E20=F4</x:f>
        <x:v>1</x:v>
      </x:c>
      <x:c r="G20" s="428" t="b">
        <x:f t="shared" ref="G20:G23" si="3">E20=H4</x:f>
        <x:v>1</x:v>
      </x:c>
      <x:c r="H20" s="765">
        <x:f t="shared" ref="H20:H22" si="4">E20-H4</x:f>
        <x:v>0</x:v>
      </x:c>
      <x:c r="I20" s="126"/>
    </x:row>
    <x:row r="21" spans="4:9" x14ac:dyDescent="0.2">
      <x:c r="D21" s="433">
        <x:v>3</x:v>
      </x:c>
      <x:c r="E21" s="761">
        <x:f>'CONSOLIDADO_TOTAL RECAUDO'!J106</x:f>
        <x:v>0</x:v>
      </x:c>
      <x:c r="F21" s="428" t="b">
        <x:f t="shared" si="2"/>
        <x:v>1</x:v>
      </x:c>
      <x:c r="G21" s="428" t="b">
        <x:f t="shared" si="3"/>
        <x:v>1</x:v>
      </x:c>
      <x:c r="H21" s="765">
        <x:f t="shared" si="4"/>
        <x:v>0</x:v>
      </x:c>
    </x:row>
    <x:row r="22" spans="4:9" x14ac:dyDescent="0.2">
      <x:c r="D22" s="433">
        <x:v>4</x:v>
      </x:c>
      <x:c r="E22" s="761">
        <x:f>'CONSOLIDADO_TOTAL RECAUDO'!J107</x:f>
        <x:v>0</x:v>
      </x:c>
      <x:c r="F22" s="428" t="b">
        <x:f t="shared" si="2"/>
        <x:v>1</x:v>
      </x:c>
      <x:c r="G22" s="428" t="b">
        <x:f t="shared" si="3"/>
        <x:v>1</x:v>
      </x:c>
      <x:c r="H22" s="765">
        <x:f t="shared" si="4"/>
        <x:v>0</x:v>
      </x:c>
    </x:row>
    <x:row r="23" spans="4:9" ht="13.5" thickBot="1" x14ac:dyDescent="0.25">
      <x:c r="D23" s="434">
        <x:v>5</x:v>
      </x:c>
      <x:c r="E23" s="762">
        <x:f>'CONSOLIDADO_TOTAL RECAUDO'!J108</x:f>
        <x:v>0</x:v>
      </x:c>
      <x:c r="F23" s="436" t="b">
        <x:f t="shared" si="2"/>
        <x:v>1</x:v>
      </x:c>
      <x:c r="G23" s="436" t="b">
        <x:f t="shared" si="3"/>
        <x:v>1</x:v>
      </x:c>
      <x:c r="H23" s="766">
        <x:f>E23-H7</x:f>
        <x:v>0</x:v>
      </x:c>
    </x:row>
    <x:row r="24" spans="4:9" ht="13.5" thickBot="1" x14ac:dyDescent="0.25">
      <x:c r="E24" s="763">
        <x:f>SUM(E19:E23)</x:f>
        <x:v>0</x:v>
      </x:c>
      <x:c r="F24" s="429" t="b">
        <x:f>E24=F9</x:f>
        <x:v>1</x:v>
      </x:c>
      <x:c r="G24" s="430" t="b">
        <x:f>E24=H9</x:f>
        <x:v>1</x:v>
      </x:c>
      <x:c r="H24" s="746">
        <x:f>E24-H9</x:f>
        <x:v>0</x:v>
      </x:c>
    </x:row>
    <x:row r="26" spans="4:9" x14ac:dyDescent="0.2">
      <x:c r="F26" s="126"/>
    </x:row>
    <x:row r="28" spans="4:9" x14ac:dyDescent="0.2">
      <x:c r="F28" s="207"/>
    </x:row>
    <x:row r="29" spans="4:9" x14ac:dyDescent="0.2">
      <x:c r="F29" s="207"/>
    </x:row>
    <x:row r="30" spans="4:9" x14ac:dyDescent="0.2">
      <x:c r="F30" s="207"/>
    </x:row>
    <x:row r="31" spans="4:9" x14ac:dyDescent="0.2">
      <x:c r="F31" s="207"/>
    </x:row>
    <x:row r="32" spans="4:9" x14ac:dyDescent="0.2">
      <x:c r="F32" s="207"/>
    </x:row>
    <x:row r="33" spans="6:7" x14ac:dyDescent="0.2">
      <x:c r="F33" s="207"/>
    </x:row>
    <x:row r="34" spans="6:7" x14ac:dyDescent="0.2">
      <x:c r="F34" s="207"/>
      <x:c r="G34" s="126"/>
    </x:row>
    <x:row r="35" spans="6:7" x14ac:dyDescent="0.2">
      <x:c r="F35" s="207"/>
    </x:row>
  </x:sheetData>
  <x:conditionalFormatting sqref="F19:G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BN586"/>
  <x:sheetViews>
    <x:sheetView zoomScale="89" zoomScaleNormal="89" workbookViewId="0">
      <x:pane ySplit="5" topLeftCell="A6" activePane="bottomLeft" state="frozen"/>
      <x:selection activeCell="A3" sqref="A3"/>
      <x:selection pane="bottomLeft" activeCell="E1" sqref="E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5703125" style="25" bestFit="1" customWidth="1"/>
    <x:col min="3" max="3" width="18.7109375" style="25" bestFit="1" customWidth="1"/>
    <x:col min="4" max="4" width="18" style="25" bestFit="1" customWidth="1"/>
    <x:col min="5" max="5" width="25.28515625" style="25" bestFit="1" customWidth="1"/>
    <x:col min="6" max="6" width="17.85546875" style="25" bestFit="1" customWidth="1"/>
    <x:col min="7" max="7" width="18.140625" style="25" bestFit="1" customWidth="1"/>
    <x:col min="8" max="8" width="17.85546875" style="25" bestFit="1" customWidth="1"/>
    <x:col min="9" max="9" width="15" style="25" bestFit="1" customWidth="1"/>
    <x:col min="10" max="10" width="18.42578125" style="25" bestFit="1" customWidth="1"/>
    <x:col min="11" max="11" width="19.42578125" style="25" bestFit="1" customWidth="1"/>
    <x:col min="12" max="12" width="24.28515625" style="25" bestFit="1" customWidth="1"/>
    <x:col min="13" max="13" width="18.28515625" style="25" bestFit="1" customWidth="1"/>
    <x:col min="14" max="16" width="18.140625" style="25" bestFit="1" customWidth="1"/>
    <x:col min="17" max="17" width="23.28515625" style="25" bestFit="1" customWidth="1"/>
    <x:col min="18" max="18" width="15.140625" style="25" bestFit="1" customWidth="1"/>
    <x:col min="19" max="19" width="21.7109375" style="25" bestFit="1" customWidth="1"/>
    <x:col min="20" max="20" width="30.28515625" style="25" bestFit="1" customWidth="1"/>
    <x:col min="21" max="22" width="29.7109375" style="25" bestFit="1" customWidth="1"/>
    <x:col min="23" max="23" width="23.7109375" style="25" bestFit="1" customWidth="1"/>
    <x:col min="24" max="24" width="21.85546875" style="25" bestFit="1" customWidth="1"/>
    <x:col min="25" max="25" width="30.28515625" style="25" bestFit="1" customWidth="1"/>
    <x:col min="26" max="26" width="14.42578125" style="25" bestFit="1" customWidth="1"/>
    <x:col min="27" max="42" width="5" style="25" bestFit="1" customWidth="1"/>
    <x:col min="43" max="65" width="11.5703125" style="25"/>
    <x:col min="66" max="66" width="3" style="25" customWidth="1"/>
    <x:col min="67" max="16384" width="11.5703125" style="25"/>
  </x:cols>
  <x:sheetData>
    <x:row r="1" spans="1:66" x14ac:dyDescent="0.2">
      <x:c r="F1" s="623"/>
      <x:c r="BN1" s="624"/>
    </x:row>
    <x:row r="2" spans="1:66" x14ac:dyDescent="0.2">
      <x:c r="BN2" s="624"/>
    </x:row>
    <x:row r="3" spans="1:66" x14ac:dyDescent="0.2">
      <x:c r="A3" s="624"/>
      <x:c r="B3" s="624"/>
      <x:c r="C3" s="624"/>
      <x:c r="D3" s="624"/>
      <x:c r="E3" s="624"/>
      <x:c r="F3" s="624"/>
      <x:c r="G3" s="624"/>
      <x:c r="H3" s="624"/>
      <x:c r="I3" s="624"/>
      <x:c r="J3" s="624"/>
      <x:c r="K3" s="624"/>
      <x:c r="L3" s="624"/>
      <x:c r="M3" s="624"/>
      <x:c r="N3" s="624"/>
      <x:c r="O3" s="624"/>
      <x:c r="P3" s="624"/>
      <x:c r="Q3" s="624"/>
      <x:c r="R3" s="624"/>
      <x:c r="S3" s="624"/>
      <x:c r="T3" s="624"/>
      <x:c r="U3" s="624"/>
      <x:c r="V3" s="624"/>
      <x:c r="W3" s="624"/>
      <x:c r="X3" s="624"/>
      <x:c r="Y3" s="624"/>
      <x:c r="Z3" s="624"/>
      <x:c r="AA3" s="624"/>
      <x:c r="AB3" s="624"/>
      <x:c r="AC3" s="624"/>
      <x:c r="AD3" s="624"/>
      <x:c r="AE3" s="624"/>
      <x:c r="AF3" s="624"/>
      <x:c r="AG3" s="624"/>
      <x:c r="AH3" s="624"/>
      <x:c r="AI3" s="624"/>
      <x:c r="AJ3" s="624"/>
      <x:c r="AK3" s="624"/>
      <x:c r="AL3" s="624"/>
      <x:c r="AM3" s="624"/>
      <x:c r="AN3" s="624"/>
      <x:c r="AO3" s="624"/>
      <x:c r="AP3" s="624"/>
      <x:c r="AQ3" s="624"/>
      <x:c r="AR3" s="624"/>
      <x:c r="AS3" s="624"/>
      <x:c r="AT3" s="624"/>
      <x:c r="AU3" s="624"/>
      <x:c r="AV3" s="624"/>
      <x:c r="AW3" s="624"/>
      <x:c r="AX3" s="624"/>
      <x:c r="AY3" s="624"/>
      <x:c r="AZ3" s="624"/>
      <x:c r="BA3" s="624"/>
      <x:c r="BB3" s="624"/>
      <x:c r="BC3" s="624"/>
      <x:c r="BD3" s="624"/>
      <x:c r="BE3" s="624"/>
      <x:c r="BF3" s="624"/>
      <x:c r="BG3" s="624"/>
      <x:c r="BH3" s="624"/>
      <x:c r="BI3" s="624"/>
      <x:c r="BJ3" s="624"/>
      <x:c r="BK3" s="624"/>
      <x:c r="BL3" s="624"/>
      <x:c r="BM3" s="624"/>
      <x:c r="BN3" s="624"/>
    </x:row>
    <x:row r="4" spans="1:66" ht="15" x14ac:dyDescent="0.25">
      <x:c r="B4" s="50" t="s">
        <x:v>74</x:v>
      </x:c>
      <x:c r="BN4" s="624"/>
    </x:row>
    <x:row r="5" spans="1:66" s="50" customFormat="1" ht="30" x14ac:dyDescent="0.25">
      <x:c r="F5" s="669" t="s">
        <x:v>70</x:v>
      </x:c>
      <x:c r="G5" s="669" t="s">
        <x:v>64</x:v>
      </x:c>
      <x:c r="H5" s="669" t="s">
        <x:v>65</x:v>
      </x:c>
      <x:c r="I5" s="626" t="s">
        <x:v>164</x:v>
      </x:c>
      <x:c r="J5" s="669" t="s">
        <x:v>69</x:v>
      </x:c>
      <x:c r="K5" s="669" t="s">
        <x:v>68</x:v>
      </x:c>
      <x:c r="L5" s="669" t="s">
        <x:v>71</x:v>
      </x:c>
      <x:c r="M5" s="669" t="s">
        <x:v>66</x:v>
      </x:c>
      <x:c r="N5" s="669" t="s">
        <x:v>63</x:v>
      </x:c>
      <x:c r="O5" s="669" t="s">
        <x:v>61</x:v>
      </x:c>
      <x:c r="P5" s="669" t="s">
        <x:v>62</x:v>
      </x:c>
      <x:c r="Q5" s="669" t="s">
        <x:v>67</x:v>
      </x:c>
      <x:c r="R5" s="669" t="s">
        <x:v>77</x:v>
      </x:c>
      <x:c r="S5" s="669" t="s">
        <x:v>80</x:v>
      </x:c>
      <x:c r="T5" s="669" t="s">
        <x:v>135</x:v>
      </x:c>
      <x:c r="U5" s="669" t="s">
        <x:v>223</x:v>
      </x:c>
      <x:c r="V5" s="669" t="s">
        <x:v>223</x:v>
      </x:c>
      <x:c r="W5" s="669" t="s">
        <x:v>172</x:v>
      </x:c>
      <x:c r="X5" s="50" t="s">
        <x:v>166</x:v>
      </x:c>
      <x:c r="Y5" s="669" t="s">
        <x:v>135</x:v>
      </x:c>
      <x:c r="Z5" s="669" t="s">
        <x:v>166</x:v>
      </x:c>
      <x:c r="BN5" s="618"/>
    </x:row>
    <x:row r="6" spans="1:66" x14ac:dyDescent="0.2">
      <x:c r="A6"/>
      <x:c r="B6"/>
      <x:c r="C6"/>
      <x:c r="D6"/>
      <x:c r="E6" s="625" t="inlineStr">
        <x:is>
          <x:t>Vlr Servicio</x:t>
        </x:is>
      </x:c>
      <x:c r="F6" s="627" t="n">
        <x:v>-9123.9</x:v>
      </x:c>
      <x:c r="G6" s="627" t="n">
        <x:v>-625.08</x:v>
      </x:c>
      <x:c r="H6" s="627" t="n">
        <x:v>-265.56</x:v>
      </x:c>
      <x:c r="I6" s="627" t="n">
        <x:v>-115.95</x:v>
      </x:c>
      <x:c r="J6" s="627" t="n">
        <x:v>-1600.92</x:v>
      </x:c>
      <x:c r="K6" s="627" t="n">
        <x:v>-103.46</x:v>
      </x:c>
      <x:c r="L6" s="627" t="n">
        <x:v>0</x:v>
      </x:c>
      <x:c r="M6" s="627" t="n">
        <x:v>-907.42</x:v>
      </x:c>
      <x:c r="N6" s="627" t="n">
        <x:v>-759.41</x:v>
      </x:c>
      <x:c r="O6" s="627" t="n">
        <x:v>-3031.34</x:v>
      </x:c>
      <x:c r="P6" s="627" t="n">
        <x:v>-1545.97</x:v>
      </x:c>
      <x:c r="Q6" s="627" t="n">
        <x:v>-168.79</x:v>
      </x:c>
      <x:c r="R6" s="627" t="n">
        <x:v>0</x:v>
      </x:c>
      <x:c r="S6" s="627" t="n">
        <x:v>0</x:v>
      </x:c>
      <x:c r="T6" s="627" t="n">
        <x:v>0</x:v>
      </x:c>
      <x:c r="U6" s="627">
        <x:v>0</x:v>
      </x:c>
      <x:c r="V6" s="627">
        <x:v>0</x:v>
      </x:c>
      <x:c r="W6" s="627">
        <x:v>0</x:v>
      </x:c>
      <x:c r="X6" s="627">
        <x:v>0</x:v>
      </x:c>
      <x:c r="Y6" s="627">
        <x:v>0</x:v>
      </x:c>
      <x:c r="Z6" s="627" t="n">
        <x:v>0</x:v>
      </x:c>
      <x:c r="BN6" s="624"/>
    </x:row>
    <x:row r="7" spans="1:66" x14ac:dyDescent="0.2">
      <x:c r="A7"/>
      <x:c r="B7"/>
      <x:c r="C7"/>
      <x:c r="D7" s="25" t="inlineStr">
        <x:is>
          <x:t>O</x:t>
        </x:is>
      </x:c>
      <x:c r="E7" s="625" t="inlineStr">
        <x:is>
          <x:t>Total</x:t>
        </x:is>
      </x:c>
      <x:c r="F7" s="627" t="n">
        <x:v>-9123.9</x:v>
      </x:c>
      <x:c r="G7" s="627" t="n">
        <x:v>-625.08</x:v>
      </x:c>
      <x:c r="H7" s="627" t="n">
        <x:v>-265.56</x:v>
      </x:c>
      <x:c r="I7" s="627" t="n">
        <x:v>-115.95</x:v>
      </x:c>
      <x:c r="J7" s="627" t="n">
        <x:v>-1600.92</x:v>
      </x:c>
      <x:c r="K7" s="627" t="n">
        <x:v>-103.46</x:v>
      </x:c>
      <x:c r="L7" s="627" t="n">
        <x:v>0</x:v>
      </x:c>
      <x:c r="M7" s="627" t="n">
        <x:v>-907.42</x:v>
      </x:c>
      <x:c r="N7" s="627" t="n">
        <x:v>-759.41</x:v>
      </x:c>
      <x:c r="O7" s="627" t="n">
        <x:v>-3031.34</x:v>
      </x:c>
      <x:c r="P7" s="627" t="n">
        <x:v>-1545.97</x:v>
      </x:c>
      <x:c r="Q7" s="627" t="n">
        <x:v>-168.79</x:v>
      </x:c>
      <x:c r="R7" s="627" t="n">
        <x:v>0</x:v>
      </x:c>
      <x:c r="S7" s="627" t="n">
        <x:v>0</x:v>
      </x:c>
      <x:c r="T7" s="627" t="n">
        <x:v>0</x:v>
      </x:c>
      <x:c r="U7" s="627">
        <x:v>0</x:v>
      </x:c>
      <x:c r="V7" s="627">
        <x:v>0</x:v>
      </x:c>
      <x:c r="W7" s="627">
        <x:v>0</x:v>
      </x:c>
      <x:c r="X7" s="627">
        <x:v>0</x:v>
      </x:c>
      <x:c r="Y7" s="627">
        <x:v>0</x:v>
      </x:c>
      <x:c r="Z7" s="627" t="n">
        <x:v>0</x:v>
      </x:c>
      <x:c r="BN7" s="624"/>
    </x:row>
    <x:row r="8" spans="1:66" x14ac:dyDescent="0.2">
      <x:c r="A8" s="628"/>
      <x:c r="B8" s="628"/>
      <x:c r="C8" s="628" t="inlineStr">
        <x:is>
          <x:t>OCCIDENTE</x:t>
        </x:is>
      </x:c>
      <x:c r="D8" s="628" t="inlineStr">
        <x:is>
          <x:t>Total</x:t>
        </x:is>
      </x:c>
      <x:c r="E8" s="629"/>
      <x:c r="F8" s="630" t="n">
        <x:v>-9123.9</x:v>
      </x:c>
      <x:c r="G8" s="630" t="n">
        <x:v>-625.08</x:v>
      </x:c>
      <x:c r="H8" s="630" t="n">
        <x:v>-265.56</x:v>
      </x:c>
      <x:c r="I8" s="630" t="n">
        <x:v>-115.95</x:v>
      </x:c>
      <x:c r="J8" s="630" t="n">
        <x:v>-1600.92</x:v>
      </x:c>
      <x:c r="K8" s="630" t="n">
        <x:v>-103.46</x:v>
      </x:c>
      <x:c r="L8" s="630" t="n">
        <x:v>0</x:v>
      </x:c>
      <x:c r="M8" s="630" t="n">
        <x:v>-907.42</x:v>
      </x:c>
      <x:c r="N8" s="630" t="n">
        <x:v>-759.41</x:v>
      </x:c>
      <x:c r="O8" s="630" t="n">
        <x:v>-3031.34</x:v>
      </x:c>
      <x:c r="P8" s="630" t="n">
        <x:v>-1545.97</x:v>
      </x:c>
      <x:c r="Q8" s="630" t="n">
        <x:v>-168.79</x:v>
      </x:c>
      <x:c r="R8" s="630" t="n">
        <x:v>0</x:v>
      </x:c>
      <x:c r="S8" s="630" t="n">
        <x:v>0</x:v>
      </x:c>
      <x:c r="T8" s="630" t="n">
        <x:v>0</x:v>
      </x:c>
      <x:c r="U8" s="630">
        <x:v>0</x:v>
      </x:c>
      <x:c r="V8" s="630">
        <x:v>0</x:v>
      </x:c>
      <x:c r="W8" s="630">
        <x:v>0</x:v>
      </x:c>
      <x:c r="X8" s="630">
        <x:v>0</x:v>
      </x:c>
      <x:c r="Y8" s="630">
        <x:v>0</x:v>
      </x:c>
      <x:c r="Z8" s="630" t="n">
        <x:v>0</x:v>
      </x:c>
      <x:c r="AA8" s="628"/>
      <x:c r="AB8" s="628"/>
      <x:c r="AC8" s="628"/>
      <x:c r="AD8" s="628"/>
      <x:c r="AE8" s="628"/>
      <x:c r="AF8" s="628"/>
      <x:c r="AG8" s="628"/>
      <x:c r="AH8" s="628"/>
      <x:c r="AI8" s="628"/>
      <x:c r="AJ8" s="628"/>
      <x:c r="AK8" s="628"/>
      <x:c r="AL8" s="628"/>
      <x:c r="AM8" s="628"/>
      <x:c r="AN8" s="628"/>
      <x:c r="AO8" s="628"/>
      <x:c r="AP8" s="628"/>
      <x:c r="AQ8" s="628"/>
      <x:c r="AR8" s="628"/>
      <x:c r="AS8" s="628"/>
      <x:c r="AT8" s="628"/>
      <x:c r="AU8" s="628"/>
      <x:c r="AV8" s="628"/>
      <x:c r="AW8" s="628"/>
      <x:c r="AX8" s="628"/>
      <x:c r="AY8" s="628"/>
      <x:c r="AZ8" s="628"/>
      <x:c r="BA8" s="628"/>
      <x:c r="BB8" s="628"/>
      <x:c r="BC8" s="628"/>
      <x:c r="BD8" s="628"/>
      <x:c r="BE8" s="628"/>
      <x:c r="BF8" s="628"/>
      <x:c r="BG8" s="628"/>
      <x:c r="BH8" s="628"/>
      <x:c r="BI8" s="628"/>
      <x:c r="BJ8" s="628"/>
      <x:c r="BK8" s="628"/>
      <x:c r="BL8" s="628"/>
      <x:c r="BM8" s="628"/>
      <x:c r="BN8" s="624"/>
    </x:row>
    <x:row r="9" spans="1:66" x14ac:dyDescent="0.2">
      <x:c r="A9"/>
      <x:c r="B9" t="inlineStr">
        <x:is>
          <x:t>Mes</x:t>
        </x:is>
      </x:c>
      <x:c r="C9" t="inlineStr">
        <x:is>
          <x:t>Total</x:t>
        </x:is>
      </x:c>
      <x:c r="D9"/>
      <x:c r="E9" s="625"/>
      <x:c r="F9" s="627" t="n">
        <x:v>-9123.9</x:v>
      </x:c>
      <x:c r="G9" s="627" t="n">
        <x:v>-625.08</x:v>
      </x:c>
      <x:c r="H9" s="627" t="n">
        <x:v>-265.56</x:v>
      </x:c>
      <x:c r="I9" s="627" t="n">
        <x:v>-115.95</x:v>
      </x:c>
      <x:c r="J9" s="627" t="n">
        <x:v>-1600.92</x:v>
      </x:c>
      <x:c r="K9" s="627" t="n">
        <x:v>-103.46</x:v>
      </x:c>
      <x:c r="L9" s="627" t="n">
        <x:v>0</x:v>
      </x:c>
      <x:c r="M9" s="627" t="n">
        <x:v>-907.42</x:v>
      </x:c>
      <x:c r="N9" s="627" t="n">
        <x:v>-759.41</x:v>
      </x:c>
      <x:c r="O9" s="627" t="n">
        <x:v>-3031.34</x:v>
      </x:c>
      <x:c r="P9" s="627" t="n">
        <x:v>-1545.97</x:v>
      </x:c>
      <x:c r="Q9" s="627" t="n">
        <x:v>-168.79</x:v>
      </x:c>
      <x:c r="R9" s="627" t="n">
        <x:v>0</x:v>
      </x:c>
      <x:c r="S9" s="627" t="n">
        <x:v>0</x:v>
      </x:c>
      <x:c r="T9" s="627" t="n">
        <x:v>0</x:v>
      </x:c>
      <x:c r="U9" s="627">
        <x:v>0</x:v>
      </x:c>
      <x:c r="V9" s="627">
        <x:v>0</x:v>
      </x:c>
      <x:c r="W9" s="627">
        <x:v>0</x:v>
      </x:c>
      <x:c r="X9" s="627">
        <x:v>0</x:v>
      </x:c>
      <x:c r="Y9" s="627">
        <x:v>0</x:v>
      </x:c>
      <x:c r="Z9" s="627" t="n">
        <x:v>0</x:v>
      </x:c>
      <x:c r="BN9" s="624"/>
    </x:row>
    <x:row r="10" spans="1:66" x14ac:dyDescent="0.2">
      <x:c r="A10" t="inlineStr">
        <x:is>
          <x:t>AFaseo</x:t>
        </x:is>
      </x:c>
      <x:c r="B10" t="inlineStr">
        <x:is>
          <x:t>Total</x:t>
        </x:is>
      </x:c>
      <x:c r="C10"/>
      <x:c r="D10" s="25"/>
      <x:c r="E10" s="625"/>
      <x:c r="F10" s="627" t="n">
        <x:v>-9123.9</x:v>
      </x:c>
      <x:c r="G10" s="627" t="n">
        <x:v>-625.08</x:v>
      </x:c>
      <x:c r="H10" s="627" t="n">
        <x:v>-265.56</x:v>
      </x:c>
      <x:c r="I10" s="627" t="n">
        <x:v>-115.95</x:v>
      </x:c>
      <x:c r="J10" s="627" t="n">
        <x:v>-1600.92</x:v>
      </x:c>
      <x:c r="K10" s="627" t="n">
        <x:v>-103.46</x:v>
      </x:c>
      <x:c r="L10" s="627" t="n">
        <x:v>0</x:v>
      </x:c>
      <x:c r="M10" s="627" t="n">
        <x:v>-907.42</x:v>
      </x:c>
      <x:c r="N10" s="627" t="n">
        <x:v>-759.41</x:v>
      </x:c>
      <x:c r="O10" s="627" t="n">
        <x:v>-3031.34</x:v>
      </x:c>
      <x:c r="P10" s="627" t="n">
        <x:v>-1545.97</x:v>
      </x:c>
      <x:c r="Q10" s="627" t="n">
        <x:v>-168.79</x:v>
      </x:c>
      <x:c r="R10" s="627" t="n">
        <x:v>0</x:v>
      </x:c>
      <x:c r="S10" s="627" t="n">
        <x:v>0</x:v>
      </x:c>
      <x:c r="T10" s="627" t="n">
        <x:v>0</x:v>
      </x:c>
      <x:c r="U10" s="627">
        <x:v>0</x:v>
      </x:c>
      <x:c r="V10" s="627">
        <x:v>0</x:v>
      </x:c>
      <x:c r="W10" s="627">
        <x:v>0</x:v>
      </x:c>
      <x:c r="X10" s="627">
        <x:v>0</x:v>
      </x:c>
      <x:c r="Y10" s="627">
        <x:v>0</x:v>
      </x:c>
      <x:c r="Z10" s="627" t="n">
        <x:v>0</x:v>
      </x:c>
      <x:c r="BN10" s="624"/>
    </x:row>
    <x:row r="11" spans="1:66" x14ac:dyDescent="0.2">
      <x:c r="A11" s="631"/>
      <x:c r="B11" s="631"/>
      <x:c r="C11" s="632"/>
      <x:c r="D11" s="632"/>
      <x:c r="E11" s="631" t="inlineStr">
        <x:is>
          <x:t>Vlr Servicio</x:t>
        </x:is>
      </x:c>
      <x:c r="F11" s="633" t="n">
        <x:v>42369.42</x:v>
      </x:c>
      <x:c r="G11" s="633" t="n">
        <x:v>2242.46</x:v>
      </x:c>
      <x:c r="H11" s="633" t="n">
        <x:v>1266.09</x:v>
      </x:c>
      <x:c r="I11" s="633" t="n">
        <x:v>664.53</x:v>
      </x:c>
      <x:c r="J11" s="633" t="n">
        <x:v>10026.01</x:v>
      </x:c>
      <x:c r="K11" s="633" t="n">
        <x:v>372.31</x:v>
      </x:c>
      <x:c r="L11" s="633" t="n">
        <x:v>0</x:v>
      </x:c>
      <x:c r="M11" s="633" t="n">
        <x:v>3265.88</x:v>
      </x:c>
      <x:c r="N11" s="633" t="n">
        <x:v>3109.1</x:v>
      </x:c>
      <x:c r="O11" s="633" t="n">
        <x:v>14722.61</x:v>
      </x:c>
      <x:c r="P11" s="633" t="n">
        <x:v>6097.75</x:v>
      </x:c>
      <x:c r="Q11" s="633" t="n">
        <x:v>607.45</x:v>
      </x:c>
      <x:c r="R11" s="633" t="n">
        <x:v>-4.77</x:v>
      </x:c>
      <x:c r="S11" s="633" t="n">
        <x:v>0</x:v>
      </x:c>
      <x:c r="T11" s="633" t="n">
        <x:v>0</x:v>
      </x:c>
      <x:c r="U11" s="633">
        <x:v>0</x:v>
      </x:c>
      <x:c r="V11" s="633">
        <x:v>0</x:v>
      </x:c>
      <x:c r="W11" s="633">
        <x:v>0</x:v>
      </x:c>
      <x:c r="X11" s="633">
        <x:v>0</x:v>
      </x:c>
      <x:c r="Y11" s="633">
        <x:v>0</x:v>
      </x:c>
      <x:c r="Z11" s="633" t="n">
        <x:v>0</x:v>
      </x:c>
      <x:c r="AA11" s="631"/>
      <x:c r="AB11" s="631"/>
      <x:c r="AC11" s="631"/>
      <x:c r="AD11" s="631"/>
      <x:c r="AE11" s="631"/>
      <x:c r="AF11" s="631"/>
      <x:c r="AG11" s="631"/>
      <x:c r="AH11" s="631"/>
      <x:c r="AI11" s="631"/>
      <x:c r="AJ11" s="631"/>
      <x:c r="AK11" s="631"/>
      <x:c r="AL11" s="631"/>
      <x:c r="AM11" s="631"/>
      <x:c r="AN11" s="631"/>
      <x:c r="AO11" s="631"/>
      <x:c r="AP11" s="631"/>
      <x:c r="AQ11" s="631"/>
      <x:c r="AR11" s="631"/>
      <x:c r="AS11" s="631"/>
      <x:c r="AT11" s="631"/>
      <x:c r="AU11" s="631"/>
      <x:c r="AV11" s="631"/>
      <x:c r="AW11" s="631"/>
      <x:c r="AX11" s="631"/>
      <x:c r="AY11" s="631"/>
      <x:c r="AZ11" s="631"/>
      <x:c r="BA11" s="631"/>
      <x:c r="BB11" s="631"/>
      <x:c r="BC11" s="631"/>
      <x:c r="BD11" s="631"/>
      <x:c r="BE11" s="631"/>
      <x:c r="BF11" s="631"/>
      <x:c r="BG11" s="631"/>
      <x:c r="BH11" s="631"/>
      <x:c r="BI11" s="631"/>
      <x:c r="BJ11" s="631"/>
      <x:c r="BK11" s="631"/>
      <x:c r="BL11" s="631"/>
      <x:c r="BM11" s="631"/>
      <x:c r="BN11" s="624"/>
    </x:row>
    <x:row r="12" spans="1:66" x14ac:dyDescent="0.2">
      <x:c r="A12"/>
      <x:c r="B12" s="25"/>
      <x:c r="C12" s="25"/>
      <x:c r="D12" t="inlineStr">
        <x:is>
          <x:t>E</x:t>
        </x:is>
      </x:c>
      <x:c r="E12" s="625" t="inlineStr">
        <x:is>
          <x:t>Total</x:t>
        </x:is>
      </x:c>
      <x:c r="F12" s="627" t="n">
        <x:v>42369.42</x:v>
      </x:c>
      <x:c r="G12" s="627" t="n">
        <x:v>2242.46</x:v>
      </x:c>
      <x:c r="H12" s="627" t="n">
        <x:v>1266.09</x:v>
      </x:c>
      <x:c r="I12" s="627" t="n">
        <x:v>664.53</x:v>
      </x:c>
      <x:c r="J12" s="627" t="n">
        <x:v>10026.01</x:v>
      </x:c>
      <x:c r="K12" s="627" t="n">
        <x:v>372.31</x:v>
      </x:c>
      <x:c r="L12" s="627" t="n">
        <x:v>0</x:v>
      </x:c>
      <x:c r="M12" s="627" t="n">
        <x:v>3265.88</x:v>
      </x:c>
      <x:c r="N12" s="627" t="n">
        <x:v>3109.1</x:v>
      </x:c>
      <x:c r="O12" s="627" t="n">
        <x:v>14722.61</x:v>
      </x:c>
      <x:c r="P12" s="627" t="n">
        <x:v>6097.75</x:v>
      </x:c>
      <x:c r="Q12" s="627" t="n">
        <x:v>607.45</x:v>
      </x:c>
      <x:c r="R12" s="627" t="n">
        <x:v>-4.77</x:v>
      </x:c>
      <x:c r="S12" s="627" t="n">
        <x:v>0</x:v>
      </x:c>
      <x:c r="T12" s="627" t="n">
        <x:v>0</x:v>
      </x:c>
      <x:c r="U12" s="627">
        <x:v>0</x:v>
      </x:c>
      <x:c r="V12" s="627">
        <x:v>0</x:v>
      </x:c>
      <x:c r="W12" s="627">
        <x:v>0</x:v>
      </x:c>
      <x:c r="X12" s="627">
        <x:v>0</x:v>
      </x:c>
      <x:c r="Y12" s="627">
        <x:v>0</x:v>
      </x:c>
      <x:c r="Z12" s="627" t="n">
        <x:v>0</x:v>
      </x:c>
      <x:c r="BN12" s="624"/>
    </x:row>
    <x:row r="13" spans="1:66" x14ac:dyDescent="0.2">
      <x:c r="A13" s="634"/>
      <x:c r="B13" s="634"/>
      <x:c r="C13" s="634" t="inlineStr">
        <x:is>
          <x:t>ENEL</x:t>
        </x:is>
      </x:c>
      <x:c r="D13" s="634" t="inlineStr">
        <x:is>
          <x:t>Total</x:t>
        </x:is>
      </x:c>
      <x:c r="E13" s="634"/>
      <x:c r="F13" s="670" t="n">
        <x:v>42369.42</x:v>
      </x:c>
      <x:c r="G13" s="670" t="n">
        <x:v>2242.46</x:v>
      </x:c>
      <x:c r="H13" s="670" t="n">
        <x:v>1266.09</x:v>
      </x:c>
      <x:c r="I13" s="670" t="n">
        <x:v>664.53</x:v>
      </x:c>
      <x:c r="J13" s="670" t="n">
        <x:v>10026.01</x:v>
      </x:c>
      <x:c r="K13" s="670" t="n">
        <x:v>372.31</x:v>
      </x:c>
      <x:c r="L13" s="670" t="n">
        <x:v>0</x:v>
      </x:c>
      <x:c r="M13" s="670" t="n">
        <x:v>3265.88</x:v>
      </x:c>
      <x:c r="N13" s="670" t="n">
        <x:v>3109.1</x:v>
      </x:c>
      <x:c r="O13" s="670" t="n">
        <x:v>14722.61</x:v>
      </x:c>
      <x:c r="P13" s="670" t="n">
        <x:v>6097.75</x:v>
      </x:c>
      <x:c r="Q13" s="670" t="n">
        <x:v>607.45</x:v>
      </x:c>
      <x:c r="R13" s="670" t="n">
        <x:v>-4.77</x:v>
      </x:c>
      <x:c r="S13" s="670" t="n">
        <x:v>0</x:v>
      </x:c>
      <x:c r="T13" s="670" t="n">
        <x:v>0</x:v>
      </x:c>
      <x:c r="U13" s="670">
        <x:v>0</x:v>
      </x:c>
      <x:c r="V13" s="670">
        <x:v>0</x:v>
      </x:c>
      <x:c r="W13" s="670">
        <x:v>0</x:v>
      </x:c>
      <x:c r="X13" s="670">
        <x:v>0</x:v>
      </x:c>
      <x:c r="Y13" s="670">
        <x:v>0</x:v>
      </x:c>
      <x:c r="Z13" s="670" t="n">
        <x:v>0</x:v>
      </x:c>
      <x:c r="AA13" s="634"/>
      <x:c r="AB13" s="634"/>
      <x:c r="AC13" s="634"/>
      <x:c r="AD13" s="634"/>
      <x:c r="AE13" s="634"/>
      <x:c r="AF13" s="634"/>
      <x:c r="AG13" s="634"/>
      <x:c r="AH13" s="634"/>
      <x:c r="AI13" s="634"/>
      <x:c r="AJ13" s="634"/>
      <x:c r="AK13" s="634"/>
      <x:c r="AL13" s="634"/>
      <x:c r="AM13" s="634"/>
      <x:c r="AN13" s="634"/>
      <x:c r="AO13" s="634"/>
      <x:c r="AP13" s="634"/>
      <x:c r="AQ13" s="634"/>
      <x:c r="AR13" s="634"/>
      <x:c r="AS13" s="634"/>
      <x:c r="AT13" s="634"/>
      <x:c r="AU13" s="634"/>
      <x:c r="AV13" s="634"/>
      <x:c r="AW13" s="634"/>
      <x:c r="AX13" s="634"/>
      <x:c r="AY13" s="634"/>
      <x:c r="AZ13" s="634"/>
      <x:c r="BA13" s="634"/>
      <x:c r="BB13" s="634"/>
      <x:c r="BC13" s="634"/>
      <x:c r="BD13" s="634"/>
      <x:c r="BE13" s="634"/>
      <x:c r="BF13" s="634"/>
      <x:c r="BG13" s="634"/>
      <x:c r="BH13" s="634"/>
      <x:c r="BI13" s="634"/>
      <x:c r="BJ13" s="634"/>
      <x:c r="BK13" s="634"/>
      <x:c r="BL13" s="634"/>
      <x:c r="BM13" s="634"/>
      <x:c r="BN13" s="624"/>
    </x:row>
    <x:row r="14" spans="1:66" x14ac:dyDescent="0.2">
      <x:c r="A14" s="635"/>
      <x:c r="B14" t="inlineStr">
        <x:is>
          <x:t>Aplicacion nuevos x reversion</x:t>
        </x:is>
      </x:c>
      <x:c r="C14" t="inlineStr">
        <x:is>
          <x:t>Total</x:t>
        </x:is>
      </x:c>
      <x:c r="D14"/>
      <x:c r="E14" s="625"/>
      <x:c r="F14" s="627" t="n">
        <x:v>42369.42</x:v>
      </x:c>
      <x:c r="G14" s="627" t="n">
        <x:v>2242.46</x:v>
      </x:c>
      <x:c r="H14" s="627" t="n">
        <x:v>1266.09</x:v>
      </x:c>
      <x:c r="I14" s="627" t="n">
        <x:v>664.53</x:v>
      </x:c>
      <x:c r="J14" s="627" t="n">
        <x:v>10026.01</x:v>
      </x:c>
      <x:c r="K14" s="627" t="n">
        <x:v>372.31</x:v>
      </x:c>
      <x:c r="L14" s="627" t="n">
        <x:v>0</x:v>
      </x:c>
      <x:c r="M14" s="627" t="n">
        <x:v>3265.88</x:v>
      </x:c>
      <x:c r="N14" s="627" t="n">
        <x:v>3109.1</x:v>
      </x:c>
      <x:c r="O14" s="627" t="n">
        <x:v>14722.61</x:v>
      </x:c>
      <x:c r="P14" s="627" t="n">
        <x:v>6097.75</x:v>
      </x:c>
      <x:c r="Q14" s="627" t="n">
        <x:v>607.45</x:v>
      </x:c>
      <x:c r="R14" s="627" t="n">
        <x:v>-4.77</x:v>
      </x:c>
      <x:c r="S14" s="627" t="n">
        <x:v>0</x:v>
      </x:c>
      <x:c r="T14" s="627" t="n">
        <x:v>0</x:v>
      </x:c>
      <x:c r="U14" s="627">
        <x:v>0</x:v>
      </x:c>
      <x:c r="V14" s="627">
        <x:v>0</x:v>
      </x:c>
      <x:c r="W14" s="627">
        <x:v>0</x:v>
      </x:c>
      <x:c r="X14" s="627">
        <x:v>0</x:v>
      </x:c>
      <x:c r="Y14" s="627">
        <x:v>0</x:v>
      </x:c>
      <x:c r="Z14" s="627" t="n">
        <x:v>0</x:v>
      </x:c>
      <x:c r="BN14" s="624"/>
    </x:row>
    <x:row r="15" spans="1:66" x14ac:dyDescent="0.2">
      <x:c r="A15"/>
      <x:c r="B15"/>
      <x:c r="C15"/>
      <x:c r="D15" s="25"/>
      <x:c r="E15" s="625" t="inlineStr">
        <x:is>
          <x:t>Vlr Servicio</x:t>
        </x:is>
      </x:c>
      <x:c r="F15" s="627" t="n">
        <x:v>17290064314.52</x:v>
      </x:c>
      <x:c r="G15" s="627" t="n">
        <x:v>875679227.56</x:v>
      </x:c>
      <x:c r="H15" s="627" t="n">
        <x:v>493761649.64</x:v>
      </x:c>
      <x:c r="I15" s="627" t="n">
        <x:v>259701349.31</x:v>
      </x:c>
      <x:c r="J15" s="627" t="n">
        <x:v>4120776478.59</x:v>
      </x:c>
      <x:c r="K15" s="627" t="n">
        <x:v>154423786.41</x:v>
      </x:c>
      <x:c r="L15" s="627" t="n">
        <x:v>16025087.76</x:v>
      </x:c>
      <x:c r="M15" s="627" t="n">
        <x:v>1357666964.54</x:v>
      </x:c>
      <x:c r="N15" s="627" t="n">
        <x:v>1287591861.95</x:v>
      </x:c>
      <x:c r="O15" s="627" t="n">
        <x:v>6093979781.14</x:v>
      </x:c>
      <x:c r="P15" s="627" t="n">
        <x:v>2378368882.03</x:v>
      </x:c>
      <x:c r="Q15" s="627" t="n">
        <x:v>252086089.09</x:v>
      </x:c>
      <x:c r="R15" s="627" t="n">
        <x:v>3156.5</x:v>
      </x:c>
      <x:c r="S15" s="627" t="n">
        <x:v>0</x:v>
      </x:c>
      <x:c r="T15" s="627" t="n">
        <x:v>0</x:v>
      </x:c>
      <x:c r="U15" s="627">
        <x:v>0</x:v>
      </x:c>
      <x:c r="V15" s="627">
        <x:v>0</x:v>
      </x:c>
      <x:c r="W15" s="627">
        <x:v>0</x:v>
      </x:c>
      <x:c r="X15" s="627">
        <x:v>0</x:v>
      </x:c>
      <x:c r="Y15" s="627">
        <x:v>0</x:v>
      </x:c>
      <x:c r="Z15" s="627" t="n">
        <x:v>0</x:v>
      </x:c>
      <x:c r="BN15" s="624"/>
    </x:row>
    <x:row r="16" spans="1:66" x14ac:dyDescent="0.2">
      <x:c r="A16" s="628"/>
      <x:c r="B16" s="628"/>
      <x:c r="C16" s="628"/>
      <x:c r="D16" s="628"/>
      <x:c r="E16" s="629" t="inlineStr">
        <x:is>
          <x:t>Vlr Intereses</x:t>
        </x:is>
      </x:c>
      <x:c r="F16" s="630" t="n">
        <x:v>3168870.32</x:v>
      </x:c>
      <x:c r="G16" s="630" t="n">
        <x:v>181699.71</x:v>
      </x:c>
      <x:c r="H16" s="630" t="n">
        <x:v>94563.09</x:v>
      </x:c>
      <x:c r="I16" s="630" t="n">
        <x:v>50842.1</x:v>
      </x:c>
      <x:c r="J16" s="630" t="n">
        <x:v>719172.29</x:v>
      </x:c>
      <x:c r="K16" s="630" t="n">
        <x:v>28488.91</x:v>
      </x:c>
      <x:c r="L16" s="630" t="n">
        <x:v>600.77</x:v>
      </x:c>
      <x:c r="M16" s="630" t="n">
        <x:v>251707.71</x:v>
      </x:c>
      <x:c r="N16" s="630" t="n">
        <x:v>231457.21</x:v>
      </x:c>
      <x:c r="O16" s="630" t="n">
        <x:v>1072357.84</x:v>
      </x:c>
      <x:c r="P16" s="630" t="n">
        <x:v>490967.89</x:v>
      </x:c>
      <x:c r="Q16" s="630" t="n">
        <x:v>46457.99</x:v>
      </x:c>
      <x:c r="R16" s="630" t="n">
        <x:v>253.72</x:v>
      </x:c>
      <x:c r="S16" s="630" t="n">
        <x:v>0</x:v>
      </x:c>
      <x:c r="T16" s="630" t="n">
        <x:v>301.09</x:v>
      </x:c>
      <x:c r="U16" s="630">
        <x:v>0</x:v>
      </x:c>
      <x:c r="V16" s="630">
        <x:v>0</x:v>
      </x:c>
      <x:c r="W16" s="630">
        <x:v>0</x:v>
      </x:c>
      <x:c r="X16" s="630">
        <x:v>0</x:v>
      </x:c>
      <x:c r="Y16" s="630">
        <x:v>0</x:v>
      </x:c>
      <x:c r="Z16" s="630" t="n">
        <x:v>0</x:v>
      </x:c>
      <x:c r="AA16" s="628"/>
      <x:c r="AB16" s="628"/>
      <x:c r="AC16" s="628"/>
      <x:c r="AD16" s="628"/>
      <x:c r="AE16" s="628"/>
      <x:c r="AF16" s="628"/>
      <x:c r="AG16" s="628"/>
      <x:c r="AH16" s="628"/>
      <x:c r="AI16" s="628"/>
      <x:c r="AJ16" s="628"/>
      <x:c r="AK16" s="628"/>
      <x:c r="AL16" s="628"/>
      <x:c r="AM16" s="628"/>
      <x:c r="AN16" s="628"/>
      <x:c r="AO16" s="628"/>
      <x:c r="AP16" s="628"/>
      <x:c r="AQ16" s="628"/>
      <x:c r="AR16" s="628"/>
      <x:c r="AS16" s="628"/>
      <x:c r="AT16" s="628"/>
      <x:c r="AU16" s="628"/>
      <x:c r="AV16" s="628"/>
      <x:c r="AW16" s="628"/>
      <x:c r="AX16" s="628"/>
      <x:c r="AY16" s="628"/>
      <x:c r="AZ16" s="628"/>
      <x:c r="BA16" s="628"/>
      <x:c r="BB16" s="628"/>
      <x:c r="BC16" s="628"/>
      <x:c r="BD16" s="628"/>
      <x:c r="BE16" s="628"/>
      <x:c r="BF16" s="628"/>
      <x:c r="BG16" s="628"/>
      <x:c r="BH16" s="628"/>
      <x:c r="BI16" s="628"/>
      <x:c r="BJ16" s="628"/>
      <x:c r="BK16" s="628"/>
      <x:c r="BL16" s="628"/>
      <x:c r="BM16" s="628"/>
      <x:c r="BN16" s="624"/>
    </x:row>
    <x:row r="17" spans="1:66" x14ac:dyDescent="0.2">
      <x:c r="A17" s="635"/>
      <x:c r="B17" s="635"/>
      <x:c r="C17" s="635"/>
      <x:c r="D17" s="635" t="inlineStr">
        <x:is>
          <x:t>E</x:t>
        </x:is>
      </x:c>
      <x:c r="E17" s="636" t="inlineStr">
        <x:is>
          <x:t>Total</x:t>
        </x:is>
      </x:c>
      <x:c r="F17" s="637" t="n">
        <x:v>17293233184.84</x:v>
      </x:c>
      <x:c r="G17" s="637" t="n">
        <x:v>875860927.27</x:v>
      </x:c>
      <x:c r="H17" s="637" t="n">
        <x:v>493856212.73</x:v>
      </x:c>
      <x:c r="I17" s="637" t="n">
        <x:v>259752191.41</x:v>
      </x:c>
      <x:c r="J17" s="637" t="n">
        <x:v>4121495650.88</x:v>
      </x:c>
      <x:c r="K17" s="637" t="n">
        <x:v>154452275.32</x:v>
      </x:c>
      <x:c r="L17" s="637" t="n">
        <x:v>16025688.53</x:v>
      </x:c>
      <x:c r="M17" s="637" t="n">
        <x:v>1357918672.25</x:v>
      </x:c>
      <x:c r="N17" s="637" t="n">
        <x:v>1287823319.16</x:v>
      </x:c>
      <x:c r="O17" s="637" t="n">
        <x:v>6095052138.98</x:v>
      </x:c>
      <x:c r="P17" s="637" t="n">
        <x:v>2378859849.92</x:v>
      </x:c>
      <x:c r="Q17" s="637" t="n">
        <x:v>252132547.08</x:v>
      </x:c>
      <x:c r="R17" s="637" t="n">
        <x:v>3410.22</x:v>
      </x:c>
      <x:c r="S17" s="637" t="n">
        <x:v>0</x:v>
      </x:c>
      <x:c r="T17" s="637" t="n">
        <x:v>301.09</x:v>
      </x:c>
      <x:c r="U17" s="637">
        <x:v>0</x:v>
      </x:c>
      <x:c r="V17" s="637">
        <x:v>0</x:v>
      </x:c>
      <x:c r="W17" s="637">
        <x:v>0</x:v>
      </x:c>
      <x:c r="X17" s="637">
        <x:v>0</x:v>
      </x:c>
      <x:c r="Y17" s="637">
        <x:v>0</x:v>
      </x:c>
      <x:c r="Z17" s="637" t="n">
        <x:v>0</x:v>
      </x:c>
      <x:c r="AA17" s="635"/>
      <x:c r="AB17" s="635"/>
      <x:c r="AC17" s="635"/>
      <x:c r="AD17" s="635"/>
      <x:c r="AE17" s="635"/>
      <x:c r="AF17" s="635"/>
      <x:c r="AG17" s="635"/>
      <x:c r="AH17" s="635"/>
      <x:c r="AI17" s="635"/>
      <x:c r="AJ17" s="635"/>
      <x:c r="AK17" s="635"/>
      <x:c r="AL17" s="635"/>
      <x:c r="AM17" s="635"/>
      <x:c r="AN17" s="635"/>
      <x:c r="AO17" s="635"/>
      <x:c r="AP17" s="635"/>
      <x:c r="AQ17" s="635"/>
      <x:c r="AR17" s="635"/>
      <x:c r="AS17" s="635"/>
      <x:c r="AT17" s="635"/>
      <x:c r="AU17" s="635"/>
      <x:c r="AV17" s="635"/>
      <x:c r="AW17" s="635"/>
      <x:c r="AX17" s="635"/>
      <x:c r="AY17" s="635"/>
      <x:c r="AZ17" s="635"/>
      <x:c r="BA17" s="635"/>
      <x:c r="BB17" s="635"/>
      <x:c r="BC17" s="635"/>
      <x:c r="BD17" s="635"/>
      <x:c r="BE17" s="635"/>
      <x:c r="BF17" s="635"/>
      <x:c r="BG17" s="635"/>
      <x:c r="BH17" s="635"/>
      <x:c r="BI17" s="635"/>
      <x:c r="BJ17" s="635"/>
      <x:c r="BK17" s="635"/>
      <x:c r="BL17" s="635"/>
      <x:c r="BM17" s="635"/>
      <x:c r="BN17" s="624"/>
    </x:row>
    <x:row r="18" spans="1:66" x14ac:dyDescent="0.2">
      <x:c r="A18"/>
      <x:c r="B18"/>
      <x:c r="C18" t="inlineStr">
        <x:is>
          <x:t>ENEL</x:t>
        </x:is>
      </x:c>
      <x:c r="D18" t="inlineStr">
        <x:is>
          <x:t>Total</x:t>
        </x:is>
      </x:c>
      <x:c r="E18" s="625"/>
      <x:c r="F18" s="627" t="n">
        <x:v>17293233184.84</x:v>
      </x:c>
      <x:c r="G18" s="627" t="n">
        <x:v>875860927.27</x:v>
      </x:c>
      <x:c r="H18" s="627" t="n">
        <x:v>493856212.73</x:v>
      </x:c>
      <x:c r="I18" s="627" t="n">
        <x:v>259752191.41</x:v>
      </x:c>
      <x:c r="J18" s="627" t="n">
        <x:v>4121495650.88</x:v>
      </x:c>
      <x:c r="K18" s="627" t="n">
        <x:v>154452275.32</x:v>
      </x:c>
      <x:c r="L18" s="627" t="n">
        <x:v>16025688.53</x:v>
      </x:c>
      <x:c r="M18" s="627" t="n">
        <x:v>1357918672.25</x:v>
      </x:c>
      <x:c r="N18" s="627" t="n">
        <x:v>1287823319.16</x:v>
      </x:c>
      <x:c r="O18" s="627" t="n">
        <x:v>6095052138.98</x:v>
      </x:c>
      <x:c r="P18" s="627" t="n">
        <x:v>2378859849.92</x:v>
      </x:c>
      <x:c r="Q18" s="627" t="n">
        <x:v>252132547.08</x:v>
      </x:c>
      <x:c r="R18" s="627" t="n">
        <x:v>3410.22</x:v>
      </x:c>
      <x:c r="S18" s="627" t="n">
        <x:v>0</x:v>
      </x:c>
      <x:c r="T18" s="627" t="n">
        <x:v>301.09</x:v>
      </x:c>
      <x:c r="U18" s="627">
        <x:v>0</x:v>
      </x:c>
      <x:c r="V18" s="627">
        <x:v>0</x:v>
      </x:c>
      <x:c r="W18" s="627">
        <x:v>0</x:v>
      </x:c>
      <x:c r="X18" s="627">
        <x:v>0</x:v>
      </x:c>
      <x:c r="Y18" s="627">
        <x:v>0</x:v>
      </x:c>
      <x:c r="Z18" s="627" t="n">
        <x:v>0</x:v>
      </x:c>
      <x:c r="BN18" s="624"/>
    </x:row>
    <x:row r="19" spans="1:66" x14ac:dyDescent="0.2">
      <x:c r="A19"/>
      <x:c r="B19"/>
      <x:c r="C19"/>
      <x:c r="D19"/>
      <x:c r="E19" s="625" t="inlineStr">
        <x:is>
          <x:t>Vlr Servicio</x:t>
        </x:is>
      </x:c>
      <x:c r="F19" s="627" t="n">
        <x:v>31630649.03</x:v>
      </x:c>
      <x:c r="G19" s="627" t="n">
        <x:v>2116281.49</x:v>
      </x:c>
      <x:c r="H19" s="627" t="n">
        <x:v>1170722.51</x:v>
      </x:c>
      <x:c r="I19" s="627" t="n">
        <x:v>622287.66</x:v>
      </x:c>
      <x:c r="J19" s="627" t="n">
        <x:v>6853780.13</x:v>
      </x:c>
      <x:c r="K19" s="627" t="n">
        <x:v>205254.36</x:v>
      </x:c>
      <x:c r="L19" s="627" t="n">
        <x:v>0</x:v>
      </x:c>
      <x:c r="M19" s="627" t="n">
        <x:v>1791021.46</x:v>
      </x:c>
      <x:c r="N19" s="627" t="n">
        <x:v>2239705.04</x:v>
      </x:c>
      <x:c r="O19" s="627" t="n">
        <x:v>10554766.18</x:v>
      </x:c>
      <x:c r="P19" s="627" t="n">
        <x:v>5742154.81</x:v>
      </x:c>
      <x:c r="Q19" s="627" t="n">
        <x:v>334770.08</x:v>
      </x:c>
      <x:c r="R19" s="627" t="n">
        <x:v>-94.69</x:v>
      </x:c>
      <x:c r="S19" s="627" t="n">
        <x:v>0</x:v>
      </x:c>
      <x:c r="T19" s="627" t="n">
        <x:v>0</x:v>
      </x:c>
      <x:c r="U19" s="627">
        <x:v>0</x:v>
      </x:c>
      <x:c r="V19" s="627">
        <x:v>0</x:v>
      </x:c>
      <x:c r="W19" s="627">
        <x:v>0</x:v>
      </x:c>
      <x:c r="X19" s="627">
        <x:v>0</x:v>
      </x:c>
      <x:c r="Y19" s="627">
        <x:v>0</x:v>
      </x:c>
      <x:c r="Z19" s="627" t="n">
        <x:v>0</x:v>
      </x:c>
      <x:c r="BN19" s="624"/>
    </x:row>
    <x:row r="20" spans="1:66" x14ac:dyDescent="0.2">
      <x:c r="A20"/>
      <x:c r="B20"/>
      <x:c r="C20"/>
      <x:c r="D20" s="25"/>
      <x:c r="E20" s="625" t="inlineStr">
        <x:is>
          <x:t>Vlr Intereses</x:t>
        </x:is>
      </x:c>
      <x:c r="F20" s="627" t="n">
        <x:v>56566.94</x:v>
      </x:c>
      <x:c r="G20" s="627" t="n">
        <x:v>3153.2</x:v>
      </x:c>
      <x:c r="H20" s="627" t="n">
        <x:v>1630.48</x:v>
      </x:c>
      <x:c r="I20" s="627" t="n">
        <x:v>910.69</x:v>
      </x:c>
      <x:c r="J20" s="627" t="n">
        <x:v>14196.75</x:v>
      </x:c>
      <x:c r="K20" s="627" t="n">
        <x:v>404.44</x:v>
      </x:c>
      <x:c r="L20" s="627" t="n">
        <x:v>0</x:v>
      </x:c>
      <x:c r="M20" s="627" t="n">
        <x:v>3503.55</x:v>
      </x:c>
      <x:c r="N20" s="627" t="n">
        <x:v>4189.5</x:v>
      </x:c>
      <x:c r="O20" s="627" t="n">
        <x:v>19352.39</x:v>
      </x:c>
      <x:c r="P20" s="627" t="n">
        <x:v>8568.43</x:v>
      </x:c>
      <x:c r="Q20" s="627" t="n">
        <x:v>658.34</x:v>
      </x:c>
      <x:c r="R20" s="627" t="n">
        <x:v>-0.86</x:v>
      </x:c>
      <x:c r="S20" s="627" t="n">
        <x:v>0</x:v>
      </x:c>
      <x:c r="T20" s="627" t="n">
        <x:v>0.03</x:v>
      </x:c>
      <x:c r="U20" s="627">
        <x:v>0</x:v>
      </x:c>
      <x:c r="V20" s="627">
        <x:v>0</x:v>
      </x:c>
      <x:c r="W20" s="627">
        <x:v>0</x:v>
      </x:c>
      <x:c r="X20" s="627">
        <x:v>0</x:v>
      </x:c>
      <x:c r="Y20" s="627">
        <x:v>0</x:v>
      </x:c>
      <x:c r="Z20" s="627" t="n">
        <x:v>0</x:v>
      </x:c>
      <x:c r="BN20" s="624"/>
    </x:row>
    <x:row r="21" spans="1:66" x14ac:dyDescent="0.2">
      <x:c r="A21" s="628"/>
      <x:c r="B21" s="628"/>
      <x:c r="C21" s="628"/>
      <x:c r="D21" s="628" t="inlineStr">
        <x:is>
          <x:t>H</x:t>
        </x:is>
      </x:c>
      <x:c r="E21" s="629" t="inlineStr">
        <x:is>
          <x:t>Total</x:t>
        </x:is>
      </x:c>
      <x:c r="F21" s="630" t="n">
        <x:v>31687215.97</x:v>
      </x:c>
      <x:c r="G21" s="630" t="n">
        <x:v>2119434.69</x:v>
      </x:c>
      <x:c r="H21" s="630" t="n">
        <x:v>1172352.99</x:v>
      </x:c>
      <x:c r="I21" s="630" t="n">
        <x:v>623198.35</x:v>
      </x:c>
      <x:c r="J21" s="630" t="n">
        <x:v>6867976.88</x:v>
      </x:c>
      <x:c r="K21" s="630" t="n">
        <x:v>205658.8</x:v>
      </x:c>
      <x:c r="L21" s="630" t="n">
        <x:v>0</x:v>
      </x:c>
      <x:c r="M21" s="630" t="n">
        <x:v>1794525.01</x:v>
      </x:c>
      <x:c r="N21" s="630" t="n">
        <x:v>2243894.54</x:v>
      </x:c>
      <x:c r="O21" s="630" t="n">
        <x:v>10574118.57</x:v>
      </x:c>
      <x:c r="P21" s="630" t="n">
        <x:v>5750723.24</x:v>
      </x:c>
      <x:c r="Q21" s="630" t="n">
        <x:v>335428.42</x:v>
      </x:c>
      <x:c r="R21" s="630" t="n">
        <x:v>-95.55</x:v>
      </x:c>
      <x:c r="S21" s="630" t="n">
        <x:v>0</x:v>
      </x:c>
      <x:c r="T21" s="630" t="n">
        <x:v>0.03</x:v>
      </x:c>
      <x:c r="U21" s="630">
        <x:v>0</x:v>
      </x:c>
      <x:c r="V21" s="630">
        <x:v>0</x:v>
      </x:c>
      <x:c r="W21" s="630">
        <x:v>0</x:v>
      </x:c>
      <x:c r="X21" s="630">
        <x:v>0</x:v>
      </x:c>
      <x:c r="Y21" s="630">
        <x:v>0</x:v>
      </x:c>
      <x:c r="Z21" s="630" t="n">
        <x:v>0</x:v>
      </x:c>
      <x:c r="AA21" s="628"/>
      <x:c r="AB21" s="628"/>
      <x:c r="AC21" s="628"/>
      <x:c r="AD21" s="628"/>
      <x:c r="AE21" s="628"/>
      <x:c r="AF21" s="628"/>
      <x:c r="AG21" s="628"/>
      <x:c r="AH21" s="628"/>
      <x:c r="AI21" s="628"/>
      <x:c r="AJ21" s="628"/>
      <x:c r="AK21" s="628"/>
      <x:c r="AL21" s="628"/>
      <x:c r="AM21" s="628"/>
      <x:c r="AN21" s="628"/>
      <x:c r="AO21" s="628"/>
      <x:c r="AP21" s="628"/>
      <x:c r="AQ21" s="628"/>
      <x:c r="AR21" s="628"/>
      <x:c r="AS21" s="628"/>
      <x:c r="AT21" s="628"/>
      <x:c r="AU21" s="628"/>
      <x:c r="AV21" s="628"/>
      <x:c r="AW21" s="628"/>
      <x:c r="AX21" s="628"/>
      <x:c r="AY21" s="628"/>
      <x:c r="AZ21" s="628"/>
      <x:c r="BA21" s="628"/>
      <x:c r="BB21" s="628"/>
      <x:c r="BC21" s="628"/>
      <x:c r="BD21" s="628"/>
      <x:c r="BE21" s="628"/>
      <x:c r="BF21" s="628"/>
      <x:c r="BG21" s="628"/>
      <x:c r="BH21" s="628"/>
      <x:c r="BI21" s="628"/>
      <x:c r="BJ21" s="628"/>
      <x:c r="BK21" s="628"/>
      <x:c r="BL21" s="628"/>
      <x:c r="BM21" s="628"/>
      <x:c r="BN21" s="624"/>
    </x:row>
    <x:row r="22" spans="1:66" x14ac:dyDescent="0.2">
      <x:c r="A22"/>
      <x:c r="B22"/>
      <x:c r="C22"/>
      <x:c r="D22"/>
      <x:c r="E22" s="625" t="inlineStr">
        <x:is>
          <x:t>Vlr Servicio</x:t>
        </x:is>
      </x:c>
      <x:c r="F22" s="627" t="n">
        <x:v>116689234.32</x:v>
      </x:c>
      <x:c r="G22" s="627" t="n">
        <x:v>12754733.99</x:v>
      </x:c>
      <x:c r="H22" s="627" t="n">
        <x:v>7083985.99</x:v>
      </x:c>
      <x:c r="I22" s="627" t="n">
        <x:v>3721696.38</x:v>
      </x:c>
      <x:c r="J22" s="627" t="n">
        <x:v>14791579.29</x:v>
      </x:c>
      <x:c r="K22" s="627" t="n">
        <x:v>679432.2</x:v>
      </x:c>
      <x:c r="L22" s="627" t="n">
        <x:v>200407</x:v>
      </x:c>
      <x:c r="M22" s="627" t="n">
        <x:v>5966168.71</x:v>
      </x:c>
      <x:c r="N22" s="627" t="n">
        <x:v>6324114.46</x:v>
      </x:c>
      <x:c r="O22" s="627" t="n">
        <x:v>29397613.74</x:v>
      </x:c>
      <x:c r="P22" s="627" t="n">
        <x:v>34660611.57</x:v>
      </x:c>
      <x:c r="Q22" s="627" t="n">
        <x:v>1109795.57</x:v>
      </x:c>
      <x:c r="R22" s="627" t="n">
        <x:v>-904.58</x:v>
      </x:c>
      <x:c r="S22" s="627" t="n">
        <x:v>0</x:v>
      </x:c>
      <x:c r="T22" s="627" t="n">
        <x:v>0</x:v>
      </x:c>
      <x:c r="U22" s="627">
        <x:v>0</x:v>
      </x:c>
      <x:c r="V22" s="627">
        <x:v>0</x:v>
      </x:c>
      <x:c r="W22" s="627">
        <x:v>0</x:v>
      </x:c>
      <x:c r="X22" s="627">
        <x:v>0</x:v>
      </x:c>
      <x:c r="Y22" s="627">
        <x:v>0</x:v>
      </x:c>
      <x:c r="Z22" s="627" t="n">
        <x:v>0</x:v>
      </x:c>
      <x:c r="BN22" s="624"/>
    </x:row>
    <x:row r="23" spans="1:66" x14ac:dyDescent="0.2">
      <x:c r="A23"/>
      <x:c r="B23"/>
      <x:c r="C23"/>
      <x:c r="D23"/>
      <x:c r="E23" s="625" t="inlineStr">
        <x:is>
          <x:t>Vlr Intereses</x:t>
        </x:is>
      </x:c>
      <x:c r="F23" s="627" t="n">
        <x:v>298459.58</x:v>
      </x:c>
      <x:c r="G23" s="627" t="n">
        <x:v>17963.04</x:v>
      </x:c>
      <x:c r="H23" s="627" t="n">
        <x:v>7955.38</x:v>
      </x:c>
      <x:c r="I23" s="627" t="n">
        <x:v>3775.96</x:v>
      </x:c>
      <x:c r="J23" s="627" t="n">
        <x:v>65367.19</x:v>
      </x:c>
      <x:c r="K23" s="627" t="n">
        <x:v>2954.14</x:v>
      </x:c>
      <x:c r="L23" s="627" t="n">
        <x:v>175.21</x:v>
      </x:c>
      <x:c r="M23" s="627" t="n">
        <x:v>26504.61</x:v>
      </x:c>
      <x:c r="N23" s="627" t="n">
        <x:v>23098.54</x:v>
      </x:c>
      <x:c r="O23" s="627" t="n">
        <x:v>96645.91</x:v>
      </x:c>
      <x:c r="P23" s="627" t="n">
        <x:v>49317.74</x:v>
      </x:c>
      <x:c r="Q23" s="627" t="n">
        <x:v>4814.6</x:v>
      </x:c>
      <x:c r="R23" s="627" t="n">
        <x:v>-5.81</x:v>
      </x:c>
      <x:c r="S23" s="627" t="n">
        <x:v>0</x:v>
      </x:c>
      <x:c r="T23" s="627" t="n">
        <x:v>0.13</x:v>
      </x:c>
      <x:c r="U23" s="627">
        <x:v>0</x:v>
      </x:c>
      <x:c r="V23" s="627">
        <x:v>0</x:v>
      </x:c>
      <x:c r="W23" s="627">
        <x:v>0</x:v>
      </x:c>
      <x:c r="X23" s="627">
        <x:v>0</x:v>
      </x:c>
      <x:c r="Y23" s="627">
        <x:v>0</x:v>
      </x:c>
      <x:c r="Z23" s="627" t="n">
        <x:v>-107.06</x:v>
      </x:c>
      <x:c r="BN23" s="624"/>
    </x:row>
    <x:row r="24" spans="1:66" x14ac:dyDescent="0.2">
      <x:c r="A24"/>
      <x:c r="B24"/>
      <x:c r="C24"/>
      <x:c r="D24" s="625" t="inlineStr">
        <x:is>
          <x:t>O</x:t>
        </x:is>
      </x:c>
      <x:c r="E24" s="625" t="inlineStr">
        <x:is>
          <x:t>Total</x:t>
        </x:is>
      </x:c>
      <x:c r="F24" s="627" t="n">
        <x:v>116987693.9</x:v>
      </x:c>
      <x:c r="G24" s="627" t="n">
        <x:v>12772697.03</x:v>
      </x:c>
      <x:c r="H24" s="627" t="n">
        <x:v>7091941.37</x:v>
      </x:c>
      <x:c r="I24" s="627" t="n">
        <x:v>3725472.34</x:v>
      </x:c>
      <x:c r="J24" s="627" t="n">
        <x:v>14856946.48</x:v>
      </x:c>
      <x:c r="K24" s="627" t="n">
        <x:v>682386.34</x:v>
      </x:c>
      <x:c r="L24" s="627" t="n">
        <x:v>200582.21</x:v>
      </x:c>
      <x:c r="M24" s="627" t="n">
        <x:v>5992673.32</x:v>
      </x:c>
      <x:c r="N24" s="627" t="n">
        <x:v>6347213</x:v>
      </x:c>
      <x:c r="O24" s="627" t="n">
        <x:v>29494259.65</x:v>
      </x:c>
      <x:c r="P24" s="627" t="n">
        <x:v>34709929.31</x:v>
      </x:c>
      <x:c r="Q24" s="627" t="n">
        <x:v>1114610.17</x:v>
      </x:c>
      <x:c r="R24" s="627" t="n">
        <x:v>-910.39</x:v>
      </x:c>
      <x:c r="S24" s="627" t="n">
        <x:v>0</x:v>
      </x:c>
      <x:c r="T24" s="627" t="n">
        <x:v>0.13</x:v>
      </x:c>
      <x:c r="U24" s="627">
        <x:v>0</x:v>
      </x:c>
      <x:c r="V24" s="627">
        <x:v>0</x:v>
      </x:c>
      <x:c r="W24" s="627">
        <x:v>0</x:v>
      </x:c>
      <x:c r="X24" s="627">
        <x:v>0</x:v>
      </x:c>
      <x:c r="Y24" s="627">
        <x:v>0</x:v>
      </x:c>
      <x:c r="Z24" s="627" t="n">
        <x:v>-107.06</x:v>
      </x:c>
      <x:c r="BN24" s="624"/>
    </x:row>
    <x:row r="25" spans="1:66" x14ac:dyDescent="0.2">
      <x:c r="A25"/>
      <x:c r="B25"/>
      <x:c r="C25"/>
      <x:c r="D25"/>
      <x:c r="E25" s="625" t="inlineStr">
        <x:is>
          <x:t>Vlr Servicio</x:t>
        </x:is>
      </x:c>
      <x:c r="F25" s="627" t="n">
        <x:v>533963464.75</x:v>
      </x:c>
      <x:c r="G25" s="627" t="n">
        <x:v>84240997.33</x:v>
      </x:c>
      <x:c r="H25" s="627" t="n">
        <x:v>47757391.7</x:v>
      </x:c>
      <x:c r="I25" s="627" t="n">
        <x:v>25132510.24</x:v>
      </x:c>
      <x:c r="J25" s="627" t="n">
        <x:v>41404004.22</x:v>
      </x:c>
      <x:c r="K25" s="627" t="n">
        <x:v>1121828.41</x:v>
      </x:c>
      <x:c r="L25" s="627" t="n">
        <x:v>20785144</x:v>
      </x:c>
      <x:c r="M25" s="627" t="n">
        <x:v>9808677.13</x:v>
      </x:c>
      <x:c r="N25" s="627" t="n">
        <x:v>12792123</x:v>
      </x:c>
      <x:c r="O25" s="627" t="n">
        <x:v>60185506.18</x:v>
      </x:c>
      <x:c r="P25" s="627" t="n">
        <x:v>228905204.69</x:v>
      </x:c>
      <x:c r="Q25" s="627" t="n">
        <x:v>1830367.32</x:v>
      </x:c>
      <x:c r="R25" s="627" t="n">
        <x:v>-289.47</x:v>
      </x:c>
      <x:c r="S25" s="627" t="n">
        <x:v>0</x:v>
      </x:c>
      <x:c r="T25" s="627" t="n">
        <x:v>0</x:v>
      </x:c>
      <x:c r="U25" s="627">
        <x:v>0</x:v>
      </x:c>
      <x:c r="V25" s="627">
        <x:v>0</x:v>
      </x:c>
      <x:c r="W25" s="627">
        <x:v>0</x:v>
      </x:c>
      <x:c r="X25" s="627">
        <x:v>0</x:v>
      </x:c>
      <x:c r="Y25" s="627">
        <x:v>0</x:v>
      </x:c>
      <x:c r="Z25" s="627" t="n">
        <x:v>0</x:v>
      </x:c>
      <x:c r="BN25" s="624"/>
    </x:row>
    <x:row r="26" spans="1:66" x14ac:dyDescent="0.2">
      <x:c r="A26"/>
      <x:c r="B26"/>
      <x:c r="C26"/>
      <x:c r="D26"/>
      <x:c r="E26" s="625" t="inlineStr">
        <x:is>
          <x:t>Vlr Intereses</x:t>
        </x:is>
      </x:c>
      <x:c r="F26" s="627" t="n">
        <x:v>1648345.42</x:v>
      </x:c>
      <x:c r="G26" s="627" t="n">
        <x:v>174887.74</x:v>
      </x:c>
      <x:c r="H26" s="627" t="n">
        <x:v>87267.15</x:v>
      </x:c>
      <x:c r="I26" s="627" t="n">
        <x:v>44237.05</x:v>
      </x:c>
      <x:c r="J26" s="627" t="n">
        <x:v>278588.77</x:v>
      </x:c>
      <x:c r="K26" s="627" t="n">
        <x:v>9930.26</x:v>
      </x:c>
      <x:c r="L26" s="627" t="n">
        <x:v>13403.82</x:v>
      </x:c>
      <x:c r="M26" s="627" t="n">
        <x:v>86925</x:v>
      </x:c>
      <x:c r="N26" s="627" t="n">
        <x:v>89458.52</x:v>
      </x:c>
      <x:c r="O26" s="627" t="n">
        <x:v>385189.1</x:v>
      </x:c>
      <x:c r="P26" s="627" t="n">
        <x:v>462280.45</x:v>
      </x:c>
      <x:c r="Q26" s="627" t="n">
        <x:v>16184.13</x:v>
      </x:c>
      <x:c r="R26" s="627" t="n">
        <x:v>-6.73</x:v>
      </x:c>
      <x:c r="S26" s="627" t="n">
        <x:v>0.08</x:v>
      </x:c>
      <x:c r="T26" s="627" t="n">
        <x:v>0.08</x:v>
      </x:c>
      <x:c r="U26" s="627">
        <x:v>0</x:v>
      </x:c>
      <x:c r="V26" s="627">
        <x:v>0</x:v>
      </x:c>
      <x:c r="W26" s="627">
        <x:v>0</x:v>
      </x:c>
      <x:c r="X26" s="627">
        <x:v>0</x:v>
      </x:c>
      <x:c r="Y26" s="627">
        <x:v>0</x:v>
      </x:c>
      <x:c r="Z26" s="627" t="n">
        <x:v>0</x:v>
      </x:c>
      <x:c r="BN26" s="624"/>
    </x:row>
    <x:row r="27" spans="1:66" x14ac:dyDescent="0.2">
      <x:c r="A27"/>
      <x:c r="B27"/>
      <x:c r="C27"/>
      <x:c r="D27" s="625" t="inlineStr">
        <x:is>
          <x:t>T</x:t>
        </x:is>
      </x:c>
      <x:c r="E27" s="625" t="inlineStr">
        <x:is>
          <x:t>Total</x:t>
        </x:is>
      </x:c>
      <x:c r="F27" s="627" t="n">
        <x:v>535611810.17</x:v>
      </x:c>
      <x:c r="G27" s="627" t="n">
        <x:v>84415885.07</x:v>
      </x:c>
      <x:c r="H27" s="627" t="n">
        <x:v>47844658.85</x:v>
      </x:c>
      <x:c r="I27" s="627" t="n">
        <x:v>25176747.29</x:v>
      </x:c>
      <x:c r="J27" s="627" t="n">
        <x:v>41682592.99</x:v>
      </x:c>
      <x:c r="K27" s="627" t="n">
        <x:v>1131758.67</x:v>
      </x:c>
      <x:c r="L27" s="627" t="n">
        <x:v>20798547.82</x:v>
      </x:c>
      <x:c r="M27" s="627" t="n">
        <x:v>9895602.13</x:v>
      </x:c>
      <x:c r="N27" s="627" t="n">
        <x:v>12881581.52</x:v>
      </x:c>
      <x:c r="O27" s="627" t="n">
        <x:v>60570695.28</x:v>
      </x:c>
      <x:c r="P27" s="627" t="n">
        <x:v>229367485.14</x:v>
      </x:c>
      <x:c r="Q27" s="627" t="n">
        <x:v>1846551.45</x:v>
      </x:c>
      <x:c r="R27" s="627" t="n">
        <x:v>-296.2</x:v>
      </x:c>
      <x:c r="S27" s="627" t="n">
        <x:v>0.08</x:v>
      </x:c>
      <x:c r="T27" s="627" t="n">
        <x:v>0.08</x:v>
      </x:c>
      <x:c r="U27" s="627">
        <x:v>0</x:v>
      </x:c>
      <x:c r="V27" s="627">
        <x:v>0</x:v>
      </x:c>
      <x:c r="W27" s="627">
        <x:v>0</x:v>
      </x:c>
      <x:c r="X27" s="627">
        <x:v>0</x:v>
      </x:c>
      <x:c r="Y27" s="627">
        <x:v>0</x:v>
      </x:c>
      <x:c r="Z27" s="627" t="n">
        <x:v>0</x:v>
      </x:c>
      <x:c r="BN27" s="624"/>
    </x:row>
    <x:row r="28" spans="1:66" x14ac:dyDescent="0.2">
      <x:c r="A28"/>
      <x:c r="B28"/>
      <x:c r="C28" s="625" t="inlineStr">
        <x:is>
          <x:t>OCCIDENTE</x:t>
        </x:is>
      </x:c>
      <x:c r="D28" s="625" t="inlineStr">
        <x:is>
          <x:t>Total</x:t>
        </x:is>
      </x:c>
      <x:c r="E28" s="25"/>
      <x:c r="F28" s="627" t="n">
        <x:v>684286720.04</x:v>
      </x:c>
      <x:c r="G28" s="627" t="n">
        <x:v>99308016.79</x:v>
      </x:c>
      <x:c r="H28" s="627" t="n">
        <x:v>56108953.21</x:v>
      </x:c>
      <x:c r="I28" s="627" t="n">
        <x:v>29525417.98</x:v>
      </x:c>
      <x:c r="J28" s="627" t="n">
        <x:v>63407516.35</x:v>
      </x:c>
      <x:c r="K28" s="627" t="n">
        <x:v>2019803.81</x:v>
      </x:c>
      <x:c r="L28" s="627" t="n">
        <x:v>20999130.03</x:v>
      </x:c>
      <x:c r="M28" s="627" t="n">
        <x:v>17682800.46</x:v>
      </x:c>
      <x:c r="N28" s="627" t="n">
        <x:v>21472689.06</x:v>
      </x:c>
      <x:c r="O28" s="627" t="n">
        <x:v>100639073.5</x:v>
      </x:c>
      <x:c r="P28" s="627" t="n">
        <x:v>269828137.69</x:v>
      </x:c>
      <x:c r="Q28" s="627" t="n">
        <x:v>3296590.04</x:v>
      </x:c>
      <x:c r="R28" s="627" t="n">
        <x:v>-1302.14</x:v>
      </x:c>
      <x:c r="S28" s="627" t="n">
        <x:v>0.08</x:v>
      </x:c>
      <x:c r="T28" s="627" t="n">
        <x:v>0.24</x:v>
      </x:c>
      <x:c r="U28" s="627">
        <x:v>0</x:v>
      </x:c>
      <x:c r="V28" s="627">
        <x:v>0</x:v>
      </x:c>
      <x:c r="W28" s="627">
        <x:v>0</x:v>
      </x:c>
      <x:c r="X28" s="627">
        <x:v>0</x:v>
      </x:c>
      <x:c r="Y28" s="627">
        <x:v>0</x:v>
      </x:c>
      <x:c r="Z28" s="627" t="n">
        <x:v>-107.06</x:v>
      </x:c>
      <x:c r="BN28" s="624"/>
    </x:row>
    <x:row r="29" spans="1:66" x14ac:dyDescent="0.2">
      <x:c r="A29"/>
      <x:c r="B29" s="625" t="inlineStr">
        <x:is>
          <x:t>Mes</x:t>
        </x:is>
      </x:c>
      <x:c r="C29" s="625" t="inlineStr">
        <x:is>
          <x:t>Total</x:t>
        </x:is>
      </x:c>
      <x:c r="D29"/>
      <x:c r="E29" s="25"/>
      <x:c r="F29" s="627" t="n">
        <x:v>17977519904.88</x:v>
      </x:c>
      <x:c r="G29" s="627" t="n">
        <x:v>975168944.06</x:v>
      </x:c>
      <x:c r="H29" s="627" t="n">
        <x:v>549965165.94</x:v>
      </x:c>
      <x:c r="I29" s="627" t="n">
        <x:v>289277609.39</x:v>
      </x:c>
      <x:c r="J29" s="627" t="n">
        <x:v>4184903167.23</x:v>
      </x:c>
      <x:c r="K29" s="627" t="n">
        <x:v>156472079.13</x:v>
      </x:c>
      <x:c r="L29" s="627" t="n">
        <x:v>37024818.56</x:v>
      </x:c>
      <x:c r="M29" s="627" t="n">
        <x:v>1375601472.71</x:v>
      </x:c>
      <x:c r="N29" s="627" t="n">
        <x:v>1309296008.22</x:v>
      </x:c>
      <x:c r="O29" s="627" t="n">
        <x:v>6195691212.48</x:v>
      </x:c>
      <x:c r="P29" s="627" t="n">
        <x:v>2648687987.61</x:v>
      </x:c>
      <x:c r="Q29" s="627" t="n">
        <x:v>255429137.12</x:v>
      </x:c>
      <x:c r="R29" s="627" t="n">
        <x:v>2108.08</x:v>
      </x:c>
      <x:c r="S29" s="627" t="n">
        <x:v>0.08</x:v>
      </x:c>
      <x:c r="T29" s="627" t="n">
        <x:v>301.33</x:v>
      </x:c>
      <x:c r="U29" s="627">
        <x:v>0</x:v>
      </x:c>
      <x:c r="V29" s="627">
        <x:v>0</x:v>
      </x:c>
      <x:c r="W29" s="627">
        <x:v>0</x:v>
      </x:c>
      <x:c r="X29" s="627">
        <x:v>0</x:v>
      </x:c>
      <x:c r="Y29" s="627">
        <x:v>0</x:v>
      </x:c>
      <x:c r="Z29" s="627" t="n">
        <x:v>-107.06</x:v>
      </x:c>
      <x:c r="BN29" s="624"/>
    </x:row>
    <x:row r="30" spans="1:66" x14ac:dyDescent="0.2">
      <x:c r="A30" t="inlineStr">
        <x:is>
          <x:t>Componente</x:t>
        </x:is>
      </x:c>
      <x:c r="B30" t="inlineStr">
        <x:is>
          <x:t>Total</x:t>
        </x:is>
      </x:c>
      <x:c r="C30" s="625"/>
      <x:c r="D30" s="625"/>
      <x:c r="E30" s="25"/>
      <x:c r="F30" s="627" t="n">
        <x:v>17977562274.3</x:v>
      </x:c>
      <x:c r="G30" s="627" t="n">
        <x:v>975171186.52</x:v>
      </x:c>
      <x:c r="H30" s="627" t="n">
        <x:v>549966432.03</x:v>
      </x:c>
      <x:c r="I30" s="627" t="n">
        <x:v>289278273.92</x:v>
      </x:c>
      <x:c r="J30" s="627" t="n">
        <x:v>4184913193.24</x:v>
      </x:c>
      <x:c r="K30" s="627" t="n">
        <x:v>156472451.44</x:v>
      </x:c>
      <x:c r="L30" s="627" t="n">
        <x:v>37024818.56</x:v>
      </x:c>
      <x:c r="M30" s="627" t="n">
        <x:v>1375604738.59</x:v>
      </x:c>
      <x:c r="N30" s="627" t="n">
        <x:v>1309299117.32</x:v>
      </x:c>
      <x:c r="O30" s="627" t="n">
        <x:v>6195705935.09</x:v>
      </x:c>
      <x:c r="P30" s="627" t="n">
        <x:v>2648694085.36</x:v>
      </x:c>
      <x:c r="Q30" s="627" t="n">
        <x:v>255429744.57</x:v>
      </x:c>
      <x:c r="R30" s="627" t="n">
        <x:v>2103.31</x:v>
      </x:c>
      <x:c r="S30" s="627" t="n">
        <x:v>0.08</x:v>
      </x:c>
      <x:c r="T30" s="627" t="n">
        <x:v>301.33</x:v>
      </x:c>
      <x:c r="U30" s="627">
        <x:v>0</x:v>
      </x:c>
      <x:c r="V30" s="627">
        <x:v>0</x:v>
      </x:c>
      <x:c r="W30" s="627">
        <x:v>0</x:v>
      </x:c>
      <x:c r="X30" s="627">
        <x:v>0</x:v>
      </x:c>
      <x:c r="Y30" s="627">
        <x:v>0</x:v>
      </x:c>
      <x:c r="Z30" s="627" t="n">
        <x:v>-107.06</x:v>
      </x:c>
      <x:c r="BN30" s="624"/>
    </x:row>
    <x:row r="31" spans="1:66" x14ac:dyDescent="0.2">
      <x:c r="A31" s="631"/>
      <x:c r="B31" s="631"/>
      <x:c r="C31" s="632"/>
      <x:c r="D31" s="632"/>
      <x:c r="E31" s="631" t="inlineStr">
        <x:is>
          <x:t>Subsidio(-)/Contribucion(+)</x:t>
        </x:is>
      </x:c>
      <x:c r="F31" s="633" t="n">
        <x:v>21200.58</x:v>
      </x:c>
      <x:c r="G31" s="633" t="n">
        <x:v>1121.23</x:v>
      </x:c>
      <x:c r="H31" s="633" t="n">
        <x:v>633.05</x:v>
      </x:c>
      <x:c r="I31" s="633" t="n">
        <x:v>332.27</x:v>
      </x:c>
      <x:c r="J31" s="633" t="n">
        <x:v>5013.01</x:v>
      </x:c>
      <x:c r="K31" s="633" t="n">
        <x:v>186.15</x:v>
      </x:c>
      <x:c r="L31" s="633" t="n">
        <x:v>0</x:v>
      </x:c>
      <x:c r="M31" s="633" t="n">
        <x:v>1632.95</x:v>
      </x:c>
      <x:c r="N31" s="633" t="n">
        <x:v>1554.55</x:v>
      </x:c>
      <x:c r="O31" s="633" t="n">
        <x:v>7361.31</x:v>
      </x:c>
      <x:c r="P31" s="633" t="n">
        <x:v>3062.34</x:v>
      </x:c>
      <x:c r="Q31" s="633" t="n">
        <x:v>303.72</x:v>
      </x:c>
      <x:c r="R31" s="633" t="n">
        <x:v>0</x:v>
      </x:c>
      <x:c r="S31" s="633" t="n">
        <x:v>0</x:v>
      </x:c>
      <x:c r="T31" s="633" t="n">
        <x:v>0</x:v>
      </x:c>
      <x:c r="U31" s="633">
        <x:v>0</x:v>
      </x:c>
      <x:c r="V31" s="633">
        <x:v>0</x:v>
      </x:c>
      <x:c r="W31" s="633">
        <x:v>0</x:v>
      </x:c>
      <x:c r="X31" s="633">
        <x:v>0</x:v>
      </x:c>
      <x:c r="Y31" s="633">
        <x:v>0</x:v>
      </x:c>
      <x:c r="Z31" s="633" t="n">
        <x:v>0</x:v>
      </x:c>
      <x:c r="AA31" s="631"/>
      <x:c r="AB31" s="631"/>
      <x:c r="AC31" s="631"/>
      <x:c r="AD31" s="631"/>
      <x:c r="AE31" s="631"/>
      <x:c r="AF31" s="631"/>
      <x:c r="AG31" s="631"/>
      <x:c r="AH31" s="631"/>
      <x:c r="AI31" s="631"/>
      <x:c r="AJ31" s="631"/>
      <x:c r="AK31" s="631"/>
      <x:c r="AL31" s="631"/>
      <x:c r="AM31" s="631"/>
      <x:c r="AN31" s="631"/>
      <x:c r="AO31" s="631"/>
      <x:c r="AP31" s="631"/>
      <x:c r="AQ31" s="631"/>
      <x:c r="AR31" s="631"/>
      <x:c r="AS31" s="631"/>
      <x:c r="AT31" s="631"/>
      <x:c r="AU31" s="631"/>
      <x:c r="AV31" s="631"/>
      <x:c r="AW31" s="631"/>
      <x:c r="AX31" s="631"/>
      <x:c r="AY31" s="631"/>
      <x:c r="AZ31" s="631"/>
      <x:c r="BA31" s="631"/>
      <x:c r="BB31" s="631"/>
      <x:c r="BC31" s="631"/>
      <x:c r="BD31" s="631"/>
      <x:c r="BE31" s="631"/>
      <x:c r="BF31" s="631"/>
      <x:c r="BG31" s="631"/>
      <x:c r="BH31" s="631"/>
      <x:c r="BI31" s="631"/>
      <x:c r="BJ31" s="631"/>
      <x:c r="BK31" s="631"/>
      <x:c r="BL31" s="631"/>
      <x:c r="BM31" s="631"/>
      <x:c r="BN31" s="624"/>
    </x:row>
    <x:row r="32" spans="1:66" x14ac:dyDescent="0.2">
      <x:c r="A32" s="638"/>
      <x:c r="B32" s="639"/>
      <x:c r="C32" s="639"/>
      <x:c r="D32" s="638" t="inlineStr">
        <x:is>
          <x:t>E</x:t>
        </x:is>
      </x:c>
      <x:c r="E32" s="638" t="inlineStr">
        <x:is>
          <x:t>Total</x:t>
        </x:is>
      </x:c>
      <x:c r="F32" s="640" t="n">
        <x:v>21200.58</x:v>
      </x:c>
      <x:c r="G32" s="640" t="n">
        <x:v>1121.23</x:v>
      </x:c>
      <x:c r="H32" s="640" t="n">
        <x:v>633.05</x:v>
      </x:c>
      <x:c r="I32" s="640" t="n">
        <x:v>332.27</x:v>
      </x:c>
      <x:c r="J32" s="640" t="n">
        <x:v>5013.01</x:v>
      </x:c>
      <x:c r="K32" s="640" t="n">
        <x:v>186.15</x:v>
      </x:c>
      <x:c r="L32" s="640" t="n">
        <x:v>0</x:v>
      </x:c>
      <x:c r="M32" s="640" t="n">
        <x:v>1632.95</x:v>
      </x:c>
      <x:c r="N32" s="640" t="n">
        <x:v>1554.55</x:v>
      </x:c>
      <x:c r="O32" s="640" t="n">
        <x:v>7361.31</x:v>
      </x:c>
      <x:c r="P32" s="640" t="n">
        <x:v>3062.34</x:v>
      </x:c>
      <x:c r="Q32" s="640" t="n">
        <x:v>303.72</x:v>
      </x:c>
      <x:c r="R32" s="640" t="n">
        <x:v>0</x:v>
      </x:c>
      <x:c r="S32" s="640" t="n">
        <x:v>0</x:v>
      </x:c>
      <x:c r="T32" s="640" t="n">
        <x:v>0</x:v>
      </x:c>
      <x:c r="U32" s="640">
        <x:v>0</x:v>
      </x:c>
      <x:c r="V32" s="640">
        <x:v>0</x:v>
      </x:c>
      <x:c r="W32" s="640">
        <x:v>0</x:v>
      </x:c>
      <x:c r="X32" s="640">
        <x:v>0</x:v>
      </x:c>
      <x:c r="Y32" s="640">
        <x:v>0</x:v>
      </x:c>
      <x:c r="Z32" s="640" t="n">
        <x:v>0</x:v>
      </x:c>
      <x:c r="AA32" s="638"/>
      <x:c r="AB32" s="638"/>
      <x:c r="AC32" s="638"/>
      <x:c r="AD32" s="638"/>
      <x:c r="AE32" s="638"/>
      <x:c r="AF32" s="638"/>
      <x:c r="AG32" s="638"/>
      <x:c r="AH32" s="638"/>
      <x:c r="AI32" s="638"/>
      <x:c r="AJ32" s="638"/>
      <x:c r="AK32" s="638"/>
      <x:c r="AL32" s="638"/>
      <x:c r="AM32" s="638"/>
      <x:c r="AN32" s="638"/>
      <x:c r="AO32" s="638"/>
      <x:c r="AP32" s="638"/>
      <x:c r="AQ32" s="638"/>
      <x:c r="AR32" s="638"/>
      <x:c r="AS32" s="638"/>
      <x:c r="AT32" s="638"/>
      <x:c r="AU32" s="638"/>
      <x:c r="AV32" s="638"/>
      <x:c r="AW32" s="638"/>
      <x:c r="AX32" s="638"/>
      <x:c r="AY32" s="638"/>
      <x:c r="AZ32" s="638"/>
      <x:c r="BA32" s="638"/>
      <x:c r="BB32" s="638"/>
      <x:c r="BC32" s="638"/>
      <x:c r="BD32" s="638"/>
      <x:c r="BE32" s="638"/>
      <x:c r="BF32" s="638"/>
      <x:c r="BG32" s="638"/>
      <x:c r="BH32" s="638"/>
      <x:c r="BI32" s="638"/>
      <x:c r="BJ32" s="638"/>
      <x:c r="BK32" s="638"/>
      <x:c r="BL32" s="638"/>
      <x:c r="BM32" s="638"/>
      <x:c r="BN32" s="624"/>
    </x:row>
    <x:row r="33" spans="1:66" x14ac:dyDescent="0.2">
      <x:c r="A33" s="25"/>
      <x:c r="B33" s="25"/>
      <x:c r="C33" t="inlineStr">
        <x:is>
          <x:t>ENEL</x:t>
        </x:is>
      </x:c>
      <x:c r="D33" t="inlineStr">
        <x:is>
          <x:t>Total</x:t>
        </x:is>
      </x:c>
      <x:c r="E33" s="625"/>
      <x:c r="F33" s="627" t="n">
        <x:v>21200.58</x:v>
      </x:c>
      <x:c r="G33" s="627" t="n">
        <x:v>1121.23</x:v>
      </x:c>
      <x:c r="H33" s="627" t="n">
        <x:v>633.05</x:v>
      </x:c>
      <x:c r="I33" s="627" t="n">
        <x:v>332.27</x:v>
      </x:c>
      <x:c r="J33" s="627" t="n">
        <x:v>5013.01</x:v>
      </x:c>
      <x:c r="K33" s="627" t="n">
        <x:v>186.15</x:v>
      </x:c>
      <x:c r="L33" s="627" t="n">
        <x:v>0</x:v>
      </x:c>
      <x:c r="M33" s="627" t="n">
        <x:v>1632.95</x:v>
      </x:c>
      <x:c r="N33" s="627" t="n">
        <x:v>1554.55</x:v>
      </x:c>
      <x:c r="O33" s="627" t="n">
        <x:v>7361.31</x:v>
      </x:c>
      <x:c r="P33" s="627" t="n">
        <x:v>3062.34</x:v>
      </x:c>
      <x:c r="Q33" s="627" t="n">
        <x:v>303.72</x:v>
      </x:c>
      <x:c r="R33" s="627" t="n">
        <x:v>0</x:v>
      </x:c>
      <x:c r="S33" s="627" t="n">
        <x:v>0</x:v>
      </x:c>
      <x:c r="T33" s="627" t="n">
        <x:v>0</x:v>
      </x:c>
      <x:c r="U33" s="627">
        <x:v>0</x:v>
      </x:c>
      <x:c r="V33" s="627">
        <x:v>0</x:v>
      </x:c>
      <x:c r="W33" s="627">
        <x:v>0</x:v>
      </x:c>
      <x:c r="X33" s="627">
        <x:v>0</x:v>
      </x:c>
      <x:c r="Y33" s="627">
        <x:v>0</x:v>
      </x:c>
      <x:c r="Z33" s="627" t="n">
        <x:v>0</x:v>
      </x:c>
      <x:c r="BN33" s="624"/>
    </x:row>
    <x:row r="34" spans="1:66" x14ac:dyDescent="0.2">
      <x:c r="A34"/>
      <x:c r="B34" t="inlineStr">
        <x:is>
          <x:t>Aplicacion nuevos x reversion</x:t>
        </x:is>
      </x:c>
      <x:c r="C34" t="inlineStr">
        <x:is>
          <x:t>Total</x:t>
        </x:is>
      </x:c>
      <x:c r="D34"/>
      <x:c r="E34" s="625"/>
      <x:c r="F34" s="627" t="n">
        <x:v>21200.58</x:v>
      </x:c>
      <x:c r="G34" s="627" t="n">
        <x:v>1121.23</x:v>
      </x:c>
      <x:c r="H34" s="627" t="n">
        <x:v>633.05</x:v>
      </x:c>
      <x:c r="I34" s="627" t="n">
        <x:v>332.27</x:v>
      </x:c>
      <x:c r="J34" s="627" t="n">
        <x:v>5013.01</x:v>
      </x:c>
      <x:c r="K34" s="627" t="n">
        <x:v>186.15</x:v>
      </x:c>
      <x:c r="L34" s="627" t="n">
        <x:v>0</x:v>
      </x:c>
      <x:c r="M34" s="627" t="n">
        <x:v>1632.95</x:v>
      </x:c>
      <x:c r="N34" s="627" t="n">
        <x:v>1554.55</x:v>
      </x:c>
      <x:c r="O34" s="627" t="n">
        <x:v>7361.31</x:v>
      </x:c>
      <x:c r="P34" s="627" t="n">
        <x:v>3062.34</x:v>
      </x:c>
      <x:c r="Q34" s="627" t="n">
        <x:v>303.72</x:v>
      </x:c>
      <x:c r="R34" s="627" t="n">
        <x:v>0</x:v>
      </x:c>
      <x:c r="S34" s="627" t="n">
        <x:v>0</x:v>
      </x:c>
      <x:c r="T34" s="627" t="n">
        <x:v>0</x:v>
      </x:c>
      <x:c r="U34" s="627">
        <x:v>0</x:v>
      </x:c>
      <x:c r="V34" s="627">
        <x:v>0</x:v>
      </x:c>
      <x:c r="W34" s="627">
        <x:v>0</x:v>
      </x:c>
      <x:c r="X34" s="627">
        <x:v>0</x:v>
      </x:c>
      <x:c r="Y34" s="627">
        <x:v>0</x:v>
      </x:c>
      <x:c r="Z34" s="627" t="n">
        <x:v>0</x:v>
      </x:c>
      <x:c r="BN34" s="624"/>
    </x:row>
    <x:row r="35" spans="1:66" x14ac:dyDescent="0.2">
      <x:c r="A35"/>
      <x:c r="B35"/>
      <x:c r="C35"/>
      <x:c r="D35" s="25"/>
      <x:c r="E35" s="625" t="inlineStr">
        <x:is>
          <x:t>Subsidio(-)/Contribucion(+)</x:t>
        </x:is>
      </x:c>
      <x:c r="F35" s="627" t="n">
        <x:v>151894229.16</x:v>
      </x:c>
      <x:c r="G35" s="627" t="n">
        <x:v>90683812.03</x:v>
      </x:c>
      <x:c r="H35" s="627" t="n">
        <x:v>51049001.82</x:v>
      </x:c>
      <x:c r="I35" s="627" t="n">
        <x:v>26794377.77</x:v>
      </x:c>
      <x:c r="J35" s="627" t="n">
        <x:v>-86416492.86</x:v>
      </x:c>
      <x:c r="K35" s="627" t="n">
        <x:v>-3024948.55</x:v>
      </x:c>
      <x:c r="L35" s="627" t="n">
        <x:v>0</x:v>
      </x:c>
      <x:c r="M35" s="627" t="n">
        <x:v>-27764105.78</x:v>
      </x:c>
      <x:c r="N35" s="627" t="n">
        <x:v>-25271107.74</x:v>
      </x:c>
      <x:c r="O35" s="627" t="n">
        <x:v>-120395616.61</x:v>
      </x:c>
      <x:c r="P35" s="627" t="n">
        <x:v>251159209.43</x:v>
      </x:c>
      <x:c r="Q35" s="627" t="n">
        <x:v>-4919900.35</x:v>
      </x:c>
      <x:c r="R35" s="627" t="n">
        <x:v>0</x:v>
      </x:c>
      <x:c r="S35" s="627" t="n">
        <x:v>0</x:v>
      </x:c>
      <x:c r="T35" s="627" t="n">
        <x:v>0</x:v>
      </x:c>
      <x:c r="U35" s="627">
        <x:v>0</x:v>
      </x:c>
      <x:c r="V35" s="627">
        <x:v>0</x:v>
      </x:c>
      <x:c r="W35" s="627">
        <x:v>0</x:v>
      </x:c>
      <x:c r="X35" s="627">
        <x:v>0</x:v>
      </x:c>
      <x:c r="Y35" s="627">
        <x:v>0</x:v>
      </x:c>
      <x:c r="Z35" s="627" t="n">
        <x:v>0</x:v>
      </x:c>
      <x:c r="BN35" s="624"/>
    </x:row>
    <x:row r="36" spans="1:66" x14ac:dyDescent="0.2">
      <x:c r="A36" s="628"/>
      <x:c r="B36" s="628"/>
      <x:c r="C36" s="628"/>
      <x:c r="D36" s="628" t="inlineStr">
        <x:is>
          <x:t>E</x:t>
        </x:is>
      </x:c>
      <x:c r="E36" s="629" t="inlineStr">
        <x:is>
          <x:t>Total</x:t>
        </x:is>
      </x:c>
      <x:c r="F36" s="630" t="n">
        <x:v>151894229.16</x:v>
      </x:c>
      <x:c r="G36" s="630" t="n">
        <x:v>90683812.03</x:v>
      </x:c>
      <x:c r="H36" s="630" t="n">
        <x:v>51049001.82</x:v>
      </x:c>
      <x:c r="I36" s="630" t="n">
        <x:v>26794377.77</x:v>
      </x:c>
      <x:c r="J36" s="630" t="n">
        <x:v>-86416492.86</x:v>
      </x:c>
      <x:c r="K36" s="630" t="n">
        <x:v>-3024948.55</x:v>
      </x:c>
      <x:c r="L36" s="630" t="n">
        <x:v>0</x:v>
      </x:c>
      <x:c r="M36" s="630" t="n">
        <x:v>-27764105.78</x:v>
      </x:c>
      <x:c r="N36" s="630" t="n">
        <x:v>-25271107.74</x:v>
      </x:c>
      <x:c r="O36" s="630" t="n">
        <x:v>-120395616.61</x:v>
      </x:c>
      <x:c r="P36" s="630" t="n">
        <x:v>251159209.43</x:v>
      </x:c>
      <x:c r="Q36" s="630" t="n">
        <x:v>-4919900.35</x:v>
      </x:c>
      <x:c r="R36" s="630" t="n">
        <x:v>0</x:v>
      </x:c>
      <x:c r="S36" s="630" t="n">
        <x:v>0</x:v>
      </x:c>
      <x:c r="T36" s="630" t="n">
        <x:v>0</x:v>
      </x:c>
      <x:c r="U36" s="630">
        <x:v>0</x:v>
      </x:c>
      <x:c r="V36" s="630">
        <x:v>0</x:v>
      </x:c>
      <x:c r="W36" s="630">
        <x:v>0</x:v>
      </x:c>
      <x:c r="X36" s="630">
        <x:v>0</x:v>
      </x:c>
      <x:c r="Y36" s="630">
        <x:v>0</x:v>
      </x:c>
      <x:c r="Z36" s="630" t="n">
        <x:v>0</x:v>
      </x:c>
      <x:c r="AA36" s="628"/>
      <x:c r="AB36" s="628"/>
      <x:c r="AC36" s="628"/>
      <x:c r="AD36" s="628"/>
      <x:c r="AE36" s="628"/>
      <x:c r="AF36" s="628"/>
      <x:c r="AG36" s="628"/>
      <x:c r="AH36" s="628"/>
      <x:c r="AI36" s="628"/>
      <x:c r="AJ36" s="628"/>
      <x:c r="AK36" s="628"/>
      <x:c r="AL36" s="628"/>
      <x:c r="AM36" s="628"/>
      <x:c r="AN36" s="628"/>
      <x:c r="AO36" s="628"/>
      <x:c r="AP36" s="628"/>
      <x:c r="AQ36" s="628"/>
      <x:c r="AR36" s="628"/>
      <x:c r="AS36" s="628"/>
      <x:c r="AT36" s="628"/>
      <x:c r="AU36" s="628"/>
      <x:c r="AV36" s="628"/>
      <x:c r="AW36" s="628"/>
      <x:c r="AX36" s="628"/>
      <x:c r="AY36" s="628"/>
      <x:c r="AZ36" s="628"/>
      <x:c r="BA36" s="628"/>
      <x:c r="BB36" s="628"/>
      <x:c r="BC36" s="628"/>
      <x:c r="BD36" s="628"/>
      <x:c r="BE36" s="628"/>
      <x:c r="BF36" s="628"/>
      <x:c r="BG36" s="628"/>
      <x:c r="BH36" s="628"/>
      <x:c r="BI36" s="628"/>
      <x:c r="BJ36" s="628"/>
      <x:c r="BK36" s="628"/>
      <x:c r="BL36" s="628"/>
      <x:c r="BM36" s="628"/>
      <x:c r="BN36" s="624"/>
    </x:row>
    <x:row r="37" spans="1:66" x14ac:dyDescent="0.2">
      <x:c r="A37" s="635"/>
      <x:c r="B37" s="635"/>
      <x:c r="C37" s="635" t="inlineStr">
        <x:is>
          <x:t>ENEL</x:t>
        </x:is>
      </x:c>
      <x:c r="D37" s="635" t="inlineStr">
        <x:is>
          <x:t>Total</x:t>
        </x:is>
      </x:c>
      <x:c r="E37" s="636"/>
      <x:c r="F37" s="637" t="n">
        <x:v>151894229.16</x:v>
      </x:c>
      <x:c r="G37" s="637" t="n">
        <x:v>90683812.03</x:v>
      </x:c>
      <x:c r="H37" s="637" t="n">
        <x:v>51049001.82</x:v>
      </x:c>
      <x:c r="I37" s="637" t="n">
        <x:v>26794377.77</x:v>
      </x:c>
      <x:c r="J37" s="637" t="n">
        <x:v>-86416492.86</x:v>
      </x:c>
      <x:c r="K37" s="637" t="n">
        <x:v>-3024948.55</x:v>
      </x:c>
      <x:c r="L37" s="637" t="n">
        <x:v>0</x:v>
      </x:c>
      <x:c r="M37" s="637" t="n">
        <x:v>-27764105.78</x:v>
      </x:c>
      <x:c r="N37" s="637" t="n">
        <x:v>-25271107.74</x:v>
      </x:c>
      <x:c r="O37" s="637" t="n">
        <x:v>-120395616.61</x:v>
      </x:c>
      <x:c r="P37" s="637" t="n">
        <x:v>251159209.43</x:v>
      </x:c>
      <x:c r="Q37" s="637" t="n">
        <x:v>-4919900.35</x:v>
      </x:c>
      <x:c r="R37" s="637" t="n">
        <x:v>0</x:v>
      </x:c>
      <x:c r="S37" s="637" t="n">
        <x:v>0</x:v>
      </x:c>
      <x:c r="T37" s="637" t="n">
        <x:v>0</x:v>
      </x:c>
      <x:c r="U37" s="637">
        <x:v>0</x:v>
      </x:c>
      <x:c r="V37" s="637">
        <x:v>0</x:v>
      </x:c>
      <x:c r="W37" s="637">
        <x:v>0</x:v>
      </x:c>
      <x:c r="X37" s="637">
        <x:v>0</x:v>
      </x:c>
      <x:c r="Y37" s="637">
        <x:v>0</x:v>
      </x:c>
      <x:c r="Z37" s="637" t="n">
        <x:v>0</x:v>
      </x:c>
      <x:c r="AA37" s="635"/>
      <x:c r="AB37" s="635"/>
      <x:c r="AC37" s="635"/>
      <x:c r="AD37" s="635"/>
      <x:c r="AE37" s="635"/>
      <x:c r="AF37" s="635"/>
      <x:c r="AG37" s="635"/>
      <x:c r="AH37" s="635"/>
      <x:c r="AI37" s="635"/>
      <x:c r="AJ37" s="635"/>
      <x:c r="AK37" s="635"/>
      <x:c r="AL37" s="635"/>
      <x:c r="AM37" s="635"/>
      <x:c r="AN37" s="635"/>
      <x:c r="AO37" s="635"/>
      <x:c r="AP37" s="635"/>
      <x:c r="AQ37" s="635"/>
      <x:c r="AR37" s="635"/>
      <x:c r="AS37" s="635"/>
      <x:c r="AT37" s="635"/>
      <x:c r="AU37" s="635"/>
      <x:c r="AV37" s="635"/>
      <x:c r="AW37" s="635"/>
      <x:c r="AX37" s="635"/>
      <x:c r="AY37" s="635"/>
      <x:c r="AZ37" s="635"/>
      <x:c r="BA37" s="635"/>
      <x:c r="BB37" s="635"/>
      <x:c r="BC37" s="635"/>
      <x:c r="BD37" s="635"/>
      <x:c r="BE37" s="635"/>
      <x:c r="BF37" s="635"/>
      <x:c r="BG37" s="635"/>
      <x:c r="BH37" s="635"/>
      <x:c r="BI37" s="635"/>
      <x:c r="BJ37" s="635"/>
      <x:c r="BK37" s="635"/>
      <x:c r="BL37" s="635"/>
      <x:c r="BM37" s="635"/>
      <x:c r="BN37" s="624"/>
    </x:row>
    <x:row r="38" spans="1:66" x14ac:dyDescent="0.2">
      <x:c r="A38"/>
      <x:c r="B38"/>
      <x:c r="C38"/>
      <x:c r="D38"/>
      <x:c r="E38" s="625" t="inlineStr">
        <x:is>
          <x:t>Subsidio(-)/Contribucion(+)</x:t>
        </x:is>
      </x:c>
      <x:c r="F38" s="627" t="n">
        <x:v>2021483.03</x:v>
      </x:c>
      <x:c r="G38" s="627" t="n">
        <x:v>707748.14</x:v>
      </x:c>
      <x:c r="H38" s="627" t="n">
        <x:v>403617.61</x:v>
      </x:c>
      <x:c r="I38" s="627" t="n">
        <x:v>212434.65</x:v>
      </x:c>
      <x:c r="J38" s="627" t="n">
        <x:v>-402532.63</x:v>
      </x:c>
      <x:c r="K38" s="627" t="n">
        <x:v>-15766.67</x:v>
      </x:c>
      <x:c r="L38" s="627" t="n">
        <x:v>0</x:v>
      </x:c>
      <x:c r="M38" s="627" t="n">
        <x:v>-141242.42</x:v>
      </x:c>
      <x:c r="N38" s="627" t="n">
        <x:v>-116984.96</x:v>
      </x:c>
      <x:c r="O38" s="627" t="n">
        <x:v>-532807.93</x:v>
      </x:c>
      <x:c r="P38" s="627" t="n">
        <x:v>1932740.99</x:v>
      </x:c>
      <x:c r="Q38" s="627" t="n">
        <x:v>-25723.75</x:v>
      </x:c>
      <x:c r="R38" s="627" t="n">
        <x:v>0</x:v>
      </x:c>
      <x:c r="S38" s="627" t="n">
        <x:v>0</x:v>
      </x:c>
      <x:c r="T38" s="627" t="n">
        <x:v>0</x:v>
      </x:c>
      <x:c r="U38" s="627">
        <x:v>0</x:v>
      </x:c>
      <x:c r="V38" s="627">
        <x:v>0</x:v>
      </x:c>
      <x:c r="W38" s="627">
        <x:v>0</x:v>
      </x:c>
      <x:c r="X38" s="627">
        <x:v>0</x:v>
      </x:c>
      <x:c r="Y38" s="627">
        <x:v>0</x:v>
      </x:c>
      <x:c r="Z38" s="627" t="n">
        <x:v>0</x:v>
      </x:c>
      <x:c r="BN38" s="624"/>
    </x:row>
    <x:row r="39" spans="1:66" x14ac:dyDescent="0.2">
      <x:c r="A39"/>
      <x:c r="B39"/>
      <x:c r="C39"/>
      <x:c r="D39" s="25" t="inlineStr">
        <x:is>
          <x:t>H</x:t>
        </x:is>
      </x:c>
      <x:c r="E39" s="625" t="inlineStr">
        <x:is>
          <x:t>Total</x:t>
        </x:is>
      </x:c>
      <x:c r="F39" s="627" t="n">
        <x:v>2021483.03</x:v>
      </x:c>
      <x:c r="G39" s="627" t="n">
        <x:v>707748.14</x:v>
      </x:c>
      <x:c r="H39" s="627" t="n">
        <x:v>403617.61</x:v>
      </x:c>
      <x:c r="I39" s="627" t="n">
        <x:v>212434.65</x:v>
      </x:c>
      <x:c r="J39" s="627" t="n">
        <x:v>-402532.63</x:v>
      </x:c>
      <x:c r="K39" s="627" t="n">
        <x:v>-15766.67</x:v>
      </x:c>
      <x:c r="L39" s="627" t="n">
        <x:v>0</x:v>
      </x:c>
      <x:c r="M39" s="627" t="n">
        <x:v>-141242.42</x:v>
      </x:c>
      <x:c r="N39" s="627" t="n">
        <x:v>-116984.96</x:v>
      </x:c>
      <x:c r="O39" s="627" t="n">
        <x:v>-532807.93</x:v>
      </x:c>
      <x:c r="P39" s="627" t="n">
        <x:v>1932740.99</x:v>
      </x:c>
      <x:c r="Q39" s="627" t="n">
        <x:v>-25723.75</x:v>
      </x:c>
      <x:c r="R39" s="627" t="n">
        <x:v>0</x:v>
      </x:c>
      <x:c r="S39" s="627" t="n">
        <x:v>0</x:v>
      </x:c>
      <x:c r="T39" s="627" t="n">
        <x:v>0</x:v>
      </x:c>
      <x:c r="U39" s="627">
        <x:v>0</x:v>
      </x:c>
      <x:c r="V39" s="627">
        <x:v>0</x:v>
      </x:c>
      <x:c r="W39" s="627">
        <x:v>0</x:v>
      </x:c>
      <x:c r="X39" s="627">
        <x:v>0</x:v>
      </x:c>
      <x:c r="Y39" s="627">
        <x:v>0</x:v>
      </x:c>
      <x:c r="Z39" s="627" t="n">
        <x:v>0</x:v>
      </x:c>
      <x:c r="BN39" s="624"/>
    </x:row>
    <x:row r="40" spans="1:66" x14ac:dyDescent="0.2">
      <x:c r="A40" s="628"/>
      <x:c r="B40" s="628"/>
      <x:c r="C40" s="628"/>
      <x:c r="D40" s="628"/>
      <x:c r="E40" s="629" t="inlineStr">
        <x:is>
          <x:t>Subsidio(-)/Contribucion(+)</x:t>
        </x:is>
      </x:c>
      <x:c r="F40" s="630" t="n">
        <x:v>13967365.52</x:v>
      </x:c>
      <x:c r="G40" s="630" t="n">
        <x:v>2999538.79</x:v>
      </x:c>
      <x:c r="H40" s="630" t="n">
        <x:v>1727763.65</x:v>
      </x:c>
      <x:c r="I40" s="630" t="n">
        <x:v>908877.93</x:v>
      </x:c>
      <x:c r="J40" s="630" t="n">
        <x:v>-376035.93</x:v>
      </x:c>
      <x:c r="K40" s="630" t="n">
        <x:v>-21939.23</x:v>
      </x:c>
      <x:c r="L40" s="630" t="n">
        <x:v>0</x:v>
      </x:c>
      <x:c r="M40" s="630" t="n">
        <x:v>-193832.61</x:v>
      </x:c>
      <x:c r="N40" s="630" t="n">
        <x:v>102993.61</x:v>
      </x:c>
      <x:c r="O40" s="630" t="n">
        <x:v>642642.72</x:v>
      </x:c>
      <x:c r="P40" s="630" t="n">
        <x:v>8213151.12</x:v>
      </x:c>
      <x:c r="Q40" s="630" t="n">
        <x:v>-35794.53</x:v>
      </x:c>
      <x:c r="R40" s="630" t="n">
        <x:v>0</x:v>
      </x:c>
      <x:c r="S40" s="630" t="n">
        <x:v>0</x:v>
      </x:c>
      <x:c r="T40" s="630" t="n">
        <x:v>0</x:v>
      </x:c>
      <x:c r="U40" s="630">
        <x:v>0</x:v>
      </x:c>
      <x:c r="V40" s="630">
        <x:v>0</x:v>
      </x:c>
      <x:c r="W40" s="630">
        <x:v>0</x:v>
      </x:c>
      <x:c r="X40" s="630">
        <x:v>0</x:v>
      </x:c>
      <x:c r="Y40" s="630">
        <x:v>0</x:v>
      </x:c>
      <x:c r="Z40" s="630" t="n">
        <x:v>0</x:v>
      </x:c>
      <x:c r="AA40" s="628"/>
      <x:c r="AB40" s="628"/>
      <x:c r="AC40" s="628"/>
      <x:c r="AD40" s="628"/>
      <x:c r="AE40" s="628"/>
      <x:c r="AF40" s="628"/>
      <x:c r="AG40" s="628"/>
      <x:c r="AH40" s="628"/>
      <x:c r="AI40" s="628"/>
      <x:c r="AJ40" s="628"/>
      <x:c r="AK40" s="628"/>
      <x:c r="AL40" s="628"/>
      <x:c r="AM40" s="628"/>
      <x:c r="AN40" s="628"/>
      <x:c r="AO40" s="628"/>
      <x:c r="AP40" s="628"/>
      <x:c r="AQ40" s="628"/>
      <x:c r="AR40" s="628"/>
      <x:c r="AS40" s="628"/>
      <x:c r="AT40" s="628"/>
      <x:c r="AU40" s="628"/>
      <x:c r="AV40" s="628"/>
      <x:c r="AW40" s="628"/>
      <x:c r="AX40" s="628"/>
      <x:c r="AY40" s="628"/>
      <x:c r="AZ40" s="628"/>
      <x:c r="BA40" s="628"/>
      <x:c r="BB40" s="628"/>
      <x:c r="BC40" s="628"/>
      <x:c r="BD40" s="628"/>
      <x:c r="BE40" s="628"/>
      <x:c r="BF40" s="628"/>
      <x:c r="BG40" s="628"/>
      <x:c r="BH40" s="628"/>
      <x:c r="BI40" s="628"/>
      <x:c r="BJ40" s="628"/>
      <x:c r="BK40" s="628"/>
      <x:c r="BL40" s="628"/>
      <x:c r="BM40" s="628"/>
      <x:c r="BN40" s="624"/>
    </x:row>
    <x:row r="41" spans="1:66" x14ac:dyDescent="0.2">
      <x:c r="A41"/>
      <x:c r="B41"/>
      <x:c r="C41"/>
      <x:c r="D41" s="625" t="inlineStr">
        <x:is>
          <x:t>O</x:t>
        </x:is>
      </x:c>
      <x:c r="E41" s="625" t="inlineStr">
        <x:is>
          <x:t>Total</x:t>
        </x:is>
      </x:c>
      <x:c r="F41" s="627" t="n">
        <x:v>13967365.52</x:v>
      </x:c>
      <x:c r="G41" s="627" t="n">
        <x:v>2999538.79</x:v>
      </x:c>
      <x:c r="H41" s="627" t="n">
        <x:v>1727763.65</x:v>
      </x:c>
      <x:c r="I41" s="627" t="n">
        <x:v>908877.93</x:v>
      </x:c>
      <x:c r="J41" s="627" t="n">
        <x:v>-376035.93</x:v>
      </x:c>
      <x:c r="K41" s="627" t="n">
        <x:v>-21939.23</x:v>
      </x:c>
      <x:c r="L41" s="627" t="n">
        <x:v>0</x:v>
      </x:c>
      <x:c r="M41" s="627" t="n">
        <x:v>-193832.61</x:v>
      </x:c>
      <x:c r="N41" s="627" t="n">
        <x:v>102993.61</x:v>
      </x:c>
      <x:c r="O41" s="627" t="n">
        <x:v>642642.72</x:v>
      </x:c>
      <x:c r="P41" s="627" t="n">
        <x:v>8213151.12</x:v>
      </x:c>
      <x:c r="Q41" s="627" t="n">
        <x:v>-35794.53</x:v>
      </x:c>
      <x:c r="R41" s="627" t="n">
        <x:v>0</x:v>
      </x:c>
      <x:c r="S41" s="627" t="n">
        <x:v>0</x:v>
      </x:c>
      <x:c r="T41" s="627" t="n">
        <x:v>0</x:v>
      </x:c>
      <x:c r="U41" s="627">
        <x:v>0</x:v>
      </x:c>
      <x:c r="V41" s="627">
        <x:v>0</x:v>
      </x:c>
      <x:c r="W41" s="627">
        <x:v>0</x:v>
      </x:c>
      <x:c r="X41" s="627">
        <x:v>0</x:v>
      </x:c>
      <x:c r="Y41" s="627">
        <x:v>0</x:v>
      </x:c>
      <x:c r="Z41" s="627" t="n">
        <x:v>0</x:v>
      </x:c>
      <x:c r="BN41" s="624"/>
    </x:row>
    <x:row r="42" spans="1:66" x14ac:dyDescent="0.2">
      <x:c r="A42"/>
      <x:c r="B42"/>
      <x:c r="C42"/>
      <x:c r="D42" s="25"/>
      <x:c r="E42" s="625" t="inlineStr">
        <x:is>
          <x:t>Subsidio(-)/Contribucion(+)</x:t>
        </x:is>
      </x:c>
      <x:c r="F42" s="627" t="n">
        <x:v>190301952.83</x:v>
      </x:c>
      <x:c r="G42" s="627" t="n">
        <x:v>34107615.44</x:v>
      </x:c>
      <x:c r="H42" s="627" t="n">
        <x:v>19171703.53</x:v>
      </x:c>
      <x:c r="I42" s="627" t="n">
        <x:v>10096437.05</x:v>
      </x:c>
      <x:c r="J42" s="627" t="n">
        <x:v>10987895.11</x:v>
      </x:c>
      <x:c r="K42" s="627" t="n">
        <x:v>313087.53</x:v>
      </x:c>
      <x:c r="L42" s="627" t="n">
        <x:v>0</x:v>
      </x:c>
      <x:c r="M42" s="627" t="n">
        <x:v>2737745.54</x:v>
      </x:c>
      <x:c r="N42" s="627" t="n">
        <x:v>3379843.01</x:v>
      </x:c>
      <x:c r="O42" s="627" t="n">
        <x:v>15862576.49</x:v>
      </x:c>
      <x:c r="P42" s="627" t="n">
        <x:v>93134787.32</x:v>
      </x:c>
      <x:c r="Q42" s="627" t="n">
        <x:v>510261.81</x:v>
      </x:c>
      <x:c r="R42" s="627" t="n">
        <x:v>0</x:v>
      </x:c>
      <x:c r="S42" s="627" t="n">
        <x:v>0</x:v>
      </x:c>
      <x:c r="T42" s="627" t="n">
        <x:v>0</x:v>
      </x:c>
      <x:c r="U42" s="627">
        <x:v>0</x:v>
      </x:c>
      <x:c r="V42" s="627">
        <x:v>0</x:v>
      </x:c>
      <x:c r="W42" s="627">
        <x:v>0</x:v>
      </x:c>
      <x:c r="X42" s="627">
        <x:v>0</x:v>
      </x:c>
      <x:c r="Y42" s="627">
        <x:v>0</x:v>
      </x:c>
      <x:c r="Z42" s="627" t="n">
        <x:v>0</x:v>
      </x:c>
      <x:c r="BN42" s="624"/>
    </x:row>
    <x:row r="43" spans="1:66" x14ac:dyDescent="0.2">
      <x:c r="A43"/>
      <x:c r="B43"/>
      <x:c r="C43"/>
      <x:c r="D43" s="625" t="inlineStr">
        <x:is>
          <x:t>T</x:t>
        </x:is>
      </x:c>
      <x:c r="E43" s="625" t="inlineStr">
        <x:is>
          <x:t>Total</x:t>
        </x:is>
      </x:c>
      <x:c r="F43" s="627" t="n">
        <x:v>190301952.83</x:v>
      </x:c>
      <x:c r="G43" s="627" t="n">
        <x:v>34107615.44</x:v>
      </x:c>
      <x:c r="H43" s="627" t="n">
        <x:v>19171703.53</x:v>
      </x:c>
      <x:c r="I43" s="627" t="n">
        <x:v>10096437.05</x:v>
      </x:c>
      <x:c r="J43" s="627" t="n">
        <x:v>10987895.11</x:v>
      </x:c>
      <x:c r="K43" s="627" t="n">
        <x:v>313087.53</x:v>
      </x:c>
      <x:c r="L43" s="627" t="n">
        <x:v>0</x:v>
      </x:c>
      <x:c r="M43" s="627" t="n">
        <x:v>2737745.54</x:v>
      </x:c>
      <x:c r="N43" s="627" t="n">
        <x:v>3379843.01</x:v>
      </x:c>
      <x:c r="O43" s="627" t="n">
        <x:v>15862576.49</x:v>
      </x:c>
      <x:c r="P43" s="627" t="n">
        <x:v>93134787.32</x:v>
      </x:c>
      <x:c r="Q43" s="627" t="n">
        <x:v>510261.81</x:v>
      </x:c>
      <x:c r="R43" s="627" t="n">
        <x:v>0</x:v>
      </x:c>
      <x:c r="S43" s="627" t="n">
        <x:v>0</x:v>
      </x:c>
      <x:c r="T43" s="627" t="n">
        <x:v>0</x:v>
      </x:c>
      <x:c r="U43" s="627">
        <x:v>0</x:v>
      </x:c>
      <x:c r="V43" s="627">
        <x:v>0</x:v>
      </x:c>
      <x:c r="W43" s="627">
        <x:v>0</x:v>
      </x:c>
      <x:c r="X43" s="627">
        <x:v>0</x:v>
      </x:c>
      <x:c r="Y43" s="627">
        <x:v>0</x:v>
      </x:c>
      <x:c r="Z43" s="627" t="n">
        <x:v>0</x:v>
      </x:c>
      <x:c r="BN43" s="624"/>
    </x:row>
    <x:row r="44" spans="1:66" x14ac:dyDescent="0.2">
      <x:c r="A44"/>
      <x:c r="B44"/>
      <x:c r="C44" t="inlineStr">
        <x:is>
          <x:t>OCCIDENTE</x:t>
        </x:is>
      </x:c>
      <x:c r="D44" s="25" t="inlineStr">
        <x:is>
          <x:t>Total</x:t>
        </x:is>
      </x:c>
      <x:c r="E44" s="625"/>
      <x:c r="F44" s="627" t="n">
        <x:v>206290801.38</x:v>
      </x:c>
      <x:c r="G44" s="627" t="n">
        <x:v>37814902.37</x:v>
      </x:c>
      <x:c r="H44" s="627" t="n">
        <x:v>21303084.79</x:v>
      </x:c>
      <x:c r="I44" s="627" t="n">
        <x:v>11217749.63</x:v>
      </x:c>
      <x:c r="J44" s="627" t="n">
        <x:v>10209326.55</x:v>
      </x:c>
      <x:c r="K44" s="627" t="n">
        <x:v>275381.63</x:v>
      </x:c>
      <x:c r="L44" s="627" t="n">
        <x:v>0</x:v>
      </x:c>
      <x:c r="M44" s="627" t="n">
        <x:v>2402670.51</x:v>
      </x:c>
      <x:c r="N44" s="627" t="n">
        <x:v>3365851.66</x:v>
      </x:c>
      <x:c r="O44" s="627" t="n">
        <x:v>15972411.28</x:v>
      </x:c>
      <x:c r="P44" s="627" t="n">
        <x:v>103280679.43</x:v>
      </x:c>
      <x:c r="Q44" s="627" t="n">
        <x:v>448743.53</x:v>
      </x:c>
      <x:c r="R44" s="627" t="n">
        <x:v>0</x:v>
      </x:c>
      <x:c r="S44" s="627" t="n">
        <x:v>0</x:v>
      </x:c>
      <x:c r="T44" s="627" t="n">
        <x:v>0</x:v>
      </x:c>
      <x:c r="U44" s="627">
        <x:v>0</x:v>
      </x:c>
      <x:c r="V44" s="627">
        <x:v>0</x:v>
      </x:c>
      <x:c r="W44" s="627">
        <x:v>0</x:v>
      </x:c>
      <x:c r="X44" s="627">
        <x:v>0</x:v>
      </x:c>
      <x:c r="Y44" s="627">
        <x:v>0</x:v>
      </x:c>
      <x:c r="Z44" s="627" t="n">
        <x:v>0</x:v>
      </x:c>
      <x:c r="BN44" s="624"/>
    </x:row>
    <x:row r="45" spans="1:66" x14ac:dyDescent="0.2">
      <x:c r="A45"/>
      <x:c r="B45" t="inlineStr">
        <x:is>
          <x:t>Mes</x:t>
        </x:is>
      </x:c>
      <x:c r="C45" t="inlineStr">
        <x:is>
          <x:t>Total</x:t>
        </x:is>
      </x:c>
      <x:c r="D45" s="625"/>
      <x:c r="E45" s="625"/>
      <x:c r="F45" s="627" t="n">
        <x:v>358185030.54</x:v>
      </x:c>
      <x:c r="G45" s="627" t="n">
        <x:v>128498714.4</x:v>
      </x:c>
      <x:c r="H45" s="627" t="n">
        <x:v>72352086.61</x:v>
      </x:c>
      <x:c r="I45" s="627" t="n">
        <x:v>38012127.4</x:v>
      </x:c>
      <x:c r="J45" s="627" t="n">
        <x:v>-76207166.31</x:v>
      </x:c>
      <x:c r="K45" s="627" t="n">
        <x:v>-2749566.92</x:v>
      </x:c>
      <x:c r="L45" s="627" t="n">
        <x:v>0</x:v>
      </x:c>
      <x:c r="M45" s="627" t="n">
        <x:v>-25361435.27</x:v>
      </x:c>
      <x:c r="N45" s="627" t="n">
        <x:v>-21905256.08</x:v>
      </x:c>
      <x:c r="O45" s="627" t="n">
        <x:v>-104423205.33</x:v>
      </x:c>
      <x:c r="P45" s="627" t="n">
        <x:v>354439888.86</x:v>
      </x:c>
      <x:c r="Q45" s="627" t="n">
        <x:v>-4471156.82</x:v>
      </x:c>
      <x:c r="R45" s="627" t="n">
        <x:v>0</x:v>
      </x:c>
      <x:c r="S45" s="627" t="n">
        <x:v>0</x:v>
      </x:c>
      <x:c r="T45" s="627" t="n">
        <x:v>0</x:v>
      </x:c>
      <x:c r="U45" s="627">
        <x:v>0</x:v>
      </x:c>
      <x:c r="V45" s="627">
        <x:v>0</x:v>
      </x:c>
      <x:c r="W45" s="627">
        <x:v>0</x:v>
      </x:c>
      <x:c r="X45" s="627">
        <x:v>0</x:v>
      </x:c>
      <x:c r="Y45" s="627">
        <x:v>0</x:v>
      </x:c>
      <x:c r="Z45" s="627" t="n">
        <x:v>0</x:v>
      </x:c>
      <x:c r="BN45" s="624"/>
    </x:row>
    <x:row r="46" spans="1:66" x14ac:dyDescent="0.2">
      <x:c r="A46" t="inlineStr">
        <x:is>
          <x:t>Subs/Cont</x:t>
        </x:is>
      </x:c>
      <x:c r="B46" t="inlineStr">
        <x:is>
          <x:t>Total</x:t>
        </x:is>
      </x:c>
      <x:c r="C46" s="625"/>
      <x:c r="D46" s="625"/>
      <x:c r="E46" s="25"/>
      <x:c r="F46" s="627" t="n">
        <x:v>358206231.12</x:v>
      </x:c>
      <x:c r="G46" s="627" t="n">
        <x:v>128499835.63</x:v>
      </x:c>
      <x:c r="H46" s="627" t="n">
        <x:v>72352719.66</x:v>
      </x:c>
      <x:c r="I46" s="627" t="n">
        <x:v>38012459.67</x:v>
      </x:c>
      <x:c r="J46" s="627" t="n">
        <x:v>-76202153.3</x:v>
      </x:c>
      <x:c r="K46" s="627" t="n">
        <x:v>-2749380.77</x:v>
      </x:c>
      <x:c r="L46" s="627" t="n">
        <x:v>0</x:v>
      </x:c>
      <x:c r="M46" s="627" t="n">
        <x:v>-25359802.32</x:v>
      </x:c>
      <x:c r="N46" s="627" t="n">
        <x:v>-21903701.53</x:v>
      </x:c>
      <x:c r="O46" s="627" t="n">
        <x:v>-104415844.02</x:v>
      </x:c>
      <x:c r="P46" s="627" t="n">
        <x:v>354442951.2</x:v>
      </x:c>
      <x:c r="Q46" s="627" t="n">
        <x:v>-4470853.1</x:v>
      </x:c>
      <x:c r="R46" s="627" t="n">
        <x:v>0</x:v>
      </x:c>
      <x:c r="S46" s="627" t="n">
        <x:v>0</x:v>
      </x:c>
      <x:c r="T46" s="627" t="n">
        <x:v>0</x:v>
      </x:c>
      <x:c r="U46" s="627">
        <x:v>0</x:v>
      </x:c>
      <x:c r="V46" s="627">
        <x:v>0</x:v>
      </x:c>
      <x:c r="W46" s="627">
        <x:v>0</x:v>
      </x:c>
      <x:c r="X46" s="627">
        <x:v>0</x:v>
      </x:c>
      <x:c r="Y46" s="627">
        <x:v>0</x:v>
      </x:c>
      <x:c r="Z46" s="627" t="n">
        <x:v>0</x:v>
      </x:c>
      <x:c r="BN46" s="624"/>
    </x:row>
    <x:row r="47" spans="1:66" x14ac:dyDescent="0.2">
      <x:c r="A47" s="625" t="inlineStr">
        <x:is>
          <x:t>Total</x:t>
        </x:is>
      </x:c>
      <x:c r="B47"/>
      <x:c r="C47"/>
      <x:c r="D47"/>
      <x:c r="E47"/>
      <x:c r="F47" s="627" t="n">
        <x:v>18335759381.52</x:v>
      </x:c>
      <x:c r="G47" s="627" t="n">
        <x:v>1103670397.07</x:v>
      </x:c>
      <x:c r="H47" s="627" t="n">
        <x:v>622318886.13</x:v>
      </x:c>
      <x:c r="I47" s="627" t="n">
        <x:v>327290617.64</x:v>
      </x:c>
      <x:c r="J47" s="627" t="n">
        <x:v>4108709439.02</x:v>
      </x:c>
      <x:c r="K47" s="627" t="n">
        <x:v>153722967.21</x:v>
      </x:c>
      <x:c r="L47" s="627" t="n">
        <x:v>37024818.56</x:v>
      </x:c>
      <x:c r="M47" s="627" t="n">
        <x:v>1350244028.85</x:v>
      </x:c>
      <x:c r="N47" s="627" t="n">
        <x:v>1287394656.38</x:v>
      </x:c>
      <x:c r="O47" s="627" t="n">
        <x:v>6091287059.73</x:v>
      </x:c>
      <x:c r="P47" s="627" t="n">
        <x:v>3003135490.59</x:v>
      </x:c>
      <x:c r="Q47" s="627" t="n">
        <x:v>250958722.68</x:v>
      </x:c>
      <x:c r="R47" s="627" t="n">
        <x:v>2103.31</x:v>
      </x:c>
      <x:c r="S47" s="627" t="n">
        <x:v>0.08</x:v>
      </x:c>
      <x:c r="T47" s="653" t="n">
        <x:v>301.33</x:v>
      </x:c>
      <x:c r="U47" s="653">
        <x:v>0</x:v>
      </x:c>
      <x:c r="V47" s="653">
        <x:v>0</x:v>
      </x:c>
      <x:c r="W47" s="653">
        <x:v>0</x:v>
      </x:c>
      <x:c r="X47" s="627">
        <x:v>0</x:v>
      </x:c>
      <x:c r="Y47" s="627">
        <x:v>0</x:v>
      </x:c>
      <x:c r="Z47" s="653" t="n">
        <x:v>-107.06</x:v>
      </x:c>
      <x:c r="BN47" s="624"/>
    </x:row>
    <x:row r="48" spans="1:66" x14ac:dyDescent="0.2">
      <x:c r="A48" s="625"/>
      <x:c r="D48" s="641"/>
      <x:c r="E48" s="642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X48" s="627"/>
      <x:c r="Y48" s="627"/>
      <x:c r="BN48" s="624"/>
    </x:row>
    <x:row r="49" spans="1:66" x14ac:dyDescent="0.2">
      <x:c r="A49" s="625"/>
      <x:c r="F49" s="627"/>
      <x:c r="G49" s="627"/>
      <x:c r="H49" s="627"/>
      <x:c r="I49" s="627"/>
      <x:c r="J49" s="627"/>
      <x:c r="K49" s="627"/>
      <x:c r="L49" s="627"/>
      <x:c r="M49" s="627"/>
      <x:c r="N49" s="627"/>
      <x:c r="O49" s="627"/>
      <x:c r="P49" s="627"/>
      <x:c r="Q49" s="627"/>
      <x:c r="R49" s="627"/>
      <x:c r="S49" s="627"/>
      <x:c r="BN49" s="624"/>
    </x:row>
    <x:row r="50" spans="1:66" x14ac:dyDescent="0.2">
      <x:c r="C50" s="770" t="s">
        <x:v>2</x:v>
      </x:c>
      <x:c r="D50" s="768" t="s">
        <x:v>132</x:v>
      </x:c>
      <x:c r="E50" s="639" t="s">
        <x:v>70</x:v>
      </x:c>
      <x:c r="F50" s="640">
        <x:f>F32+F47+F12-L12-L32</x:f>
        <x:v>0</x:v>
      </x:c>
      <x:c r="G50" s="640">
        <x:f t="shared" ref="G50:AP50" si="0">G32+G12</x:f>
        <x:v>0</x:v>
      </x:c>
      <x:c r="H50" s="640">
        <x:f t="shared" si="0"/>
        <x:v>0</x:v>
      </x:c>
      <x:c r="I50" s="640">
        <x:f t="shared" si="0"/>
        <x:v>0</x:v>
      </x:c>
      <x:c r="J50" s="640">
        <x:f t="shared" si="0"/>
        <x:v>0</x:v>
      </x:c>
      <x:c r="K50" s="640">
        <x:f t="shared" si="0"/>
        <x:v>0</x:v>
      </x:c>
      <x:c r="L50" s="640">
        <x:f t="shared" si="0"/>
        <x:v>0</x:v>
      </x:c>
      <x:c r="M50" s="640">
        <x:f t="shared" si="0"/>
        <x:v>0</x:v>
      </x:c>
      <x:c r="N50" s="640">
        <x:f t="shared" si="0"/>
        <x:v>0</x:v>
      </x:c>
      <x:c r="O50" s="640">
        <x:f t="shared" si="0"/>
        <x:v>0</x:v>
      </x:c>
      <x:c r="P50" s="640">
        <x:f t="shared" si="0"/>
        <x:v>0</x:v>
      </x:c>
      <x:c r="Q50" s="640">
        <x:f t="shared" si="0"/>
        <x:v>0</x:v>
      </x:c>
      <x:c r="R50" s="640">
        <x:f t="shared" si="0"/>
        <x:v>0</x:v>
      </x:c>
      <x:c r="S50" s="640">
        <x:f t="shared" si="0"/>
        <x:v>0</x:v>
      </x:c>
      <x:c r="T50" s="640">
        <x:f t="shared" si="0"/>
        <x:v>0</x:v>
      </x:c>
      <x:c r="U50" s="640">
        <x:f t="shared" si="0"/>
        <x:v>0</x:v>
      </x:c>
      <x:c r="V50" s="640">
        <x:f t="shared" si="0"/>
        <x:v>0</x:v>
      </x:c>
      <x:c r="W50" s="640">
        <x:f t="shared" si="0"/>
        <x:v>0</x:v>
      </x:c>
      <x:c r="X50" s="640">
        <x:f t="shared" si="0"/>
        <x:v>0</x:v>
      </x:c>
      <x:c r="Y50" s="640">
        <x:f t="shared" si="0"/>
        <x:v>0</x:v>
      </x:c>
      <x:c r="Z50" s="640">
        <x:f t="shared" si="0"/>
        <x:v>0</x:v>
      </x:c>
      <x:c r="AA50" s="640">
        <x:f t="shared" si="0"/>
        <x:v>0</x:v>
      </x:c>
      <x:c r="AB50" s="640">
        <x:f t="shared" si="0"/>
        <x:v>0</x:v>
      </x:c>
      <x:c r="AC50" s="640">
        <x:f t="shared" si="0"/>
        <x:v>0</x:v>
      </x:c>
      <x:c r="AD50" s="640">
        <x:f t="shared" si="0"/>
        <x:v>0</x:v>
      </x:c>
      <x:c r="AE50" s="640">
        <x:f t="shared" si="0"/>
        <x:v>0</x:v>
      </x:c>
      <x:c r="AF50" s="640">
        <x:f t="shared" si="0"/>
        <x:v>0</x:v>
      </x:c>
      <x:c r="AG50" s="640">
        <x:f t="shared" si="0"/>
        <x:v>0</x:v>
      </x:c>
      <x:c r="AH50" s="640">
        <x:f t="shared" si="0"/>
        <x:v>0</x:v>
      </x:c>
      <x:c r="AI50" s="640">
        <x:f t="shared" si="0"/>
        <x:v>0</x:v>
      </x:c>
      <x:c r="AJ50" s="640">
        <x:f t="shared" si="0"/>
        <x:v>0</x:v>
      </x:c>
      <x:c r="AK50" s="640">
        <x:f t="shared" si="0"/>
        <x:v>0</x:v>
      </x:c>
      <x:c r="AL50" s="640">
        <x:f t="shared" si="0"/>
        <x:v>0</x:v>
      </x:c>
      <x:c r="AM50" s="640">
        <x:f t="shared" si="0"/>
        <x:v>0</x:v>
      </x:c>
      <x:c r="AN50" s="640">
        <x:f t="shared" si="0"/>
        <x:v>0</x:v>
      </x:c>
      <x:c r="AO50" s="640">
        <x:f t="shared" si="0"/>
        <x:v>0</x:v>
      </x:c>
      <x:c r="AP50" s="640">
        <x:f t="shared" si="0"/>
        <x:v>0</x:v>
      </x:c>
      <x:c r="BN50" s="624"/>
    </x:row>
    <x:row r="51" spans="1:66" x14ac:dyDescent="0.2">
      <x:c r="C51" s="770"/>
      <x:c r="D51" s="768"/>
      <x:c r="E51" s="639" t="s">
        <x:v>73</x:v>
      </x:c>
      <x:c r="F51" s="640">
        <x:f>F47</x:f>
        <x:v>0</x:v>
      </x:c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BN51" s="624"/>
    </x:row>
    <x:row r="52" spans="1:66" x14ac:dyDescent="0.2">
      <x:c r="C52" s="770"/>
      <x:c r="D52" s="768" t="s">
        <x:v>133</x:v>
      </x:c>
      <x:c r="E52" s="645" t="s">
        <x:v>70</x:v>
      </x:c>
      <x:c r="F52" s="646">
        <x:f>F37+F17-L17</x:f>
        <x:v>0</x:v>
      </x:c>
      <x:c r="G52" s="646">
        <x:f>G17</x:f>
        <x:v>0</x:v>
      </x:c>
      <x:c r="H52" s="646">
        <x:f t="shared" ref="H52:AP52" si="1">H17</x:f>
        <x:v>0</x:v>
      </x:c>
      <x:c r="I52" s="646">
        <x:f t="shared" si="1"/>
        <x:v>0</x:v>
      </x:c>
      <x:c r="J52" s="646">
        <x:f t="shared" si="1"/>
        <x:v>0</x:v>
      </x:c>
      <x:c r="K52" s="646">
        <x:f t="shared" si="1"/>
        <x:v>0</x:v>
      </x:c>
      <x:c r="L52" s="646">
        <x:f t="shared" si="1"/>
        <x:v>0</x:v>
      </x:c>
      <x:c r="M52" s="646">
        <x:f t="shared" si="1"/>
        <x:v>0</x:v>
      </x:c>
      <x:c r="N52" s="646">
        <x:f t="shared" si="1"/>
        <x:v>0</x:v>
      </x:c>
      <x:c r="O52" s="646">
        <x:f t="shared" si="1"/>
        <x:v>0</x:v>
      </x:c>
      <x:c r="P52" s="646">
        <x:f t="shared" si="1"/>
        <x:v>0</x:v>
      </x:c>
      <x:c r="Q52" s="646">
        <x:f t="shared" si="1"/>
        <x:v>0</x:v>
      </x:c>
      <x:c r="R52" s="646">
        <x:f t="shared" si="1"/>
        <x:v>0</x:v>
      </x:c>
      <x:c r="S52" s="646">
        <x:f t="shared" si="1"/>
        <x:v>0</x:v>
      </x:c>
      <x:c r="T52" s="646">
        <x:f t="shared" si="1"/>
        <x:v>0</x:v>
      </x:c>
      <x:c r="U52" s="646">
        <x:f t="shared" si="1"/>
        <x:v>0</x:v>
      </x:c>
      <x:c r="V52" s="646">
        <x:f t="shared" si="1"/>
        <x:v>0</x:v>
      </x:c>
      <x:c r="W52" s="646">
        <x:f t="shared" si="1"/>
        <x:v>0</x:v>
      </x:c>
      <x:c r="X52" s="646">
        <x:f t="shared" si="1"/>
        <x:v>0</x:v>
      </x:c>
      <x:c r="Y52" s="646">
        <x:f t="shared" si="1"/>
        <x:v>0</x:v>
      </x:c>
      <x:c r="Z52" s="646">
        <x:f t="shared" si="1"/>
        <x:v>0</x:v>
      </x:c>
      <x:c r="AA52" s="646">
        <x:f t="shared" si="1"/>
        <x:v>0</x:v>
      </x:c>
      <x:c r="AB52" s="646">
        <x:f t="shared" si="1"/>
        <x:v>0</x:v>
      </x:c>
      <x:c r="AC52" s="646">
        <x:f t="shared" si="1"/>
        <x:v>0</x:v>
      </x:c>
      <x:c r="AD52" s="646">
        <x:f t="shared" si="1"/>
        <x:v>0</x:v>
      </x:c>
      <x:c r="AE52" s="646">
        <x:f t="shared" si="1"/>
        <x:v>0</x:v>
      </x:c>
      <x:c r="AF52" s="646">
        <x:f t="shared" si="1"/>
        <x:v>0</x:v>
      </x:c>
      <x:c r="AG52" s="646">
        <x:f t="shared" si="1"/>
        <x:v>0</x:v>
      </x:c>
      <x:c r="AH52" s="646">
        <x:f t="shared" si="1"/>
        <x:v>0</x:v>
      </x:c>
      <x:c r="AI52" s="646">
        <x:f t="shared" si="1"/>
        <x:v>0</x:v>
      </x:c>
      <x:c r="AJ52" s="646">
        <x:f t="shared" si="1"/>
        <x:v>0</x:v>
      </x:c>
      <x:c r="AK52" s="646">
        <x:f t="shared" si="1"/>
        <x:v>0</x:v>
      </x:c>
      <x:c r="AL52" s="646">
        <x:f t="shared" si="1"/>
        <x:v>0</x:v>
      </x:c>
      <x:c r="AM52" s="646">
        <x:f t="shared" si="1"/>
        <x:v>0</x:v>
      </x:c>
      <x:c r="AN52" s="646">
        <x:f t="shared" si="1"/>
        <x:v>0</x:v>
      </x:c>
      <x:c r="AO52" s="646">
        <x:f t="shared" si="1"/>
        <x:v>0</x:v>
      </x:c>
      <x:c r="AP52" s="646">
        <x:f t="shared" si="1"/>
        <x:v>0</x:v>
      </x:c>
      <x:c r="BN52" s="624"/>
    </x:row>
    <x:row r="53" spans="1:66" x14ac:dyDescent="0.2">
      <x:c r="C53" s="770"/>
      <x:c r="D53" s="768"/>
      <x:c r="E53" s="645" t="s">
        <x:v>73</x:v>
      </x:c>
      <x:c r="F53" s="646">
        <x:f>F37</x:f>
        <x:v>0</x:v>
      </x:c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BN53" s="624"/>
    </x:row>
    <x:row r="54" spans="1:66" ht="15" x14ac:dyDescent="0.25">
      <x:c r="A54" s="625"/>
      <x:c r="C54" s="50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BN54" s="624"/>
    </x:row>
    <x:row r="55" spans="1:66" x14ac:dyDescent="0.2">
      <x:c r="C55" s="770" t="s">
        <x:v>160</x:v>
      </x:c>
      <x:c r="D55" s="768" t="s">
        <x:v>132</x:v>
      </x:c>
      <x:c r="E55" s="647" t="s">
        <x:v>70</x:v>
      </x:c>
      <x:c r="F55" s="648">
        <x:v>0</x:v>
      </x:c>
      <x:c r="G55" s="648">
        <x:v>0</x:v>
      </x:c>
      <x:c r="H55" s="648">
        <x:v>0</x:v>
      </x:c>
      <x:c r="I55" s="648">
        <x:v>0</x:v>
      </x:c>
      <x:c r="J55" s="648">
        <x:v>0</x:v>
      </x:c>
      <x:c r="K55" s="648">
        <x:v>0</x:v>
      </x:c>
      <x:c r="L55" s="648">
        <x:v>0</x:v>
      </x:c>
      <x:c r="M55" s="648">
        <x:v>0</x:v>
      </x:c>
      <x:c r="N55" s="648">
        <x:v>0</x:v>
      </x:c>
      <x:c r="O55" s="648">
        <x:v>0</x:v>
      </x:c>
      <x:c r="P55" s="648">
        <x:v>0</x:v>
      </x:c>
      <x:c r="Q55" s="648">
        <x:v>0</x:v>
      </x:c>
      <x:c r="R55" s="648">
        <x:v>0</x:v>
      </x:c>
      <x:c r="S55" s="648">
        <x:v>0</x:v>
      </x:c>
      <x:c r="T55" s="648">
        <x:v>0</x:v>
      </x:c>
      <x:c r="U55" s="648">
        <x:v>0</x:v>
      </x:c>
      <x:c r="V55" s="648">
        <x:v>0</x:v>
      </x:c>
      <x:c r="W55" s="648">
        <x:v>0</x:v>
      </x:c>
      <x:c r="X55" s="648">
        <x:v>0</x:v>
      </x:c>
      <x:c r="Y55" s="648">
        <x:v>0</x:v>
      </x:c>
      <x:c r="Z55" s="648">
        <x:v>0</x:v>
      </x:c>
      <x:c r="AA55" s="648">
        <x:v>0</x:v>
      </x:c>
      <x:c r="AB55" s="648">
        <x:v>0</x:v>
      </x:c>
      <x:c r="AC55" s="648">
        <x:v>0</x:v>
      </x:c>
      <x:c r="AD55" s="648">
        <x:v>0</x:v>
      </x:c>
      <x:c r="AE55" s="648">
        <x:v>0</x:v>
      </x:c>
      <x:c r="AF55" s="648">
        <x:v>0</x:v>
      </x:c>
      <x:c r="AG55" s="648">
        <x:v>0</x:v>
      </x:c>
      <x:c r="AH55" s="648">
        <x:v>0</x:v>
      </x:c>
      <x:c r="AI55" s="648">
        <x:v>0</x:v>
      </x:c>
      <x:c r="AJ55" s="648">
        <x:v>0</x:v>
      </x:c>
      <x:c r="AK55" s="648">
        <x:v>0</x:v>
      </x:c>
      <x:c r="AL55" s="648">
        <x:v>0</x:v>
      </x:c>
      <x:c r="AM55" s="648">
        <x:v>0</x:v>
      </x:c>
      <x:c r="AN55" s="648">
        <x:v>0</x:v>
      </x:c>
      <x:c r="AO55" s="648">
        <x:v>0</x:v>
      </x:c>
      <x:c r="AP55" s="648">
        <x:v>0</x:v>
      </x:c>
      <x:c r="BN55" s="624"/>
    </x:row>
    <x:row r="56" spans="1:66" x14ac:dyDescent="0.2">
      <x:c r="C56" s="770"/>
      <x:c r="D56" s="768"/>
      <x:c r="E56" s="647" t="s">
        <x:v>73</x:v>
      </x:c>
      <x:c r="F56" s="648">
        <x:v>0</x:v>
      </x:c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BN56" s="624"/>
    </x:row>
    <x:row r="57" spans="1:66" x14ac:dyDescent="0.2">
      <x:c r="C57" s="770"/>
      <x:c r="D57" s="768" t="s">
        <x:v>133</x:v>
      </x:c>
      <x:c r="E57" s="649" t="s">
        <x:v>70</x:v>
      </x:c>
      <x:c r="F57" s="650">
        <x:v>0</x:v>
      </x:c>
      <x:c r="G57" s="650">
        <x:v>0</x:v>
      </x:c>
      <x:c r="H57" s="650">
        <x:v>0</x:v>
      </x:c>
      <x:c r="I57" s="650">
        <x:v>0</x:v>
      </x:c>
      <x:c r="J57" s="650">
        <x:v>0</x:v>
      </x:c>
      <x:c r="K57" s="650">
        <x:v>0</x:v>
      </x:c>
      <x:c r="L57" s="650">
        <x:v>0</x:v>
      </x:c>
      <x:c r="M57" s="650">
        <x:v>0</x:v>
      </x:c>
      <x:c r="N57" s="650">
        <x:v>0</x:v>
      </x:c>
      <x:c r="O57" s="650">
        <x:v>0</x:v>
      </x:c>
      <x:c r="P57" s="650">
        <x:v>0</x:v>
      </x:c>
      <x:c r="Q57" s="650">
        <x:v>0</x:v>
      </x:c>
      <x:c r="R57" s="650">
        <x:v>0</x:v>
      </x:c>
      <x:c r="S57" s="650">
        <x:v>0</x:v>
      </x:c>
      <x:c r="T57" s="650">
        <x:v>0</x:v>
      </x:c>
      <x:c r="U57" s="650">
        <x:v>0</x:v>
      </x:c>
      <x:c r="V57" s="650">
        <x:v>0</x:v>
      </x:c>
      <x:c r="W57" s="650">
        <x:v>0</x:v>
      </x:c>
      <x:c r="X57" s="650">
        <x:v>0</x:v>
      </x:c>
      <x:c r="Y57" s="650">
        <x:v>0</x:v>
      </x:c>
      <x:c r="Z57" s="650">
        <x:v>0</x:v>
      </x:c>
      <x:c r="AA57" s="650">
        <x:v>0</x:v>
      </x:c>
      <x:c r="AB57" s="650">
        <x:v>0</x:v>
      </x:c>
      <x:c r="AC57" s="650">
        <x:v>0</x:v>
      </x:c>
      <x:c r="AD57" s="650">
        <x:v>0</x:v>
      </x:c>
      <x:c r="AE57" s="650">
        <x:v>0</x:v>
      </x:c>
      <x:c r="AF57" s="650">
        <x:v>0</x:v>
      </x:c>
      <x:c r="AG57" s="650">
        <x:v>0</x:v>
      </x:c>
      <x:c r="AH57" s="650">
        <x:v>0</x:v>
      </x:c>
      <x:c r="AI57" s="650">
        <x:v>0</x:v>
      </x:c>
      <x:c r="AJ57" s="650">
        <x:v>0</x:v>
      </x:c>
      <x:c r="AK57" s="650">
        <x:v>0</x:v>
      </x:c>
      <x:c r="AL57" s="650">
        <x:v>0</x:v>
      </x:c>
      <x:c r="AM57" s="650">
        <x:v>0</x:v>
      </x:c>
      <x:c r="AN57" s="650">
        <x:v>0</x:v>
      </x:c>
      <x:c r="AO57" s="650">
        <x:v>0</x:v>
      </x:c>
      <x:c r="AP57" s="650">
        <x:v>0</x:v>
      </x:c>
      <x:c r="BN57" s="624"/>
    </x:row>
    <x:row r="58" spans="1:66" x14ac:dyDescent="0.2">
      <x:c r="C58" s="770"/>
      <x:c r="D58" s="768"/>
      <x:c r="E58" s="649" t="s">
        <x:v>73</x:v>
      </x:c>
      <x:c r="F58" s="650">
        <x:v>0</x:v>
      </x:c>
      <x:c r="G58" s="627"/>
      <x:c r="H58" s="627"/>
      <x:c r="I58" s="627"/>
      <x:c r="J58" s="627"/>
      <x:c r="K58" s="627"/>
      <x:c r="L58" s="627"/>
      <x:c r="M58" s="627"/>
      <x:c r="N58" s="627"/>
      <x:c r="O58" s="627"/>
      <x:c r="P58" s="627"/>
      <x:c r="Q58" s="627"/>
      <x:c r="R58" s="627"/>
      <x:c r="BN58" s="624"/>
    </x:row>
    <x:row r="59" spans="1:66" ht="15" x14ac:dyDescent="0.25">
      <x:c r="A59" s="625"/>
      <x:c r="C59" s="50"/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S59" s="627"/>
      <x:c r="BN59" s="624"/>
    </x:row>
    <x:row r="60" spans="1:66" x14ac:dyDescent="0.2">
      <x:c r="C60" s="770" t="s">
        <x:v>155</x:v>
      </x:c>
      <x:c r="D60" s="768" t="s">
        <x:v>132</x:v>
      </x:c>
      <x:c r="E60" s="651" t="s">
        <x:v>70</x:v>
      </x:c>
      <x:c r="F60" s="652">
        <x:f>F40+F21+F8-L8-L21</x:f>
        <x:v>0</x:v>
      </x:c>
      <x:c r="G60" s="652">
        <x:f>G21+G8</x:f>
        <x:v>0</x:v>
      </x:c>
      <x:c r="H60" s="652">
        <x:f t="shared" ref="H60:AP60" si="2">H21+H8</x:f>
        <x:v>0</x:v>
      </x:c>
      <x:c r="I60" s="652">
        <x:f t="shared" si="2"/>
        <x:v>0</x:v>
      </x:c>
      <x:c r="J60" s="652">
        <x:f t="shared" si="2"/>
        <x:v>0</x:v>
      </x:c>
      <x:c r="K60" s="652">
        <x:f t="shared" si="2"/>
        <x:v>0</x:v>
      </x:c>
      <x:c r="L60" s="652">
        <x:f t="shared" si="2"/>
        <x:v>0</x:v>
      </x:c>
      <x:c r="M60" s="652">
        <x:f t="shared" si="2"/>
        <x:v>0</x:v>
      </x:c>
      <x:c r="N60" s="652">
        <x:f t="shared" si="2"/>
        <x:v>0</x:v>
      </x:c>
      <x:c r="O60" s="652">
        <x:f t="shared" si="2"/>
        <x:v>0</x:v>
      </x:c>
      <x:c r="P60" s="652">
        <x:f t="shared" si="2"/>
        <x:v>0</x:v>
      </x:c>
      <x:c r="Q60" s="652">
        <x:f t="shared" si="2"/>
        <x:v>0</x:v>
      </x:c>
      <x:c r="R60" s="652">
        <x:f t="shared" si="2"/>
        <x:v>0</x:v>
      </x:c>
      <x:c r="S60" s="652">
        <x:f t="shared" si="2"/>
        <x:v>0</x:v>
      </x:c>
      <x:c r="T60" s="652">
        <x:f t="shared" si="2"/>
        <x:v>0</x:v>
      </x:c>
      <x:c r="U60" s="652">
        <x:f t="shared" si="2"/>
        <x:v>0</x:v>
      </x:c>
      <x:c r="V60" s="652">
        <x:f t="shared" si="2"/>
        <x:v>0</x:v>
      </x:c>
      <x:c r="W60" s="652">
        <x:f t="shared" si="2"/>
        <x:v>0</x:v>
      </x:c>
      <x:c r="X60" s="652">
        <x:f t="shared" si="2"/>
        <x:v>0</x:v>
      </x:c>
      <x:c r="Y60" s="652">
        <x:f t="shared" si="2"/>
        <x:v>0</x:v>
      </x:c>
      <x:c r="Z60" s="652">
        <x:f t="shared" si="2"/>
        <x:v>0</x:v>
      </x:c>
      <x:c r="AA60" s="652">
        <x:f t="shared" si="2"/>
        <x:v>0</x:v>
      </x:c>
      <x:c r="AB60" s="652">
        <x:f t="shared" si="2"/>
        <x:v>0</x:v>
      </x:c>
      <x:c r="AC60" s="652">
        <x:f t="shared" si="2"/>
        <x:v>0</x:v>
      </x:c>
      <x:c r="AD60" s="652">
        <x:f t="shared" si="2"/>
        <x:v>0</x:v>
      </x:c>
      <x:c r="AE60" s="652">
        <x:f t="shared" si="2"/>
        <x:v>0</x:v>
      </x:c>
      <x:c r="AF60" s="652">
        <x:f t="shared" si="2"/>
        <x:v>0</x:v>
      </x:c>
      <x:c r="AG60" s="652">
        <x:f t="shared" si="2"/>
        <x:v>0</x:v>
      </x:c>
      <x:c r="AH60" s="652">
        <x:f t="shared" si="2"/>
        <x:v>0</x:v>
      </x:c>
      <x:c r="AI60" s="652">
        <x:f t="shared" si="2"/>
        <x:v>0</x:v>
      </x:c>
      <x:c r="AJ60" s="652">
        <x:f t="shared" si="2"/>
        <x:v>0</x:v>
      </x:c>
      <x:c r="AK60" s="652">
        <x:f t="shared" si="2"/>
        <x:v>0</x:v>
      </x:c>
      <x:c r="AL60" s="652">
        <x:f t="shared" si="2"/>
        <x:v>0</x:v>
      </x:c>
      <x:c r="AM60" s="652">
        <x:f t="shared" si="2"/>
        <x:v>0</x:v>
      </x:c>
      <x:c r="AN60" s="652">
        <x:f t="shared" si="2"/>
        <x:v>0</x:v>
      </x:c>
      <x:c r="AO60" s="652">
        <x:f t="shared" si="2"/>
        <x:v>0</x:v>
      </x:c>
      <x:c r="AP60" s="652">
        <x:f t="shared" si="2"/>
        <x:v>0</x:v>
      </x:c>
      <x:c r="BN60" s="624"/>
    </x:row>
    <x:row r="61" spans="1:66" x14ac:dyDescent="0.2">
      <x:c r="C61" s="770"/>
      <x:c r="D61" s="768"/>
      <x:c r="E61" s="651" t="s">
        <x:v>73</x:v>
      </x:c>
      <x:c r="F61" s="652">
        <x:f>F40</x:f>
        <x:v>0</x:v>
      </x:c>
      <x:c r="G61" s="627"/>
      <x:c r="H61" s="627"/>
      <x:c r="I61" s="627"/>
      <x:c r="J61" s="627"/>
      <x:c r="K61" s="627"/>
      <x:c r="L61" s="627"/>
      <x:c r="M61" s="627"/>
      <x:c r="N61" s="627"/>
      <x:c r="O61" s="627"/>
      <x:c r="P61" s="627"/>
      <x:c r="Q61" s="627"/>
      <x:c r="R61" s="627"/>
      <x:c r="S61" s="627"/>
      <x:c r="BN61" s="624"/>
    </x:row>
    <x:row r="62" spans="1:66" x14ac:dyDescent="0.2">
      <x:c r="B62" s="653"/>
      <x:c r="C62" s="770"/>
      <x:c r="D62" s="768" t="s">
        <x:v>133</x:v>
      </x:c>
      <x:c r="E62" s="629" t="s">
        <x:v>70</x:v>
      </x:c>
      <x:c r="F62" s="630">
        <x:f>F36+F16-L16</x:f>
        <x:v>0</x:v>
      </x:c>
      <x:c r="G62" s="630">
        <x:f>G16</x:f>
        <x:v>0</x:v>
      </x:c>
      <x:c r="H62" s="630">
        <x:f t="shared" ref="H62:AP62" si="3">H16</x:f>
        <x:v>0</x:v>
      </x:c>
      <x:c r="I62" s="630">
        <x:f t="shared" si="3"/>
        <x:v>0</x:v>
      </x:c>
      <x:c r="J62" s="630">
        <x:f t="shared" si="3"/>
        <x:v>0</x:v>
      </x:c>
      <x:c r="K62" s="630">
        <x:f t="shared" si="3"/>
        <x:v>0</x:v>
      </x:c>
      <x:c r="L62" s="630">
        <x:f t="shared" si="3"/>
        <x:v>0</x:v>
      </x:c>
      <x:c r="M62" s="630">
        <x:f t="shared" si="3"/>
        <x:v>0</x:v>
      </x:c>
      <x:c r="N62" s="630">
        <x:f t="shared" si="3"/>
        <x:v>0</x:v>
      </x:c>
      <x:c r="O62" s="630">
        <x:f t="shared" si="3"/>
        <x:v>0</x:v>
      </x:c>
      <x:c r="P62" s="630">
        <x:f t="shared" si="3"/>
        <x:v>0</x:v>
      </x:c>
      <x:c r="Q62" s="630">
        <x:f t="shared" si="3"/>
        <x:v>0</x:v>
      </x:c>
      <x:c r="R62" s="630">
        <x:f t="shared" si="3"/>
        <x:v>0</x:v>
      </x:c>
      <x:c r="S62" s="630">
        <x:f t="shared" si="3"/>
        <x:v>0</x:v>
      </x:c>
      <x:c r="T62" s="630">
        <x:f t="shared" si="3"/>
        <x:v>0</x:v>
      </x:c>
      <x:c r="U62" s="630">
        <x:f t="shared" si="3"/>
        <x:v>0</x:v>
      </x:c>
      <x:c r="V62" s="630">
        <x:f t="shared" si="3"/>
        <x:v>0</x:v>
      </x:c>
      <x:c r="W62" s="630">
        <x:f t="shared" si="3"/>
        <x:v>0</x:v>
      </x:c>
      <x:c r="X62" s="630">
        <x:f t="shared" si="3"/>
        <x:v>0</x:v>
      </x:c>
      <x:c r="Y62" s="630">
        <x:f t="shared" si="3"/>
        <x:v>0</x:v>
      </x:c>
      <x:c r="Z62" s="630">
        <x:f t="shared" si="3"/>
        <x:v>0</x:v>
      </x:c>
      <x:c r="AA62" s="630">
        <x:f t="shared" si="3"/>
        <x:v>0</x:v>
      </x:c>
      <x:c r="AB62" s="630">
        <x:f t="shared" si="3"/>
        <x:v>0</x:v>
      </x:c>
      <x:c r="AC62" s="630">
        <x:f t="shared" si="3"/>
        <x:v>0</x:v>
      </x:c>
      <x:c r="AD62" s="630">
        <x:f t="shared" si="3"/>
        <x:v>0</x:v>
      </x:c>
      <x:c r="AE62" s="630">
        <x:f t="shared" si="3"/>
        <x:v>0</x:v>
      </x:c>
      <x:c r="AF62" s="630">
        <x:f t="shared" si="3"/>
        <x:v>0</x:v>
      </x:c>
      <x:c r="AG62" s="630">
        <x:f t="shared" si="3"/>
        <x:v>0</x:v>
      </x:c>
      <x:c r="AH62" s="630">
        <x:f t="shared" si="3"/>
        <x:v>0</x:v>
      </x:c>
      <x:c r="AI62" s="630">
        <x:f t="shared" si="3"/>
        <x:v>0</x:v>
      </x:c>
      <x:c r="AJ62" s="630">
        <x:f t="shared" si="3"/>
        <x:v>0</x:v>
      </x:c>
      <x:c r="AK62" s="630">
        <x:f t="shared" si="3"/>
        <x:v>0</x:v>
      </x:c>
      <x:c r="AL62" s="630">
        <x:f t="shared" si="3"/>
        <x:v>0</x:v>
      </x:c>
      <x:c r="AM62" s="630">
        <x:f t="shared" si="3"/>
        <x:v>0</x:v>
      </x:c>
      <x:c r="AN62" s="630">
        <x:f t="shared" si="3"/>
        <x:v>0</x:v>
      </x:c>
      <x:c r="AO62" s="630">
        <x:f t="shared" si="3"/>
        <x:v>0</x:v>
      </x:c>
      <x:c r="AP62" s="630">
        <x:f t="shared" si="3"/>
        <x:v>0</x:v>
      </x:c>
      <x:c r="BN62" s="624"/>
    </x:row>
    <x:row r="63" spans="1:66" x14ac:dyDescent="0.2">
      <x:c r="B63" s="653"/>
      <x:c r="C63" s="770"/>
      <x:c r="D63" s="768"/>
      <x:c r="E63" s="629" t="s">
        <x:v>73</x:v>
      </x:c>
      <x:c r="F63" s="630">
        <x:f>F36</x:f>
        <x:v>0</x:v>
      </x:c>
      <x:c r="G63" s="627"/>
      <x:c r="H63" s="627"/>
      <x:c r="I63" s="627"/>
      <x:c r="J63" s="627"/>
      <x:c r="K63" s="627"/>
      <x:c r="L63" s="627"/>
      <x:c r="M63" s="627"/>
      <x:c r="N63" s="627"/>
      <x:c r="O63" s="627"/>
      <x:c r="P63" s="627"/>
      <x:c r="Q63" s="627"/>
      <x:c r="R63" s="627"/>
      <x:c r="BN63" s="624"/>
    </x:row>
    <x:row r="64" spans="1:66" ht="15" x14ac:dyDescent="0.25">
      <x:c r="A64" s="625"/>
      <x:c r="C64" s="50"/>
      <x:c r="F64" s="627"/>
      <x:c r="G64" s="627"/>
      <x:c r="H64" s="627"/>
      <x:c r="I64" s="627"/>
      <x:c r="J64" s="627"/>
      <x:c r="K64" s="627"/>
      <x:c r="L64" s="627"/>
      <x:c r="M64" s="627"/>
      <x:c r="N64" s="627"/>
      <x:c r="O64" s="627"/>
      <x:c r="P64" s="627"/>
      <x:c r="Q64" s="627"/>
      <x:c r="R64" s="627"/>
      <x:c r="S64" s="627"/>
      <x:c r="BN64" s="624"/>
    </x:row>
    <x:row r="65" spans="1:66" x14ac:dyDescent="0.2">
      <x:c r="C65" s="771" t="s">
        <x:v>326</x:v>
      </x:c>
      <x:c r="D65" s="768" t="s">
        <x:v>132</x:v>
      </x:c>
      <x:c r="E65" s="654" t="s">
        <x:v>70</x:v>
      </x:c>
      <x:c r="F65" s="655">
        <x:v>0</x:v>
      </x:c>
      <x:c r="G65" s="655">
        <x:v>0</x:v>
      </x:c>
      <x:c r="H65" s="655">
        <x:v>0</x:v>
      </x:c>
      <x:c r="I65" s="655">
        <x:v>0</x:v>
      </x:c>
      <x:c r="J65" s="655">
        <x:v>0</x:v>
      </x:c>
      <x:c r="K65" s="655">
        <x:v>0</x:v>
      </x:c>
      <x:c r="L65" s="655">
        <x:v>0</x:v>
      </x:c>
      <x:c r="M65" s="655">
        <x:v>0</x:v>
      </x:c>
      <x:c r="N65" s="655">
        <x:v>0</x:v>
      </x:c>
      <x:c r="O65" s="655">
        <x:v>0</x:v>
      </x:c>
      <x:c r="P65" s="655">
        <x:v>0</x:v>
      </x:c>
      <x:c r="Q65" s="655">
        <x:v>0</x:v>
      </x:c>
      <x:c r="R65" s="655">
        <x:v>0</x:v>
      </x:c>
      <x:c r="S65" s="655">
        <x:v>0</x:v>
      </x:c>
      <x:c r="T65" s="655">
        <x:v>0</x:v>
      </x:c>
      <x:c r="U65" s="655">
        <x:v>0</x:v>
      </x:c>
      <x:c r="V65" s="655">
        <x:v>0</x:v>
      </x:c>
      <x:c r="W65" s="655">
        <x:v>0</x:v>
      </x:c>
      <x:c r="X65" s="655">
        <x:v>0</x:v>
      </x:c>
      <x:c r="Y65" s="655">
        <x:v>0</x:v>
      </x:c>
      <x:c r="Z65" s="655">
        <x:v>0</x:v>
      </x:c>
      <x:c r="AA65" s="655">
        <x:v>0</x:v>
      </x:c>
      <x:c r="AB65" s="655">
        <x:v>0</x:v>
      </x:c>
      <x:c r="AC65" s="655">
        <x:v>0</x:v>
      </x:c>
      <x:c r="AD65" s="655">
        <x:v>0</x:v>
      </x:c>
      <x:c r="AE65" s="655">
        <x:v>0</x:v>
      </x:c>
      <x:c r="AF65" s="655">
        <x:v>0</x:v>
      </x:c>
      <x:c r="AG65" s="655">
        <x:v>0</x:v>
      </x:c>
      <x:c r="AH65" s="655">
        <x:v>0</x:v>
      </x:c>
      <x:c r="AI65" s="655">
        <x:v>0</x:v>
      </x:c>
      <x:c r="AJ65" s="655">
        <x:v>0</x:v>
      </x:c>
      <x:c r="AK65" s="655">
        <x:v>0</x:v>
      </x:c>
      <x:c r="AL65" s="655">
        <x:v>0</x:v>
      </x:c>
      <x:c r="AM65" s="655">
        <x:v>0</x:v>
      </x:c>
      <x:c r="AN65" s="655">
        <x:v>0</x:v>
      </x:c>
      <x:c r="AO65" s="655">
        <x:v>0</x:v>
      </x:c>
      <x:c r="BN65" s="624"/>
    </x:row>
    <x:row r="66" spans="1:66" x14ac:dyDescent="0.2">
      <x:c r="C66" s="771"/>
      <x:c r="D66" s="768"/>
      <x:c r="E66" s="654" t="s">
        <x:v>73</x:v>
      </x:c>
      <x:c r="F66" s="655">
        <x:v>0</x:v>
      </x:c>
      <x:c r="G66" s="627"/>
      <x:c r="H66" s="627"/>
      <x:c r="I66" s="627"/>
      <x:c r="J66" s="627"/>
      <x:c r="K66" s="627"/>
      <x:c r="L66" s="627"/>
      <x:c r="M66" s="627"/>
      <x:c r="N66" s="627"/>
      <x:c r="O66" s="627"/>
      <x:c r="P66" s="627"/>
      <x:c r="Q66" s="627"/>
      <x:c r="R66" s="627"/>
      <x:c r="S66" s="627"/>
      <x:c r="BN66" s="624"/>
    </x:row>
    <x:row r="67" spans="1:66" x14ac:dyDescent="0.2">
      <x:c r="C67" s="771"/>
      <x:c r="D67" s="768" t="s">
        <x:v>133</x:v>
      </x:c>
      <x:c r="E67" s="656" t="s">
        <x:v>70</x:v>
      </x:c>
      <x:c r="F67" s="657">
        <x:v>0</x:v>
      </x:c>
      <x:c r="G67" s="657">
        <x:v>0</x:v>
      </x:c>
      <x:c r="H67" s="657">
        <x:v>0</x:v>
      </x:c>
      <x:c r="I67" s="657">
        <x:v>0</x:v>
      </x:c>
      <x:c r="J67" s="657">
        <x:v>0</x:v>
      </x:c>
      <x:c r="K67" s="657">
        <x:v>0</x:v>
      </x:c>
      <x:c r="L67" s="657">
        <x:v>0</x:v>
      </x:c>
      <x:c r="M67" s="657">
        <x:v>0</x:v>
      </x:c>
      <x:c r="N67" s="657">
        <x:v>0</x:v>
      </x:c>
      <x:c r="O67" s="657">
        <x:v>0</x:v>
      </x:c>
      <x:c r="P67" s="657">
        <x:v>0</x:v>
      </x:c>
      <x:c r="Q67" s="657">
        <x:v>0</x:v>
      </x:c>
      <x:c r="R67" s="657">
        <x:v>0</x:v>
      </x:c>
      <x:c r="S67" s="657">
        <x:v>0</x:v>
      </x:c>
      <x:c r="T67" s="657">
        <x:v>0</x:v>
      </x:c>
      <x:c r="U67" s="657">
        <x:v>0</x:v>
      </x:c>
      <x:c r="V67" s="657">
        <x:v>0</x:v>
      </x:c>
      <x:c r="W67" s="657">
        <x:v>0</x:v>
      </x:c>
      <x:c r="X67" s="657">
        <x:v>0</x:v>
      </x:c>
      <x:c r="Y67" s="657">
        <x:v>0</x:v>
      </x:c>
      <x:c r="Z67" s="657">
        <x:v>0</x:v>
      </x:c>
      <x:c r="AA67" s="657">
        <x:v>0</x:v>
      </x:c>
      <x:c r="AB67" s="657">
        <x:v>0</x:v>
      </x:c>
      <x:c r="AC67" s="657">
        <x:v>0</x:v>
      </x:c>
      <x:c r="AD67" s="657">
        <x:v>0</x:v>
      </x:c>
      <x:c r="AE67" s="657">
        <x:v>0</x:v>
      </x:c>
      <x:c r="AF67" s="657">
        <x:v>0</x:v>
      </x:c>
      <x:c r="AG67" s="657">
        <x:v>0</x:v>
      </x:c>
      <x:c r="AH67" s="657">
        <x:v>0</x:v>
      </x:c>
      <x:c r="AI67" s="657">
        <x:v>0</x:v>
      </x:c>
      <x:c r="AJ67" s="657">
        <x:v>0</x:v>
      </x:c>
      <x:c r="AK67" s="657">
        <x:v>0</x:v>
      </x:c>
      <x:c r="AL67" s="657">
        <x:v>0</x:v>
      </x:c>
      <x:c r="AM67" s="657">
        <x:v>0</x:v>
      </x:c>
      <x:c r="AN67" s="657">
        <x:v>0</x:v>
      </x:c>
      <x:c r="AO67" s="657">
        <x:v>0</x:v>
      </x:c>
      <x:c r="BN67" s="624"/>
    </x:row>
    <x:row r="68" spans="1:66" x14ac:dyDescent="0.2">
      <x:c r="C68" s="771"/>
      <x:c r="D68" s="768"/>
      <x:c r="E68" s="656" t="s">
        <x:v>73</x:v>
      </x:c>
      <x:c r="F68" s="657">
        <x:v>0</x:v>
      </x:c>
      <x:c r="G68" s="627"/>
      <x:c r="H68" s="627"/>
      <x:c r="I68" s="627"/>
      <x:c r="J68" s="627"/>
      <x:c r="K68" s="627"/>
      <x:c r="L68" s="627"/>
      <x:c r="M68" s="627"/>
      <x:c r="N68" s="627"/>
      <x:c r="O68" s="627"/>
      <x:c r="P68" s="627"/>
      <x:c r="Q68" s="627"/>
      <x:c r="R68" s="627"/>
      <x:c r="BN68" s="624"/>
    </x:row>
    <x:row r="69" spans="1:66" ht="15" x14ac:dyDescent="0.25">
      <x:c r="A69" s="625"/>
      <x:c r="C69" s="50"/>
      <x:c r="F69" s="627"/>
      <x:c r="G69" s="627"/>
      <x:c r="H69" s="627"/>
      <x:c r="I69" s="627"/>
      <x:c r="J69" s="627"/>
      <x:c r="K69" s="627"/>
      <x:c r="L69" s="627"/>
      <x:c r="M69" s="627"/>
      <x:c r="N69" s="627"/>
      <x:c r="O69" s="627"/>
      <x:c r="P69" s="627"/>
      <x:c r="Q69" s="627"/>
      <x:c r="R69" s="627"/>
      <x:c r="S69" s="627"/>
      <x:c r="BN69" s="624"/>
    </x:row>
    <x:row r="70" spans="1:66" x14ac:dyDescent="0.2">
      <x:c r="C70" s="770" t="s">
        <x:v>119</x:v>
      </x:c>
      <x:c r="D70" s="768" t="s">
        <x:v>132</x:v>
      </x:c>
      <x:c r="E70" s="632" t="s">
        <x:v>70</x:v>
      </x:c>
      <x:c r="F70" s="633">
        <x:f>F47+F31+F11-L11-L31</x:f>
        <x:v>0</x:v>
      </x:c>
      <x:c r="G70" s="633">
        <x:f t="shared" ref="G70:AP70" si="4">G31+G11</x:f>
        <x:v>0</x:v>
      </x:c>
      <x:c r="H70" s="633">
        <x:f t="shared" si="4"/>
        <x:v>0</x:v>
      </x:c>
      <x:c r="I70" s="633">
        <x:f t="shared" si="4"/>
        <x:v>0</x:v>
      </x:c>
      <x:c r="J70" s="633">
        <x:f t="shared" si="4"/>
        <x:v>0</x:v>
      </x:c>
      <x:c r="K70" s="633">
        <x:f t="shared" si="4"/>
        <x:v>0</x:v>
      </x:c>
      <x:c r="L70" s="633">
        <x:f t="shared" si="4"/>
        <x:v>0</x:v>
      </x:c>
      <x:c r="M70" s="633">
        <x:f t="shared" si="4"/>
        <x:v>0</x:v>
      </x:c>
      <x:c r="N70" s="633">
        <x:f t="shared" si="4"/>
        <x:v>0</x:v>
      </x:c>
      <x:c r="O70" s="633">
        <x:f t="shared" si="4"/>
        <x:v>0</x:v>
      </x:c>
      <x:c r="P70" s="633">
        <x:f t="shared" si="4"/>
        <x:v>0</x:v>
      </x:c>
      <x:c r="Q70" s="633">
        <x:f t="shared" si="4"/>
        <x:v>0</x:v>
      </x:c>
      <x:c r="R70" s="633">
        <x:f t="shared" si="4"/>
        <x:v>0</x:v>
      </x:c>
      <x:c r="S70" s="633">
        <x:f t="shared" si="4"/>
        <x:v>0</x:v>
      </x:c>
      <x:c r="T70" s="633">
        <x:f t="shared" si="4"/>
        <x:v>0</x:v>
      </x:c>
      <x:c r="U70" s="633">
        <x:f t="shared" si="4"/>
        <x:v>0</x:v>
      </x:c>
      <x:c r="V70" s="633">
        <x:f t="shared" si="4"/>
        <x:v>0</x:v>
      </x:c>
      <x:c r="W70" s="633">
        <x:f t="shared" si="4"/>
        <x:v>0</x:v>
      </x:c>
      <x:c r="X70" s="633">
        <x:f t="shared" si="4"/>
        <x:v>0</x:v>
      </x:c>
      <x:c r="Y70" s="633">
        <x:f t="shared" si="4"/>
        <x:v>0</x:v>
      </x:c>
      <x:c r="Z70" s="633">
        <x:f t="shared" si="4"/>
        <x:v>0</x:v>
      </x:c>
      <x:c r="AA70" s="633">
        <x:f t="shared" si="4"/>
        <x:v>0</x:v>
      </x:c>
      <x:c r="AB70" s="633">
        <x:f t="shared" si="4"/>
        <x:v>0</x:v>
      </x:c>
      <x:c r="AC70" s="633">
        <x:f t="shared" si="4"/>
        <x:v>0</x:v>
      </x:c>
      <x:c r="AD70" s="633">
        <x:f t="shared" si="4"/>
        <x:v>0</x:v>
      </x:c>
      <x:c r="AE70" s="633">
        <x:f t="shared" si="4"/>
        <x:v>0</x:v>
      </x:c>
      <x:c r="AF70" s="633">
        <x:f t="shared" si="4"/>
        <x:v>0</x:v>
      </x:c>
      <x:c r="AG70" s="633">
        <x:f t="shared" si="4"/>
        <x:v>0</x:v>
      </x:c>
      <x:c r="AH70" s="633">
        <x:f t="shared" si="4"/>
        <x:v>0</x:v>
      </x:c>
      <x:c r="AI70" s="633">
        <x:f t="shared" si="4"/>
        <x:v>0</x:v>
      </x:c>
      <x:c r="AJ70" s="633">
        <x:f t="shared" si="4"/>
        <x:v>0</x:v>
      </x:c>
      <x:c r="AK70" s="633">
        <x:f t="shared" si="4"/>
        <x:v>0</x:v>
      </x:c>
      <x:c r="AL70" s="633">
        <x:f t="shared" si="4"/>
        <x:v>0</x:v>
      </x:c>
      <x:c r="AM70" s="633">
        <x:f t="shared" si="4"/>
        <x:v>0</x:v>
      </x:c>
      <x:c r="AN70" s="633">
        <x:f t="shared" si="4"/>
        <x:v>0</x:v>
      </x:c>
      <x:c r="AO70" s="633">
        <x:f t="shared" si="4"/>
        <x:v>0</x:v>
      </x:c>
      <x:c r="AP70" s="633">
        <x:f t="shared" si="4"/>
        <x:v>0</x:v>
      </x:c>
      <x:c r="BN70" s="624"/>
    </x:row>
    <x:row r="71" spans="1:66" x14ac:dyDescent="0.2">
      <x:c r="C71" s="770"/>
      <x:c r="D71" s="768"/>
      <x:c r="E71" s="632" t="s">
        <x:v>73</x:v>
      </x:c>
      <x:c r="F71" s="633">
        <x:f>F47</x:f>
        <x:v>0</x:v>
      </x:c>
      <x:c r="G71" s="627"/>
      <x:c r="H71" s="627"/>
      <x:c r="I71" s="627"/>
      <x:c r="J71" s="627"/>
      <x:c r="K71" s="627"/>
      <x:c r="L71" s="627"/>
      <x:c r="M71" s="627"/>
      <x:c r="N71" s="627"/>
      <x:c r="O71" s="627"/>
      <x:c r="P71" s="627"/>
      <x:c r="Q71" s="627"/>
      <x:c r="R71" s="627"/>
      <x:c r="S71" s="627"/>
      <x:c r="BN71" s="624"/>
    </x:row>
    <x:row r="72" spans="1:66" x14ac:dyDescent="0.2">
      <x:c r="C72" s="770"/>
      <x:c r="D72" s="768" t="s">
        <x:v>133</x:v>
      </x:c>
      <x:c r="E72" s="658" t="s">
        <x:v>70</x:v>
      </x:c>
      <x:c r="F72" s="659">
        <x:v>0</x:v>
      </x:c>
      <x:c r="G72" s="659">
        <x:v>0</x:v>
      </x:c>
      <x:c r="H72" s="659">
        <x:v>0</x:v>
      </x:c>
      <x:c r="I72" s="659">
        <x:v>0</x:v>
      </x:c>
      <x:c r="J72" s="659">
        <x:v>0</x:v>
      </x:c>
      <x:c r="K72" s="659">
        <x:v>0</x:v>
      </x:c>
      <x:c r="L72" s="659">
        <x:v>0</x:v>
      </x:c>
      <x:c r="M72" s="659">
        <x:v>0</x:v>
      </x:c>
      <x:c r="N72" s="659">
        <x:v>0</x:v>
      </x:c>
      <x:c r="O72" s="659">
        <x:v>0</x:v>
      </x:c>
      <x:c r="P72" s="659">
        <x:v>0</x:v>
      </x:c>
      <x:c r="Q72" s="659">
        <x:v>0</x:v>
      </x:c>
      <x:c r="R72" s="659">
        <x:v>0</x:v>
      </x:c>
      <x:c r="S72" s="659">
        <x:v>0</x:v>
      </x:c>
      <x:c r="T72" s="659">
        <x:v>0</x:v>
      </x:c>
      <x:c r="U72" s="659">
        <x:v>0</x:v>
      </x:c>
      <x:c r="V72" s="659">
        <x:v>0</x:v>
      </x:c>
      <x:c r="W72" s="659">
        <x:v>0</x:v>
      </x:c>
      <x:c r="X72" s="659">
        <x:v>0</x:v>
      </x:c>
      <x:c r="Y72" s="659">
        <x:v>0</x:v>
      </x:c>
      <x:c r="Z72" s="659">
        <x:v>0</x:v>
      </x:c>
      <x:c r="AA72" s="659">
        <x:v>0</x:v>
      </x:c>
      <x:c r="AB72" s="659">
        <x:v>0</x:v>
      </x:c>
      <x:c r="AC72" s="659">
        <x:v>0</x:v>
      </x:c>
      <x:c r="AD72" s="659">
        <x:v>0</x:v>
      </x:c>
      <x:c r="AE72" s="659">
        <x:v>0</x:v>
      </x:c>
      <x:c r="AF72" s="659">
        <x:v>0</x:v>
      </x:c>
      <x:c r="AG72" s="659">
        <x:v>0</x:v>
      </x:c>
      <x:c r="AH72" s="659">
        <x:v>0</x:v>
      </x:c>
      <x:c r="AI72" s="659">
        <x:v>0</x:v>
      </x:c>
      <x:c r="AJ72" s="659">
        <x:v>0</x:v>
      </x:c>
      <x:c r="AK72" s="659">
        <x:v>0</x:v>
      </x:c>
      <x:c r="AL72" s="659">
        <x:v>0</x:v>
      </x:c>
      <x:c r="AM72" s="659">
        <x:v>0</x:v>
      </x:c>
      <x:c r="AN72" s="659">
        <x:v>0</x:v>
      </x:c>
      <x:c r="AO72" s="659">
        <x:v>0</x:v>
      </x:c>
      <x:c r="AP72" s="659">
        <x:v>0</x:v>
      </x:c>
      <x:c r="BN72" s="624"/>
    </x:row>
    <x:row r="73" spans="1:66" x14ac:dyDescent="0.2">
      <x:c r="C73" s="770"/>
      <x:c r="D73" s="768"/>
      <x:c r="E73" s="658" t="s">
        <x:v>73</x:v>
      </x:c>
      <x:c r="F73" s="659">
        <x:v>0</x:v>
      </x:c>
      <x:c r="G73" s="627"/>
      <x:c r="H73" s="627"/>
      <x:c r="I73" s="627"/>
      <x:c r="J73" s="627"/>
      <x:c r="K73" s="627"/>
      <x:c r="L73" s="627"/>
      <x:c r="M73" s="627"/>
      <x:c r="N73" s="627"/>
      <x:c r="O73" s="627"/>
      <x:c r="P73" s="627"/>
      <x:c r="Q73" s="627"/>
      <x:c r="R73" s="627"/>
      <x:c r="BN73" s="624"/>
    </x:row>
    <x:row r="74" spans="1:66" ht="15" x14ac:dyDescent="0.25">
      <x:c r="A74" s="625"/>
      <x:c r="C74" s="50"/>
      <x:c r="F74" s="627"/>
      <x:c r="G74" s="627"/>
      <x:c r="H74" s="627"/>
      <x:c r="I74" s="627"/>
      <x:c r="J74" s="627"/>
      <x:c r="K74" s="627"/>
      <x:c r="L74" s="627"/>
      <x:c r="M74" s="627"/>
      <x:c r="N74" s="627"/>
      <x:c r="O74" s="627"/>
      <x:c r="P74" s="627"/>
      <x:c r="Q74" s="627"/>
      <x:c r="R74" s="627"/>
      <x:c r="S74" s="627"/>
      <x:c r="BN74" s="624"/>
    </x:row>
    <x:row r="75" spans="1:66" x14ac:dyDescent="0.2">
      <x:c r="C75" s="769" t="s">
        <x:v>161</x:v>
      </x:c>
      <x:c r="D75" s="768" t="s">
        <x:v>132</x:v>
      </x:c>
      <x:c r="E75" s="661" t="s">
        <x:v>70</x:v>
      </x:c>
      <x:c r="F75" s="662">
        <x:v>0</x:v>
      </x:c>
      <x:c r="G75" s="662">
        <x:v>0</x:v>
      </x:c>
      <x:c r="H75" s="662">
        <x:v>0</x:v>
      </x:c>
      <x:c r="I75" s="662">
        <x:v>0</x:v>
      </x:c>
      <x:c r="J75" s="662">
        <x:v>0</x:v>
      </x:c>
      <x:c r="K75" s="662">
        <x:v>0</x:v>
      </x:c>
      <x:c r="L75" s="662">
        <x:v>0</x:v>
      </x:c>
      <x:c r="M75" s="662">
        <x:v>0</x:v>
      </x:c>
      <x:c r="N75" s="662">
        <x:v>0</x:v>
      </x:c>
      <x:c r="O75" s="662">
        <x:v>0</x:v>
      </x:c>
      <x:c r="P75" s="662">
        <x:v>0</x:v>
      </x:c>
      <x:c r="Q75" s="662">
        <x:v>0</x:v>
      </x:c>
      <x:c r="R75" s="662">
        <x:v>0</x:v>
      </x:c>
      <x:c r="S75" s="662">
        <x:v>0</x:v>
      </x:c>
      <x:c r="T75" s="662">
        <x:v>0</x:v>
      </x:c>
      <x:c r="U75" s="662">
        <x:v>0</x:v>
      </x:c>
      <x:c r="V75" s="662">
        <x:v>0</x:v>
      </x:c>
      <x:c r="W75" s="662">
        <x:v>0</x:v>
      </x:c>
      <x:c r="X75" s="662">
        <x:v>0</x:v>
      </x:c>
      <x:c r="Y75" s="662">
        <x:v>0</x:v>
      </x:c>
      <x:c r="Z75" s="662">
        <x:v>0</x:v>
      </x:c>
      <x:c r="AA75" s="662">
        <x:v>0</x:v>
      </x:c>
      <x:c r="AB75" s="662">
        <x:v>0</x:v>
      </x:c>
      <x:c r="AC75" s="662">
        <x:v>0</x:v>
      </x:c>
      <x:c r="AD75" s="662">
        <x:v>0</x:v>
      </x:c>
      <x:c r="AE75" s="662">
        <x:v>0</x:v>
      </x:c>
      <x:c r="AF75" s="662">
        <x:v>0</x:v>
      </x:c>
      <x:c r="AG75" s="662">
        <x:v>0</x:v>
      </x:c>
      <x:c r="AH75" s="662">
        <x:v>0</x:v>
      </x:c>
      <x:c r="AI75" s="662">
        <x:v>0</x:v>
      </x:c>
      <x:c r="AJ75" s="662">
        <x:v>0</x:v>
      </x:c>
      <x:c r="AK75" s="662">
        <x:v>0</x:v>
      </x:c>
      <x:c r="AL75" s="662">
        <x:v>0</x:v>
      </x:c>
      <x:c r="AM75" s="662">
        <x:v>0</x:v>
      </x:c>
      <x:c r="AN75" s="662">
        <x:v>0</x:v>
      </x:c>
      <x:c r="AO75" s="662">
        <x:v>0</x:v>
      </x:c>
      <x:c r="AP75" s="662">
        <x:v>0</x:v>
      </x:c>
      <x:c r="BN75" s="624"/>
    </x:row>
    <x:row r="76" spans="1:66" x14ac:dyDescent="0.2">
      <x:c r="C76" s="769"/>
      <x:c r="D76" s="768"/>
      <x:c r="E76" s="661" t="s">
        <x:v>73</x:v>
      </x:c>
      <x:c r="F76" s="662">
        <x:v>0</x:v>
      </x:c>
      <x:c r="G76" s="627"/>
      <x:c r="H76" s="627"/>
      <x:c r="I76" s="627"/>
      <x:c r="J76" s="627"/>
      <x:c r="K76" s="627"/>
      <x:c r="L76" s="627"/>
      <x:c r="M76" s="627"/>
      <x:c r="N76" s="627"/>
      <x:c r="O76" s="627"/>
      <x:c r="P76" s="627"/>
      <x:c r="Q76" s="627"/>
      <x:c r="R76" s="627"/>
      <x:c r="S76" s="627"/>
      <x:c r="BN76" s="624"/>
    </x:row>
    <x:row r="77" spans="1:66" x14ac:dyDescent="0.2">
      <x:c r="C77" s="769"/>
      <x:c r="D77" s="768" t="s">
        <x:v>133</x:v>
      </x:c>
      <x:c r="E77" s="663" t="s">
        <x:v>70</x:v>
      </x:c>
      <x:c r="F77" s="664">
        <x:v>0</x:v>
      </x:c>
      <x:c r="G77" s="664">
        <x:v>0</x:v>
      </x:c>
      <x:c r="H77" s="664">
        <x:v>0</x:v>
      </x:c>
      <x:c r="I77" s="664">
        <x:v>0</x:v>
      </x:c>
      <x:c r="J77" s="664">
        <x:v>0</x:v>
      </x:c>
      <x:c r="K77" s="664">
        <x:v>0</x:v>
      </x:c>
      <x:c r="L77" s="664">
        <x:v>0</x:v>
      </x:c>
      <x:c r="M77" s="664">
        <x:v>0</x:v>
      </x:c>
      <x:c r="N77" s="664">
        <x:v>0</x:v>
      </x:c>
      <x:c r="O77" s="664">
        <x:v>0</x:v>
      </x:c>
      <x:c r="P77" s="664">
        <x:v>0</x:v>
      </x:c>
      <x:c r="Q77" s="664">
        <x:v>0</x:v>
      </x:c>
      <x:c r="R77" s="664">
        <x:v>0</x:v>
      </x:c>
      <x:c r="S77" s="664">
        <x:v>0</x:v>
      </x:c>
      <x:c r="T77" s="664">
        <x:v>0</x:v>
      </x:c>
      <x:c r="U77" s="664">
        <x:v>0</x:v>
      </x:c>
      <x:c r="V77" s="664">
        <x:v>0</x:v>
      </x:c>
      <x:c r="W77" s="664">
        <x:v>0</x:v>
      </x:c>
      <x:c r="X77" s="664">
        <x:v>0</x:v>
      </x:c>
      <x:c r="Y77" s="664">
        <x:v>0</x:v>
      </x:c>
      <x:c r="Z77" s="664">
        <x:v>0</x:v>
      </x:c>
      <x:c r="AA77" s="664">
        <x:v>0</x:v>
      </x:c>
      <x:c r="AB77" s="664">
        <x:v>0</x:v>
      </x:c>
      <x:c r="AC77" s="664">
        <x:v>0</x:v>
      </x:c>
      <x:c r="AD77" s="664">
        <x:v>0</x:v>
      </x:c>
      <x:c r="AE77" s="664">
        <x:v>0</x:v>
      </x:c>
      <x:c r="AF77" s="664">
        <x:v>0</x:v>
      </x:c>
      <x:c r="AG77" s="664">
        <x:v>0</x:v>
      </x:c>
      <x:c r="AH77" s="664">
        <x:v>0</x:v>
      </x:c>
      <x:c r="AI77" s="664">
        <x:v>0</x:v>
      </x:c>
      <x:c r="AJ77" s="664">
        <x:v>0</x:v>
      </x:c>
      <x:c r="AK77" s="664">
        <x:v>0</x:v>
      </x:c>
      <x:c r="AL77" s="664">
        <x:v>0</x:v>
      </x:c>
      <x:c r="AM77" s="664">
        <x:v>0</x:v>
      </x:c>
      <x:c r="AN77" s="664">
        <x:v>0</x:v>
      </x:c>
      <x:c r="AO77" s="664">
        <x:v>0</x:v>
      </x:c>
      <x:c r="AP77" s="664">
        <x:v>0</x:v>
      </x:c>
      <x:c r="BN77" s="624"/>
    </x:row>
    <x:row r="78" spans="1:66" x14ac:dyDescent="0.2">
      <x:c r="C78" s="769"/>
      <x:c r="D78" s="768"/>
      <x:c r="E78" s="663" t="s">
        <x:v>73</x:v>
      </x:c>
      <x:c r="F78" s="664">
        <x:v>0</x:v>
      </x:c>
      <x:c r="G78" s="627"/>
      <x:c r="H78" s="627"/>
      <x:c r="I78" s="627"/>
      <x:c r="J78" s="627"/>
      <x:c r="K78" s="627"/>
      <x:c r="L78" s="627"/>
      <x:c r="M78" s="627"/>
      <x:c r="N78" s="627"/>
      <x:c r="O78" s="627"/>
      <x:c r="P78" s="627"/>
      <x:c r="Q78" s="627"/>
      <x:c r="R78" s="627"/>
      <x:c r="BN78" s="624"/>
    </x:row>
    <x:row r="79" spans="1:66" ht="15" x14ac:dyDescent="0.2">
      <x:c r="C79" s="660"/>
      <x:c r="D79" s="644"/>
      <x:c r="E79" s="625"/>
      <x:c r="F79" s="627"/>
      <x:c r="G79" s="627"/>
      <x:c r="H79" s="627"/>
      <x:c r="I79" s="627"/>
      <x:c r="J79" s="627"/>
      <x:c r="K79" s="627"/>
      <x:c r="L79" s="627"/>
      <x:c r="M79" s="627"/>
      <x:c r="N79" s="627"/>
      <x:c r="O79" s="627"/>
      <x:c r="P79" s="627"/>
      <x:c r="Q79" s="627"/>
      <x:c r="R79" s="627"/>
      <x:c r="BN79" s="624"/>
    </x:row>
    <x:row r="80" spans="1:66" x14ac:dyDescent="0.2">
      <x:c r="D80" s="634" t="s">
        <x:v>185</x:v>
      </x:c>
      <x:c r="E80" s="665" t="s">
        <x:v>70</x:v>
      </x:c>
      <x:c r="F80" s="666">
        <x:f t="shared" ref="F80:AP80" si="5">F13</x:f>
        <x:v>0</x:v>
      </x:c>
      <x:c r="G80" s="666">
        <x:f t="shared" si="5"/>
        <x:v>0</x:v>
      </x:c>
      <x:c r="H80" s="666">
        <x:f t="shared" si="5"/>
        <x:v>0</x:v>
      </x:c>
      <x:c r="I80" s="666">
        <x:f t="shared" si="5"/>
        <x:v>0</x:v>
      </x:c>
      <x:c r="J80" s="666">
        <x:f t="shared" si="5"/>
        <x:v>0</x:v>
      </x:c>
      <x:c r="K80" s="666">
        <x:f t="shared" si="5"/>
        <x:v>0</x:v>
      </x:c>
      <x:c r="L80" s="666">
        <x:f t="shared" si="5"/>
        <x:v>0</x:v>
      </x:c>
      <x:c r="M80" s="666">
        <x:f t="shared" si="5"/>
        <x:v>0</x:v>
      </x:c>
      <x:c r="N80" s="666">
        <x:f t="shared" si="5"/>
        <x:v>0</x:v>
      </x:c>
      <x:c r="O80" s="666">
        <x:f t="shared" si="5"/>
        <x:v>0</x:v>
      </x:c>
      <x:c r="P80" s="666">
        <x:f t="shared" si="5"/>
        <x:v>0</x:v>
      </x:c>
      <x:c r="Q80" s="666">
        <x:f t="shared" si="5"/>
        <x:v>0</x:v>
      </x:c>
      <x:c r="R80" s="666">
        <x:f t="shared" si="5"/>
        <x:v>0</x:v>
      </x:c>
      <x:c r="S80" s="666">
        <x:f t="shared" si="5"/>
        <x:v>0</x:v>
      </x:c>
      <x:c r="T80" s="666">
        <x:f t="shared" si="5"/>
        <x:v>0</x:v>
      </x:c>
      <x:c r="U80" s="666">
        <x:f t="shared" si="5"/>
        <x:v>0</x:v>
      </x:c>
      <x:c r="V80" s="666">
        <x:f t="shared" si="5"/>
        <x:v>0</x:v>
      </x:c>
      <x:c r="W80" s="666">
        <x:f t="shared" si="5"/>
        <x:v>0</x:v>
      </x:c>
      <x:c r="X80" s="666">
        <x:f t="shared" si="5"/>
        <x:v>0</x:v>
      </x:c>
      <x:c r="Y80" s="666">
        <x:f t="shared" si="5"/>
        <x:v>0</x:v>
      </x:c>
      <x:c r="Z80" s="666">
        <x:f t="shared" si="5"/>
        <x:v>0</x:v>
      </x:c>
      <x:c r="AA80" s="666">
        <x:f t="shared" si="5"/>
        <x:v>0</x:v>
      </x:c>
      <x:c r="AB80" s="666">
        <x:f t="shared" si="5"/>
        <x:v>0</x:v>
      </x:c>
      <x:c r="AC80" s="666">
        <x:f t="shared" si="5"/>
        <x:v>0</x:v>
      </x:c>
      <x:c r="AD80" s="666">
        <x:f t="shared" si="5"/>
        <x:v>0</x:v>
      </x:c>
      <x:c r="AE80" s="666">
        <x:f t="shared" si="5"/>
        <x:v>0</x:v>
      </x:c>
      <x:c r="AF80" s="666">
        <x:f t="shared" si="5"/>
        <x:v>0</x:v>
      </x:c>
      <x:c r="AG80" s="666">
        <x:f t="shared" si="5"/>
        <x:v>0</x:v>
      </x:c>
      <x:c r="AH80" s="666">
        <x:f t="shared" si="5"/>
        <x:v>0</x:v>
      </x:c>
      <x:c r="AI80" s="666">
        <x:f t="shared" si="5"/>
        <x:v>0</x:v>
      </x:c>
      <x:c r="AJ80" s="666">
        <x:f t="shared" si="5"/>
        <x:v>0</x:v>
      </x:c>
      <x:c r="AK80" s="666">
        <x:f t="shared" si="5"/>
        <x:v>0</x:v>
      </x:c>
      <x:c r="AL80" s="666">
        <x:f t="shared" si="5"/>
        <x:v>0</x:v>
      </x:c>
      <x:c r="AM80" s="666">
        <x:f t="shared" si="5"/>
        <x:v>0</x:v>
      </x:c>
      <x:c r="AN80" s="666">
        <x:f t="shared" si="5"/>
        <x:v>0</x:v>
      </x:c>
      <x:c r="AO80" s="666">
        <x:f t="shared" si="5"/>
        <x:v>0</x:v>
      </x:c>
      <x:c r="AP80" s="666">
        <x:f t="shared" si="5"/>
        <x:v>0</x:v>
      </x:c>
      <x:c r="BN80" s="624"/>
    </x:row>
    <x:row r="81" spans="1:66" ht="15" x14ac:dyDescent="0.2">
      <x:c r="C81" s="660"/>
      <x:c r="D81" s="644"/>
      <x:c r="E81" s="625"/>
      <x:c r="F81" s="627"/>
      <x:c r="G81" s="627"/>
      <x:c r="H81" s="627"/>
      <x:c r="I81" s="627"/>
      <x:c r="J81" s="627"/>
      <x:c r="K81" s="627"/>
      <x:c r="L81" s="627"/>
      <x:c r="M81" s="627"/>
      <x:c r="N81" s="627"/>
      <x:c r="O81" s="627"/>
      <x:c r="P81" s="627"/>
      <x:c r="Q81" s="627"/>
      <x:c r="R81" s="627"/>
      <x:c r="BN81" s="624"/>
    </x:row>
    <x:row r="82" spans="1:66" x14ac:dyDescent="0.2">
      <x:c r="A82" s="624"/>
      <x:c r="B82" s="624"/>
      <x:c r="C82" s="624"/>
      <x:c r="D82" s="624"/>
      <x:c r="E82" s="624"/>
      <x:c r="F82" s="624"/>
      <x:c r="G82" s="624"/>
      <x:c r="H82" s="624"/>
      <x:c r="I82" s="624"/>
      <x:c r="J82" s="624"/>
      <x:c r="K82" s="624"/>
      <x:c r="L82" s="624"/>
      <x:c r="M82" s="624"/>
      <x:c r="N82" s="624"/>
      <x:c r="O82" s="624"/>
      <x:c r="P82" s="624"/>
      <x:c r="Q82" s="624"/>
      <x:c r="R82" s="624"/>
      <x:c r="S82" s="624"/>
      <x:c r="T82" s="624"/>
      <x:c r="U82" s="624"/>
      <x:c r="V82" s="624"/>
      <x:c r="W82" s="624"/>
      <x:c r="X82" s="624"/>
      <x:c r="Y82" s="624"/>
      <x:c r="Z82" s="624"/>
      <x:c r="AA82" s="624"/>
      <x:c r="AB82" s="624"/>
      <x:c r="AC82" s="624"/>
      <x:c r="AD82" s="624"/>
      <x:c r="AE82" s="624"/>
      <x:c r="AF82" s="624"/>
      <x:c r="AG82" s="624"/>
      <x:c r="AH82" s="624"/>
      <x:c r="AI82" s="624"/>
      <x:c r="AJ82" s="624"/>
      <x:c r="AK82" s="624"/>
      <x:c r="AL82" s="624"/>
      <x:c r="AM82" s="624"/>
      <x:c r="AN82" s="624"/>
      <x:c r="AO82" s="624"/>
      <x:c r="AP82" s="624"/>
      <x:c r="AQ82" s="624"/>
      <x:c r="AR82" s="624"/>
      <x:c r="AS82" s="624"/>
      <x:c r="AT82" s="624"/>
      <x:c r="AU82" s="624"/>
      <x:c r="AV82" s="624"/>
      <x:c r="AW82" s="624"/>
      <x:c r="AX82" s="624"/>
      <x:c r="AY82" s="624"/>
      <x:c r="AZ82" s="624"/>
      <x:c r="BA82" s="624"/>
      <x:c r="BB82" s="624"/>
      <x:c r="BC82" s="624"/>
      <x:c r="BD82" s="624"/>
      <x:c r="BE82" s="624"/>
      <x:c r="BF82" s="624"/>
      <x:c r="BG82" s="624"/>
      <x:c r="BH82" s="624"/>
      <x:c r="BI82" s="624"/>
      <x:c r="BJ82" s="624"/>
      <x:c r="BK82" s="624"/>
      <x:c r="BL82" s="624"/>
      <x:c r="BM82" s="624"/>
      <x:c r="BN82" s="624"/>
    </x:row>
    <x:row r="83" spans="1:66" ht="15" x14ac:dyDescent="0.25">
      <x:c r="A83" s="625"/>
      <x:c r="B83" s="50" t="s">
        <x:v>75</x:v>
      </x:c>
      <x:c r="E83" s="627"/>
      <x:c r="F83" s="627"/>
      <x:c r="G83" s="627"/>
      <x:c r="H83" s="627"/>
      <x:c r="I83" s="627"/>
      <x:c r="J83" s="627"/>
      <x:c r="K83" s="627"/>
      <x:c r="L83" s="627"/>
      <x:c r="M83" s="627"/>
      <x:c r="N83" s="627"/>
      <x:c r="O83" s="627"/>
      <x:c r="P83" s="627"/>
      <x:c r="Q83" s="627"/>
      <x:c r="R83" s="627"/>
      <x:c r="BN83" s="624"/>
    </x:row>
    <x:row r="84" spans="1:66" s="50" customFormat="1" ht="30" x14ac:dyDescent="0.25">
      <x:c r="F84" s="669" t="s">
        <x:v>70</x:v>
      </x:c>
      <x:c r="G84" s="669" t="s">
        <x:v>64</x:v>
      </x:c>
      <x:c r="H84" s="669" t="s">
        <x:v>65</x:v>
      </x:c>
      <x:c r="I84" s="626" t="s">
        <x:v>164</x:v>
      </x:c>
      <x:c r="J84" s="669" t="s">
        <x:v>69</x:v>
      </x:c>
      <x:c r="K84" s="669" t="s">
        <x:v>68</x:v>
      </x:c>
      <x:c r="L84" s="669" t="s">
        <x:v>71</x:v>
      </x:c>
      <x:c r="M84" s="669" t="s">
        <x:v>66</x:v>
      </x:c>
      <x:c r="N84" s="669" t="s">
        <x:v>63</x:v>
      </x:c>
      <x:c r="O84" s="669" t="s">
        <x:v>61</x:v>
      </x:c>
      <x:c r="P84" s="669" t="s">
        <x:v>62</x:v>
      </x:c>
      <x:c r="Q84" s="669" t="s">
        <x:v>67</x:v>
      </x:c>
      <x:c r="R84" s="669" t="s">
        <x:v>77</x:v>
      </x:c>
      <x:c r="S84" s="669" t="s">
        <x:v>80</x:v>
      </x:c>
      <x:c r="T84" s="669" t="s">
        <x:v>135</x:v>
      </x:c>
      <x:c r="U84" s="669" t="s">
        <x:v>222</x:v>
      </x:c>
      <x:c r="V84" s="669" t="s">
        <x:v>223</x:v>
      </x:c>
      <x:c r="W84" s="669" t="s">
        <x:v>172</x:v>
      </x:c>
      <x:c r="X84" s="50" t="s">
        <x:v>166</x:v>
      </x:c>
      <x:c r="Y84" s="669" t="s">
        <x:v>135</x:v>
      </x:c>
      <x:c r="Z84" s="669" t="s">
        <x:v>166</x:v>
      </x:c>
      <x:c r="BN84" s="618"/>
    </x:row>
    <x:row r="85" spans="1:66" x14ac:dyDescent="0.2">
      <x:c r="A85"/>
      <x:c r="B85"/>
      <x:c r="C85"/>
      <x:c r="D85"/>
      <x:c r="E85" s="25" t="inlineStr">
        <x:is>
          <x:t>Vlr Servicio</x:t>
        </x:is>
      </x:c>
      <x:c r="F85" s="627" t="n">
        <x:v>-1414859.14</x:v>
      </x:c>
      <x:c r="G85" s="627" t="n">
        <x:v>-123592.91</x:v>
      </x:c>
      <x:c r="H85" s="627" t="n">
        <x:v>-52505.96</x:v>
      </x:c>
      <x:c r="I85" s="671" t="n">
        <x:v>-22930.17</x:v>
      </x:c>
      <x:c r="J85" s="627" t="n">
        <x:v>-283718.29</x:v>
      </x:c>
      <x:c r="K85" s="627" t="n">
        <x:v>-11813.11</x:v>
      </x:c>
      <x:c r="L85" s="627" t="n">
        <x:v>0</x:v>
      </x:c>
      <x:c r="M85" s="627" t="n">
        <x:v>-103626.9</x:v>
      </x:c>
      <x:c r="N85" s="627" t="n">
        <x:v>-129894.77</x:v>
      </x:c>
      <x:c r="O85" s="627" t="n">
        <x:v>-436317.84</x:v>
      </x:c>
      <x:c r="P85" s="627" t="n">
        <x:v>-231183.82</x:v>
      </x:c>
      <x:c r="Q85" s="627" t="n">
        <x:v>-19275.37</x:v>
      </x:c>
      <x:c r="R85" s="627" t="n">
        <x:v>0</x:v>
      </x:c>
      <x:c r="S85" s="627" t="n">
        <x:v>0</x:v>
      </x:c>
      <x:c r="T85" s="627" t="n">
        <x:v>0</x:v>
      </x:c>
      <x:c r="U85" s="627">
        <x:v>0</x:v>
      </x:c>
      <x:c r="V85" s="627">
        <x:v>0</x:v>
      </x:c>
      <x:c r="W85" s="627">
        <x:v>0</x:v>
      </x:c>
      <x:c r="X85" s="653">
        <x:v>0</x:v>
      </x:c>
      <x:c r="Y85" s="627">
        <x:v>0</x:v>
      </x:c>
      <x:c r="Z85" s="627" t="n">
        <x:v>0</x:v>
      </x:c>
      <x:c r="BN85" s="624"/>
    </x:row>
    <x:row r="86" spans="1:66" x14ac:dyDescent="0.2">
      <x:c r="A86"/>
      <x:c r="B86"/>
      <x:c r="C86"/>
      <x:c r="D86" s="25" t="inlineStr">
        <x:is>
          <x:t>E</x:t>
        </x:is>
      </x:c>
      <x:c r="E86" s="25" t="inlineStr">
        <x:is>
          <x:t>Total</x:t>
        </x:is>
      </x:c>
      <x:c r="F86" s="627" t="n">
        <x:v>-1414859.14</x:v>
      </x:c>
      <x:c r="G86" s="627" t="n">
        <x:v>-123592.91</x:v>
      </x:c>
      <x:c r="H86" s="627" t="n">
        <x:v>-52505.96</x:v>
      </x:c>
      <x:c r="I86" s="671" t="n">
        <x:v>-22930.17</x:v>
      </x:c>
      <x:c r="J86" s="627" t="n">
        <x:v>-283718.29</x:v>
      </x:c>
      <x:c r="K86" s="627" t="n">
        <x:v>-11813.11</x:v>
      </x:c>
      <x:c r="L86" s="627" t="n">
        <x:v>0</x:v>
      </x:c>
      <x:c r="M86" s="627" t="n">
        <x:v>-103626.9</x:v>
      </x:c>
      <x:c r="N86" s="627" t="n">
        <x:v>-129894.77</x:v>
      </x:c>
      <x:c r="O86" s="627" t="n">
        <x:v>-436317.84</x:v>
      </x:c>
      <x:c r="P86" s="627" t="n">
        <x:v>-231183.82</x:v>
      </x:c>
      <x:c r="Q86" s="627" t="n">
        <x:v>-19275.37</x:v>
      </x:c>
      <x:c r="R86" s="627" t="n">
        <x:v>0</x:v>
      </x:c>
      <x:c r="S86" s="627" t="n">
        <x:v>0</x:v>
      </x:c>
      <x:c r="T86" s="627" t="n">
        <x:v>0</x:v>
      </x:c>
      <x:c r="U86" s="627">
        <x:v>0</x:v>
      </x:c>
      <x:c r="V86" s="627">
        <x:v>0</x:v>
      </x:c>
      <x:c r="W86" s="627">
        <x:v>0</x:v>
      </x:c>
      <x:c r="X86" s="653">
        <x:v>0</x:v>
      </x:c>
      <x:c r="Y86" s="627">
        <x:v>0</x:v>
      </x:c>
      <x:c r="Z86" s="627" t="n">
        <x:v>0</x:v>
      </x:c>
      <x:c r="BN86" s="624"/>
    </x:row>
    <x:row r="87" spans="1:66" x14ac:dyDescent="0.2">
      <x:c r="A87" s="628"/>
      <x:c r="B87" s="628"/>
      <x:c r="C87" s="628" t="inlineStr">
        <x:is>
          <x:t>ENEL</x:t>
        </x:is>
      </x:c>
      <x:c r="D87" s="628" t="inlineStr">
        <x:is>
          <x:t>Total</x:t>
        </x:is>
      </x:c>
      <x:c r="E87" s="629"/>
      <x:c r="F87" s="630" t="n">
        <x:v>-1414859.14</x:v>
      </x:c>
      <x:c r="G87" s="630" t="n">
        <x:v>-123592.91</x:v>
      </x:c>
      <x:c r="H87" s="630" t="n">
        <x:v>-52505.96</x:v>
      </x:c>
      <x:c r="I87" s="630" t="n">
        <x:v>-22930.17</x:v>
      </x:c>
      <x:c r="J87" s="630" t="n">
        <x:v>-283718.29</x:v>
      </x:c>
      <x:c r="K87" s="630" t="n">
        <x:v>-11813.11</x:v>
      </x:c>
      <x:c r="L87" s="630" t="n">
        <x:v>0</x:v>
      </x:c>
      <x:c r="M87" s="630" t="n">
        <x:v>-103626.9</x:v>
      </x:c>
      <x:c r="N87" s="630" t="n">
        <x:v>-129894.77</x:v>
      </x:c>
      <x:c r="O87" s="630" t="n">
        <x:v>-436317.84</x:v>
      </x:c>
      <x:c r="P87" s="630" t="n">
        <x:v>-231183.82</x:v>
      </x:c>
      <x:c r="Q87" s="630" t="n">
        <x:v>-19275.37</x:v>
      </x:c>
      <x:c r="R87" s="630" t="n">
        <x:v>0</x:v>
      </x:c>
      <x:c r="S87" s="630" t="n">
        <x:v>0</x:v>
      </x:c>
      <x:c r="T87" s="630" t="n">
        <x:v>0</x:v>
      </x:c>
      <x:c r="U87" s="630">
        <x:v>0</x:v>
      </x:c>
      <x:c r="V87" s="630">
        <x:v>0</x:v>
      </x:c>
      <x:c r="W87" s="630">
        <x:v>0</x:v>
      </x:c>
      <x:c r="X87" s="630">
        <x:v>0</x:v>
      </x:c>
      <x:c r="Y87" s="630">
        <x:v>0</x:v>
      </x:c>
      <x:c r="Z87" s="630" t="n">
        <x:v>0</x:v>
      </x:c>
      <x:c r="AA87" s="628"/>
      <x:c r="AB87" s="628"/>
      <x:c r="AC87" s="628"/>
      <x:c r="AD87" s="628"/>
      <x:c r="AE87" s="628"/>
      <x:c r="AF87" s="628"/>
      <x:c r="AG87" s="628"/>
      <x:c r="AH87" s="628"/>
      <x:c r="AI87" s="628"/>
      <x:c r="AJ87" s="628"/>
      <x:c r="AK87" s="628"/>
      <x:c r="AL87" s="628"/>
      <x:c r="AM87" s="628"/>
      <x:c r="AN87" s="628"/>
      <x:c r="AO87" s="628"/>
      <x:c r="AP87" s="628"/>
      <x:c r="AQ87" s="628"/>
      <x:c r="AR87" s="628"/>
      <x:c r="AS87" s="628"/>
      <x:c r="AT87" s="628"/>
      <x:c r="AU87" s="628"/>
      <x:c r="AV87" s="628"/>
      <x:c r="AW87" s="628"/>
      <x:c r="AX87" s="628"/>
      <x:c r="AY87" s="628"/>
      <x:c r="AZ87" s="628"/>
      <x:c r="BA87" s="628"/>
      <x:c r="BB87" s="628"/>
      <x:c r="BC87" s="628"/>
      <x:c r="BD87" s="628"/>
      <x:c r="BE87" s="628"/>
      <x:c r="BF87" s="628"/>
      <x:c r="BG87" s="628"/>
      <x:c r="BH87" s="628"/>
      <x:c r="BI87" s="628"/>
      <x:c r="BJ87" s="628"/>
      <x:c r="BK87" s="628"/>
      <x:c r="BL87" s="628"/>
      <x:c r="BM87" s="628"/>
      <x:c r="BN87" s="624"/>
    </x:row>
    <x:row r="88" spans="1:66" x14ac:dyDescent="0.2">
      <x:c r="A88"/>
      <x:c r="B88"/>
      <x:c r="C88"/>
      <x:c r="D88"/>
      <x:c r="E88" s="625" t="inlineStr">
        <x:is>
          <x:t>Vlr Servicio</x:t>
        </x:is>
      </x:c>
      <x:c r="F88" s="627" t="n">
        <x:v>-20998.87</x:v>
      </x:c>
      <x:c r="G88" s="627" t="n">
        <x:v>-1840.53</x:v>
      </x:c>
      <x:c r="H88" s="627" t="n">
        <x:v>-781.92</x:v>
      </x:c>
      <x:c r="I88" s="627" t="n">
        <x:v>-341.46</x:v>
      </x:c>
      <x:c r="J88" s="627" t="n">
        <x:v>-4232.84</x:v>
      </x:c>
      <x:c r="K88" s="627" t="n">
        <x:v>-174.41</x:v>
      </x:c>
      <x:c r="L88" s="627" t="n">
        <x:v>0</x:v>
      </x:c>
      <x:c r="M88" s="627" t="n">
        <x:v>-1529.91</x:v>
      </x:c>
      <x:c r="N88" s="627" t="n">
        <x:v>-1917.75</x:v>
      </x:c>
      <x:c r="O88" s="627" t="n">
        <x:v>-6441.6</x:v>
      </x:c>
      <x:c r="P88" s="627" t="n">
        <x:v>-3453.9</x:v>
      </x:c>
      <x:c r="Q88" s="627" t="n">
        <x:v>-284.55</x:v>
      </x:c>
      <x:c r="R88" s="627" t="n">
        <x:v>0</x:v>
      </x:c>
      <x:c r="S88" s="627" t="n">
        <x:v>0</x:v>
      </x:c>
      <x:c r="T88" s="627" t="n">
        <x:v>0</x:v>
      </x:c>
      <x:c r="U88" s="627">
        <x:v>0</x:v>
      </x:c>
      <x:c r="V88" s="627">
        <x:v>0</x:v>
      </x:c>
      <x:c r="W88" s="627">
        <x:v>0</x:v>
      </x:c>
      <x:c r="X88" s="653">
        <x:v>0</x:v>
      </x:c>
      <x:c r="Y88" s="653">
        <x:v>0</x:v>
      </x:c>
      <x:c r="Z88" s="653" t="n">
        <x:v>0</x:v>
      </x:c>
      <x:c r="BN88" s="624"/>
    </x:row>
    <x:row r="89" spans="1:66" x14ac:dyDescent="0.2">
      <x:c r="A89"/>
      <x:c r="B89"/>
      <x:c r="C89"/>
      <x:c r="D89" s="25" t="inlineStr">
        <x:is>
          <x:t>H</x:t>
        </x:is>
      </x:c>
      <x:c r="E89" s="625" t="inlineStr">
        <x:is>
          <x:t>Total</x:t>
        </x:is>
      </x:c>
      <x:c r="F89" s="627" t="n">
        <x:v>-20998.87</x:v>
      </x:c>
      <x:c r="G89" s="627" t="n">
        <x:v>-1840.53</x:v>
      </x:c>
      <x:c r="H89" s="627" t="n">
        <x:v>-781.92</x:v>
      </x:c>
      <x:c r="I89" s="627" t="n">
        <x:v>-341.46</x:v>
      </x:c>
      <x:c r="J89" s="627" t="n">
        <x:v>-4232.84</x:v>
      </x:c>
      <x:c r="K89" s="627" t="n">
        <x:v>-174.41</x:v>
      </x:c>
      <x:c r="L89" s="627" t="n">
        <x:v>0</x:v>
      </x:c>
      <x:c r="M89" s="627" t="n">
        <x:v>-1529.91</x:v>
      </x:c>
      <x:c r="N89" s="627" t="n">
        <x:v>-1917.75</x:v>
      </x:c>
      <x:c r="O89" s="627" t="n">
        <x:v>-6441.6</x:v>
      </x:c>
      <x:c r="P89" s="627" t="n">
        <x:v>-3453.9</x:v>
      </x:c>
      <x:c r="Q89" s="627" t="n">
        <x:v>-284.55</x:v>
      </x:c>
      <x:c r="R89" s="627" t="n">
        <x:v>0</x:v>
      </x:c>
      <x:c r="S89" s="627" t="n">
        <x:v>0</x:v>
      </x:c>
      <x:c r="T89" s="627" t="n">
        <x:v>0</x:v>
      </x:c>
      <x:c r="U89" s="627">
        <x:v>0</x:v>
      </x:c>
      <x:c r="V89" s="627">
        <x:v>0</x:v>
      </x:c>
      <x:c r="W89" s="627">
        <x:v>0</x:v>
      </x:c>
      <x:c r="X89" s="653">
        <x:v>0</x:v>
      </x:c>
      <x:c r="Y89" s="653">
        <x:v>0</x:v>
      </x:c>
      <x:c r="Z89" s="653" t="n">
        <x:v>0</x:v>
      </x:c>
      <x:c r="BN89" s="624"/>
    </x:row>
    <x:row r="90" spans="1:66" x14ac:dyDescent="0.2">
      <x:c r="A90" s="631"/>
      <x:c r="B90" s="631"/>
      <x:c r="C90" s="632"/>
      <x:c r="D90" s="632"/>
      <x:c r="E90" s="631" t="inlineStr">
        <x:is>
          <x:t>Vlr Servicio</x:t>
        </x:is>
      </x:c>
      <x:c r="F90" s="633" t="n">
        <x:v>-7651.97</x:v>
      </x:c>
      <x:c r="G90" s="633" t="n">
        <x:v>-673.86</x:v>
      </x:c>
      <x:c r="H90" s="633" t="n">
        <x:v>-286.26</x:v>
      </x:c>
      <x:c r="I90" s="633" t="n">
        <x:v>-125.04</x:v>
      </x:c>
      <x:c r="J90" s="633" t="n">
        <x:v>-1539.21</x:v>
      </x:c>
      <x:c r="K90" s="633" t="n">
        <x:v>-63.42</x:v>
      </x:c>
      <x:c r="L90" s="633" t="n">
        <x:v>0</x:v>
      </x:c>
      <x:c r="M90" s="633" t="n">
        <x:v>-556.33</x:v>
      </x:c>
      <x:c r="N90" s="633" t="n">
        <x:v>-697.38</x:v>
      </x:c>
      <x:c r="O90" s="633" t="n">
        <x:v>-2342.4</x:v>
      </x:c>
      <x:c r="P90" s="633" t="n">
        <x:v>-1264.56</x:v>
      </x:c>
      <x:c r="Q90" s="633" t="n">
        <x:v>-103.51</x:v>
      </x:c>
      <x:c r="R90" s="633" t="n">
        <x:v>0</x:v>
      </x:c>
      <x:c r="S90" s="633" t="n">
        <x:v>0</x:v>
      </x:c>
      <x:c r="T90" s="633" t="n">
        <x:v>0</x:v>
      </x:c>
      <x:c r="U90" s="633">
        <x:v>0</x:v>
      </x:c>
      <x:c r="V90" s="633">
        <x:v>0</x:v>
      </x:c>
      <x:c r="W90" s="633">
        <x:v>0</x:v>
      </x:c>
      <x:c r="X90" s="633">
        <x:v>0</x:v>
      </x:c>
      <x:c r="Y90" s="633">
        <x:v>0</x:v>
      </x:c>
      <x:c r="Z90" s="633" t="n">
        <x:v>0</x:v>
      </x:c>
      <x:c r="AA90" s="631"/>
      <x:c r="AB90" s="631"/>
      <x:c r="AC90" s="631"/>
      <x:c r="AD90" s="631"/>
      <x:c r="AE90" s="631"/>
      <x:c r="AF90" s="631"/>
      <x:c r="AG90" s="631"/>
      <x:c r="AH90" s="631"/>
      <x:c r="AI90" s="631"/>
      <x:c r="AJ90" s="631"/>
      <x:c r="AK90" s="631"/>
      <x:c r="AL90" s="631"/>
      <x:c r="AM90" s="631"/>
      <x:c r="AN90" s="631"/>
      <x:c r="AO90" s="631"/>
      <x:c r="AP90" s="631"/>
      <x:c r="AQ90" s="631"/>
      <x:c r="AR90" s="631"/>
      <x:c r="AS90" s="631"/>
      <x:c r="AT90" s="631"/>
      <x:c r="AU90" s="631"/>
      <x:c r="AV90" s="631"/>
      <x:c r="AW90" s="631"/>
      <x:c r="AX90" s="631"/>
      <x:c r="AY90" s="631"/>
      <x:c r="AZ90" s="631"/>
      <x:c r="BA90" s="631"/>
      <x:c r="BB90" s="631"/>
      <x:c r="BC90" s="631"/>
      <x:c r="BD90" s="631"/>
      <x:c r="BE90" s="631"/>
      <x:c r="BF90" s="631"/>
      <x:c r="BG90" s="631"/>
      <x:c r="BH90" s="631"/>
      <x:c r="BI90" s="631"/>
      <x:c r="BJ90" s="631"/>
      <x:c r="BK90" s="631"/>
      <x:c r="BL90" s="631"/>
      <x:c r="BM90" s="631"/>
      <x:c r="BN90" s="624"/>
    </x:row>
    <x:row r="91" spans="1:66" x14ac:dyDescent="0.2">
      <x:c r="A91"/>
      <x:c r="B91" s="625"/>
      <x:c r="C91" s="625"/>
      <x:c r="D91" t="inlineStr">
        <x:is>
          <x:t>O</x:t>
        </x:is>
      </x:c>
      <x:c r="E91" t="inlineStr">
        <x:is>
          <x:t>Total</x:t>
        </x:is>
      </x:c>
      <x:c r="F91" s="627" t="n">
        <x:v>-7651.97</x:v>
      </x:c>
      <x:c r="G91" s="627" t="n">
        <x:v>-673.86</x:v>
      </x:c>
      <x:c r="H91" s="627" t="n">
        <x:v>-286.26</x:v>
      </x:c>
      <x:c r="I91" s="627" t="n">
        <x:v>-125.04</x:v>
      </x:c>
      <x:c r="J91" s="627" t="n">
        <x:v>-1539.21</x:v>
      </x:c>
      <x:c r="K91" s="627" t="n">
        <x:v>-63.42</x:v>
      </x:c>
      <x:c r="L91" s="627" t="n">
        <x:v>0</x:v>
      </x:c>
      <x:c r="M91" s="627" t="n">
        <x:v>-556.33</x:v>
      </x:c>
      <x:c r="N91" s="627" t="n">
        <x:v>-697.38</x:v>
      </x:c>
      <x:c r="O91" s="627" t="n">
        <x:v>-2342.4</x:v>
      </x:c>
      <x:c r="P91" s="627" t="n">
        <x:v>-1264.56</x:v>
      </x:c>
      <x:c r="Q91" s="627" t="n">
        <x:v>-103.51</x:v>
      </x:c>
      <x:c r="R91" s="627" t="n">
        <x:v>0</x:v>
      </x:c>
      <x:c r="S91" s="627" t="n">
        <x:v>0</x:v>
      </x:c>
      <x:c r="T91" s="653" t="n">
        <x:v>0</x:v>
      </x:c>
      <x:c r="U91" s="653">
        <x:v>0</x:v>
      </x:c>
      <x:c r="V91" s="653">
        <x:v>0</x:v>
      </x:c>
      <x:c r="W91" s="653">
        <x:v>0</x:v>
      </x:c>
      <x:c r="X91" s="653">
        <x:v>0</x:v>
      </x:c>
      <x:c r="Y91" s="627">
        <x:v>0</x:v>
      </x:c>
      <x:c r="Z91" s="653" t="n">
        <x:v>0</x:v>
      </x:c>
      <x:c r="BN91" s="624"/>
    </x:row>
    <x:row r="92" spans="1:66" x14ac:dyDescent="0.2">
      <x:c r="A92" s="634"/>
      <x:c r="B92" s="634"/>
      <x:c r="C92" s="634" t="inlineStr">
        <x:is>
          <x:t>OCCIDENTE</x:t>
        </x:is>
      </x:c>
      <x:c r="D92" s="634" t="inlineStr">
        <x:is>
          <x:t>Total</x:t>
        </x:is>
      </x:c>
      <x:c r="E92" s="634"/>
      <x:c r="F92" s="670" t="n">
        <x:v>-28650.84</x:v>
      </x:c>
      <x:c r="G92" s="670" t="n">
        <x:v>-2514.39</x:v>
      </x:c>
      <x:c r="H92" s="670" t="n">
        <x:v>-1068.18</x:v>
      </x:c>
      <x:c r="I92" s="670" t="n">
        <x:v>-466.5</x:v>
      </x:c>
      <x:c r="J92" s="670" t="n">
        <x:v>-5772.05</x:v>
      </x:c>
      <x:c r="K92" s="670" t="n">
        <x:v>-237.83</x:v>
      </x:c>
      <x:c r="L92" s="670" t="n">
        <x:v>0</x:v>
      </x:c>
      <x:c r="M92" s="670" t="n">
        <x:v>-2086.24</x:v>
      </x:c>
      <x:c r="N92" s="670" t="n">
        <x:v>-2615.13</x:v>
      </x:c>
      <x:c r="O92" s="670" t="n">
        <x:v>-8784</x:v>
      </x:c>
      <x:c r="P92" s="670" t="n">
        <x:v>-4718.46</x:v>
      </x:c>
      <x:c r="Q92" s="670" t="n">
        <x:v>-388.06</x:v>
      </x:c>
      <x:c r="R92" s="670" t="n">
        <x:v>0</x:v>
      </x:c>
      <x:c r="S92" s="670" t="n">
        <x:v>0</x:v>
      </x:c>
      <x:c r="T92" s="670" t="n">
        <x:v>0</x:v>
      </x:c>
      <x:c r="U92" s="670">
        <x:v>0</x:v>
      </x:c>
      <x:c r="V92" s="670">
        <x:v>0</x:v>
      </x:c>
      <x:c r="W92" s="670">
        <x:v>0</x:v>
      </x:c>
      <x:c r="X92" s="670">
        <x:v>0</x:v>
      </x:c>
      <x:c r="Y92" s="670">
        <x:v>0</x:v>
      </x:c>
      <x:c r="Z92" s="670" t="n">
        <x:v>0</x:v>
      </x:c>
      <x:c r="AA92" s="634"/>
      <x:c r="AB92" s="634"/>
      <x:c r="AC92" s="634"/>
      <x:c r="AD92" s="634"/>
      <x:c r="AE92" s="634"/>
      <x:c r="AF92" s="634"/>
      <x:c r="AG92" s="634"/>
      <x:c r="AH92" s="634"/>
      <x:c r="AI92" s="634"/>
      <x:c r="AJ92" s="634"/>
      <x:c r="AK92" s="634"/>
      <x:c r="AL92" s="634"/>
      <x:c r="AM92" s="634"/>
      <x:c r="AN92" s="634"/>
      <x:c r="AO92" s="634"/>
      <x:c r="AP92" s="634"/>
      <x:c r="AQ92" s="634"/>
      <x:c r="AR92" s="634"/>
      <x:c r="AS92" s="634"/>
      <x:c r="AT92" s="634"/>
      <x:c r="AU92" s="634"/>
      <x:c r="AV92" s="634"/>
      <x:c r="AW92" s="634"/>
      <x:c r="AX92" s="634"/>
      <x:c r="AY92" s="634"/>
      <x:c r="AZ92" s="634"/>
      <x:c r="BA92" s="634"/>
      <x:c r="BB92" s="634"/>
      <x:c r="BC92" s="634"/>
      <x:c r="BD92" s="634"/>
      <x:c r="BE92" s="634"/>
      <x:c r="BF92" s="634"/>
      <x:c r="BG92" s="634"/>
      <x:c r="BH92" s="634"/>
      <x:c r="BI92" s="634"/>
      <x:c r="BJ92" s="634"/>
      <x:c r="BK92" s="634"/>
      <x:c r="BL92" s="634"/>
      <x:c r="BM92" s="634"/>
      <x:c r="BN92" s="624"/>
    </x:row>
    <x:row r="93" spans="1:66" x14ac:dyDescent="0.2">
      <x:c r="A93"/>
      <x:c r="B93" t="inlineStr">
        <x:is>
          <x:t>Mes</x:t>
        </x:is>
      </x:c>
      <x:c r="C93" t="inlineStr">
        <x:is>
          <x:t>Total</x:t>
        </x:is>
      </x:c>
      <x:c r="D93"/>
      <x:c r="E93" s="625"/>
      <x:c r="F93" s="627" t="n">
        <x:v>-1443509.98</x:v>
      </x:c>
      <x:c r="G93" s="627" t="n">
        <x:v>-126107.3</x:v>
      </x:c>
      <x:c r="H93" s="627" t="n">
        <x:v>-53574.14</x:v>
      </x:c>
      <x:c r="I93" s="627" t="n">
        <x:v>-23396.67</x:v>
      </x:c>
      <x:c r="J93" s="627" t="n">
        <x:v>-289490.34</x:v>
      </x:c>
      <x:c r="K93" s="627" t="n">
        <x:v>-12050.94</x:v>
      </x:c>
      <x:c r="L93" s="627" t="n">
        <x:v>0</x:v>
      </x:c>
      <x:c r="M93" s="627" t="n">
        <x:v>-105713.14</x:v>
      </x:c>
      <x:c r="N93" s="627" t="n">
        <x:v>-132509.9</x:v>
      </x:c>
      <x:c r="O93" s="627" t="n">
        <x:v>-445101.84</x:v>
      </x:c>
      <x:c r="P93" s="627" t="n">
        <x:v>-235902.28</x:v>
      </x:c>
      <x:c r="Q93" s="627" t="n">
        <x:v>-19663.43</x:v>
      </x:c>
      <x:c r="R93" s="627" t="n">
        <x:v>0</x:v>
      </x:c>
      <x:c r="S93" s="627" t="n">
        <x:v>0</x:v>
      </x:c>
      <x:c r="T93" s="627" t="n">
        <x:v>0</x:v>
      </x:c>
      <x:c r="U93" s="627">
        <x:v>0</x:v>
      </x:c>
      <x:c r="V93" s="627">
        <x:v>0</x:v>
      </x:c>
      <x:c r="W93" s="627">
        <x:v>0</x:v>
      </x:c>
      <x:c r="X93" s="653">
        <x:v>0</x:v>
      </x:c>
      <x:c r="Y93" s="653">
        <x:v>0</x:v>
      </x:c>
      <x:c r="Z93" s="653" t="n">
        <x:v>0</x:v>
      </x:c>
      <x:c r="BN93" s="624"/>
    </x:row>
    <x:row r="94" spans="1:66" x14ac:dyDescent="0.2">
      <x:c r="A94" t="inlineStr">
        <x:is>
          <x:t>AFaseo</x:t>
        </x:is>
      </x:c>
      <x:c r="B94" t="inlineStr">
        <x:is>
          <x:t>Total</x:t>
        </x:is>
      </x:c>
      <x:c r="C94"/>
      <x:c r="D94"/>
      <x:c r="E94" s="625"/>
      <x:c r="F94" s="627" t="n">
        <x:v>-1443509.98</x:v>
      </x:c>
      <x:c r="G94" s="627" t="n">
        <x:v>-126107.3</x:v>
      </x:c>
      <x:c r="H94" s="627" t="n">
        <x:v>-53574.14</x:v>
      </x:c>
      <x:c r="I94" s="627" t="n">
        <x:v>-23396.67</x:v>
      </x:c>
      <x:c r="J94" s="627" t="n">
        <x:v>-289490.34</x:v>
      </x:c>
      <x:c r="K94" s="627" t="n">
        <x:v>-12050.94</x:v>
      </x:c>
      <x:c r="L94" s="627" t="n">
        <x:v>0</x:v>
      </x:c>
      <x:c r="M94" s="627" t="n">
        <x:v>-105713.14</x:v>
      </x:c>
      <x:c r="N94" s="627" t="n">
        <x:v>-132509.9</x:v>
      </x:c>
      <x:c r="O94" s="627" t="n">
        <x:v>-445101.84</x:v>
      </x:c>
      <x:c r="P94" s="627" t="n">
        <x:v>-235902.28</x:v>
      </x:c>
      <x:c r="Q94" s="627" t="n">
        <x:v>-19663.43</x:v>
      </x:c>
      <x:c r="R94" s="627" t="n">
        <x:v>0</x:v>
      </x:c>
      <x:c r="S94" s="627" t="n">
        <x:v>0</x:v>
      </x:c>
      <x:c r="T94" s="627" t="n">
        <x:v>0</x:v>
      </x:c>
      <x:c r="U94" s="627">
        <x:v>0</x:v>
      </x:c>
      <x:c r="V94" s="627">
        <x:v>0</x:v>
      </x:c>
      <x:c r="W94" s="627">
        <x:v>0</x:v>
      </x:c>
      <x:c r="X94" s="653">
        <x:v>0</x:v>
      </x:c>
      <x:c r="Y94" s="653">
        <x:v>0</x:v>
      </x:c>
      <x:c r="Z94" s="653" t="n">
        <x:v>0</x:v>
      </x:c>
      <x:c r="BN94" s="624"/>
    </x:row>
    <x:row r="95" spans="1:66" x14ac:dyDescent="0.2">
      <x:c r="A95"/>
      <x:c r="B95"/>
      <x:c r="C95"/>
      <x:c r="D95" s="25"/>
      <x:c r="E95" s="625" t="inlineStr">
        <x:is>
          <x:t>Vlr Servicio</x:t>
        </x:is>
      </x:c>
      <x:c r="F95" s="627" t="n">
        <x:v>131543.19</x:v>
      </x:c>
      <x:c r="G95" s="627" t="n">
        <x:v>13093.19</x:v>
      </x:c>
      <x:c r="H95" s="627" t="n">
        <x:v>7370.27</x:v>
      </x:c>
      <x:c r="I95" s="627" t="n">
        <x:v>4474.7</x:v>
      </x:c>
      <x:c r="J95" s="627" t="n">
        <x:v>25771.56</x:v>
      </x:c>
      <x:c r="K95" s="627" t="n">
        <x:v>925.74</x:v>
      </x:c>
      <x:c r="L95" s="627" t="n">
        <x:v>0</x:v>
      </x:c>
      <x:c r="M95" s="627" t="n">
        <x:v>8109.96</x:v>
      </x:c>
      <x:c r="N95" s="627" t="n">
        <x:v>7930.91</x:v>
      </x:c>
      <x:c r="O95" s="627" t="n">
        <x:v>37461.59</x:v>
      </x:c>
      <x:c r="P95" s="627" t="n">
        <x:v>24418.29</x:v>
      </x:c>
      <x:c r="Q95" s="627" t="n">
        <x:v>1987.26</x:v>
      </x:c>
      <x:c r="R95" s="627" t="n">
        <x:v>-0.28</x:v>
      </x:c>
      <x:c r="S95" s="627" t="n">
        <x:v>0</x:v>
      </x:c>
      <x:c r="T95" s="627" t="n">
        <x:v>0</x:v>
      </x:c>
      <x:c r="U95" s="627">
        <x:v>0</x:v>
      </x:c>
      <x:c r="V95" s="627">
        <x:v>0</x:v>
      </x:c>
      <x:c r="W95" s="627">
        <x:v>0</x:v>
      </x:c>
      <x:c r="X95" s="653">
        <x:v>0</x:v>
      </x:c>
      <x:c r="Y95" s="653">
        <x:v>0</x:v>
      </x:c>
      <x:c r="Z95" s="653" t="n">
        <x:v>0</x:v>
      </x:c>
      <x:c r="BN95" s="624"/>
    </x:row>
    <x:row r="96" spans="1:66" x14ac:dyDescent="0.2">
      <x:c r="A96" s="628"/>
      <x:c r="B96" s="628"/>
      <x:c r="C96" s="628"/>
      <x:c r="D96" s="628" t="inlineStr">
        <x:is>
          <x:t>E</x:t>
        </x:is>
      </x:c>
      <x:c r="E96" s="629" t="inlineStr">
        <x:is>
          <x:t>Total</x:t>
        </x:is>
      </x:c>
      <x:c r="F96" s="630" t="n">
        <x:v>131543.19</x:v>
      </x:c>
      <x:c r="G96" s="630" t="n">
        <x:v>13093.19</x:v>
      </x:c>
      <x:c r="H96" s="630" t="n">
        <x:v>7370.27</x:v>
      </x:c>
      <x:c r="I96" s="630" t="n">
        <x:v>4474.7</x:v>
      </x:c>
      <x:c r="J96" s="630" t="n">
        <x:v>25771.56</x:v>
      </x:c>
      <x:c r="K96" s="630" t="n">
        <x:v>925.74</x:v>
      </x:c>
      <x:c r="L96" s="630" t="n">
        <x:v>0</x:v>
      </x:c>
      <x:c r="M96" s="630" t="n">
        <x:v>8109.96</x:v>
      </x:c>
      <x:c r="N96" s="630" t="n">
        <x:v>7930.91</x:v>
      </x:c>
      <x:c r="O96" s="630" t="n">
        <x:v>37461.59</x:v>
      </x:c>
      <x:c r="P96" s="630" t="n">
        <x:v>24418.29</x:v>
      </x:c>
      <x:c r="Q96" s="630" t="n">
        <x:v>1987.26</x:v>
      </x:c>
      <x:c r="R96" s="630" t="n">
        <x:v>-0.28</x:v>
      </x:c>
      <x:c r="S96" s="630" t="n">
        <x:v>0</x:v>
      </x:c>
      <x:c r="T96" s="630" t="n">
        <x:v>0</x:v>
      </x:c>
      <x:c r="U96" s="630">
        <x:v>0</x:v>
      </x:c>
      <x:c r="V96" s="630">
        <x:v>0</x:v>
      </x:c>
      <x:c r="W96" s="630">
        <x:v>0</x:v>
      </x:c>
      <x:c r="X96" s="630">
        <x:v>0</x:v>
      </x:c>
      <x:c r="Y96" s="630">
        <x:v>0</x:v>
      </x:c>
      <x:c r="Z96" s="630" t="n">
        <x:v>0</x:v>
      </x:c>
      <x:c r="AA96" s="628"/>
      <x:c r="AB96" s="628"/>
      <x:c r="AC96" s="628"/>
      <x:c r="AD96" s="628"/>
      <x:c r="AE96" s="628"/>
      <x:c r="AF96" s="628"/>
      <x:c r="AG96" s="628"/>
      <x:c r="AH96" s="628"/>
      <x:c r="AI96" s="628"/>
      <x:c r="AJ96" s="628"/>
      <x:c r="AK96" s="628"/>
      <x:c r="AL96" s="628"/>
      <x:c r="AM96" s="628"/>
      <x:c r="AN96" s="628"/>
      <x:c r="AO96" s="628"/>
      <x:c r="AP96" s="628"/>
      <x:c r="AQ96" s="628"/>
      <x:c r="AR96" s="628"/>
      <x:c r="AS96" s="628"/>
      <x:c r="AT96" s="628"/>
      <x:c r="AU96" s="628"/>
      <x:c r="AV96" s="628"/>
      <x:c r="AW96" s="628"/>
      <x:c r="AX96" s="628"/>
      <x:c r="AY96" s="628"/>
      <x:c r="AZ96" s="628"/>
      <x:c r="BA96" s="628"/>
      <x:c r="BB96" s="628"/>
      <x:c r="BC96" s="628"/>
      <x:c r="BD96" s="628"/>
      <x:c r="BE96" s="628"/>
      <x:c r="BF96" s="628"/>
      <x:c r="BG96" s="628"/>
      <x:c r="BH96" s="628"/>
      <x:c r="BI96" s="628"/>
      <x:c r="BJ96" s="628"/>
      <x:c r="BK96" s="628"/>
      <x:c r="BL96" s="628"/>
      <x:c r="BM96" s="628"/>
      <x:c r="BN96" s="624"/>
    </x:row>
    <x:row r="97" spans="1:66" x14ac:dyDescent="0.2">
      <x:c r="A97"/>
      <x:c r="B97"/>
      <x:c r="C97" t="inlineStr">
        <x:is>
          <x:t>ENEL</x:t>
        </x:is>
      </x:c>
      <x:c r="D97" t="inlineStr">
        <x:is>
          <x:t>Total</x:t>
        </x:is>
      </x:c>
      <x:c r="E97" s="625"/>
      <x:c r="F97" s="627" t="n">
        <x:v>131543.19</x:v>
      </x:c>
      <x:c r="G97" s="627" t="n">
        <x:v>13093.19</x:v>
      </x:c>
      <x:c r="H97" s="627" t="n">
        <x:v>7370.27</x:v>
      </x:c>
      <x:c r="I97" s="627" t="n">
        <x:v>4474.7</x:v>
      </x:c>
      <x:c r="J97" s="627" t="n">
        <x:v>25771.56</x:v>
      </x:c>
      <x:c r="K97" s="627" t="n">
        <x:v>925.74</x:v>
      </x:c>
      <x:c r="L97" s="627" t="n">
        <x:v>0</x:v>
      </x:c>
      <x:c r="M97" s="627" t="n">
        <x:v>8109.96</x:v>
      </x:c>
      <x:c r="N97" s="627" t="n">
        <x:v>7930.91</x:v>
      </x:c>
      <x:c r="O97" s="627" t="n">
        <x:v>37461.59</x:v>
      </x:c>
      <x:c r="P97" s="627" t="n">
        <x:v>24418.29</x:v>
      </x:c>
      <x:c r="Q97" s="627" t="n">
        <x:v>1987.26</x:v>
      </x:c>
      <x:c r="R97" s="627" t="n">
        <x:v>-0.28</x:v>
      </x:c>
      <x:c r="S97" s="627" t="n">
        <x:v>0</x:v>
      </x:c>
      <x:c r="T97" s="627" t="n">
        <x:v>0</x:v>
      </x:c>
      <x:c r="U97" s="627">
        <x:v>0</x:v>
      </x:c>
      <x:c r="V97" s="627">
        <x:v>0</x:v>
      </x:c>
      <x:c r="W97" s="627">
        <x:v>0</x:v>
      </x:c>
      <x:c r="X97" s="653">
        <x:v>0</x:v>
      </x:c>
      <x:c r="Y97" s="653">
        <x:v>0</x:v>
      </x:c>
      <x:c r="Z97" s="653" t="n">
        <x:v>0</x:v>
      </x:c>
      <x:c r="BN97" s="624"/>
    </x:row>
    <x:row r="98" spans="1:66" x14ac:dyDescent="0.2">
      <x:c r="A98"/>
      <x:c r="B98"/>
      <x:c r="C98"/>
      <x:c r="D98"/>
      <x:c r="E98" s="625" t="inlineStr">
        <x:is>
          <x:t>Vlr Servicio</x:t>
        </x:is>
      </x:c>
      <x:c r="F98" s="627" t="n">
        <x:v>24890</x:v>
      </x:c>
      <x:c r="G98" s="627" t="n">
        <x:v>0</x:v>
      </x:c>
      <x:c r="H98" s="627" t="n">
        <x:v>0</x:v>
      </x:c>
      <x:c r="I98" s="627" t="n">
        <x:v>567.09</x:v>
      </x:c>
      <x:c r="J98" s="627" t="n">
        <x:v>5122.93</x:v>
      </x:c>
      <x:c r="K98" s="627" t="n">
        <x:v>373.45</x:v>
      </x:c>
      <x:c r="L98" s="627" t="n">
        <x:v>0</x:v>
      </x:c>
      <x:c r="M98" s="627" t="n">
        <x:v>0</x:v>
      </x:c>
      <x:c r="N98" s="627" t="n">
        <x:v>3176.37</x:v>
      </x:c>
      <x:c r="O98" s="627" t="n">
        <x:v>15040.85</x:v>
      </x:c>
      <x:c r="P98" s="627" t="n">
        <x:v>0</x:v>
      </x:c>
      <x:c r="Q98" s="627" t="n">
        <x:v>609.31</x:v>
      </x:c>
      <x:c r="R98" s="627" t="n">
        <x:v>0</x:v>
      </x:c>
      <x:c r="S98" s="627" t="n">
        <x:v>0</x:v>
      </x:c>
      <x:c r="T98" s="627" t="n">
        <x:v>0</x:v>
      </x:c>
      <x:c r="U98" s="627">
        <x:v>0</x:v>
      </x:c>
      <x:c r="V98" s="627">
        <x:v>0</x:v>
      </x:c>
      <x:c r="W98" s="627">
        <x:v>0</x:v>
      </x:c>
      <x:c r="X98" s="653">
        <x:v>0</x:v>
      </x:c>
      <x:c r="Y98" s="653">
        <x:v>0</x:v>
      </x:c>
      <x:c r="Z98" s="653" t="n">
        <x:v>0</x:v>
      </x:c>
      <x:c r="BN98" s="624"/>
    </x:row>
    <x:row r="99" spans="1:66" x14ac:dyDescent="0.2">
      <x:c r="A99"/>
      <x:c r="B99"/>
      <x:c r="C99"/>
      <x:c r="D99" s="25" t="inlineStr">
        <x:is>
          <x:t>O</x:t>
        </x:is>
      </x:c>
      <x:c r="E99" s="625" t="inlineStr">
        <x:is>
          <x:t>Total</x:t>
        </x:is>
      </x:c>
      <x:c r="F99" s="627" t="n">
        <x:v>24890</x:v>
      </x:c>
      <x:c r="G99" s="627" t="n">
        <x:v>0</x:v>
      </x:c>
      <x:c r="H99" s="627" t="n">
        <x:v>0</x:v>
      </x:c>
      <x:c r="I99" s="627" t="n">
        <x:v>567.09</x:v>
      </x:c>
      <x:c r="J99" s="627" t="n">
        <x:v>5122.93</x:v>
      </x:c>
      <x:c r="K99" s="627" t="n">
        <x:v>373.45</x:v>
      </x:c>
      <x:c r="L99" s="627" t="n">
        <x:v>0</x:v>
      </x:c>
      <x:c r="M99" s="627" t="n">
        <x:v>0</x:v>
      </x:c>
      <x:c r="N99" s="627" t="n">
        <x:v>3176.37</x:v>
      </x:c>
      <x:c r="O99" s="627" t="n">
        <x:v>15040.85</x:v>
      </x:c>
      <x:c r="P99" s="627" t="n">
        <x:v>0</x:v>
      </x:c>
      <x:c r="Q99" s="627" t="n">
        <x:v>609.31</x:v>
      </x:c>
      <x:c r="R99" s="627" t="n">
        <x:v>0</x:v>
      </x:c>
      <x:c r="S99" s="627" t="n">
        <x:v>0</x:v>
      </x:c>
      <x:c r="T99" s="627" t="n">
        <x:v>0</x:v>
      </x:c>
      <x:c r="U99" s="627">
        <x:v>0</x:v>
      </x:c>
      <x:c r="V99" s="627">
        <x:v>0</x:v>
      </x:c>
      <x:c r="W99" s="627">
        <x:v>0</x:v>
      </x:c>
      <x:c r="X99" s="653">
        <x:v>0</x:v>
      </x:c>
      <x:c r="Y99" s="653">
        <x:v>0</x:v>
      </x:c>
      <x:c r="Z99" s="653" t="n">
        <x:v>0</x:v>
      </x:c>
      <x:c r="BN99" s="624"/>
    </x:row>
    <x:row r="100" spans="1:66" x14ac:dyDescent="0.2">
      <x:c r="A100"/>
      <x:c r="B100"/>
      <x:c r="C100" t="inlineStr">
        <x:is>
          <x:t>OCCIDENTE</x:t>
        </x:is>
      </x:c>
      <x:c r="D100" t="inlineStr">
        <x:is>
          <x:t>Total</x:t>
        </x:is>
      </x:c>
      <x:c r="E100" s="625"/>
      <x:c r="F100" s="627" t="n">
        <x:v>24890</x:v>
      </x:c>
      <x:c r="G100" s="627" t="n">
        <x:v>0</x:v>
      </x:c>
      <x:c r="H100" s="627" t="n">
        <x:v>0</x:v>
      </x:c>
      <x:c r="I100" s="627" t="n">
        <x:v>567.09</x:v>
      </x:c>
      <x:c r="J100" s="627" t="n">
        <x:v>5122.93</x:v>
      </x:c>
      <x:c r="K100" s="627" t="n">
        <x:v>373.45</x:v>
      </x:c>
      <x:c r="L100" s="627" t="n">
        <x:v>0</x:v>
      </x:c>
      <x:c r="M100" s="627" t="n">
        <x:v>0</x:v>
      </x:c>
      <x:c r="N100" s="627" t="n">
        <x:v>3176.37</x:v>
      </x:c>
      <x:c r="O100" s="627" t="n">
        <x:v>15040.85</x:v>
      </x:c>
      <x:c r="P100" s="627" t="n">
        <x:v>0</x:v>
      </x:c>
      <x:c r="Q100" s="627" t="n">
        <x:v>609.31</x:v>
      </x:c>
      <x:c r="R100" s="627" t="n">
        <x:v>0</x:v>
      </x:c>
      <x:c r="S100" s="627" t="n">
        <x:v>0</x:v>
      </x:c>
      <x:c r="T100" s="627" t="n">
        <x:v>0</x:v>
      </x:c>
      <x:c r="U100" s="627">
        <x:v>0</x:v>
      </x:c>
      <x:c r="V100" s="627">
        <x:v>0</x:v>
      </x:c>
      <x:c r="W100" s="627">
        <x:v>0</x:v>
      </x:c>
      <x:c r="X100" s="653">
        <x:v>0</x:v>
      </x:c>
      <x:c r="Y100" s="653">
        <x:v>0</x:v>
      </x:c>
      <x:c r="Z100" s="653" t="n">
        <x:v>0</x:v>
      </x:c>
      <x:c r="BN100" s="624"/>
    </x:row>
    <x:row r="101" spans="1:66" x14ac:dyDescent="0.2">
      <x:c r="A101"/>
      <x:c r="B101" t="inlineStr">
        <x:is>
          <x:t>Aplicacion nuevos x reversion</x:t>
        </x:is>
      </x:c>
      <x:c r="C101" t="inlineStr">
        <x:is>
          <x:t>Total</x:t>
        </x:is>
      </x:c>
      <x:c r="D101"/>
      <x:c r="E101" s="625"/>
      <x:c r="F101" s="627" t="n">
        <x:v>156433.19</x:v>
      </x:c>
      <x:c r="G101" s="627" t="n">
        <x:v>13093.19</x:v>
      </x:c>
      <x:c r="H101" s="627" t="n">
        <x:v>7370.27</x:v>
      </x:c>
      <x:c r="I101" s="627" t="n">
        <x:v>5041.79</x:v>
      </x:c>
      <x:c r="J101" s="627" t="n">
        <x:v>30894.49</x:v>
      </x:c>
      <x:c r="K101" s="627" t="n">
        <x:v>1299.19</x:v>
      </x:c>
      <x:c r="L101" s="627" t="n">
        <x:v>0</x:v>
      </x:c>
      <x:c r="M101" s="627" t="n">
        <x:v>8109.96</x:v>
      </x:c>
      <x:c r="N101" s="627" t="n">
        <x:v>11107.28</x:v>
      </x:c>
      <x:c r="O101" s="627" t="n">
        <x:v>52502.44</x:v>
      </x:c>
      <x:c r="P101" s="627" t="n">
        <x:v>24418.29</x:v>
      </x:c>
      <x:c r="Q101" s="627" t="n">
        <x:v>2596.57</x:v>
      </x:c>
      <x:c r="R101" s="627" t="n">
        <x:v>-0.28</x:v>
      </x:c>
      <x:c r="S101" s="627" t="n">
        <x:v>0</x:v>
      </x:c>
      <x:c r="T101" s="627" t="n">
        <x:v>0</x:v>
      </x:c>
      <x:c r="U101" s="627">
        <x:v>0</x:v>
      </x:c>
      <x:c r="V101" s="627">
        <x:v>0</x:v>
      </x:c>
      <x:c r="W101" s="627">
        <x:v>0</x:v>
      </x:c>
      <x:c r="X101" s="653">
        <x:v>0</x:v>
      </x:c>
      <x:c r="Y101" s="653">
        <x:v>0</x:v>
      </x:c>
      <x:c r="Z101" s="653" t="n">
        <x:v>0</x:v>
      </x:c>
      <x:c r="BN101" s="624"/>
    </x:row>
    <x:row r="102" spans="1:66" x14ac:dyDescent="0.2">
      <x:c r="A102"/>
      <x:c r="B102"/>
      <x:c r="C102"/>
      <x:c r="D102" s="25"/>
      <x:c r="E102" s="625" t="inlineStr">
        <x:is>
          <x:t>Vlr Servicio</x:t>
        </x:is>
      </x:c>
      <x:c r="F102" s="627" t="n">
        <x:v>24730940551.65</x:v>
      </x:c>
      <x:c r="G102" s="627" t="n">
        <x:v>1364112524.55</x:v>
      </x:c>
      <x:c r="H102" s="627" t="n">
        <x:v>761399187.9</x:v>
      </x:c>
      <x:c r="I102" s="627" t="n">
        <x:v>397562128.76</x:v>
      </x:c>
      <x:c r="J102" s="627" t="n">
        <x:v>6435626473.28</x:v>
      </x:c>
      <x:c r="K102" s="627" t="n">
        <x:v>215578294.58</x:v>
      </x:c>
      <x:c r="L102" s="627" t="n">
        <x:v>22415640.24</x:v>
      </x:c>
      <x:c r="M102" s="627" t="n">
        <x:v>1891782279.45</x:v>
      </x:c>
      <x:c r="N102" s="627" t="n">
        <x:v>1858318899.56</x:v>
      </x:c>
      <x:c r="O102" s="627" t="n">
        <x:v>8749864976.92</x:v>
      </x:c>
      <x:c r="P102" s="627" t="n">
        <x:v>2682322153.3</x:v>
      </x:c>
      <x:c r="Q102" s="627" t="n">
        <x:v>352178299.36</x:v>
      </x:c>
      <x:c r="R102" s="627" t="n">
        <x:v>-220306.25</x:v>
      </x:c>
      <x:c r="S102" s="627" t="n">
        <x:v>0</x:v>
      </x:c>
      <x:c r="T102" s="627" t="n">
        <x:v>0</x:v>
      </x:c>
      <x:c r="U102" s="627">
        <x:v>0</x:v>
      </x:c>
      <x:c r="V102" s="627">
        <x:v>0</x:v>
      </x:c>
      <x:c r="W102" s="627">
        <x:v>0</x:v>
      </x:c>
      <x:c r="X102" s="653">
        <x:v>0</x:v>
      </x:c>
      <x:c r="Y102" s="653">
        <x:v>0</x:v>
      </x:c>
      <x:c r="Z102" s="653" t="n">
        <x:v>0</x:v>
      </x:c>
      <x:c r="BN102" s="624"/>
    </x:row>
    <x:row r="103" spans="1:66" x14ac:dyDescent="0.2">
      <x:c r="A103" s="631"/>
      <x:c r="B103" s="631"/>
      <x:c r="C103" s="632"/>
      <x:c r="D103" s="632"/>
      <x:c r="E103" s="631" t="inlineStr">
        <x:is>
          <x:t>Vlr Intereses</x:t>
        </x:is>
      </x:c>
      <x:c r="F103" s="633" t="n">
        <x:v>105078851.29</x:v>
      </x:c>
      <x:c r="G103" s="633" t="n">
        <x:v>12373207.9</x:v>
      </x:c>
      <x:c r="H103" s="633" t="n">
        <x:v>5822118.44</x:v>
      </x:c>
      <x:c r="I103" s="633" t="n">
        <x:v>2557314.43</x:v>
      </x:c>
      <x:c r="J103" s="633" t="n">
        <x:v>19359151.93</x:v>
      </x:c>
      <x:c r="K103" s="633" t="n">
        <x:v>689674.86</x:v>
      </x:c>
      <x:c r="L103" s="633" t="n">
        <x:v>17502.71</x:v>
      </x:c>
      <x:c r="M103" s="633" t="n">
        <x:v>6029529.77</x:v>
      </x:c>
      <x:c r="N103" s="633" t="n">
        <x:v>7139477.92</x:v>
      </x:c>
      <x:c r="O103" s="633" t="n">
        <x:v>25859857.55</x:v>
      </x:c>
      <x:c r="P103" s="633" t="n">
        <x:v>24102912.74</x:v>
      </x:c>
      <x:c r="Q103" s="633" t="n">
        <x:v>1125547.59</x:v>
      </x:c>
      <x:c r="R103" s="633" t="n">
        <x:v>2527.3</x:v>
      </x:c>
      <x:c r="S103" s="633" t="n">
        <x:v>50.73</x:v>
      </x:c>
      <x:c r="T103" s="633" t="n">
        <x:v>0.9</x:v>
      </x:c>
      <x:c r="U103" s="633">
        <x:v>0</x:v>
      </x:c>
      <x:c r="V103" s="633">
        <x:v>0</x:v>
      </x:c>
      <x:c r="W103" s="633">
        <x:v>0</x:v>
      </x:c>
      <x:c r="X103" s="633">
        <x:v>0</x:v>
      </x:c>
      <x:c r="Y103" s="633">
        <x:v>0</x:v>
      </x:c>
      <x:c r="Z103" s="633" t="n">
        <x:v>-23.48</x:v>
      </x:c>
      <x:c r="AA103" s="631"/>
      <x:c r="AB103" s="631"/>
      <x:c r="AC103" s="631"/>
      <x:c r="AD103" s="631"/>
      <x:c r="AE103" s="631"/>
      <x:c r="AF103" s="631"/>
      <x:c r="AG103" s="631"/>
      <x:c r="AH103" s="631"/>
      <x:c r="AI103" s="631"/>
      <x:c r="AJ103" s="631"/>
      <x:c r="AK103" s="631"/>
      <x:c r="AL103" s="631"/>
      <x:c r="AM103" s="631"/>
      <x:c r="AN103" s="631"/>
      <x:c r="AO103" s="631"/>
      <x:c r="AP103" s="631"/>
      <x:c r="AQ103" s="631"/>
      <x:c r="AR103" s="631"/>
      <x:c r="AS103" s="631"/>
      <x:c r="AT103" s="631"/>
      <x:c r="AU103" s="631"/>
      <x:c r="AV103" s="631"/>
      <x:c r="AW103" s="631"/>
      <x:c r="AX103" s="631"/>
      <x:c r="AY103" s="631"/>
      <x:c r="AZ103" s="631"/>
      <x:c r="BA103" s="631"/>
      <x:c r="BB103" s="631"/>
      <x:c r="BC103" s="631"/>
      <x:c r="BD103" s="631"/>
      <x:c r="BE103" s="631"/>
      <x:c r="BF103" s="631"/>
      <x:c r="BG103" s="631"/>
      <x:c r="BH103" s="631"/>
      <x:c r="BI103" s="631"/>
      <x:c r="BJ103" s="631"/>
      <x:c r="BK103" s="631"/>
      <x:c r="BL103" s="631"/>
      <x:c r="BM103" s="631"/>
      <x:c r="BN103" s="624"/>
    </x:row>
    <x:row r="104" spans="1:66" x14ac:dyDescent="0.2">
      <x:c r="A104" s="635"/>
      <x:c r="B104" s="635"/>
      <x:c r="C104" s="635"/>
      <x:c r="D104" s="635" t="inlineStr">
        <x:is>
          <x:t>E</x:t>
        </x:is>
      </x:c>
      <x:c r="E104" s="636" t="inlineStr">
        <x:is>
          <x:t>Total</x:t>
        </x:is>
      </x:c>
      <x:c r="F104" s="637" t="n">
        <x:v>24836019402.94</x:v>
      </x:c>
      <x:c r="G104" s="637" t="n">
        <x:v>1376485732.45</x:v>
      </x:c>
      <x:c r="H104" s="637" t="n">
        <x:v>767221306.34</x:v>
      </x:c>
      <x:c r="I104" s="637" t="n">
        <x:v>400119443.19</x:v>
      </x:c>
      <x:c r="J104" s="637" t="n">
        <x:v>6454985625.21</x:v>
      </x:c>
      <x:c r="K104" s="637" t="n">
        <x:v>216267969.44</x:v>
      </x:c>
      <x:c r="L104" s="637" t="n">
        <x:v>22433142.95</x:v>
      </x:c>
      <x:c r="M104" s="637" t="n">
        <x:v>1897811809.22</x:v>
      </x:c>
      <x:c r="N104" s="637" t="n">
        <x:v>1865458377.48</x:v>
      </x:c>
      <x:c r="O104" s="637" t="n">
        <x:v>8775724834.47</x:v>
      </x:c>
      <x:c r="P104" s="637" t="n">
        <x:v>2706425066.04</x:v>
      </x:c>
      <x:c r="Q104" s="637" t="n">
        <x:v>353303846.95</x:v>
      </x:c>
      <x:c r="R104" s="637" t="n">
        <x:v>-217778.95</x:v>
      </x:c>
      <x:c r="S104" s="637" t="n">
        <x:v>50.73</x:v>
      </x:c>
      <x:c r="T104" s="637" t="n">
        <x:v>0.9</x:v>
      </x:c>
      <x:c r="U104" s="637">
        <x:v>0</x:v>
      </x:c>
      <x:c r="V104" s="637">
        <x:v>0</x:v>
      </x:c>
      <x:c r="W104" s="637">
        <x:v>0</x:v>
      </x:c>
      <x:c r="X104" s="637">
        <x:v>0</x:v>
      </x:c>
      <x:c r="Y104" s="637">
        <x:v>0</x:v>
      </x:c>
      <x:c r="Z104" s="637" t="n">
        <x:v>-23.48</x:v>
      </x:c>
      <x:c r="AA104" s="635"/>
      <x:c r="AB104" s="635"/>
      <x:c r="AC104" s="635"/>
      <x:c r="AD104" s="635"/>
      <x:c r="AE104" s="635"/>
      <x:c r="AF104" s="635"/>
      <x:c r="AG104" s="635"/>
      <x:c r="AH104" s="635"/>
      <x:c r="AI104" s="635"/>
      <x:c r="AJ104" s="635"/>
      <x:c r="AK104" s="635"/>
      <x:c r="AL104" s="635"/>
      <x:c r="AM104" s="635"/>
      <x:c r="AN104" s="635"/>
      <x:c r="AO104" s="635"/>
      <x:c r="AP104" s="635"/>
      <x:c r="AQ104" s="635"/>
      <x:c r="AR104" s="635"/>
      <x:c r="AS104" s="635"/>
      <x:c r="AT104" s="635"/>
      <x:c r="AU104" s="635"/>
      <x:c r="AV104" s="635"/>
      <x:c r="AW104" s="635"/>
      <x:c r="AX104" s="635"/>
      <x:c r="AY104" s="635"/>
      <x:c r="AZ104" s="635"/>
      <x:c r="BA104" s="635"/>
      <x:c r="BB104" s="635"/>
      <x:c r="BC104" s="635"/>
      <x:c r="BD104" s="635"/>
      <x:c r="BE104" s="635"/>
      <x:c r="BF104" s="635"/>
      <x:c r="BG104" s="635"/>
      <x:c r="BH104" s="635"/>
      <x:c r="BI104" s="635"/>
      <x:c r="BJ104" s="635"/>
      <x:c r="BK104" s="635"/>
      <x:c r="BL104" s="635"/>
      <x:c r="BM104" s="635"/>
      <x:c r="BN104" s="624"/>
    </x:row>
    <x:row r="105" spans="1:66" x14ac:dyDescent="0.2">
      <x:c r="A105"/>
      <x:c r="B105"/>
      <x:c r="C105" t="inlineStr">
        <x:is>
          <x:t>ENEL</x:t>
        </x:is>
      </x:c>
      <x:c r="D105" t="inlineStr">
        <x:is>
          <x:t>Total</x:t>
        </x:is>
      </x:c>
      <x:c r="E105" s="625"/>
      <x:c r="F105" s="627" t="n">
        <x:v>24836019402.94</x:v>
      </x:c>
      <x:c r="G105" s="627" t="n">
        <x:v>1376485732.45</x:v>
      </x:c>
      <x:c r="H105" s="627" t="n">
        <x:v>767221306.34</x:v>
      </x:c>
      <x:c r="I105" s="627" t="n">
        <x:v>400119443.19</x:v>
      </x:c>
      <x:c r="J105" s="627" t="n">
        <x:v>6454985625.21</x:v>
      </x:c>
      <x:c r="K105" s="627" t="n">
        <x:v>216267969.44</x:v>
      </x:c>
      <x:c r="L105" s="627" t="n">
        <x:v>22433142.95</x:v>
      </x:c>
      <x:c r="M105" s="627" t="n">
        <x:v>1897811809.22</x:v>
      </x:c>
      <x:c r="N105" s="627" t="n">
        <x:v>1865458377.48</x:v>
      </x:c>
      <x:c r="O105" s="627" t="n">
        <x:v>8775724834.47</x:v>
      </x:c>
      <x:c r="P105" s="627" t="n">
        <x:v>2706425066.04</x:v>
      </x:c>
      <x:c r="Q105" s="627" t="n">
        <x:v>353303846.95</x:v>
      </x:c>
      <x:c r="R105" s="627" t="n">
        <x:v>-217778.95</x:v>
      </x:c>
      <x:c r="S105" s="627" t="n">
        <x:v>50.73</x:v>
      </x:c>
      <x:c r="T105" s="627" t="n">
        <x:v>0.9</x:v>
      </x:c>
      <x:c r="U105" s="627">
        <x:v>0</x:v>
      </x:c>
      <x:c r="V105" s="627">
        <x:v>0</x:v>
      </x:c>
      <x:c r="W105" s="627">
        <x:v>0</x:v>
      </x:c>
      <x:c r="X105" s="653">
        <x:v>0</x:v>
      </x:c>
      <x:c r="Y105" s="653">
        <x:v>0</x:v>
      </x:c>
      <x:c r="Z105" s="653" t="n">
        <x:v>-23.48</x:v>
      </x:c>
      <x:c r="BN105" s="624"/>
    </x:row>
    <x:row r="106" spans="1:66" x14ac:dyDescent="0.2">
      <x:c r="A106"/>
      <x:c r="B106"/>
      <x:c r="C106"/>
      <x:c r="D106"/>
      <x:c r="E106" s="625" t="inlineStr">
        <x:is>
          <x:t>Vlr Servicio</x:t>
        </x:is>
      </x:c>
      <x:c r="F106" s="627" t="n">
        <x:v>1148755.91</x:v>
      </x:c>
      <x:c r="G106" s="627" t="n">
        <x:v>103833.95</x:v>
      </x:c>
      <x:c r="H106" s="627" t="n">
        <x:v>50131.96</x:v>
      </x:c>
      <x:c r="I106" s="627" t="n">
        <x:v>27876.21</x:v>
      </x:c>
      <x:c r="J106" s="627" t="n">
        <x:v>257690.34</x:v>
      </x:c>
      <x:c r="K106" s="627" t="n">
        <x:v>6913.63</x:v>
      </x:c>
      <x:c r="L106" s="627" t="n">
        <x:v>0</x:v>
      </x:c>
      <x:c r="M106" s="627" t="n">
        <x:v>60980.16</x:v>
      </x:c>
      <x:c r="N106" s="627" t="n">
        <x:v>74702.16</x:v>
      </x:c>
      <x:c r="O106" s="627" t="n">
        <x:v>347093.13</x:v>
      </x:c>
      <x:c r="P106" s="627" t="n">
        <x:v>208245.74</x:v>
      </x:c>
      <x:c r="Q106" s="627" t="n">
        <x:v>11280.3</x:v>
      </x:c>
      <x:c r="R106" s="627" t="n">
        <x:v>8.33</x:v>
      </x:c>
      <x:c r="S106" s="627" t="n">
        <x:v>0</x:v>
      </x:c>
      <x:c r="T106" s="627" t="n">
        <x:v>0</x:v>
      </x:c>
      <x:c r="U106" s="627">
        <x:v>0</x:v>
      </x:c>
      <x:c r="V106" s="627">
        <x:v>0</x:v>
      </x:c>
      <x:c r="W106" s="627">
        <x:v>0</x:v>
      </x:c>
      <x:c r="X106" s="653">
        <x:v>0</x:v>
      </x:c>
      <x:c r="Y106" s="653">
        <x:v>0</x:v>
      </x:c>
      <x:c r="Z106" s="653" t="n">
        <x:v>0</x:v>
      </x:c>
      <x:c r="BN106" s="624"/>
    </x:row>
    <x:row r="107" spans="1:66" x14ac:dyDescent="0.2">
      <x:c r="A107"/>
      <x:c r="B107"/>
      <x:c r="C107"/>
      <x:c r="D107" s="25"/>
      <x:c r="E107" s="625" t="inlineStr">
        <x:is>
          <x:t>Vlr Intereses</x:t>
        </x:is>
      </x:c>
      <x:c r="F107" s="627" t="n">
        <x:v>199642.47</x:v>
      </x:c>
      <x:c r="G107" s="627" t="n">
        <x:v>21039.28</x:v>
      </x:c>
      <x:c r="H107" s="627" t="n">
        <x:v>9401.54</x:v>
      </x:c>
      <x:c r="I107" s="627" t="n">
        <x:v>5415.39</x:v>
      </x:c>
      <x:c r="J107" s="627" t="n">
        <x:v>44862.35</x:v>
      </x:c>
      <x:c r="K107" s="627" t="n">
        <x:v>1038.88</x:v>
      </x:c>
      <x:c r="L107" s="627" t="n">
        <x:v>0</x:v>
      </x:c>
      <x:c r="M107" s="627" t="n">
        <x:v>9113.04</x:v>
      </x:c>
      <x:c r="N107" s="627" t="n">
        <x:v>11405.09</x:v>
      </x:c>
      <x:c r="O107" s="627" t="n">
        <x:v>53456.23</x:v>
      </x:c>
      <x:c r="P107" s="627" t="n">
        <x:v>42215.06</x:v>
      </x:c>
      <x:c r="Q107" s="627" t="n">
        <x:v>1695.12</x:v>
      </x:c>
      <x:c r="R107" s="627" t="n">
        <x:v>0.49</x:v>
      </x:c>
      <x:c r="S107" s="627" t="n">
        <x:v>0</x:v>
      </x:c>
      <x:c r="T107" s="627" t="n">
        <x:v>0</x:v>
      </x:c>
      <x:c r="U107" s="627">
        <x:v>0</x:v>
      </x:c>
      <x:c r="V107" s="627">
        <x:v>0</x:v>
      </x:c>
      <x:c r="W107" s="627">
        <x:v>0</x:v>
      </x:c>
      <x:c r="X107" s="653">
        <x:v>0</x:v>
      </x:c>
      <x:c r="Y107" s="653">
        <x:v>0</x:v>
      </x:c>
      <x:c r="Z107" s="653" t="n">
        <x:v>0</x:v>
      </x:c>
      <x:c r="BN107" s="624"/>
    </x:row>
    <x:row r="108" spans="1:66" x14ac:dyDescent="0.2">
      <x:c r="A108" s="628"/>
      <x:c r="B108" s="628"/>
      <x:c r="C108" s="628"/>
      <x:c r="D108" s="628" t="inlineStr">
        <x:is>
          <x:t>1</x:t>
        </x:is>
      </x:c>
      <x:c r="E108" s="629" t="inlineStr">
        <x:is>
          <x:t>Total</x:t>
        </x:is>
      </x:c>
      <x:c r="F108" s="630" t="n">
        <x:v>1348398.38</x:v>
      </x:c>
      <x:c r="G108" s="630" t="n">
        <x:v>124873.23</x:v>
      </x:c>
      <x:c r="H108" s="630" t="n">
        <x:v>59533.5</x:v>
      </x:c>
      <x:c r="I108" s="630" t="n">
        <x:v>33291.6</x:v>
      </x:c>
      <x:c r="J108" s="630" t="n">
        <x:v>302552.69</x:v>
      </x:c>
      <x:c r="K108" s="630" t="n">
        <x:v>7952.51</x:v>
      </x:c>
      <x:c r="L108" s="630" t="n">
        <x:v>0</x:v>
      </x:c>
      <x:c r="M108" s="630" t="n">
        <x:v>70093.2</x:v>
      </x:c>
      <x:c r="N108" s="630" t="n">
        <x:v>86107.25</x:v>
      </x:c>
      <x:c r="O108" s="630" t="n">
        <x:v>400549.36</x:v>
      </x:c>
      <x:c r="P108" s="630" t="n">
        <x:v>250460.8</x:v>
      </x:c>
      <x:c r="Q108" s="630" t="n">
        <x:v>12975.42</x:v>
      </x:c>
      <x:c r="R108" s="630" t="n">
        <x:v>8.82</x:v>
      </x:c>
      <x:c r="S108" s="630" t="n">
        <x:v>0</x:v>
      </x:c>
      <x:c r="T108" s="630" t="n">
        <x:v>0</x:v>
      </x:c>
      <x:c r="U108" s="630">
        <x:v>0</x:v>
      </x:c>
      <x:c r="V108" s="630">
        <x:v>0</x:v>
      </x:c>
      <x:c r="W108" s="630">
        <x:v>0</x:v>
      </x:c>
      <x:c r="X108" s="630">
        <x:v>0</x:v>
      </x:c>
      <x:c r="Y108" s="630">
        <x:v>0</x:v>
      </x:c>
      <x:c r="Z108" s="630" t="n">
        <x:v>0</x:v>
      </x:c>
      <x:c r="AA108" s="628"/>
      <x:c r="AB108" s="628"/>
      <x:c r="AC108" s="628"/>
      <x:c r="AD108" s="628"/>
      <x:c r="AE108" s="628"/>
      <x:c r="AF108" s="628"/>
      <x:c r="AG108" s="628"/>
      <x:c r="AH108" s="628"/>
      <x:c r="AI108" s="628"/>
      <x:c r="AJ108" s="628"/>
      <x:c r="AK108" s="628"/>
      <x:c r="AL108" s="628"/>
      <x:c r="AM108" s="628"/>
      <x:c r="AN108" s="628"/>
      <x:c r="AO108" s="628"/>
      <x:c r="AP108" s="628"/>
      <x:c r="AQ108" s="628"/>
      <x:c r="AR108" s="628"/>
      <x:c r="AS108" s="628"/>
      <x:c r="AT108" s="628"/>
      <x:c r="AU108" s="628"/>
      <x:c r="AV108" s="628"/>
      <x:c r="AW108" s="628"/>
      <x:c r="AX108" s="628"/>
      <x:c r="AY108" s="628"/>
      <x:c r="AZ108" s="628"/>
      <x:c r="BA108" s="628"/>
      <x:c r="BB108" s="628"/>
      <x:c r="BC108" s="628"/>
      <x:c r="BD108" s="628"/>
      <x:c r="BE108" s="628"/>
      <x:c r="BF108" s="628"/>
      <x:c r="BG108" s="628"/>
      <x:c r="BH108" s="628"/>
      <x:c r="BI108" s="628"/>
      <x:c r="BJ108" s="628"/>
      <x:c r="BK108" s="628"/>
      <x:c r="BL108" s="628"/>
      <x:c r="BM108" s="628"/>
      <x:c r="BN108" s="624"/>
    </x:row>
    <x:row r="109" spans="1:66" x14ac:dyDescent="0.2">
      <x:c r="A109"/>
      <x:c r="B109"/>
      <x:c r="C109"/>
      <x:c r="D109" s="625"/>
      <x:c r="E109" s="625" t="inlineStr">
        <x:is>
          <x:t>Vlr Servicio</x:t>
        </x:is>
      </x:c>
      <x:c r="F109" s="627" t="n">
        <x:v>230376.22</x:v>
      </x:c>
      <x:c r="G109" s="627" t="n">
        <x:v>18333.27</x:v>
      </x:c>
      <x:c r="H109" s="627" t="n">
        <x:v>9782.29</x:v>
      </x:c>
      <x:c r="I109" s="627" t="n">
        <x:v>5319.95</x:v>
      </x:c>
      <x:c r="J109" s="627" t="n">
        <x:v>54717.31</x:v>
      </x:c>
      <x:c r="K109" s="627" t="n">
        <x:v>1624.1</x:v>
      </x:c>
      <x:c r="L109" s="627" t="n">
        <x:v>0</x:v>
      </x:c>
      <x:c r="M109" s="627" t="n">
        <x:v>14246.4</x:v>
      </x:c>
      <x:c r="N109" s="627" t="n">
        <x:v>15524.85</x:v>
      </x:c>
      <x:c r="O109" s="627" t="n">
        <x:v>70821.65</x:v>
      </x:c>
      <x:c r="P109" s="627" t="n">
        <x:v>37360.92</x:v>
      </x:c>
      <x:c r="Q109" s="627" t="n">
        <x:v>2649.83</x:v>
      </x:c>
      <x:c r="R109" s="627" t="n">
        <x:v>-4.35</x:v>
      </x:c>
      <x:c r="S109" s="627" t="n">
        <x:v>0</x:v>
      </x:c>
      <x:c r="T109" s="627" t="n">
        <x:v>0</x:v>
      </x:c>
      <x:c r="U109" s="627">
        <x:v>0</x:v>
      </x:c>
      <x:c r="V109" s="627">
        <x:v>0</x:v>
      </x:c>
      <x:c r="W109" s="627">
        <x:v>0</x:v>
      </x:c>
      <x:c r="X109" s="653">
        <x:v>0</x:v>
      </x:c>
      <x:c r="Y109" s="653">
        <x:v>0</x:v>
      </x:c>
      <x:c r="Z109" s="653" t="n">
        <x:v>0</x:v>
      </x:c>
      <x:c r="BN109" s="624"/>
    </x:row>
    <x:row r="110" spans="1:66" x14ac:dyDescent="0.2">
      <x:c r="A110"/>
      <x:c r="B110"/>
      <x:c r="C110"/>
      <x:c r="D110" s="625" t="inlineStr">
        <x:is>
          <x:t>2</x:t>
        </x:is>
      </x:c>
      <x:c r="E110" s="625" t="inlineStr">
        <x:is>
          <x:t>Total</x:t>
        </x:is>
      </x:c>
      <x:c r="F110" s="627" t="n">
        <x:v>230376.22</x:v>
      </x:c>
      <x:c r="G110" s="627" t="n">
        <x:v>18333.27</x:v>
      </x:c>
      <x:c r="H110" s="627" t="n">
        <x:v>9782.29</x:v>
      </x:c>
      <x:c r="I110" s="627" t="n">
        <x:v>5319.95</x:v>
      </x:c>
      <x:c r="J110" s="627" t="n">
        <x:v>54717.31</x:v>
      </x:c>
      <x:c r="K110" s="627" t="n">
        <x:v>1624.1</x:v>
      </x:c>
      <x:c r="L110" s="627" t="n">
        <x:v>0</x:v>
      </x:c>
      <x:c r="M110" s="627" t="n">
        <x:v>14246.4</x:v>
      </x:c>
      <x:c r="N110" s="627" t="n">
        <x:v>15524.85</x:v>
      </x:c>
      <x:c r="O110" s="627" t="n">
        <x:v>70821.65</x:v>
      </x:c>
      <x:c r="P110" s="627" t="n">
        <x:v>37360.92</x:v>
      </x:c>
      <x:c r="Q110" s="627" t="n">
        <x:v>2649.83</x:v>
      </x:c>
      <x:c r="R110" s="627" t="n">
        <x:v>-4.35</x:v>
      </x:c>
      <x:c r="S110" s="627" t="n">
        <x:v>0</x:v>
      </x:c>
      <x:c r="T110" s="627" t="n">
        <x:v>0</x:v>
      </x:c>
      <x:c r="U110" s="627">
        <x:v>0</x:v>
      </x:c>
      <x:c r="V110" s="627">
        <x:v>0</x:v>
      </x:c>
      <x:c r="W110" s="627">
        <x:v>0</x:v>
      </x:c>
      <x:c r="X110" s="653">
        <x:v>0</x:v>
      </x:c>
      <x:c r="Y110" s="653">
        <x:v>0</x:v>
      </x:c>
      <x:c r="Z110" s="653" t="n">
        <x:v>0</x:v>
      </x:c>
      <x:c r="BN110" s="624"/>
    </x:row>
    <x:row r="111" spans="1:66" x14ac:dyDescent="0.2">
      <x:c r="A111"/>
      <x:c r="B111"/>
      <x:c r="C111"/>
      <x:c r="D111" s="625"/>
      <x:c r="E111" s="625" t="inlineStr">
        <x:is>
          <x:t>Vlr Servicio</x:t>
        </x:is>
      </x:c>
      <x:c r="F111" s="627" t="n">
        <x:v>9689217.18</x:v>
      </x:c>
      <x:c r="G111" s="627" t="n">
        <x:v>518533.02</x:v>
      </x:c>
      <x:c r="H111" s="627" t="n">
        <x:v>287577.53</x:v>
      </x:c>
      <x:c r="I111" s="627" t="n">
        <x:v>156432.14</x:v>
      </x:c>
      <x:c r="J111" s="627" t="n">
        <x:v>2441050.67</x:v>
      </x:c>
      <x:c r="K111" s="627" t="n">
        <x:v>82298.98</x:v>
      </x:c>
      <x:c r="L111" s="627" t="n">
        <x:v>0</x:v>
      </x:c>
      <x:c r="M111" s="627" t="n">
        <x:v>728609.23</x:v>
      </x:c>
      <x:c r="N111" s="627" t="n">
        <x:v>748449.81</x:v>
      </x:c>
      <x:c r="O111" s="627" t="n">
        <x:v>3562346.91</x:v>
      </x:c>
      <x:c r="P111" s="627" t="n">
        <x:v>1027130.59</x:v>
      </x:c>
      <x:c r="Q111" s="627" t="n">
        <x:v>136840.93</x:v>
      </x:c>
      <x:c r="R111" s="627" t="n">
        <x:v>-52.63</x:v>
      </x:c>
      <x:c r="S111" s="627" t="n">
        <x:v>0</x:v>
      </x:c>
      <x:c r="T111" s="627" t="n">
        <x:v>0</x:v>
      </x:c>
      <x:c r="U111" s="627">
        <x:v>0</x:v>
      </x:c>
      <x:c r="V111" s="627">
        <x:v>0</x:v>
      </x:c>
      <x:c r="W111" s="627">
        <x:v>0</x:v>
      </x:c>
      <x:c r="X111" s="653">
        <x:v>0</x:v>
      </x:c>
      <x:c r="Y111" s="653">
        <x:v>0</x:v>
      </x:c>
      <x:c r="Z111" s="653" t="n">
        <x:v>0</x:v>
      </x:c>
      <x:c r="BN111" s="624"/>
    </x:row>
    <x:row r="112" spans="1:66" x14ac:dyDescent="0.2">
      <x:c r="A112"/>
      <x:c r="B112"/>
      <x:c r="C112"/>
      <x:c r="D112" s="625"/>
      <x:c r="E112" s="625" t="inlineStr">
        <x:is>
          <x:t>Vlr Intereses</x:t>
        </x:is>
      </x:c>
      <x:c r="F112" s="627" t="n">
        <x:v>217045.55</x:v>
      </x:c>
      <x:c r="G112" s="627" t="n">
        <x:v>12559.35</x:v>
      </x:c>
      <x:c r="H112" s="627" t="n">
        <x:v>6390.48</x:v>
      </x:c>
      <x:c r="I112" s="627" t="n">
        <x:v>3379.76</x:v>
      </x:c>
      <x:c r="J112" s="627" t="n">
        <x:v>55867.7</x:v>
      </x:c>
      <x:c r="K112" s="627" t="n">
        <x:v>1678.84</x:v>
      </x:c>
      <x:c r="L112" s="627" t="n">
        <x:v>0</x:v>
      </x:c>
      <x:c r="M112" s="627" t="n">
        <x:v>14715.14</x:v>
      </x:c>
      <x:c r="N112" s="627" t="n">
        <x:v>18428.22</x:v>
      </x:c>
      <x:c r="O112" s="627" t="n">
        <x:v>76574.75</x:v>
      </x:c>
      <x:c r="P112" s="627" t="n">
        <x:v>24706.8</x:v>
      </x:c>
      <x:c r="Q112" s="627" t="n">
        <x:v>2744.21</x:v>
      </x:c>
      <x:c r="R112" s="627" t="n">
        <x:v>0.42</x:v>
      </x:c>
      <x:c r="S112" s="627" t="n">
        <x:v>0</x:v>
      </x:c>
      <x:c r="T112" s="627" t="n">
        <x:v>0</x:v>
      </x:c>
      <x:c r="U112" s="627">
        <x:v>0</x:v>
      </x:c>
      <x:c r="V112" s="627">
        <x:v>0</x:v>
      </x:c>
      <x:c r="W112" s="627">
        <x:v>0</x:v>
      </x:c>
      <x:c r="X112" s="653">
        <x:v>0</x:v>
      </x:c>
      <x:c r="Y112" s="653">
        <x:v>0</x:v>
      </x:c>
      <x:c r="Z112" s="653" t="n">
        <x:v>-0.12</x:v>
      </x:c>
      <x:c r="BN112" s="624"/>
    </x:row>
    <x:row r="113" spans="1:66" x14ac:dyDescent="0.2">
      <x:c r="A113"/>
      <x:c r="B113"/>
      <x:c r="C113"/>
      <x:c r="D113" s="625" t="inlineStr">
        <x:is>
          <x:t>5</x:t>
        </x:is>
      </x:c>
      <x:c r="E113" s="625" t="inlineStr">
        <x:is>
          <x:t>Total</x:t>
        </x:is>
      </x:c>
      <x:c r="F113" s="627" t="n">
        <x:v>9906262.73</x:v>
      </x:c>
      <x:c r="G113" s="627" t="n">
        <x:v>531092.37</x:v>
      </x:c>
      <x:c r="H113" s="627" t="n">
        <x:v>293968.01</x:v>
      </x:c>
      <x:c r="I113" s="627" t="n">
        <x:v>159811.9</x:v>
      </x:c>
      <x:c r="J113" s="627" t="n">
        <x:v>2496918.37</x:v>
      </x:c>
      <x:c r="K113" s="627" t="n">
        <x:v>83977.82</x:v>
      </x:c>
      <x:c r="L113" s="627" t="n">
        <x:v>0</x:v>
      </x:c>
      <x:c r="M113" s="627" t="n">
        <x:v>743324.37</x:v>
      </x:c>
      <x:c r="N113" s="627" t="n">
        <x:v>766878.03</x:v>
      </x:c>
      <x:c r="O113" s="627" t="n">
        <x:v>3638921.66</x:v>
      </x:c>
      <x:c r="P113" s="627" t="n">
        <x:v>1051837.39</x:v>
      </x:c>
      <x:c r="Q113" s="627" t="n">
        <x:v>139585.14</x:v>
      </x:c>
      <x:c r="R113" s="627" t="n">
        <x:v>-52.21</x:v>
      </x:c>
      <x:c r="S113" s="627" t="n">
        <x:v>0</x:v>
      </x:c>
      <x:c r="T113" s="627" t="n">
        <x:v>0</x:v>
      </x:c>
      <x:c r="U113" s="627">
        <x:v>0</x:v>
      </x:c>
      <x:c r="V113" s="627">
        <x:v>0</x:v>
      </x:c>
      <x:c r="W113" s="627">
        <x:v>0</x:v>
      </x:c>
      <x:c r="X113" s="653">
        <x:v>0</x:v>
      </x:c>
      <x:c r="Y113" s="653">
        <x:v>0</x:v>
      </x:c>
      <x:c r="Z113" s="653" t="n">
        <x:v>-0.12</x:v>
      </x:c>
      <x:c r="BN113" s="624"/>
    </x:row>
    <x:row r="114" spans="1:66" x14ac:dyDescent="0.2">
      <x:c r="A114"/>
      <x:c r="B114"/>
      <x:c r="C114" t="inlineStr">
        <x:is>
          <x:t>NUEVO ESQUEMA</x:t>
        </x:is>
      </x:c>
      <x:c r="D114" s="25" t="inlineStr">
        <x:is>
          <x:t>Total</x:t>
        </x:is>
      </x:c>
      <x:c r="E114" s="625"/>
      <x:c r="F114" s="627" t="n">
        <x:v>11485037.33</x:v>
      </x:c>
      <x:c r="G114" s="627" t="n">
        <x:v>674298.87</x:v>
      </x:c>
      <x:c r="H114" s="627" t="n">
        <x:v>363283.8</x:v>
      </x:c>
      <x:c r="I114" s="627" t="n">
        <x:v>198423.45</x:v>
      </x:c>
      <x:c r="J114" s="627" t="n">
        <x:v>2854188.37</x:v>
      </x:c>
      <x:c r="K114" s="627" t="n">
        <x:v>93554.43</x:v>
      </x:c>
      <x:c r="L114" s="627" t="n">
        <x:v>0</x:v>
      </x:c>
      <x:c r="M114" s="627" t="n">
        <x:v>827663.97</x:v>
      </x:c>
      <x:c r="N114" s="627" t="n">
        <x:v>868510.13</x:v>
      </x:c>
      <x:c r="O114" s="627" t="n">
        <x:v>4110292.67</x:v>
      </x:c>
      <x:c r="P114" s="627" t="n">
        <x:v>1339659.11</x:v>
      </x:c>
      <x:c r="Q114" s="627" t="n">
        <x:v>155210.39</x:v>
      </x:c>
      <x:c r="R114" s="627" t="n">
        <x:v>-47.74</x:v>
      </x:c>
      <x:c r="S114" s="627" t="n">
        <x:v>0</x:v>
      </x:c>
      <x:c r="T114" s="627" t="n">
        <x:v>0</x:v>
      </x:c>
      <x:c r="U114" s="627">
        <x:v>0</x:v>
      </x:c>
      <x:c r="V114" s="627">
        <x:v>0</x:v>
      </x:c>
      <x:c r="W114" s="627">
        <x:v>0</x:v>
      </x:c>
      <x:c r="X114" s="653">
        <x:v>0</x:v>
      </x:c>
      <x:c r="Y114" s="653">
        <x:v>0</x:v>
      </x:c>
      <x:c r="Z114" s="653" t="n">
        <x:v>-0.12</x:v>
      </x:c>
      <x:c r="BN114" s="624"/>
    </x:row>
    <x:row r="115" spans="1:66" x14ac:dyDescent="0.2">
      <x:c r="A115"/>
      <x:c r="B115"/>
      <x:c r="C115"/>
      <x:c r="D115" s="625"/>
      <x:c r="E115" s="625" t="inlineStr">
        <x:is>
          <x:t>Vlr Servicio</x:t>
        </x:is>
      </x:c>
      <x:c r="F115" s="627" t="n">
        <x:v>849867693.02</x:v>
      </x:c>
      <x:c r="G115" s="627" t="n">
        <x:v>54948681.76</x:v>
      </x:c>
      <x:c r="H115" s="627" t="n">
        <x:v>30927411.8</x:v>
      </x:c>
      <x:c r="I115" s="627" t="n">
        <x:v>16373301.78</x:v>
      </x:c>
      <x:c r="J115" s="627" t="n">
        <x:v>204630030.11</x:v>
      </x:c>
      <x:c r="K115" s="627" t="n">
        <x:v>5205045.6</x:v>
      </x:c>
      <x:c r="L115" s="627" t="n">
        <x:v>673000</x:v>
      </x:c>
      <x:c r="M115" s="627" t="n">
        <x:v>45746296.7</x:v>
      </x:c>
      <x:c r="N115" s="627" t="n">
        <x:v>64731342.15</x:v>
      </x:c>
      <x:c r="O115" s="627" t="n">
        <x:v>309036244.22</x:v>
      </x:c>
      <x:c r="P115" s="627" t="n">
        <x:v>109057152.4</x:v>
      </x:c>
      <x:c r="Q115" s="627" t="n">
        <x:v>8539363</x:v>
      </x:c>
      <x:c r="R115" s="627" t="n">
        <x:v>-176.5</x:v>
      </x:c>
      <x:c r="S115" s="627" t="n">
        <x:v>0</x:v>
      </x:c>
      <x:c r="T115" s="627" t="n">
        <x:v>0</x:v>
      </x:c>
      <x:c r="U115" s="627">
        <x:v>0</x:v>
      </x:c>
      <x:c r="V115" s="627">
        <x:v>0</x:v>
      </x:c>
      <x:c r="W115" s="627">
        <x:v>0</x:v>
      </x:c>
      <x:c r="X115" s="653">
        <x:v>0</x:v>
      </x:c>
      <x:c r="Y115" s="653">
        <x:v>0</x:v>
      </x:c>
      <x:c r="Z115" s="653" t="n">
        <x:v>0</x:v>
      </x:c>
      <x:c r="BN115" s="624"/>
    </x:row>
    <x:row r="116" spans="1:66" x14ac:dyDescent="0.2">
      <x:c r="A116"/>
      <x:c r="B116"/>
      <x:c r="C116"/>
      <x:c r="D116"/>
      <x:c r="E116" s="625" t="inlineStr">
        <x:is>
          <x:t>Vlr Intereses</x:t>
        </x:is>
      </x:c>
      <x:c r="F116" s="627" t="n">
        <x:v>8247331.17</x:v>
      </x:c>
      <x:c r="G116" s="627" t="n">
        <x:v>759088.58</x:v>
      </x:c>
      <x:c r="H116" s="627" t="n">
        <x:v>410996.96</x:v>
      </x:c>
      <x:c r="I116" s="627" t="n">
        <x:v>215618.58</x:v>
      </x:c>
      <x:c r="J116" s="627" t="n">
        <x:v>1740497.9</x:v>
      </x:c>
      <x:c r="K116" s="627" t="n">
        <x:v>46283.83</x:v>
      </x:c>
      <x:c r="L116" s="627" t="n">
        <x:v>1155.91</x:v>
      </x:c>
      <x:c r="M116" s="627" t="n">
        <x:v>406506.42</x:v>
      </x:c>
      <x:c r="N116" s="627" t="n">
        <x:v>562874.1</x:v>
      </x:c>
      <x:c r="O116" s="627" t="n">
        <x:v>2504417.54</x:v>
      </x:c>
      <x:c r="P116" s="627" t="n">
        <x:v>1524265.47</x:v>
      </x:c>
      <x:c r="Q116" s="627" t="n">
        <x:v>75637.47</x:v>
      </x:c>
      <x:c r="R116" s="627" t="n">
        <x:v>-19.6</x:v>
      </x:c>
      <x:c r="S116" s="627" t="n">
        <x:v>8.07</x:v>
      </x:c>
      <x:c r="T116" s="627" t="n">
        <x:v>0</x:v>
      </x:c>
      <x:c r="U116" s="627">
        <x:v>0</x:v>
      </x:c>
      <x:c r="V116" s="627">
        <x:v>0</x:v>
      </x:c>
      <x:c r="W116" s="627">
        <x:v>0</x:v>
      </x:c>
      <x:c r="X116" s="653">
        <x:v>0</x:v>
      </x:c>
      <x:c r="Y116" s="653">
        <x:v>0</x:v>
      </x:c>
      <x:c r="Z116" s="653" t="n">
        <x:v>-0.06</x:v>
      </x:c>
      <x:c r="BN116" s="624"/>
    </x:row>
    <x:row r="117" spans="1:66" x14ac:dyDescent="0.2">
      <x:c r="A117"/>
      <x:c r="B117"/>
      <x:c r="C117"/>
      <x:c r="D117" s="25" t="inlineStr">
        <x:is>
          <x:t>H</x:t>
        </x:is>
      </x:c>
      <x:c r="E117" s="625" t="inlineStr">
        <x:is>
          <x:t>Total</x:t>
        </x:is>
      </x:c>
      <x:c r="F117" s="627" t="n">
        <x:v>858115024.19</x:v>
      </x:c>
      <x:c r="G117" s="627" t="n">
        <x:v>55707770.34</x:v>
      </x:c>
      <x:c r="H117" s="627" t="n">
        <x:v>31338408.76</x:v>
      </x:c>
      <x:c r="I117" s="627" t="n">
        <x:v>16588920.36</x:v>
      </x:c>
      <x:c r="J117" s="627" t="n">
        <x:v>206370528.01</x:v>
      </x:c>
      <x:c r="K117" s="627" t="n">
        <x:v>5251329.43</x:v>
      </x:c>
      <x:c r="L117" s="627" t="n">
        <x:v>674155.91</x:v>
      </x:c>
      <x:c r="M117" s="627" t="n">
        <x:v>46152803.12</x:v>
      </x:c>
      <x:c r="N117" s="627" t="n">
        <x:v>65294216.25</x:v>
      </x:c>
      <x:c r="O117" s="627" t="n">
        <x:v>311540661.76</x:v>
      </x:c>
      <x:c r="P117" s="627" t="n">
        <x:v>110581417.87</x:v>
      </x:c>
      <x:c r="Q117" s="627" t="n">
        <x:v>8615000.47</x:v>
      </x:c>
      <x:c r="R117" s="627" t="n">
        <x:v>-196.1</x:v>
      </x:c>
      <x:c r="S117" s="627" t="n">
        <x:v>8.07</x:v>
      </x:c>
      <x:c r="T117" s="627" t="n">
        <x:v>0</x:v>
      </x:c>
      <x:c r="U117" s="627">
        <x:v>0</x:v>
      </x:c>
      <x:c r="V117" s="627">
        <x:v>0</x:v>
      </x:c>
      <x:c r="W117" s="627">
        <x:v>0</x:v>
      </x:c>
      <x:c r="X117" s="653">
        <x:v>0</x:v>
      </x:c>
      <x:c r="Y117" s="653">
        <x:v>0</x:v>
      </x:c>
      <x:c r="Z117" s="653" t="n">
        <x:v>-0.06</x:v>
      </x:c>
      <x:c r="BN117" s="624"/>
    </x:row>
    <x:row r="118" spans="1:66" x14ac:dyDescent="0.2">
      <x:c r="A118" s="667"/>
      <x:c r="B118" s="667"/>
      <x:c r="C118" s="647"/>
      <x:c r="D118" s="647"/>
      <x:c r="E118" s="667" t="inlineStr">
        <x:is>
          <x:t>Vlr Servicio</x:t>
        </x:is>
      </x:c>
      <x:c r="F118" s="648" t="n">
        <x:v>295886562.18</x:v>
      </x:c>
      <x:c r="G118" s="648" t="n">
        <x:v>29517675.83</x:v>
      </x:c>
      <x:c r="H118" s="648" t="n">
        <x:v>16386777.96</x:v>
      </x:c>
      <x:c r="I118" s="648" t="n">
        <x:v>8578454.35</x:v>
      </x:c>
      <x:c r="J118" s="648" t="n">
        <x:v>51586339.86</x:v>
      </x:c>
      <x:c r="K118" s="648" t="n">
        <x:v>1513601.47</x:v>
      </x:c>
      <x:c r="L118" s="648" t="n">
        <x:v>19313383.56</x:v>
      </x:c>
      <x:c r="M118" s="648" t="n">
        <x:v>13264846.22</x:v>
      </x:c>
      <x:c r="N118" s="648" t="n">
        <x:v>16618333.75</x:v>
      </x:c>
      <x:c r="O118" s="648" t="n">
        <x:v>77934436.87</x:v>
      </x:c>
      <x:c r="P118" s="648" t="n">
        <x:v>58698285.34</x:v>
      </x:c>
      <x:c r="Q118" s="648" t="n">
        <x:v>2474833.44</x:v>
      </x:c>
      <x:c r="R118" s="648" t="n">
        <x:v>-406.47</x:v>
      </x:c>
      <x:c r="S118" s="648" t="n">
        <x:v>0</x:v>
      </x:c>
      <x:c r="T118" s="648" t="n">
        <x:v>0</x:v>
      </x:c>
      <x:c r="U118" s="648">
        <x:v>0</x:v>
      </x:c>
      <x:c r="V118" s="648">
        <x:v>0</x:v>
      </x:c>
      <x:c r="W118" s="648">
        <x:v>0</x:v>
      </x:c>
      <x:c r="X118" s="672">
        <x:v>0</x:v>
      </x:c>
      <x:c r="Y118" s="672">
        <x:v>0</x:v>
      </x:c>
      <x:c r="Z118" s="672" t="n">
        <x:v>0</x:v>
      </x:c>
      <x:c r="AA118" s="667"/>
      <x:c r="AB118" s="667"/>
      <x:c r="AC118" s="667"/>
      <x:c r="AD118" s="667"/>
      <x:c r="AE118" s="667"/>
      <x:c r="AF118" s="667"/>
      <x:c r="AG118" s="667"/>
      <x:c r="AH118" s="667"/>
      <x:c r="AI118" s="667"/>
      <x:c r="AJ118" s="667"/>
      <x:c r="AK118" s="667"/>
      <x:c r="AL118" s="667"/>
      <x:c r="AM118" s="667"/>
      <x:c r="AN118" s="667"/>
      <x:c r="AO118" s="667"/>
      <x:c r="AP118" s="667"/>
      <x:c r="AQ118" s="667"/>
      <x:c r="AR118" s="667"/>
      <x:c r="AS118" s="667"/>
      <x:c r="AT118" s="667"/>
      <x:c r="AU118" s="667"/>
      <x:c r="AV118" s="667"/>
      <x:c r="AW118" s="667"/>
      <x:c r="AX118" s="667"/>
      <x:c r="AY118" s="667"/>
      <x:c r="AZ118" s="667"/>
      <x:c r="BA118" s="667"/>
      <x:c r="BB118" s="667"/>
      <x:c r="BC118" s="667"/>
      <x:c r="BD118" s="667"/>
      <x:c r="BE118" s="667"/>
      <x:c r="BF118" s="667"/>
      <x:c r="BG118" s="667"/>
      <x:c r="BH118" s="667"/>
      <x:c r="BI118" s="667"/>
      <x:c r="BJ118" s="667"/>
      <x:c r="BK118" s="667"/>
      <x:c r="BL118" s="667"/>
      <x:c r="BM118" s="667"/>
      <x:c r="BN118" s="624"/>
    </x:row>
    <x:row r="119" spans="1:66" x14ac:dyDescent="0.2">
      <x:c r="A119"/>
      <x:c r="B119"/>
      <x:c r="C119" s="625"/>
      <x:c r="D119" s="625"/>
      <x:c r="E119" s="25" t="inlineStr">
        <x:is>
          <x:t>Vlr Intereses</x:t>
        </x:is>
      </x:c>
      <x:c r="F119" s="627" t="n">
        <x:v>11325633.79</x:v>
      </x:c>
      <x:c r="G119" s="627" t="n">
        <x:v>1576014.18</x:v>
      </x:c>
      <x:c r="H119" s="627" t="n">
        <x:v>801745.8</x:v>
      </x:c>
      <x:c r="I119" s="627" t="n">
        <x:v>381190.53</x:v>
      </x:c>
      <x:c r="J119" s="627" t="n">
        <x:v>1442587.85</x:v>
      </x:c>
      <x:c r="K119" s="627" t="n">
        <x:v>48878.89</x:v>
      </x:c>
      <x:c r="L119" s="627" t="n">
        <x:v>910795.42</x:v>
      </x:c>
      <x:c r="M119" s="627" t="n">
        <x:v>429267.26</x:v>
      </x:c>
      <x:c r="N119" s="627" t="n">
        <x:v>538325.67</x:v>
      </x:c>
      <x:c r="O119" s="627" t="n">
        <x:v>2011275.27</x:v>
      </x:c>
      <x:c r="P119" s="627" t="n">
        <x:v>3105732.13</x:v>
      </x:c>
      <x:c r="Q119" s="627" t="n">
        <x:v>79805.54</x:v>
      </x:c>
      <x:c r="R119" s="627" t="n">
        <x:v>11.95</x:v>
      </x:c>
      <x:c r="S119" s="627" t="n">
        <x:v>3.62</x:v>
      </x:c>
      <x:c r="T119" s="627" t="n">
        <x:v>0.11</x:v>
      </x:c>
      <x:c r="U119" s="627">
        <x:v>0</x:v>
      </x:c>
      <x:c r="V119" s="627">
        <x:v>0</x:v>
      </x:c>
      <x:c r="W119" s="627">
        <x:v>0</x:v>
      </x:c>
      <x:c r="X119" s="653">
        <x:v>0</x:v>
      </x:c>
      <x:c r="Y119" s="653">
        <x:v>0</x:v>
      </x:c>
      <x:c r="Z119" s="653" t="n">
        <x:v>-0.43</x:v>
      </x:c>
      <x:c r="BN119" s="624"/>
    </x:row>
    <x:row r="120" spans="1:66" x14ac:dyDescent="0.2">
      <x:c r="A120"/>
      <x:c r="B120"/>
      <x:c r="C120" s="625"/>
      <x:c r="D120" s="625" t="inlineStr">
        <x:is>
          <x:t>O</x:t>
        </x:is>
      </x:c>
      <x:c r="E120" s="25" t="inlineStr">
        <x:is>
          <x:t>Total</x:t>
        </x:is>
      </x:c>
      <x:c r="F120" s="627" t="n">
        <x:v>307212195.97</x:v>
      </x:c>
      <x:c r="G120" s="627" t="n">
        <x:v>31093690.01</x:v>
      </x:c>
      <x:c r="H120" s="627" t="n">
        <x:v>17188523.76</x:v>
      </x:c>
      <x:c r="I120" s="627" t="n">
        <x:v>8959644.88</x:v>
      </x:c>
      <x:c r="J120" s="627" t="n">
        <x:v>53028927.71</x:v>
      </x:c>
      <x:c r="K120" s="627" t="n">
        <x:v>1562480.36</x:v>
      </x:c>
      <x:c r="L120" s="627" t="n">
        <x:v>20224178.98</x:v>
      </x:c>
      <x:c r="M120" s="627" t="n">
        <x:v>13694113.48</x:v>
      </x:c>
      <x:c r="N120" s="627" t="n">
        <x:v>17156659.42</x:v>
      </x:c>
      <x:c r="O120" s="627" t="n">
        <x:v>79945712.14</x:v>
      </x:c>
      <x:c r="P120" s="627" t="n">
        <x:v>61804017.47</x:v>
      </x:c>
      <x:c r="Q120" s="627" t="n">
        <x:v>2554638.98</x:v>
      </x:c>
      <x:c r="R120" s="627" t="n">
        <x:v>-394.52</x:v>
      </x:c>
      <x:c r="S120" s="627" t="n">
        <x:v>3.62</x:v>
      </x:c>
      <x:c r="T120" s="627" t="n">
        <x:v>0.11</x:v>
      </x:c>
      <x:c r="U120" s="627">
        <x:v>0</x:v>
      </x:c>
      <x:c r="V120" s="627">
        <x:v>0</x:v>
      </x:c>
      <x:c r="W120" s="627">
        <x:v>0</x:v>
      </x:c>
      <x:c r="X120" s="653">
        <x:v>0</x:v>
      </x:c>
      <x:c r="Y120" s="653">
        <x:v>0</x:v>
      </x:c>
      <x:c r="Z120" s="653" t="n">
        <x:v>-0.43</x:v>
      </x:c>
      <x:c r="BN120" s="624"/>
    </x:row>
    <x:row r="121" spans="1:66" x14ac:dyDescent="0.2">
      <x:c r="A121"/>
      <x:c r="B121"/>
      <x:c r="C121"/>
      <x:c r="D121" s="25"/>
      <x:c r="E121" s="625" t="inlineStr">
        <x:is>
          <x:t>Vlr Servicio</x:t>
        </x:is>
      </x:c>
      <x:c r="F121" s="627" t="n">
        <x:v>956486354.97</x:v>
      </x:c>
      <x:c r="G121" s="627" t="n">
        <x:v>178908073.68</x:v>
      </x:c>
      <x:c r="H121" s="627" t="n">
        <x:v>100746040.57</x:v>
      </x:c>
      <x:c r="I121" s="627" t="n">
        <x:v>53063769.32</x:v>
      </x:c>
      <x:c r="J121" s="627" t="n">
        <x:v>83199922.83</x:v>
      </x:c>
      <x:c r="K121" s="627" t="n">
        <x:v>2112137.6</x:v>
      </x:c>
      <x:c r="L121" s="627" t="n">
        <x:v>22121500</x:v>
      </x:c>
      <x:c r="M121" s="627" t="n">
        <x:v>18518451.05</x:v>
      </x:c>
      <x:c r="N121" s="627" t="n">
        <x:v>26067922.52</x:v>
      </x:c>
      <x:c r="O121" s="627" t="n">
        <x:v>126629527.24</x:v>
      </x:c>
      <x:c r="P121" s="627" t="n">
        <x:v>341652099.43</x:v>
      </x:c>
      <x:c r="Q121" s="627" t="n">
        <x:v>3468045</x:v>
      </x:c>
      <x:c r="R121" s="627" t="n">
        <x:v>-1134.27</x:v>
      </x:c>
      <x:c r="S121" s="627" t="n">
        <x:v>0</x:v>
      </x:c>
      <x:c r="T121" s="627" t="n">
        <x:v>0</x:v>
      </x:c>
      <x:c r="U121" s="627">
        <x:v>0</x:v>
      </x:c>
      <x:c r="V121" s="627">
        <x:v>0</x:v>
      </x:c>
      <x:c r="W121" s="627">
        <x:v>0</x:v>
      </x:c>
      <x:c r="X121" s="653">
        <x:v>0</x:v>
      </x:c>
      <x:c r="Y121" s="653">
        <x:v>0</x:v>
      </x:c>
      <x:c r="Z121" s="653" t="n">
        <x:v>0</x:v>
      </x:c>
      <x:c r="BN121" s="624"/>
    </x:row>
    <x:row r="122" spans="1:66" x14ac:dyDescent="0.2">
      <x:c r="A122"/>
      <x:c r="B122"/>
      <x:c r="C122"/>
      <x:c r="D122"/>
      <x:c r="E122" s="625" t="inlineStr">
        <x:is>
          <x:t>Vlr Intereses</x:t>
        </x:is>
      </x:c>
      <x:c r="F122" s="627" t="n">
        <x:v>22524838.24</x:v>
      </x:c>
      <x:c r="G122" s="627" t="n">
        <x:v>4952770.15</x:v>
      </x:c>
      <x:c r="H122" s="627" t="n">
        <x:v>2755528.01</x:v>
      </x:c>
      <x:c r="I122" s="627" t="n">
        <x:v>1468280.39</x:v>
      </x:c>
      <x:c r="J122" s="627" t="n">
        <x:v>1122794.42</x:v>
      </x:c>
      <x:c r="K122" s="627" t="n">
        <x:v>28207.59</x:v>
      </x:c>
      <x:c r="L122" s="627" t="n">
        <x:v>222526.16</x:v>
      </x:c>
      <x:c r="M122" s="627" t="n">
        <x:v>246960.98</x:v>
      </x:c>
      <x:c r="N122" s="627" t="n">
        <x:v>346793.07</x:v>
      </x:c>
      <x:c r="O122" s="627" t="n">
        <x:v>1614571.03</x:v>
      </x:c>
      <x:c r="P122" s="627" t="n">
        <x:v>9720305.77</x:v>
      </x:c>
      <x:c r="Q122" s="627" t="n">
        <x:v>46107.8</x:v>
      </x:c>
      <x:c r="R122" s="627" t="n">
        <x:v>-7.11</x:v>
      </x:c>
      <x:c r="S122" s="627" t="n">
        <x:v>0.24</x:v>
      </x:c>
      <x:c r="T122" s="627" t="n">
        <x:v>0</x:v>
      </x:c>
      <x:c r="U122" s="627">
        <x:v>0</x:v>
      </x:c>
      <x:c r="V122" s="627">
        <x:v>0</x:v>
      </x:c>
      <x:c r="W122" s="627">
        <x:v>0</x:v>
      </x:c>
      <x:c r="X122" s="653">
        <x:v>0</x:v>
      </x:c>
      <x:c r="Y122" s="653">
        <x:v>0</x:v>
      </x:c>
      <x:c r="Z122" s="653" t="n">
        <x:v>-0.26</x:v>
      </x:c>
      <x:c r="BN122" s="624"/>
    </x:row>
    <x:row r="123" spans="1:66" x14ac:dyDescent="0.2">
      <x:c r="A123"/>
      <x:c r="B123"/>
      <x:c r="C123"/>
      <x:c r="D123" s="625" t="inlineStr">
        <x:is>
          <x:t>T</x:t>
        </x:is>
      </x:c>
      <x:c r="E123" s="625" t="inlineStr">
        <x:is>
          <x:t>Total</x:t>
        </x:is>
      </x:c>
      <x:c r="F123" s="627" t="n">
        <x:v>979011193.21</x:v>
      </x:c>
      <x:c r="G123" s="627" t="n">
        <x:v>183860843.83</x:v>
      </x:c>
      <x:c r="H123" s="627" t="n">
        <x:v>103501568.58</x:v>
      </x:c>
      <x:c r="I123" s="627" t="n">
        <x:v>54532049.71</x:v>
      </x:c>
      <x:c r="J123" s="627" t="n">
        <x:v>84322717.25</x:v>
      </x:c>
      <x:c r="K123" s="627" t="n">
        <x:v>2140345.19</x:v>
      </x:c>
      <x:c r="L123" s="627" t="n">
        <x:v>22344026.16</x:v>
      </x:c>
      <x:c r="M123" s="627" t="n">
        <x:v>18765412.03</x:v>
      </x:c>
      <x:c r="N123" s="627" t="n">
        <x:v>26414715.59</x:v>
      </x:c>
      <x:c r="O123" s="627" t="n">
        <x:v>128244098.27</x:v>
      </x:c>
      <x:c r="P123" s="627" t="n">
        <x:v>351372405.2</x:v>
      </x:c>
      <x:c r="Q123" s="627" t="n">
        <x:v>3514152.8</x:v>
      </x:c>
      <x:c r="R123" s="627" t="n">
        <x:v>-1141.38</x:v>
      </x:c>
      <x:c r="S123" s="627" t="n">
        <x:v>0.24</x:v>
      </x:c>
      <x:c r="T123" s="627" t="n">
        <x:v>0</x:v>
      </x:c>
      <x:c r="U123" s="627">
        <x:v>0</x:v>
      </x:c>
      <x:c r="V123" s="627">
        <x:v>0</x:v>
      </x:c>
      <x:c r="W123" s="627">
        <x:v>0</x:v>
      </x:c>
      <x:c r="X123" s="653">
        <x:v>0</x:v>
      </x:c>
      <x:c r="Y123" s="653">
        <x:v>0</x:v>
      </x:c>
      <x:c r="Z123" s="653" t="n">
        <x:v>-0.26</x:v>
      </x:c>
      <x:c r="BN123" s="624"/>
    </x:row>
    <x:row r="124" spans="1:66" x14ac:dyDescent="0.2">
      <x:c r="A124"/>
      <x:c r="B124"/>
      <x:c r="C124" t="inlineStr">
        <x:is>
          <x:t>OCCIDENTE</x:t>
        </x:is>
      </x:c>
      <x:c r="D124" s="25" t="inlineStr">
        <x:is>
          <x:t>Total</x:t>
        </x:is>
      </x:c>
      <x:c r="E124" s="625"/>
      <x:c r="F124" s="627" t="n">
        <x:v>2144338413.37</x:v>
      </x:c>
      <x:c r="G124" s="627" t="n">
        <x:v>270662304.18</x:v>
      </x:c>
      <x:c r="H124" s="627" t="n">
        <x:v>152028501.1</x:v>
      </x:c>
      <x:c r="I124" s="627" t="n">
        <x:v>80080614.95</x:v>
      </x:c>
      <x:c r="J124" s="627" t="n">
        <x:v>343722172.97</x:v>
      </x:c>
      <x:c r="K124" s="627" t="n">
        <x:v>8954154.98</x:v>
      </x:c>
      <x:c r="L124" s="627" t="n">
        <x:v>43242361.05</x:v>
      </x:c>
      <x:c r="M124" s="627" t="n">
        <x:v>78612328.63</x:v>
      </x:c>
      <x:c r="N124" s="627" t="n">
        <x:v>108865591.26</x:v>
      </x:c>
      <x:c r="O124" s="627" t="n">
        <x:v>519730472.17</x:v>
      </x:c>
      <x:c r="P124" s="627" t="n">
        <x:v>523757840.54</x:v>
      </x:c>
      <x:c r="Q124" s="627" t="n">
        <x:v>14683792.25</x:v>
      </x:c>
      <x:c r="R124" s="627" t="n">
        <x:v>-1732</x:v>
      </x:c>
      <x:c r="S124" s="627" t="n">
        <x:v>11.93</x:v>
      </x:c>
      <x:c r="T124" s="627" t="n">
        <x:v>0.11</x:v>
      </x:c>
      <x:c r="U124" s="627">
        <x:v>0</x:v>
      </x:c>
      <x:c r="V124" s="627">
        <x:v>0</x:v>
      </x:c>
      <x:c r="W124" s="627">
        <x:v>0</x:v>
      </x:c>
      <x:c r="X124" s="653">
        <x:v>0</x:v>
      </x:c>
      <x:c r="Y124" s="653">
        <x:v>0</x:v>
      </x:c>
      <x:c r="Z124" s="653" t="n">
        <x:v>-0.75</x:v>
      </x:c>
      <x:c r="BN124" s="624"/>
    </x:row>
    <x:row r="125" spans="1:66" x14ac:dyDescent="0.2">
      <x:c r="A125"/>
      <x:c r="B125" t="inlineStr">
        <x:is>
          <x:t>Mes</x:t>
        </x:is>
      </x:c>
      <x:c r="C125" t="inlineStr">
        <x:is>
          <x:t>Total</x:t>
        </x:is>
      </x:c>
      <x:c r="D125"/>
      <x:c r="E125" s="625"/>
      <x:c r="F125" s="627" t="n">
        <x:v>26991842853.64</x:v>
      </x:c>
      <x:c r="G125" s="627" t="n">
        <x:v>1647822335.5</x:v>
      </x:c>
      <x:c r="H125" s="627" t="n">
        <x:v>919613091.24</x:v>
      </x:c>
      <x:c r="I125" s="627" t="n">
        <x:v>480398481.59</x:v>
      </x:c>
      <x:c r="J125" s="627" t="n">
        <x:v>6801561986.55</x:v>
      </x:c>
      <x:c r="K125" s="627" t="n">
        <x:v>225315678.85</x:v>
      </x:c>
      <x:c r="L125" s="627" t="n">
        <x:v>65675504</x:v>
      </x:c>
      <x:c r="M125" s="627" t="n">
        <x:v>1977251801.82</x:v>
      </x:c>
      <x:c r="N125" s="627" t="n">
        <x:v>1975192478.87</x:v>
      </x:c>
      <x:c r="O125" s="627" t="n">
        <x:v>9299565599.31</x:v>
      </x:c>
      <x:c r="P125" s="627" t="n">
        <x:v>3231522565.69</x:v>
      </x:c>
      <x:c r="Q125" s="627" t="n">
        <x:v>368142849.59</x:v>
      </x:c>
      <x:c r="R125" s="627" t="n">
        <x:v>-219558.69</x:v>
      </x:c>
      <x:c r="S125" s="627" t="n">
        <x:v>62.66</x:v>
      </x:c>
      <x:c r="T125" s="627" t="n">
        <x:v>1.01</x:v>
      </x:c>
      <x:c r="U125" s="627">
        <x:v>0</x:v>
      </x:c>
      <x:c r="V125" s="627">
        <x:v>0</x:v>
      </x:c>
      <x:c r="W125" s="627">
        <x:v>0</x:v>
      </x:c>
      <x:c r="X125" s="653">
        <x:v>0</x:v>
      </x:c>
      <x:c r="Y125" s="653">
        <x:v>0</x:v>
      </x:c>
      <x:c r="Z125" s="653" t="n">
        <x:v>-24.35</x:v>
      </x:c>
      <x:c r="BN125" s="624"/>
    </x:row>
    <x:row r="126" spans="1:66" x14ac:dyDescent="0.2">
      <x:c r="A126" t="inlineStr">
        <x:is>
          <x:t>Componente</x:t>
        </x:is>
      </x:c>
      <x:c r="B126" t="inlineStr">
        <x:is>
          <x:t>Total</x:t>
        </x:is>
      </x:c>
      <x:c r="C126"/>
      <x:c r="D126" s="625"/>
      <x:c r="E126" s="625"/>
      <x:c r="F126" s="627" t="n">
        <x:v>26991999286.83</x:v>
      </x:c>
      <x:c r="G126" s="627" t="n">
        <x:v>1647835428.69</x:v>
      </x:c>
      <x:c r="H126" s="627" t="n">
        <x:v>919620461.51</x:v>
      </x:c>
      <x:c r="I126" s="627" t="n">
        <x:v>480403523.38</x:v>
      </x:c>
      <x:c r="J126" s="627" t="n">
        <x:v>6801592881.04</x:v>
      </x:c>
      <x:c r="K126" s="627" t="n">
        <x:v>225316978.04</x:v>
      </x:c>
      <x:c r="L126" s="627" t="n">
        <x:v>65675504</x:v>
      </x:c>
      <x:c r="M126" s="627" t="n">
        <x:v>1977259911.78</x:v>
      </x:c>
      <x:c r="N126" s="627" t="n">
        <x:v>1975203586.15</x:v>
      </x:c>
      <x:c r="O126" s="627" t="n">
        <x:v>9299618101.75</x:v>
      </x:c>
      <x:c r="P126" s="627" t="n">
        <x:v>3231546983.98</x:v>
      </x:c>
      <x:c r="Q126" s="627" t="n">
        <x:v>368145446.16</x:v>
      </x:c>
      <x:c r="R126" s="627" t="n">
        <x:v>-219558.97</x:v>
      </x:c>
      <x:c r="S126" s="627" t="n">
        <x:v>62.66</x:v>
      </x:c>
      <x:c r="T126" s="627" t="n">
        <x:v>1.01</x:v>
      </x:c>
      <x:c r="U126" s="627">
        <x:v>0</x:v>
      </x:c>
      <x:c r="V126" s="627">
        <x:v>0</x:v>
      </x:c>
      <x:c r="W126" s="627">
        <x:v>0</x:v>
      </x:c>
      <x:c r="X126" s="653">
        <x:v>0</x:v>
      </x:c>
      <x:c r="Y126" s="653">
        <x:v>0</x:v>
      </x:c>
      <x:c r="Z126" s="653" t="n">
        <x:v>-24.35</x:v>
      </x:c>
      <x:c r="BN126" s="624"/>
    </x:row>
    <x:row r="127" spans="1:66" x14ac:dyDescent="0.2">
      <x:c r="A127"/>
      <x:c r="B127"/>
      <x:c r="C127"/>
      <x:c r="D127" s="25"/>
      <x:c r="E127" s="625" t="inlineStr">
        <x:is>
          <x:t>Subsidio(-)/Contribucion(+)</x:t>
        </x:is>
      </x:c>
      <x:c r="F127" s="627" t="n">
        <x:v>65196.81</x:v>
      </x:c>
      <x:c r="G127" s="627" t="n">
        <x:v>6546.6</x:v>
      </x:c>
      <x:c r="H127" s="627" t="n">
        <x:v>3685.14</x:v>
      </x:c>
      <x:c r="I127" s="627" t="n">
        <x:v>1939.87</x:v>
      </x:c>
      <x:c r="J127" s="627" t="n">
        <x:v>12877.56</x:v>
      </x:c>
      <x:c r="K127" s="627" t="n">
        <x:v>462.28</x:v>
      </x:c>
      <x:c r="L127" s="627" t="n">
        <x:v>0</x:v>
      </x:c>
      <x:c r="M127" s="627" t="n">
        <x:v>4054.99</x:v>
      </x:c>
      <x:c r="N127" s="627" t="n">
        <x:v>3960.35</x:v>
      </x:c>
      <x:c r="O127" s="627" t="n">
        <x:v>18706.63</x:v>
      </x:c>
      <x:c r="P127" s="627" t="n">
        <x:v>12209.15</x:v>
      </x:c>
      <x:c r="Q127" s="627" t="n">
        <x:v>754.24</x:v>
      </x:c>
      <x:c r="R127" s="627" t="n">
        <x:v>0</x:v>
      </x:c>
      <x:c r="S127" s="627" t="n">
        <x:v>0</x:v>
      </x:c>
      <x:c r="T127" s="627" t="n">
        <x:v>0</x:v>
      </x:c>
      <x:c r="U127" s="627">
        <x:v>0</x:v>
      </x:c>
      <x:c r="V127" s="627">
        <x:v>0</x:v>
      </x:c>
      <x:c r="W127" s="627">
        <x:v>0</x:v>
      </x:c>
      <x:c r="X127" s="653">
        <x:v>0</x:v>
      </x:c>
      <x:c r="Y127" s="653">
        <x:v>0</x:v>
      </x:c>
      <x:c r="Z127" s="653" t="n">
        <x:v>0</x:v>
      </x:c>
      <x:c r="BN127" s="624"/>
    </x:row>
    <x:row r="128" spans="1:66" x14ac:dyDescent="0.2">
      <x:c r="A128" s="631"/>
      <x:c r="B128" s="631"/>
      <x:c r="C128" s="632"/>
      <x:c r="D128" s="632" t="inlineStr">
        <x:is>
          <x:t>E</x:t>
        </x:is>
      </x:c>
      <x:c r="E128" s="631" t="inlineStr">
        <x:is>
          <x:t>Total</x:t>
        </x:is>
      </x:c>
      <x:c r="F128" s="633" t="n">
        <x:v>65196.81</x:v>
      </x:c>
      <x:c r="G128" s="633" t="n">
        <x:v>6546.6</x:v>
      </x:c>
      <x:c r="H128" s="633" t="n">
        <x:v>3685.14</x:v>
      </x:c>
      <x:c r="I128" s="633" t="n">
        <x:v>1939.87</x:v>
      </x:c>
      <x:c r="J128" s="633" t="n">
        <x:v>12877.56</x:v>
      </x:c>
      <x:c r="K128" s="633" t="n">
        <x:v>462.28</x:v>
      </x:c>
      <x:c r="L128" s="633" t="n">
        <x:v>0</x:v>
      </x:c>
      <x:c r="M128" s="633" t="n">
        <x:v>4054.99</x:v>
      </x:c>
      <x:c r="N128" s="633" t="n">
        <x:v>3960.35</x:v>
      </x:c>
      <x:c r="O128" s="633" t="n">
        <x:v>18706.63</x:v>
      </x:c>
      <x:c r="P128" s="633" t="n">
        <x:v>12209.15</x:v>
      </x:c>
      <x:c r="Q128" s="633" t="n">
        <x:v>754.24</x:v>
      </x:c>
      <x:c r="R128" s="633" t="n">
        <x:v>0</x:v>
      </x:c>
      <x:c r="S128" s="633" t="n">
        <x:v>0</x:v>
      </x:c>
      <x:c r="T128" s="633" t="n">
        <x:v>0</x:v>
      </x:c>
      <x:c r="U128" s="633">
        <x:v>0</x:v>
      </x:c>
      <x:c r="V128" s="633">
        <x:v>0</x:v>
      </x:c>
      <x:c r="W128" s="633">
        <x:v>0</x:v>
      </x:c>
      <x:c r="X128" s="633">
        <x:v>0</x:v>
      </x:c>
      <x:c r="Y128" s="633">
        <x:v>0</x:v>
      </x:c>
      <x:c r="Z128" s="633" t="n">
        <x:v>0</x:v>
      </x:c>
      <x:c r="AA128" s="631"/>
      <x:c r="AB128" s="631"/>
      <x:c r="AC128" s="631"/>
      <x:c r="AD128" s="631"/>
      <x:c r="AE128" s="631"/>
      <x:c r="AF128" s="631"/>
      <x:c r="AG128" s="631"/>
      <x:c r="AH128" s="631"/>
      <x:c r="AI128" s="631"/>
      <x:c r="AJ128" s="631"/>
      <x:c r="AK128" s="631"/>
      <x:c r="AL128" s="631"/>
      <x:c r="AM128" s="631"/>
      <x:c r="AN128" s="631"/>
      <x:c r="AO128" s="631"/>
      <x:c r="AP128" s="631"/>
      <x:c r="AQ128" s="631"/>
      <x:c r="AR128" s="631"/>
      <x:c r="AS128" s="631"/>
      <x:c r="AT128" s="631"/>
      <x:c r="AU128" s="631"/>
      <x:c r="AV128" s="631"/>
      <x:c r="AW128" s="631"/>
      <x:c r="AX128" s="631"/>
      <x:c r="AY128" s="631"/>
      <x:c r="AZ128" s="631"/>
      <x:c r="BA128" s="631"/>
      <x:c r="BB128" s="631"/>
      <x:c r="BC128" s="631"/>
      <x:c r="BD128" s="631"/>
      <x:c r="BE128" s="631"/>
      <x:c r="BF128" s="631"/>
      <x:c r="BG128" s="631"/>
      <x:c r="BH128" s="631"/>
      <x:c r="BI128" s="631"/>
      <x:c r="BJ128" s="631"/>
      <x:c r="BK128" s="631"/>
      <x:c r="BL128" s="631"/>
      <x:c r="BM128" s="631"/>
      <x:c r="BN128" s="624"/>
    </x:row>
    <x:row r="129" spans="1:66" x14ac:dyDescent="0.2">
      <x:c r="A129" s="638"/>
      <x:c r="B129" s="639"/>
      <x:c r="C129" s="639" t="inlineStr">
        <x:is>
          <x:t>ENEL</x:t>
        </x:is>
      </x:c>
      <x:c r="D129" s="638" t="inlineStr">
        <x:is>
          <x:t>Total</x:t>
        </x:is>
      </x:c>
      <x:c r="E129" s="638"/>
      <x:c r="F129" s="640" t="n">
        <x:v>65196.81</x:v>
      </x:c>
      <x:c r="G129" s="640" t="n">
        <x:v>6546.6</x:v>
      </x:c>
      <x:c r="H129" s="640" t="n">
        <x:v>3685.14</x:v>
      </x:c>
      <x:c r="I129" s="640" t="n">
        <x:v>1939.87</x:v>
      </x:c>
      <x:c r="J129" s="640" t="n">
        <x:v>12877.56</x:v>
      </x:c>
      <x:c r="K129" s="640" t="n">
        <x:v>462.28</x:v>
      </x:c>
      <x:c r="L129" s="640" t="n">
        <x:v>0</x:v>
      </x:c>
      <x:c r="M129" s="640" t="n">
        <x:v>4054.99</x:v>
      </x:c>
      <x:c r="N129" s="640" t="n">
        <x:v>3960.35</x:v>
      </x:c>
      <x:c r="O129" s="640" t="n">
        <x:v>18706.63</x:v>
      </x:c>
      <x:c r="P129" s="640" t="n">
        <x:v>12209.15</x:v>
      </x:c>
      <x:c r="Q129" s="640" t="n">
        <x:v>754.24</x:v>
      </x:c>
      <x:c r="R129" s="640" t="n">
        <x:v>0</x:v>
      </x:c>
      <x:c r="S129" s="640" t="n">
        <x:v>0</x:v>
      </x:c>
      <x:c r="T129" s="640" t="n">
        <x:v>0</x:v>
      </x:c>
      <x:c r="U129" s="640">
        <x:v>0</x:v>
      </x:c>
      <x:c r="V129" s="640">
        <x:v>0</x:v>
      </x:c>
      <x:c r="W129" s="640">
        <x:v>0</x:v>
      </x:c>
      <x:c r="X129" s="640">
        <x:v>0</x:v>
      </x:c>
      <x:c r="Y129" s="640">
        <x:v>0</x:v>
      </x:c>
      <x:c r="Z129" s="640" t="n">
        <x:v>0</x:v>
      </x:c>
      <x:c r="AA129" s="638"/>
      <x:c r="AB129" s="638"/>
      <x:c r="AC129" s="638"/>
      <x:c r="AD129" s="638"/>
      <x:c r="AE129" s="638"/>
      <x:c r="AF129" s="638"/>
      <x:c r="AG129" s="638"/>
      <x:c r="AH129" s="638"/>
      <x:c r="AI129" s="638"/>
      <x:c r="AJ129" s="638"/>
      <x:c r="AK129" s="638"/>
      <x:c r="AL129" s="638"/>
      <x:c r="AM129" s="638"/>
      <x:c r="AN129" s="638"/>
      <x:c r="AO129" s="638"/>
      <x:c r="AP129" s="638"/>
      <x:c r="AQ129" s="638"/>
      <x:c r="AR129" s="638"/>
      <x:c r="AS129" s="638"/>
      <x:c r="AT129" s="638"/>
      <x:c r="AU129" s="638"/>
      <x:c r="AV129" s="638"/>
      <x:c r="AW129" s="638"/>
      <x:c r="AX129" s="638"/>
      <x:c r="AY129" s="638"/>
      <x:c r="AZ129" s="638"/>
      <x:c r="BA129" s="638"/>
      <x:c r="BB129" s="638"/>
      <x:c r="BC129" s="638"/>
      <x:c r="BD129" s="638"/>
      <x:c r="BE129" s="638"/>
      <x:c r="BF129" s="638"/>
      <x:c r="BG129" s="638"/>
      <x:c r="BH129" s="638"/>
      <x:c r="BI129" s="638"/>
      <x:c r="BJ129" s="638"/>
      <x:c r="BK129" s="638"/>
      <x:c r="BL129" s="638"/>
      <x:c r="BM129" s="638"/>
      <x:c r="BN129" s="624"/>
    </x:row>
    <x:row r="130" spans="1:66" x14ac:dyDescent="0.2">
      <x:c r="A130" s="25"/>
      <x:c r="B130" s="625" t="inlineStr">
        <x:is>
          <x:t>Aplicacion nuevos x reversion</x:t>
        </x:is>
      </x:c>
      <x:c r="C130" s="625" t="inlineStr">
        <x:is>
          <x:t>Total</x:t>
        </x:is>
      </x:c>
      <x:c r="D130"/>
      <x:c r="E130"/>
      <x:c r="F130" s="627" t="n">
        <x:v>65196.81</x:v>
      </x:c>
      <x:c r="G130" s="627" t="n">
        <x:v>6546.6</x:v>
      </x:c>
      <x:c r="H130" s="627" t="n">
        <x:v>3685.14</x:v>
      </x:c>
      <x:c r="I130" s="627" t="n">
        <x:v>1939.87</x:v>
      </x:c>
      <x:c r="J130" s="627" t="n">
        <x:v>12877.56</x:v>
      </x:c>
      <x:c r="K130" s="627" t="n">
        <x:v>462.28</x:v>
      </x:c>
      <x:c r="L130" s="627" t="n">
        <x:v>0</x:v>
      </x:c>
      <x:c r="M130" s="627" t="n">
        <x:v>4054.99</x:v>
      </x:c>
      <x:c r="N130" s="627" t="n">
        <x:v>3960.35</x:v>
      </x:c>
      <x:c r="O130" s="627" t="n">
        <x:v>18706.63</x:v>
      </x:c>
      <x:c r="P130" s="627" t="n">
        <x:v>12209.15</x:v>
      </x:c>
      <x:c r="Q130" s="627" t="n">
        <x:v>754.24</x:v>
      </x:c>
      <x:c r="R130" s="627" t="n">
        <x:v>0</x:v>
      </x:c>
      <x:c r="S130" s="627" t="n">
        <x:v>0</x:v>
      </x:c>
      <x:c r="T130" s="627" t="n">
        <x:v>0</x:v>
      </x:c>
      <x:c r="U130" s="627">
        <x:v>0</x:v>
      </x:c>
      <x:c r="V130" s="627">
        <x:v>0</x:v>
      </x:c>
      <x:c r="W130" s="627">
        <x:v>0</x:v>
      </x:c>
      <x:c r="X130" s="653">
        <x:v>0</x:v>
      </x:c>
      <x:c r="Y130" s="653">
        <x:v>0</x:v>
      </x:c>
      <x:c r="Z130" s="653" t="n">
        <x:v>0</x:v>
      </x:c>
      <x:c r="BN130" s="624"/>
    </x:row>
    <x:row r="131" spans="1:66" x14ac:dyDescent="0.2">
      <x:c r="A131"/>
      <x:c r="B131" s="625"/>
      <x:c r="C131" s="625"/>
      <x:c r="D131"/>
      <x:c r="E131" s="25" t="inlineStr">
        <x:is>
          <x:t>Subsidio(-)/Contribucion(+)</x:t>
        </x:is>
      </x:c>
      <x:c r="F131" s="627" t="n">
        <x:v>-5574513313.02</x:v>
      </x:c>
      <x:c r="G131" s="627" t="n">
        <x:v>-142587049.96</x:v>
      </x:c>
      <x:c r="H131" s="627" t="n">
        <x:v>-77260837.58</x:v>
      </x:c>
      <x:c r="I131" s="627" t="n">
        <x:v>-40078326.58</x:v>
      </x:c>
      <x:c r="J131" s="627" t="n">
        <x:v>-1659794200.48</x:v>
      </x:c>
      <x:c r="K131" s="627" t="n">
        <x:v>-55669891.31</x:v>
      </x:c>
      <x:c r="L131" s="627" t="n">
        <x:v>0</x:v>
      </x:c>
      <x:c r="M131" s="627" t="n">
        <x:v>-488402705.69</x:v>
      </x:c>
      <x:c r="N131" s="627" t="n">
        <x:v>-486403545.59</x:v>
      </x:c>
      <x:c r="O131" s="627" t="n">
        <x:v>-2258121879.65</x:v>
      </x:c>
      <x:c r="P131" s="627" t="n">
        <x:v>-275363801.76</x:v>
      </x:c>
      <x:c r="Q131" s="627" t="n">
        <x:v>-90831074.42</x:v>
      </x:c>
      <x:c r="R131" s="627" t="n">
        <x:v>0</x:v>
      </x:c>
      <x:c r="S131" s="627" t="n">
        <x:v>0</x:v>
      </x:c>
      <x:c r="T131" s="627" t="n">
        <x:v>0</x:v>
      </x:c>
      <x:c r="U131" s="627">
        <x:v>0</x:v>
      </x:c>
      <x:c r="V131" s="627">
        <x:v>0</x:v>
      </x:c>
      <x:c r="W131" s="627">
        <x:v>0</x:v>
      </x:c>
      <x:c r="X131" s="653">
        <x:v>0</x:v>
      </x:c>
      <x:c r="Y131" s="653">
        <x:v>0</x:v>
      </x:c>
      <x:c r="Z131" s="653" t="n">
        <x:v>0</x:v>
      </x:c>
      <x:c r="BN131" s="624"/>
    </x:row>
    <x:row r="132" spans="1:66" x14ac:dyDescent="0.2">
      <x:c r="A132"/>
      <x:c r="B132" s="625"/>
      <x:c r="C132" s="625"/>
      <x:c r="D132" s="25" t="inlineStr">
        <x:is>
          <x:t>E</x:t>
        </x:is>
      </x:c>
      <x:c r="E132" s="25" t="inlineStr">
        <x:is>
          <x:t>Total</x:t>
        </x:is>
      </x:c>
      <x:c r="F132" s="627" t="n">
        <x:v>-5574513313.02</x:v>
      </x:c>
      <x:c r="G132" s="627" t="n">
        <x:v>-142587049.96</x:v>
      </x:c>
      <x:c r="H132" s="627" t="n">
        <x:v>-77260837.58</x:v>
      </x:c>
      <x:c r="I132" s="627" t="n">
        <x:v>-40078326.58</x:v>
      </x:c>
      <x:c r="J132" s="627" t="n">
        <x:v>-1659794200.48</x:v>
      </x:c>
      <x:c r="K132" s="627" t="n">
        <x:v>-55669891.31</x:v>
      </x:c>
      <x:c r="L132" s="627" t="n">
        <x:v>0</x:v>
      </x:c>
      <x:c r="M132" s="627" t="n">
        <x:v>-488402705.69</x:v>
      </x:c>
      <x:c r="N132" s="627" t="n">
        <x:v>-486403545.59</x:v>
      </x:c>
      <x:c r="O132" s="627" t="n">
        <x:v>-2258121879.65</x:v>
      </x:c>
      <x:c r="P132" s="627" t="n">
        <x:v>-275363801.76</x:v>
      </x:c>
      <x:c r="Q132" s="627" t="n">
        <x:v>-90831074.42</x:v>
      </x:c>
      <x:c r="R132" s="627" t="n">
        <x:v>0</x:v>
      </x:c>
      <x:c r="S132" s="627" t="n">
        <x:v>0</x:v>
      </x:c>
      <x:c r="T132" s="627" t="n">
        <x:v>0</x:v>
      </x:c>
      <x:c r="U132" s="627">
        <x:v>0</x:v>
      </x:c>
      <x:c r="V132" s="627">
        <x:v>0</x:v>
      </x:c>
      <x:c r="W132" s="627">
        <x:v>0</x:v>
      </x:c>
      <x:c r="X132" s="653">
        <x:v>0</x:v>
      </x:c>
      <x:c r="Y132" s="653">
        <x:v>0</x:v>
      </x:c>
      <x:c r="Z132" s="653" t="n">
        <x:v>0</x:v>
      </x:c>
      <x:c r="BN132" s="624"/>
    </x:row>
    <x:row r="133" spans="1:66" x14ac:dyDescent="0.2">
      <x:c r="A133" s="628"/>
      <x:c r="B133" s="628"/>
      <x:c r="C133" s="628" t="inlineStr">
        <x:is>
          <x:t>ENEL</x:t>
        </x:is>
      </x:c>
      <x:c r="D133" s="628" t="inlineStr">
        <x:is>
          <x:t>Total</x:t>
        </x:is>
      </x:c>
      <x:c r="E133" s="629"/>
      <x:c r="F133" s="630" t="n">
        <x:v>-5574513313.02</x:v>
      </x:c>
      <x:c r="G133" s="630" t="n">
        <x:v>-142587049.96</x:v>
      </x:c>
      <x:c r="H133" s="630" t="n">
        <x:v>-77260837.58</x:v>
      </x:c>
      <x:c r="I133" s="630" t="n">
        <x:v>-40078326.58</x:v>
      </x:c>
      <x:c r="J133" s="630" t="n">
        <x:v>-1659794200.48</x:v>
      </x:c>
      <x:c r="K133" s="630" t="n">
        <x:v>-55669891.31</x:v>
      </x:c>
      <x:c r="L133" s="630" t="n">
        <x:v>0</x:v>
      </x:c>
      <x:c r="M133" s="630" t="n">
        <x:v>-488402705.69</x:v>
      </x:c>
      <x:c r="N133" s="630" t="n">
        <x:v>-486403545.59</x:v>
      </x:c>
      <x:c r="O133" s="630" t="n">
        <x:v>-2258121879.65</x:v>
      </x:c>
      <x:c r="P133" s="630" t="n">
        <x:v>-275363801.76</x:v>
      </x:c>
      <x:c r="Q133" s="630" t="n">
        <x:v>-90831074.42</x:v>
      </x:c>
      <x:c r="R133" s="630" t="n">
        <x:v>0</x:v>
      </x:c>
      <x:c r="S133" s="630" t="n">
        <x:v>0</x:v>
      </x:c>
      <x:c r="T133" s="630" t="n">
        <x:v>0</x:v>
      </x:c>
      <x:c r="U133" s="630">
        <x:v>0</x:v>
      </x:c>
      <x:c r="V133" s="630">
        <x:v>0</x:v>
      </x:c>
      <x:c r="W133" s="630">
        <x:v>0</x:v>
      </x:c>
      <x:c r="X133" s="630">
        <x:v>0</x:v>
      </x:c>
      <x:c r="Y133" s="630">
        <x:v>0</x:v>
      </x:c>
      <x:c r="Z133" s="630" t="n">
        <x:v>0</x:v>
      </x:c>
      <x:c r="AA133" s="628"/>
      <x:c r="AB133" s="628"/>
      <x:c r="AC133" s="628"/>
      <x:c r="AD133" s="628"/>
      <x:c r="AE133" s="628"/>
      <x:c r="AF133" s="628"/>
      <x:c r="AG133" s="628"/>
      <x:c r="AH133" s="628"/>
      <x:c r="AI133" s="628"/>
      <x:c r="AJ133" s="628"/>
      <x:c r="AK133" s="628"/>
      <x:c r="AL133" s="628"/>
      <x:c r="AM133" s="628"/>
      <x:c r="AN133" s="628"/>
      <x:c r="AO133" s="628"/>
      <x:c r="AP133" s="628"/>
      <x:c r="AQ133" s="628"/>
      <x:c r="AR133" s="628"/>
      <x:c r="AS133" s="628"/>
      <x:c r="AT133" s="628"/>
      <x:c r="AU133" s="628"/>
      <x:c r="AV133" s="628"/>
      <x:c r="AW133" s="628"/>
      <x:c r="AX133" s="628"/>
      <x:c r="AY133" s="628"/>
      <x:c r="AZ133" s="628"/>
      <x:c r="BA133" s="628"/>
      <x:c r="BB133" s="628"/>
      <x:c r="BC133" s="628"/>
      <x:c r="BD133" s="628"/>
      <x:c r="BE133" s="628"/>
      <x:c r="BF133" s="628"/>
      <x:c r="BG133" s="628"/>
      <x:c r="BH133" s="628"/>
      <x:c r="BI133" s="628"/>
      <x:c r="BJ133" s="628"/>
      <x:c r="BK133" s="628"/>
      <x:c r="BL133" s="628"/>
      <x:c r="BM133" s="628"/>
      <x:c r="BN133" s="624"/>
    </x:row>
    <x:row r="134" spans="1:66" x14ac:dyDescent="0.2">
      <x:c r="A134"/>
      <x:c r="B134" s="625"/>
      <x:c r="C134" s="625"/>
      <x:c r="D134"/>
      <x:c r="E134" s="25" t="inlineStr">
        <x:is>
          <x:t>Subsidio(-)/Contribucion(+)</x:t>
        </x:is>
      </x:c>
      <x:c r="F134" s="627" t="n">
        <x:v>364711.62</x:v>
      </x:c>
      <x:c r="G134" s="627" t="n">
        <x:v>42523.37</x:v>
      </x:c>
      <x:c r="H134" s="627" t="n">
        <x:v>19399.8</x:v>
      </x:c>
      <x:c r="I134" s="627" t="n">
        <x:v>11145.84</x:v>
      </x:c>
      <x:c r="J134" s="627" t="n">
        <x:v>76488.73</x:v>
      </x:c>
      <x:c r="K134" s="627" t="n">
        <x:v>1644.02</x:v>
      </x:c>
      <x:c r="L134" s="627" t="n">
        <x:v>0</x:v>
      </x:c>
      <x:c r="M134" s="627" t="n">
        <x:v>14420.95</x:v>
      </x:c>
      <x:c r="N134" s="627" t="n">
        <x:v>19608.24</x:v>
      </x:c>
      <x:c r="O134" s="627" t="n">
        <x:v>91459.93</x:v>
      </x:c>
      <x:c r="P134" s="627" t="n">
        <x:v>85338.37</x:v>
      </x:c>
      <x:c r="Q134" s="627" t="n">
        <x:v>2682.37</x:v>
      </x:c>
      <x:c r="R134" s="627" t="n">
        <x:v>0</x:v>
      </x:c>
      <x:c r="S134" s="627" t="n">
        <x:v>0</x:v>
      </x:c>
      <x:c r="T134" s="627" t="n">
        <x:v>0</x:v>
      </x:c>
      <x:c r="U134" s="627">
        <x:v>0</x:v>
      </x:c>
      <x:c r="V134" s="627">
        <x:v>0</x:v>
      </x:c>
      <x:c r="W134" s="627">
        <x:v>0</x:v>
      </x:c>
      <x:c r="X134" s="653">
        <x:v>0</x:v>
      </x:c>
      <x:c r="Y134" s="653">
        <x:v>0</x:v>
      </x:c>
      <x:c r="Z134" s="653" t="n">
        <x:v>0</x:v>
      </x:c>
      <x:c r="BN134" s="624"/>
    </x:row>
    <x:row r="135" spans="1:66" x14ac:dyDescent="0.2">
      <x:c r="A135"/>
      <x:c r="B135" s="625"/>
      <x:c r="C135" s="625"/>
      <x:c r="D135" s="25" t="inlineStr">
        <x:is>
          <x:t>1</x:t>
        </x:is>
      </x:c>
      <x:c r="E135" s="25" t="inlineStr">
        <x:is>
          <x:t>Total</x:t>
        </x:is>
      </x:c>
      <x:c r="F135" s="627" t="n">
        <x:v>364711.62</x:v>
      </x:c>
      <x:c r="G135" s="627" t="n">
        <x:v>42523.37</x:v>
      </x:c>
      <x:c r="H135" s="627" t="n">
        <x:v>19399.8</x:v>
      </x:c>
      <x:c r="I135" s="627" t="n">
        <x:v>11145.84</x:v>
      </x:c>
      <x:c r="J135" s="627" t="n">
        <x:v>76488.73</x:v>
      </x:c>
      <x:c r="K135" s="627" t="n">
        <x:v>1644.02</x:v>
      </x:c>
      <x:c r="L135" s="627" t="n">
        <x:v>0</x:v>
      </x:c>
      <x:c r="M135" s="627" t="n">
        <x:v>14420.95</x:v>
      </x:c>
      <x:c r="N135" s="627" t="n">
        <x:v>19608.24</x:v>
      </x:c>
      <x:c r="O135" s="627" t="n">
        <x:v>91459.93</x:v>
      </x:c>
      <x:c r="P135" s="627" t="n">
        <x:v>85338.37</x:v>
      </x:c>
      <x:c r="Q135" s="627" t="n">
        <x:v>2682.37</x:v>
      </x:c>
      <x:c r="R135" s="627" t="n">
        <x:v>0</x:v>
      </x:c>
      <x:c r="S135" s="627" t="n">
        <x:v>0</x:v>
      </x:c>
      <x:c r="T135" s="627" t="n">
        <x:v>0</x:v>
      </x:c>
      <x:c r="U135" s="627">
        <x:v>0</x:v>
      </x:c>
      <x:c r="V135" s="627">
        <x:v>0</x:v>
      </x:c>
      <x:c r="W135" s="627">
        <x:v>0</x:v>
      </x:c>
      <x:c r="X135" s="653">
        <x:v>0</x:v>
      </x:c>
      <x:c r="Y135" s="653">
        <x:v>0</x:v>
      </x:c>
      <x:c r="Z135" s="653" t="n">
        <x:v>0</x:v>
      </x:c>
      <x:c r="BN135" s="624"/>
    </x:row>
    <x:row r="136" spans="1:66" x14ac:dyDescent="0.2">
      <x:c r="A136"/>
      <x:c r="B136" s="625"/>
      <x:c r="C136" s="625"/>
      <x:c r="D136"/>
      <x:c r="E136" s="25" t="inlineStr">
        <x:is>
          <x:t>Subsidio(-)/Contribucion(+)</x:t>
        </x:is>
      </x:c>
      <x:c r="F136" s="627" t="n">
        <x:v>-12716.22</x:v>
      </x:c>
      <x:c r="G136" s="627" t="n">
        <x:v>-696.42</x:v>
      </x:c>
      <x:c r="H136" s="627" t="n">
        <x:v>-320.42</x:v>
      </x:c>
      <x:c r="I136" s="627" t="n">
        <x:v>-174.1</x:v>
      </x:c>
      <x:c r="J136" s="627" t="n">
        <x:v>-3726.43</x:v>
      </x:c>
      <x:c r="K136" s="627" t="n">
        <x:v>-89.68</x:v>
      </x:c>
      <x:c r="L136" s="627" t="n">
        <x:v>0</x:v>
      </x:c>
      <x:c r="M136" s="627" t="n">
        <x:v>-786.79</x:v>
      </x:c>
      <x:c r="N136" s="627" t="n">
        <x:v>-977.8</x:v>
      </x:c>
      <x:c r="O136" s="627" t="n">
        <x:v>-4383.22</x:v>
      </x:c>
      <x:c r="P136" s="627" t="n">
        <x:v>-1415.01</x:v>
      </x:c>
      <x:c r="Q136" s="627" t="n">
        <x:v>-146.35</x:v>
      </x:c>
      <x:c r="R136" s="627" t="n">
        <x:v>0</x:v>
      </x:c>
      <x:c r="S136" s="627" t="n">
        <x:v>0</x:v>
      </x:c>
      <x:c r="T136" s="627" t="n">
        <x:v>0</x:v>
      </x:c>
      <x:c r="U136" s="627">
        <x:v>0</x:v>
      </x:c>
      <x:c r="V136" s="627">
        <x:v>0</x:v>
      </x:c>
      <x:c r="W136" s="627">
        <x:v>0</x:v>
      </x:c>
      <x:c r="X136" s="653">
        <x:v>0</x:v>
      </x:c>
      <x:c r="Y136" s="653">
        <x:v>0</x:v>
      </x:c>
      <x:c r="Z136" s="653" t="n">
        <x:v>0</x:v>
      </x:c>
      <x:c r="BN136" s="624"/>
    </x:row>
    <x:row r="137" spans="1:66" x14ac:dyDescent="0.2">
      <x:c r="A137"/>
      <x:c r="B137" s="625"/>
      <x:c r="C137" s="625"/>
      <x:c r="D137" s="25" t="inlineStr">
        <x:is>
          <x:t>2</x:t>
        </x:is>
      </x:c>
      <x:c r="E137" s="25" t="inlineStr">
        <x:is>
          <x:t>Total</x:t>
        </x:is>
      </x:c>
      <x:c r="F137" s="627" t="n">
        <x:v>-12716.22</x:v>
      </x:c>
      <x:c r="G137" s="627" t="n">
        <x:v>-696.42</x:v>
      </x:c>
      <x:c r="H137" s="627" t="n">
        <x:v>-320.42</x:v>
      </x:c>
      <x:c r="I137" s="627" t="n">
        <x:v>-174.1</x:v>
      </x:c>
      <x:c r="J137" s="627" t="n">
        <x:v>-3726.43</x:v>
      </x:c>
      <x:c r="K137" s="627" t="n">
        <x:v>-89.68</x:v>
      </x:c>
      <x:c r="L137" s="627" t="n">
        <x:v>0</x:v>
      </x:c>
      <x:c r="M137" s="627" t="n">
        <x:v>-786.79</x:v>
      </x:c>
      <x:c r="N137" s="627" t="n">
        <x:v>-977.8</x:v>
      </x:c>
      <x:c r="O137" s="627" t="n">
        <x:v>-4383.22</x:v>
      </x:c>
      <x:c r="P137" s="627" t="n">
        <x:v>-1415.01</x:v>
      </x:c>
      <x:c r="Q137" s="627" t="n">
        <x:v>-146.35</x:v>
      </x:c>
      <x:c r="R137" s="627" t="n">
        <x:v>0</x:v>
      </x:c>
      <x:c r="S137" s="627" t="n">
        <x:v>0</x:v>
      </x:c>
      <x:c r="T137" s="627" t="n">
        <x:v>0</x:v>
      </x:c>
      <x:c r="U137" s="627">
        <x:v>0</x:v>
      </x:c>
      <x:c r="V137" s="627">
        <x:v>0</x:v>
      </x:c>
      <x:c r="W137" s="627">
        <x:v>0</x:v>
      </x:c>
      <x:c r="X137" s="653">
        <x:v>0</x:v>
      </x:c>
      <x:c r="Y137" s="653">
        <x:v>0</x:v>
      </x:c>
      <x:c r="Z137" s="653" t="n">
        <x:v>0</x:v>
      </x:c>
      <x:c r="BN137" s="624"/>
    </x:row>
    <x:row r="138" spans="1:66" x14ac:dyDescent="0.2">
      <x:c r="A138" s="631"/>
      <x:c r="B138" s="631"/>
      <x:c r="C138" s="632"/>
      <x:c r="D138" s="632"/>
      <x:c r="E138" s="631" t="inlineStr">
        <x:is>
          <x:t>Subsidio(-)/Contribucion(+)</x:t>
        </x:is>
      </x:c>
      <x:c r="F138" s="633" t="n">
        <x:v>-2486822.73</x:v>
      </x:c>
      <x:c r="G138" s="633" t="n">
        <x:v>-85228.71</x:v>
      </x:c>
      <x:c r="H138" s="633" t="n">
        <x:v>-47226.25</x:v>
      </x:c>
      <x:c r="I138" s="633" t="n">
        <x:v>-25296.05</x:v>
      </x:c>
      <x:c r="J138" s="633" t="n">
        <x:v>-681872.95</x:v>
      </x:c>
      <x:c r="K138" s="633" t="n">
        <x:v>-24041.32</x:v>
      </x:c>
      <x:c r="L138" s="633" t="n">
        <x:v>0</x:v>
      </x:c>
      <x:c r="M138" s="633" t="n">
        <x:v>-210886.27</x:v>
      </x:c>
      <x:c r="N138" s="633" t="n">
        <x:v>-212027.1</x:v>
      </x:c>
      <x:c r="O138" s="633" t="n">
        <x:v>-999338.13</x:v>
      </x:c>
      <x:c r="P138" s="633" t="n">
        <x:v>-161680.99</x:v>
      </x:c>
      <x:c r="Q138" s="633" t="n">
        <x:v>-39224.96</x:v>
      </x:c>
      <x:c r="R138" s="633" t="n">
        <x:v>0</x:v>
      </x:c>
      <x:c r="S138" s="633" t="n">
        <x:v>0</x:v>
      </x:c>
      <x:c r="T138" s="633" t="n">
        <x:v>0</x:v>
      </x:c>
      <x:c r="U138" s="633">
        <x:v>0</x:v>
      </x:c>
      <x:c r="V138" s="633">
        <x:v>0</x:v>
      </x:c>
      <x:c r="W138" s="633">
        <x:v>0</x:v>
      </x:c>
      <x:c r="X138" s="633">
        <x:v>0</x:v>
      </x:c>
      <x:c r="Y138" s="633">
        <x:v>0</x:v>
      </x:c>
      <x:c r="Z138" s="633" t="n">
        <x:v>0</x:v>
      </x:c>
      <x:c r="AA138" s="631"/>
      <x:c r="AB138" s="631"/>
      <x:c r="AC138" s="631"/>
      <x:c r="AD138" s="631"/>
      <x:c r="AE138" s="631"/>
      <x:c r="AF138" s="631"/>
      <x:c r="AG138" s="631"/>
      <x:c r="AH138" s="631"/>
      <x:c r="AI138" s="631"/>
      <x:c r="AJ138" s="631"/>
      <x:c r="AK138" s="631"/>
      <x:c r="AL138" s="631"/>
      <x:c r="AM138" s="631"/>
      <x:c r="AN138" s="631"/>
      <x:c r="AO138" s="631"/>
      <x:c r="AP138" s="631"/>
      <x:c r="AQ138" s="631"/>
      <x:c r="AR138" s="631"/>
      <x:c r="AS138" s="631"/>
      <x:c r="AT138" s="631"/>
      <x:c r="AU138" s="631"/>
      <x:c r="AV138" s="631"/>
      <x:c r="AW138" s="631"/>
      <x:c r="AX138" s="631"/>
      <x:c r="AY138" s="631"/>
      <x:c r="AZ138" s="631"/>
      <x:c r="BA138" s="631"/>
      <x:c r="BB138" s="631"/>
      <x:c r="BC138" s="631"/>
      <x:c r="BD138" s="631"/>
      <x:c r="BE138" s="631"/>
      <x:c r="BF138" s="631"/>
      <x:c r="BG138" s="631"/>
      <x:c r="BH138" s="631"/>
      <x:c r="BI138" s="631"/>
      <x:c r="BJ138" s="631"/>
      <x:c r="BK138" s="631"/>
      <x:c r="BL138" s="631"/>
      <x:c r="BM138" s="631"/>
      <x:c r="BN138" s="624"/>
    </x:row>
    <x:row r="139" spans="1:66" x14ac:dyDescent="0.2">
      <x:c r="A139" s="635"/>
      <x:c r="B139" s="635"/>
      <x:c r="C139" s="635"/>
      <x:c r="D139" s="635" t="inlineStr">
        <x:is>
          <x:t>5</x:t>
        </x:is>
      </x:c>
      <x:c r="E139" s="636" t="inlineStr">
        <x:is>
          <x:t>Total</x:t>
        </x:is>
      </x:c>
      <x:c r="F139" s="637" t="n">
        <x:v>-2486822.73</x:v>
      </x:c>
      <x:c r="G139" s="637" t="n">
        <x:v>-85228.71</x:v>
      </x:c>
      <x:c r="H139" s="637" t="n">
        <x:v>-47226.25</x:v>
      </x:c>
      <x:c r="I139" s="637" t="n">
        <x:v>-25296.05</x:v>
      </x:c>
      <x:c r="J139" s="637" t="n">
        <x:v>-681872.95</x:v>
      </x:c>
      <x:c r="K139" s="637" t="n">
        <x:v>-24041.32</x:v>
      </x:c>
      <x:c r="L139" s="637" t="n">
        <x:v>0</x:v>
      </x:c>
      <x:c r="M139" s="637" t="n">
        <x:v>-210886.27</x:v>
      </x:c>
      <x:c r="N139" s="637" t="n">
        <x:v>-212027.1</x:v>
      </x:c>
      <x:c r="O139" s="637" t="n">
        <x:v>-999338.13</x:v>
      </x:c>
      <x:c r="P139" s="637" t="n">
        <x:v>-161680.99</x:v>
      </x:c>
      <x:c r="Q139" s="637" t="n">
        <x:v>-39224.96</x:v>
      </x:c>
      <x:c r="R139" s="637" t="n">
        <x:v>0</x:v>
      </x:c>
      <x:c r="S139" s="637" t="n">
        <x:v>0</x:v>
      </x:c>
      <x:c r="T139" s="637" t="n">
        <x:v>0</x:v>
      </x:c>
      <x:c r="U139" s="637">
        <x:v>0</x:v>
      </x:c>
      <x:c r="V139" s="637">
        <x:v>0</x:v>
      </x:c>
      <x:c r="W139" s="637">
        <x:v>0</x:v>
      </x:c>
      <x:c r="X139" s="637">
        <x:v>0</x:v>
      </x:c>
      <x:c r="Y139" s="637">
        <x:v>0</x:v>
      </x:c>
      <x:c r="Z139" s="637" t="n">
        <x:v>0</x:v>
      </x:c>
      <x:c r="AA139" s="635"/>
      <x:c r="AB139" s="635"/>
      <x:c r="AC139" s="635"/>
      <x:c r="AD139" s="635"/>
      <x:c r="AE139" s="635"/>
      <x:c r="AF139" s="635"/>
      <x:c r="AG139" s="635"/>
      <x:c r="AH139" s="635"/>
      <x:c r="AI139" s="635"/>
      <x:c r="AJ139" s="635"/>
      <x:c r="AK139" s="635"/>
      <x:c r="AL139" s="635"/>
      <x:c r="AM139" s="635"/>
      <x:c r="AN139" s="635"/>
      <x:c r="AO139" s="635"/>
      <x:c r="AP139" s="635"/>
      <x:c r="AQ139" s="635"/>
      <x:c r="AR139" s="635"/>
      <x:c r="AS139" s="635"/>
      <x:c r="AT139" s="635"/>
      <x:c r="AU139" s="635"/>
      <x:c r="AV139" s="635"/>
      <x:c r="AW139" s="635"/>
      <x:c r="AX139" s="635"/>
      <x:c r="AY139" s="635"/>
      <x:c r="AZ139" s="635"/>
      <x:c r="BA139" s="635"/>
      <x:c r="BB139" s="635"/>
      <x:c r="BC139" s="635"/>
      <x:c r="BD139" s="635"/>
      <x:c r="BE139" s="635"/>
      <x:c r="BF139" s="635"/>
      <x:c r="BG139" s="635"/>
      <x:c r="BH139" s="635"/>
      <x:c r="BI139" s="635"/>
      <x:c r="BJ139" s="635"/>
      <x:c r="BK139" s="635"/>
      <x:c r="BL139" s="635"/>
      <x:c r="BM139" s="635"/>
      <x:c r="BN139" s="624"/>
    </x:row>
    <x:row r="140" spans="1:66" x14ac:dyDescent="0.2">
      <x:c r="A140"/>
      <x:c r="B140"/>
      <x:c r="C140" t="inlineStr">
        <x:is>
          <x:t>NUEVO ESQUEMA</x:t>
        </x:is>
      </x:c>
      <x:c r="D140" t="inlineStr">
        <x:is>
          <x:t>Total</x:t>
        </x:is>
      </x:c>
      <x:c r="E140" s="625"/>
      <x:c r="F140" s="627" t="n">
        <x:v>-2134827.33</x:v>
      </x:c>
      <x:c r="G140" s="627" t="n">
        <x:v>-43401.76</x:v>
      </x:c>
      <x:c r="H140" s="627" t="n">
        <x:v>-28146.87</x:v>
      </x:c>
      <x:c r="I140" s="627" t="n">
        <x:v>-14324.31</x:v>
      </x:c>
      <x:c r="J140" s="627" t="n">
        <x:v>-609110.65</x:v>
      </x:c>
      <x:c r="K140" s="627" t="n">
        <x:v>-22486.98</x:v>
      </x:c>
      <x:c r="L140" s="627" t="n">
        <x:v>0</x:v>
      </x:c>
      <x:c r="M140" s="627" t="n">
        <x:v>-197252.11</x:v>
      </x:c>
      <x:c r="N140" s="627" t="n">
        <x:v>-193396.66</x:v>
      </x:c>
      <x:c r="O140" s="627" t="n">
        <x:v>-912261.42</x:v>
      </x:c>
      <x:c r="P140" s="627" t="n">
        <x:v>-77757.63</x:v>
      </x:c>
      <x:c r="Q140" s="627" t="n">
        <x:v>-36688.94</x:v>
      </x:c>
      <x:c r="R140" s="627" t="n">
        <x:v>0</x:v>
      </x:c>
      <x:c r="S140" s="627" t="n">
        <x:v>0</x:v>
      </x:c>
      <x:c r="T140" s="627" t="n">
        <x:v>0</x:v>
      </x:c>
      <x:c r="U140" s="627">
        <x:v>0</x:v>
      </x:c>
      <x:c r="V140" s="627">
        <x:v>0</x:v>
      </x:c>
      <x:c r="W140" s="627">
        <x:v>0</x:v>
      </x:c>
      <x:c r="X140" s="653">
        <x:v>0</x:v>
      </x:c>
      <x:c r="Y140" s="653">
        <x:v>0</x:v>
      </x:c>
      <x:c r="Z140" s="653" t="n">
        <x:v>0</x:v>
      </x:c>
      <x:c r="BN140" s="624"/>
    </x:row>
    <x:row r="141" spans="1:66" x14ac:dyDescent="0.2">
      <x:c r="A141"/>
      <x:c r="B141"/>
      <x:c r="C141"/>
      <x:c r="D141" s="625"/>
      <x:c r="E141" s="625" t="inlineStr">
        <x:is>
          <x:t>Subsidio(-)/Contribucion(+)</x:t>
        </x:is>
      </x:c>
      <x:c r="F141" s="627" t="n">
        <x:v>-88320395.32</x:v>
      </x:c>
      <x:c r="G141" s="627" t="n">
        <x:v>2427279.77</x:v>
      </x:c>
      <x:c r="H141" s="627" t="n">
        <x:v>1456596.47</x:v>
      </x:c>
      <x:c r="I141" s="627" t="n">
        <x:v>802018.26</x:v>
      </x:c>
      <x:c r="J141" s="627" t="n">
        <x:v>-32051889.67</x:v>
      </x:c>
      <x:c r="K141" s="627" t="n">
        <x:v>-806848.78</x:v>
      </x:c>
      <x:c r="L141" s="627" t="n">
        <x:v>0</x:v>
      </x:c>
      <x:c r="M141" s="627" t="n">
        <x:v>-7090187.22</x:v>
      </x:c>
      <x:c r="N141" s="627" t="n">
        <x:v>-9935609.32</x:v>
      </x:c>
      <x:c r="O141" s="627" t="n">
        <x:v>-46910576.28</x:v>
      </x:c>
      <x:c r="P141" s="627" t="n">
        <x:v>5106300</x:v>
      </x:c>
      <x:c r="Q141" s="627" t="n">
        <x:v>-1317478.55</x:v>
      </x:c>
      <x:c r="R141" s="627" t="n">
        <x:v>0</x:v>
      </x:c>
      <x:c r="S141" s="627" t="n">
        <x:v>0</x:v>
      </x:c>
      <x:c r="T141" s="627" t="n">
        <x:v>0</x:v>
      </x:c>
      <x:c r="U141" s="627">
        <x:v>0</x:v>
      </x:c>
      <x:c r="V141" s="627">
        <x:v>0</x:v>
      </x:c>
      <x:c r="W141" s="627">
        <x:v>0</x:v>
      </x:c>
      <x:c r="X141" s="653">
        <x:v>0</x:v>
      </x:c>
      <x:c r="Y141" s="653">
        <x:v>0</x:v>
      </x:c>
      <x:c r="Z141" s="653" t="n">
        <x:v>0</x:v>
      </x:c>
      <x:c r="BN141" s="624"/>
    </x:row>
    <x:row r="142" spans="1:66" x14ac:dyDescent="0.2">
      <x:c r="A142" s="628"/>
      <x:c r="B142" s="628"/>
      <x:c r="C142" s="628"/>
      <x:c r="D142" s="628" t="inlineStr">
        <x:is>
          <x:t>H</x:t>
        </x:is>
      </x:c>
      <x:c r="E142" s="629" t="inlineStr">
        <x:is>
          <x:t>Total</x:t>
        </x:is>
      </x:c>
      <x:c r="F142" s="630" t="n">
        <x:v>-88320395.32</x:v>
      </x:c>
      <x:c r="G142" s="630" t="n">
        <x:v>2427279.77</x:v>
      </x:c>
      <x:c r="H142" s="630" t="n">
        <x:v>1456596.47</x:v>
      </x:c>
      <x:c r="I142" s="630" t="n">
        <x:v>802018.26</x:v>
      </x:c>
      <x:c r="J142" s="630" t="n">
        <x:v>-32051889.67</x:v>
      </x:c>
      <x:c r="K142" s="630" t="n">
        <x:v>-806848.78</x:v>
      </x:c>
      <x:c r="L142" s="630" t="n">
        <x:v>0</x:v>
      </x:c>
      <x:c r="M142" s="630" t="n">
        <x:v>-7090187.22</x:v>
      </x:c>
      <x:c r="N142" s="630" t="n">
        <x:v>-9935609.32</x:v>
      </x:c>
      <x:c r="O142" s="630" t="n">
        <x:v>-46910576.28</x:v>
      </x:c>
      <x:c r="P142" s="630" t="n">
        <x:v>5106300</x:v>
      </x:c>
      <x:c r="Q142" s="630" t="n">
        <x:v>-1317478.55</x:v>
      </x:c>
      <x:c r="R142" s="630" t="n">
        <x:v>0</x:v>
      </x:c>
      <x:c r="S142" s="630" t="n">
        <x:v>0</x:v>
      </x:c>
      <x:c r="T142" s="630" t="n">
        <x:v>0</x:v>
      </x:c>
      <x:c r="U142" s="630">
        <x:v>0</x:v>
      </x:c>
      <x:c r="V142" s="630">
        <x:v>0</x:v>
      </x:c>
      <x:c r="W142" s="630">
        <x:v>0</x:v>
      </x:c>
      <x:c r="X142" s="630">
        <x:v>0</x:v>
      </x:c>
      <x:c r="Y142" s="630">
        <x:v>0</x:v>
      </x:c>
      <x:c r="Z142" s="630" t="n">
        <x:v>0</x:v>
      </x:c>
      <x:c r="AA142" s="628"/>
      <x:c r="AB142" s="628"/>
      <x:c r="AC142" s="628"/>
      <x:c r="AD142" s="628"/>
      <x:c r="AE142" s="628"/>
      <x:c r="AF142" s="628"/>
      <x:c r="AG142" s="628"/>
      <x:c r="AH142" s="628"/>
      <x:c r="AI142" s="628"/>
      <x:c r="AJ142" s="628"/>
      <x:c r="AK142" s="628"/>
      <x:c r="AL142" s="628"/>
      <x:c r="AM142" s="628"/>
      <x:c r="AN142" s="628"/>
      <x:c r="AO142" s="628"/>
      <x:c r="AP142" s="628"/>
      <x:c r="AQ142" s="628"/>
      <x:c r="AR142" s="628"/>
      <x:c r="AS142" s="628"/>
      <x:c r="AT142" s="628"/>
      <x:c r="AU142" s="628"/>
      <x:c r="AV142" s="628"/>
      <x:c r="AW142" s="628"/>
      <x:c r="AX142" s="628"/>
      <x:c r="AY142" s="628"/>
      <x:c r="AZ142" s="628"/>
      <x:c r="BA142" s="628"/>
      <x:c r="BB142" s="628"/>
      <x:c r="BC142" s="628"/>
      <x:c r="BD142" s="628"/>
      <x:c r="BE142" s="628"/>
      <x:c r="BF142" s="628"/>
      <x:c r="BG142" s="628"/>
      <x:c r="BH142" s="628"/>
      <x:c r="BI142" s="628"/>
      <x:c r="BJ142" s="628"/>
      <x:c r="BK142" s="628"/>
      <x:c r="BL142" s="628"/>
      <x:c r="BM142" s="628"/>
      <x:c r="BN142" s="624"/>
    </x:row>
    <x:row r="143" spans="1:66" x14ac:dyDescent="0.2">
      <x:c r="A143"/>
      <x:c r="B143"/>
      <x:c r="C143"/>
      <x:c r="D143" s="625"/>
      <x:c r="E143" s="625" t="inlineStr">
        <x:is>
          <x:t>Subsidio(-)/Contribucion(+)</x:t>
        </x:is>
      </x:c>
      <x:c r="F143" s="627" t="n">
        <x:v>33440247</x:v>
      </x:c>
      <x:c r="G143" s="627" t="n">
        <x:v>11940858.26</x:v>
      </x:c>
      <x:c r="H143" s="627" t="n">
        <x:v>6716518.69</x:v>
      </x:c>
      <x:c r="I143" s="627" t="n">
        <x:v>3546778.51</x:v>
      </x:c>
      <x:c r="J143" s="627" t="n">
        <x:v>-4143518.02</x:v>
      </x:c>
      <x:c r="K143" s="627" t="n">
        <x:v>-120856.49</x:v>
      </x:c>
      <x:c r="L143" s="627" t="n">
        <x:v>0</x:v>
      </x:c>
      <x:c r="M143" s="627" t="n">
        <x:v>-1063481.62</x:v>
      </x:c>
      <x:c r="N143" s="627" t="n">
        <x:v>-1252132.37</x:v>
      </x:c>
      <x:c r="O143" s="627" t="n">
        <x:v>-5903053.44</x:v>
      </x:c>
      <x:c r="P143" s="627" t="n">
        <x:v>23916725.73</x:v>
      </x:c>
      <x:c r="Q143" s="627" t="n">
        <x:v>-197592.25</x:v>
      </x:c>
      <x:c r="R143" s="627" t="n">
        <x:v>0</x:v>
      </x:c>
      <x:c r="S143" s="627" t="n">
        <x:v>0</x:v>
      </x:c>
      <x:c r="T143" s="627" t="n">
        <x:v>0</x:v>
      </x:c>
      <x:c r="U143" s="627">
        <x:v>0</x:v>
      </x:c>
      <x:c r="V143" s="627">
        <x:v>0</x:v>
      </x:c>
      <x:c r="W143" s="627">
        <x:v>0</x:v>
      </x:c>
      <x:c r="X143" s="653">
        <x:v>0</x:v>
      </x:c>
      <x:c r="Y143" s="653">
        <x:v>0</x:v>
      </x:c>
      <x:c r="Z143" s="653" t="n">
        <x:v>0</x:v>
      </x:c>
      <x:c r="BN143" s="624"/>
    </x:row>
    <x:row r="144" spans="1:66" x14ac:dyDescent="0.2">
      <x:c r="A144"/>
      <x:c r="B144"/>
      <x:c r="C144"/>
      <x:c r="D144" s="625" t="inlineStr">
        <x:is>
          <x:t>O</x:t>
        </x:is>
      </x:c>
      <x:c r="E144" s="625" t="inlineStr">
        <x:is>
          <x:t>Total</x:t>
        </x:is>
      </x:c>
      <x:c r="F144" s="627" t="n">
        <x:v>33440247</x:v>
      </x:c>
      <x:c r="G144" s="627" t="n">
        <x:v>11940858.26</x:v>
      </x:c>
      <x:c r="H144" s="627" t="n">
        <x:v>6716518.69</x:v>
      </x:c>
      <x:c r="I144" s="627" t="n">
        <x:v>3546778.51</x:v>
      </x:c>
      <x:c r="J144" s="627" t="n">
        <x:v>-4143518.02</x:v>
      </x:c>
      <x:c r="K144" s="627" t="n">
        <x:v>-120856.49</x:v>
      </x:c>
      <x:c r="L144" s="627" t="n">
        <x:v>0</x:v>
      </x:c>
      <x:c r="M144" s="627" t="n">
        <x:v>-1063481.62</x:v>
      </x:c>
      <x:c r="N144" s="627" t="n">
        <x:v>-1252132.37</x:v>
      </x:c>
      <x:c r="O144" s="627" t="n">
        <x:v>-5903053.44</x:v>
      </x:c>
      <x:c r="P144" s="627" t="n">
        <x:v>23916725.73</x:v>
      </x:c>
      <x:c r="Q144" s="627" t="n">
        <x:v>-197592.25</x:v>
      </x:c>
      <x:c r="R144" s="627" t="n">
        <x:v>0</x:v>
      </x:c>
      <x:c r="S144" s="627" t="n">
        <x:v>0</x:v>
      </x:c>
      <x:c r="T144" s="627" t="n">
        <x:v>0</x:v>
      </x:c>
      <x:c r="U144" s="627">
        <x:v>0</x:v>
      </x:c>
      <x:c r="V144" s="627">
        <x:v>0</x:v>
      </x:c>
      <x:c r="W144" s="627">
        <x:v>0</x:v>
      </x:c>
      <x:c r="X144" s="653">
        <x:v>0</x:v>
      </x:c>
      <x:c r="Y144" s="653">
        <x:v>0</x:v>
      </x:c>
      <x:c r="Z144" s="653" t="n">
        <x:v>0</x:v>
      </x:c>
      <x:c r="BN144" s="624"/>
    </x:row>
    <x:row r="145" spans="1:66" x14ac:dyDescent="0.2">
      <x:c r="A145"/>
      <x:c r="B145"/>
      <x:c r="C145"/>
      <x:c r="D145" s="625"/>
      <x:c r="E145" s="625" t="inlineStr">
        <x:is>
          <x:t>Subsidio(-)/Contribucion(+)</x:t>
        </x:is>
      </x:c>
      <x:c r="F145" s="627" t="n">
        <x:v>171093180.79</x:v>
      </x:c>
      <x:c r="G145" s="627" t="n">
        <x:v>43534891.73</x:v>
      </x:c>
      <x:c r="H145" s="627" t="n">
        <x:v>24590894.77</x:v>
      </x:c>
      <x:c r="I145" s="627" t="n">
        <x:v>13001647.11</x:v>
      </x:c>
      <x:c r="J145" s="627" t="n">
        <x:v>1105193.25</x:v>
      </x:c>
      <x:c r="K145" s="627" t="n">
        <x:v>22819.35</x:v>
      </x:c>
      <x:c r="L145" s="627" t="n">
        <x:v>0</x:v>
      </x:c>
      <x:c r="M145" s="627" t="n">
        <x:v>199843.49</x:v>
      </x:c>
      <x:c r="N145" s="627" t="n">
        <x:v>289515.46</x:v>
      </x:c>
      <x:c r="O145" s="627" t="n">
        <x:v>1194847.71</x:v>
      </x:c>
      <x:c r="P145" s="627" t="n">
        <x:v>87116178.75</x:v>
      </x:c>
      <x:c r="Q145" s="627" t="n">
        <x:v>37349.17</x:v>
      </x:c>
      <x:c r="R145" s="627" t="n">
        <x:v>0</x:v>
      </x:c>
      <x:c r="S145" s="627" t="n">
        <x:v>0</x:v>
      </x:c>
      <x:c r="T145" s="627" t="n">
        <x:v>0</x:v>
      </x:c>
      <x:c r="U145" s="627">
        <x:v>0</x:v>
      </x:c>
      <x:c r="V145" s="627">
        <x:v>0</x:v>
      </x:c>
      <x:c r="W145" s="627">
        <x:v>0</x:v>
      </x:c>
      <x:c r="X145" s="653">
        <x:v>0</x:v>
      </x:c>
      <x:c r="Y145" s="653">
        <x:v>0</x:v>
      </x:c>
      <x:c r="Z145" s="653" t="n">
        <x:v>0</x:v>
      </x:c>
      <x:c r="BN145" s="624"/>
    </x:row>
    <x:row r="146" spans="1:66" x14ac:dyDescent="0.2">
      <x:c r="A146"/>
      <x:c r="B146"/>
      <x:c r="C146"/>
      <x:c r="D146" s="625" t="inlineStr">
        <x:is>
          <x:t>T</x:t>
        </x:is>
      </x:c>
      <x:c r="E146" s="625" t="inlineStr">
        <x:is>
          <x:t>Total</x:t>
        </x:is>
      </x:c>
      <x:c r="F146" s="627" t="n">
        <x:v>171093180.79</x:v>
      </x:c>
      <x:c r="G146" s="627" t="n">
        <x:v>43534891.73</x:v>
      </x:c>
      <x:c r="H146" s="627" t="n">
        <x:v>24590894.77</x:v>
      </x:c>
      <x:c r="I146" s="627" t="n">
        <x:v>13001647.11</x:v>
      </x:c>
      <x:c r="J146" s="627" t="n">
        <x:v>1105193.25</x:v>
      </x:c>
      <x:c r="K146" s="627" t="n">
        <x:v>22819.35</x:v>
      </x:c>
      <x:c r="L146" s="627" t="n">
        <x:v>0</x:v>
      </x:c>
      <x:c r="M146" s="627" t="n">
        <x:v>199843.49</x:v>
      </x:c>
      <x:c r="N146" s="627" t="n">
        <x:v>289515.46</x:v>
      </x:c>
      <x:c r="O146" s="627" t="n">
        <x:v>1194847.71</x:v>
      </x:c>
      <x:c r="P146" s="627" t="n">
        <x:v>87116178.75</x:v>
      </x:c>
      <x:c r="Q146" s="627" t="n">
        <x:v>37349.17</x:v>
      </x:c>
      <x:c r="R146" s="627" t="n">
        <x:v>0</x:v>
      </x:c>
      <x:c r="S146" s="627" t="n">
        <x:v>0</x:v>
      </x:c>
      <x:c r="T146" s="627" t="n">
        <x:v>0</x:v>
      </x:c>
      <x:c r="U146" s="627">
        <x:v>0</x:v>
      </x:c>
      <x:c r="V146" s="627">
        <x:v>0</x:v>
      </x:c>
      <x:c r="W146" s="627">
        <x:v>0</x:v>
      </x:c>
      <x:c r="X146" s="653">
        <x:v>0</x:v>
      </x:c>
      <x:c r="Y146" s="653">
        <x:v>0</x:v>
      </x:c>
      <x:c r="Z146" s="653" t="n">
        <x:v>0</x:v>
      </x:c>
      <x:c r="BN146" s="624"/>
    </x:row>
    <x:row r="147" spans="1:66" x14ac:dyDescent="0.2">
      <x:c r="A147"/>
      <x:c r="B147"/>
      <x:c r="C147" t="inlineStr">
        <x:is>
          <x:t>OCCIDENTE</x:t>
        </x:is>
      </x:c>
      <x:c r="D147" t="inlineStr">
        <x:is>
          <x:t>Total</x:t>
        </x:is>
      </x:c>
      <x:c r="E147" s="625"/>
      <x:c r="F147" s="627" t="n">
        <x:v>116213032.47</x:v>
      </x:c>
      <x:c r="G147" s="627" t="n">
        <x:v>57903029.76</x:v>
      </x:c>
      <x:c r="H147" s="627" t="n">
        <x:v>32764009.93</x:v>
      </x:c>
      <x:c r="I147" s="627" t="n">
        <x:v>17350443.88</x:v>
      </x:c>
      <x:c r="J147" s="627" t="n">
        <x:v>-35090214.44</x:v>
      </x:c>
      <x:c r="K147" s="627" t="n">
        <x:v>-904885.92</x:v>
      </x:c>
      <x:c r="L147" s="627" t="n">
        <x:v>0</x:v>
      </x:c>
      <x:c r="M147" s="627" t="n">
        <x:v>-7953825.35</x:v>
      </x:c>
      <x:c r="N147" s="627" t="n">
        <x:v>-10898226.23</x:v>
      </x:c>
      <x:c r="O147" s="627" t="n">
        <x:v>-51618782.01</x:v>
      </x:c>
      <x:c r="P147" s="627" t="n">
        <x:v>116139204.48</x:v>
      </x:c>
      <x:c r="Q147" s="627" t="n">
        <x:v>-1477721.63</x:v>
      </x:c>
      <x:c r="R147" s="627" t="n">
        <x:v>0</x:v>
      </x:c>
      <x:c r="S147" s="627" t="n">
        <x:v>0</x:v>
      </x:c>
      <x:c r="T147" s="627" t="n">
        <x:v>0</x:v>
      </x:c>
      <x:c r="U147" s="627">
        <x:v>0</x:v>
      </x:c>
      <x:c r="V147" s="627">
        <x:v>0</x:v>
      </x:c>
      <x:c r="W147" s="627">
        <x:v>0</x:v>
      </x:c>
      <x:c r="X147" s="653">
        <x:v>0</x:v>
      </x:c>
      <x:c r="Y147" s="653">
        <x:v>0</x:v>
      </x:c>
      <x:c r="Z147" s="653" t="n">
        <x:v>0</x:v>
      </x:c>
      <x:c r="BN147" s="624"/>
    </x:row>
    <x:row r="148" spans="1:66" x14ac:dyDescent="0.2">
      <x:c r="A148"/>
      <x:c r="B148" t="inlineStr">
        <x:is>
          <x:t>Mes</x:t>
        </x:is>
      </x:c>
      <x:c r="C148" t="inlineStr">
        <x:is>
          <x:t>Total</x:t>
        </x:is>
      </x:c>
      <x:c r="D148" s="625"/>
      <x:c r="E148" s="625"/>
      <x:c r="F148" s="627" t="n">
        <x:v>-5460435107.88</x:v>
      </x:c>
      <x:c r="G148" s="627" t="n">
        <x:v>-84727421.96</x:v>
      </x:c>
      <x:c r="H148" s="627" t="n">
        <x:v>-44524974.52</x:v>
      </x:c>
      <x:c r="I148" s="627" t="n">
        <x:v>-22742207.01</x:v>
      </x:c>
      <x:c r="J148" s="627" t="n">
        <x:v>-1695493525.57</x:v>
      </x:c>
      <x:c r="K148" s="627" t="n">
        <x:v>-56597264.21</x:v>
      </x:c>
      <x:c r="L148" s="627" t="n">
        <x:v>0</x:v>
      </x:c>
      <x:c r="M148" s="627" t="n">
        <x:v>-496553783.15</x:v>
      </x:c>
      <x:c r="N148" s="627" t="n">
        <x:v>-497495168.48</x:v>
      </x:c>
      <x:c r="O148" s="627" t="n">
        <x:v>-2310652923.08</x:v>
      </x:c>
      <x:c r="P148" s="627" t="n">
        <x:v>-159302354.91</x:v>
      </x:c>
      <x:c r="Q148" s="627" t="n">
        <x:v>-92345484.99</x:v>
      </x:c>
      <x:c r="R148" s="627" t="n">
        <x:v>0</x:v>
      </x:c>
      <x:c r="S148" s="627" t="n">
        <x:v>0</x:v>
      </x:c>
      <x:c r="T148" s="627" t="n">
        <x:v>0</x:v>
      </x:c>
      <x:c r="U148" s="627">
        <x:v>0</x:v>
      </x:c>
      <x:c r="V148" s="627">
        <x:v>0</x:v>
      </x:c>
      <x:c r="W148" s="627">
        <x:v>0</x:v>
      </x:c>
      <x:c r="X148" s="653">
        <x:v>0</x:v>
      </x:c>
      <x:c r="Y148" s="653">
        <x:v>0</x:v>
      </x:c>
      <x:c r="Z148" s="653" t="n">
        <x:v>0</x:v>
      </x:c>
      <x:c r="BN148" s="624"/>
    </x:row>
    <x:row r="149" spans="1:66" x14ac:dyDescent="0.2">
      <x:c r="A149" s="667" t="inlineStr">
        <x:is>
          <x:t>Subs/Cont</x:t>
        </x:is>
      </x:c>
      <x:c r="B149" s="667" t="inlineStr">
        <x:is>
          <x:t>Total</x:t>
        </x:is>
      </x:c>
      <x:c r="C149" s="647"/>
      <x:c r="D149" s="647"/>
      <x:c r="E149" s="667"/>
      <x:c r="F149" s="648" t="n">
        <x:v>-5460369911.07</x:v>
      </x:c>
      <x:c r="G149" s="648" t="n">
        <x:v>-84720875.36</x:v>
      </x:c>
      <x:c r="H149" s="648" t="n">
        <x:v>-44521289.38</x:v>
      </x:c>
      <x:c r="I149" s="648" t="n">
        <x:v>-22740267.14</x:v>
      </x:c>
      <x:c r="J149" s="648" t="n">
        <x:v>-1695480648.01</x:v>
      </x:c>
      <x:c r="K149" s="648" t="n">
        <x:v>-56596801.93</x:v>
      </x:c>
      <x:c r="L149" s="648" t="n">
        <x:v>0</x:v>
      </x:c>
      <x:c r="M149" s="648" t="n">
        <x:v>-496549728.16</x:v>
      </x:c>
      <x:c r="N149" s="648" t="n">
        <x:v>-497491208.13</x:v>
      </x:c>
      <x:c r="O149" s="648" t="n">
        <x:v>-2310634216.45</x:v>
      </x:c>
      <x:c r="P149" s="648" t="n">
        <x:v>-159290145.76</x:v>
      </x:c>
      <x:c r="Q149" s="648" t="n">
        <x:v>-92344730.75</x:v>
      </x:c>
      <x:c r="R149" s="648" t="n">
        <x:v>0</x:v>
      </x:c>
      <x:c r="S149" s="648" t="n">
        <x:v>0</x:v>
      </x:c>
      <x:c r="T149" s="648" t="n">
        <x:v>0</x:v>
      </x:c>
      <x:c r="U149" s="648">
        <x:v>0</x:v>
      </x:c>
      <x:c r="V149" s="648">
        <x:v>0</x:v>
      </x:c>
      <x:c r="W149" s="648">
        <x:v>0</x:v>
      </x:c>
      <x:c r="X149" s="672">
        <x:v>0</x:v>
      </x:c>
      <x:c r="Y149" s="672">
        <x:v>0</x:v>
      </x:c>
      <x:c r="Z149" s="672" t="n">
        <x:v>0</x:v>
      </x:c>
      <x:c r="AA149" s="667"/>
      <x:c r="AB149" s="667"/>
      <x:c r="AC149" s="667"/>
      <x:c r="AD149" s="667"/>
      <x:c r="AE149" s="667"/>
      <x:c r="AF149" s="667"/>
      <x:c r="AG149" s="667"/>
      <x:c r="AH149" s="667"/>
      <x:c r="AI149" s="667"/>
      <x:c r="AJ149" s="667"/>
      <x:c r="AK149" s="667"/>
      <x:c r="AL149" s="667"/>
      <x:c r="AM149" s="667"/>
      <x:c r="AN149" s="667"/>
      <x:c r="AO149" s="667"/>
      <x:c r="AP149" s="667"/>
      <x:c r="AQ149" s="667"/>
      <x:c r="AR149" s="667"/>
      <x:c r="AS149" s="667"/>
      <x:c r="AT149" s="667"/>
      <x:c r="AU149" s="667"/>
      <x:c r="AV149" s="667"/>
      <x:c r="AW149" s="667"/>
      <x:c r="AX149" s="667"/>
      <x:c r="AY149" s="667"/>
      <x:c r="AZ149" s="667"/>
      <x:c r="BA149" s="667"/>
      <x:c r="BB149" s="667"/>
      <x:c r="BC149" s="667"/>
      <x:c r="BD149" s="667"/>
      <x:c r="BE149" s="667"/>
      <x:c r="BF149" s="667"/>
      <x:c r="BG149" s="667"/>
      <x:c r="BH149" s="667"/>
      <x:c r="BI149" s="667"/>
      <x:c r="BJ149" s="667"/>
      <x:c r="BK149" s="667"/>
      <x:c r="BL149" s="667"/>
      <x:c r="BM149" s="667"/>
      <x:c r="BN149" s="624"/>
    </x:row>
    <x:row r="150" spans="1:66" x14ac:dyDescent="0.2">
      <x:c r="A150" s="625" t="inlineStr">
        <x:is>
          <x:t>Total</x:t>
        </x:is>
      </x:c>
      <x:c r="B150"/>
      <x:c r="C150"/>
      <x:c r="D150"/>
      <x:c r="E150"/>
      <x:c r="F150" s="627" t="n">
        <x:v>21530185865.78</x:v>
      </x:c>
      <x:c r="G150" s="627" t="n">
        <x:v>1562988446.03</x:v>
      </x:c>
      <x:c r="H150" s="627" t="n">
        <x:v>875045597.99</x:v>
      </x:c>
      <x:c r="I150" s="627" t="n">
        <x:v>457639859.57</x:v>
      </x:c>
      <x:c r="J150" s="627" t="n">
        <x:v>5105822742.69</x:v>
      </x:c>
      <x:c r="K150" s="627" t="n">
        <x:v>168708125.17</x:v>
      </x:c>
      <x:c r="L150" s="627" t="n">
        <x:v>65675504</x:v>
      </x:c>
      <x:c r="M150" s="627" t="n">
        <x:v>1480604470.48</x:v>
      </x:c>
      <x:c r="N150" s="627" t="n">
        <x:v>1477579868.12</x:v>
      </x:c>
      <x:c r="O150" s="627" t="n">
        <x:v>6988538783.46</x:v>
      </x:c>
      <x:c r="P150" s="627" t="n">
        <x:v>3072020935.94</x:v>
      </x:c>
      <x:c r="Q150" s="627" t="n">
        <x:v>275781051.98</x:v>
      </x:c>
      <x:c r="R150" s="627" t="n">
        <x:v>-219558.97</x:v>
      </x:c>
      <x:c r="S150" s="627" t="n">
        <x:v>62.66</x:v>
      </x:c>
      <x:c r="T150" s="627" t="n">
        <x:v>1.01</x:v>
      </x:c>
      <x:c r="U150" s="627">
        <x:v>0</x:v>
      </x:c>
      <x:c r="V150" s="627">
        <x:v>0</x:v>
      </x:c>
      <x:c r="W150" s="627">
        <x:v>0</x:v>
      </x:c>
      <x:c r="X150" s="653">
        <x:v>0</x:v>
      </x:c>
      <x:c r="Y150" s="653">
        <x:v>0</x:v>
      </x:c>
      <x:c r="Z150" s="653" t="n">
        <x:v>-24.35</x:v>
      </x:c>
      <x:c r="BN150" s="624"/>
    </x:row>
    <x:row r="151" spans="1:66" x14ac:dyDescent="0.2">
      <x:c r="A151" s="625"/>
      <x:c r="D151" s="625"/>
      <x:c r="E151" s="625"/>
      <x:c r="F151" s="627"/>
      <x:c r="G151" s="627"/>
      <x:c r="H151" s="627"/>
      <x:c r="I151" s="627"/>
      <x:c r="J151" s="627"/>
      <x:c r="K151" s="627"/>
      <x:c r="L151" s="627"/>
      <x:c r="M151" s="627"/>
      <x:c r="N151" s="627"/>
      <x:c r="O151" s="627"/>
      <x:c r="P151" s="627"/>
      <x:c r="Q151" s="627"/>
      <x:c r="R151" s="627"/>
      <x:c r="S151" s="627"/>
      <x:c r="BN151" s="624"/>
    </x:row>
    <x:row r="152" spans="1:66" x14ac:dyDescent="0.2">
      <x:c r="A152" s="625"/>
      <x:c r="C152" s="625"/>
      <x:c r="D152" s="625"/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S152" s="627"/>
      <x:c r="BN152" s="624"/>
    </x:row>
    <x:row r="153" spans="1:66" x14ac:dyDescent="0.2">
      <x:c r="A153" s="625"/>
      <x:c r="E153" s="625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S153" s="627"/>
      <x:c r="BN153" s="624"/>
    </x:row>
    <x:row r="154" spans="1:66" x14ac:dyDescent="0.2">
      <x:c r="A154" s="625"/>
      <x:c r="D154" s="625"/>
      <x:c r="E154" s="625"/>
      <x:c r="F154" s="627"/>
      <x:c r="G154" s="627"/>
      <x:c r="H154" s="627"/>
      <x:c r="I154" s="627"/>
      <x:c r="J154" s="627"/>
      <x:c r="K154" s="627"/>
      <x:c r="L154" s="627"/>
      <x:c r="M154" s="627"/>
      <x:c r="N154" s="627"/>
      <x:c r="O154" s="627"/>
      <x:c r="P154" s="627"/>
      <x:c r="Q154" s="627"/>
      <x:c r="R154" s="627"/>
      <x:c r="S154" s="627"/>
      <x:c r="BN154" s="624"/>
    </x:row>
    <x:row r="155" spans="1:66" x14ac:dyDescent="0.2">
      <x:c r="A155" s="625"/>
      <x:c r="E155" s="625"/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S155" s="627"/>
      <x:c r="BN155" s="624"/>
    </x:row>
    <x:row r="156" spans="1:66" x14ac:dyDescent="0.2">
      <x:c r="A156" s="625"/>
      <x:c r="D156" s="625"/>
      <x:c r="E156" s="625"/>
      <x:c r="F156" s="627"/>
      <x:c r="G156" s="627"/>
      <x:c r="H156" s="627"/>
      <x:c r="I156" s="627"/>
      <x:c r="J156" s="627"/>
      <x:c r="K156" s="627"/>
      <x:c r="L156" s="627"/>
      <x:c r="M156" s="627"/>
      <x:c r="N156" s="627"/>
      <x:c r="O156" s="627"/>
      <x:c r="P156" s="627"/>
      <x:c r="Q156" s="627"/>
      <x:c r="R156" s="627"/>
      <x:c r="S156" s="627"/>
      <x:c r="BN156" s="624"/>
    </x:row>
    <x:row r="157" spans="1:66" x14ac:dyDescent="0.2">
      <x:c r="A157" s="625"/>
      <x:c r="E157" s="625"/>
      <x:c r="F157" s="627"/>
      <x:c r="G157" s="627"/>
      <x:c r="H157" s="627"/>
      <x:c r="I157" s="627"/>
      <x:c r="J157" s="627"/>
      <x:c r="K157" s="627"/>
      <x:c r="L157" s="627"/>
      <x:c r="M157" s="627"/>
      <x:c r="N157" s="627"/>
      <x:c r="O157" s="627"/>
      <x:c r="P157" s="627"/>
      <x:c r="Q157" s="627"/>
      <x:c r="R157" s="627"/>
      <x:c r="S157" s="627"/>
      <x:c r="BN157" s="624"/>
    </x:row>
    <x:row r="158" spans="1:66" x14ac:dyDescent="0.2">
      <x:c r="A158" s="625"/>
      <x:c r="D158" s="625"/>
      <x:c r="E158" s="625"/>
      <x:c r="F158" s="627"/>
      <x:c r="G158" s="627"/>
      <x:c r="H158" s="627"/>
      <x:c r="I158" s="627"/>
      <x:c r="J158" s="627"/>
      <x:c r="K158" s="627"/>
      <x:c r="L158" s="627"/>
      <x:c r="M158" s="627"/>
      <x:c r="N158" s="627"/>
      <x:c r="O158" s="627"/>
      <x:c r="P158" s="627"/>
      <x:c r="Q158" s="627"/>
      <x:c r="R158" s="627"/>
      <x:c r="S158" s="627"/>
      <x:c r="BN158" s="624"/>
    </x:row>
    <x:row r="159" spans="1:66" x14ac:dyDescent="0.2">
      <x:c r="A159" s="625"/>
      <x:c r="C159" s="625"/>
      <x:c r="D159" s="625"/>
      <x:c r="F159" s="627"/>
      <x:c r="G159" s="627"/>
      <x:c r="H159" s="627"/>
      <x:c r="I159" s="627"/>
      <x:c r="J159" s="627"/>
      <x:c r="K159" s="627"/>
      <x:c r="L159" s="627"/>
      <x:c r="M159" s="627"/>
      <x:c r="N159" s="627"/>
      <x:c r="O159" s="627"/>
      <x:c r="P159" s="627"/>
      <x:c r="Q159" s="627"/>
      <x:c r="R159" s="627"/>
      <x:c r="S159" s="627"/>
      <x:c r="BN159" s="624"/>
    </x:row>
    <x:row r="160" spans="1:66" x14ac:dyDescent="0.2">
      <x:c r="A160" s="625"/>
      <x:c r="B160" s="625"/>
      <x:c r="C160" s="625"/>
      <x:c r="F160" s="627"/>
      <x:c r="G160" s="627"/>
      <x:c r="H160" s="627"/>
      <x:c r="I160" s="627"/>
      <x:c r="J160" s="627"/>
      <x:c r="K160" s="627"/>
      <x:c r="L160" s="627"/>
      <x:c r="M160" s="627"/>
      <x:c r="N160" s="627"/>
      <x:c r="O160" s="627"/>
      <x:c r="P160" s="627"/>
      <x:c r="Q160" s="627"/>
      <x:c r="R160" s="627"/>
      <x:c r="S160" s="627"/>
      <x:c r="BN160" s="624"/>
    </x:row>
    <x:row r="161" spans="1:66" x14ac:dyDescent="0.2">
      <x:c r="A161" s="625"/>
      <x:c r="B161" s="625"/>
      <x:c r="F161" s="627"/>
      <x:c r="G161" s="627"/>
      <x:c r="H161" s="627"/>
      <x:c r="I161" s="627"/>
      <x:c r="J161" s="627"/>
      <x:c r="K161" s="627"/>
      <x:c r="L161" s="627"/>
      <x:c r="M161" s="627"/>
      <x:c r="N161" s="627"/>
      <x:c r="O161" s="627"/>
      <x:c r="P161" s="627"/>
      <x:c r="Q161" s="627"/>
      <x:c r="R161" s="627"/>
      <x:c r="S161" s="627"/>
      <x:c r="BN161" s="624"/>
    </x:row>
    <x:row r="162" spans="1:66" x14ac:dyDescent="0.2">
      <x:c r="A162" s="625"/>
      <x:c r="F162" s="627"/>
      <x:c r="G162" s="627"/>
      <x:c r="H162" s="627"/>
      <x:c r="I162" s="627"/>
      <x:c r="J162" s="627"/>
      <x:c r="K162" s="627"/>
      <x:c r="L162" s="627"/>
      <x:c r="M162" s="627"/>
      <x:c r="N162" s="627"/>
      <x:c r="O162" s="627"/>
      <x:c r="P162" s="627"/>
      <x:c r="Q162" s="627"/>
      <x:c r="R162" s="627"/>
      <x:c r="S162" s="627"/>
      <x:c r="BN162" s="624"/>
    </x:row>
    <x:row r="163" spans="1:66" x14ac:dyDescent="0.2">
      <x:c r="A163" s="625"/>
      <x:c r="B163" s="625"/>
      <x:c r="F163" s="627"/>
      <x:c r="G163" s="627"/>
      <x:c r="H163" s="627"/>
      <x:c r="I163" s="627"/>
      <x:c r="J163" s="627"/>
      <x:c r="K163" s="627"/>
      <x:c r="L163" s="627"/>
      <x:c r="M163" s="627"/>
      <x:c r="N163" s="627"/>
      <x:c r="O163" s="627"/>
      <x:c r="P163" s="627"/>
      <x:c r="Q163" s="627"/>
      <x:c r="R163" s="627"/>
      <x:c r="S163" s="627"/>
      <x:c r="BN163" s="624"/>
    </x:row>
    <x:row r="164" spans="1:66" x14ac:dyDescent="0.2">
      <x:c r="A164" s="625"/>
      <x:c r="F164" s="627"/>
      <x:c r="G164" s="627"/>
      <x:c r="H164" s="627"/>
      <x:c r="I164" s="627"/>
      <x:c r="J164" s="627"/>
      <x:c r="K164" s="627"/>
      <x:c r="L164" s="627"/>
      <x:c r="M164" s="627"/>
      <x:c r="N164" s="627"/>
      <x:c r="O164" s="627"/>
      <x:c r="P164" s="627"/>
      <x:c r="Q164" s="627"/>
      <x:c r="R164" s="627"/>
      <x:c r="S164" s="627"/>
      <x:c r="BN164" s="624"/>
    </x:row>
    <x:row r="165" spans="1:66" x14ac:dyDescent="0.2">
      <x:c r="A165" s="625"/>
      <x:c r="F165" s="627"/>
      <x:c r="G165" s="627"/>
      <x:c r="H165" s="627"/>
      <x:c r="I165" s="627"/>
      <x:c r="J165" s="627"/>
      <x:c r="K165" s="627"/>
      <x:c r="L165" s="627"/>
      <x:c r="M165" s="627"/>
      <x:c r="N165" s="627"/>
      <x:c r="O165" s="627"/>
      <x:c r="P165" s="627"/>
      <x:c r="Q165" s="627"/>
      <x:c r="R165" s="627"/>
      <x:c r="S165" s="627"/>
      <x:c r="BN165" s="624"/>
    </x:row>
    <x:row r="166" spans="1:66" x14ac:dyDescent="0.2">
      <x:c r="A166" s="625"/>
      <x:c r="F166" s="627"/>
      <x:c r="G166" s="627"/>
      <x:c r="H166" s="627"/>
      <x:c r="I166" s="627"/>
      <x:c r="J166" s="627"/>
      <x:c r="K166" s="627"/>
      <x:c r="L166" s="627"/>
      <x:c r="M166" s="627"/>
      <x:c r="N166" s="627"/>
      <x:c r="O166" s="627"/>
      <x:c r="P166" s="627"/>
      <x:c r="Q166" s="627"/>
      <x:c r="R166" s="627"/>
      <x:c r="S166" s="627"/>
      <x:c r="BN166" s="624"/>
    </x:row>
    <x:row r="167" spans="1:66" x14ac:dyDescent="0.2">
      <x:c r="A167" s="625"/>
      <x:c r="F167" s="627"/>
      <x:c r="G167" s="627"/>
      <x:c r="H167" s="627"/>
      <x:c r="I167" s="627"/>
      <x:c r="J167" s="627"/>
      <x:c r="K167" s="627"/>
      <x:c r="L167" s="627"/>
      <x:c r="M167" s="627"/>
      <x:c r="N167" s="627"/>
      <x:c r="O167" s="627"/>
      <x:c r="P167" s="627"/>
      <x:c r="Q167" s="627"/>
      <x:c r="R167" s="627"/>
      <x:c r="S167" s="627"/>
      <x:c r="BN167" s="624"/>
    </x:row>
    <x:row r="168" spans="1:66" x14ac:dyDescent="0.2">
      <x:c r="A168" s="625"/>
      <x:c r="F168" s="627"/>
      <x:c r="G168" s="627"/>
      <x:c r="H168" s="627"/>
      <x:c r="I168" s="627"/>
      <x:c r="J168" s="627"/>
      <x:c r="K168" s="627"/>
      <x:c r="L168" s="627"/>
      <x:c r="M168" s="627"/>
      <x:c r="N168" s="627"/>
      <x:c r="O168" s="627"/>
      <x:c r="P168" s="627"/>
      <x:c r="Q168" s="627"/>
      <x:c r="R168" s="627"/>
      <x:c r="S168" s="627"/>
      <x:c r="BN168" s="624"/>
    </x:row>
    <x:row r="169" spans="1:66" x14ac:dyDescent="0.2">
      <x:c r="A169" s="625"/>
      <x:c r="F169" s="627"/>
      <x:c r="G169" s="627"/>
      <x:c r="H169" s="627"/>
      <x:c r="I169" s="627"/>
      <x:c r="J169" s="627"/>
      <x:c r="K169" s="627"/>
      <x:c r="L169" s="627"/>
      <x:c r="M169" s="627"/>
      <x:c r="N169" s="627"/>
      <x:c r="O169" s="627"/>
      <x:c r="P169" s="627"/>
      <x:c r="Q169" s="627"/>
      <x:c r="R169" s="627"/>
      <x:c r="S169" s="627"/>
      <x:c r="BN169" s="624"/>
    </x:row>
    <x:row r="170" spans="1:66" x14ac:dyDescent="0.2">
      <x:c r="A170" s="625"/>
      <x:c r="F170" s="627"/>
      <x:c r="G170" s="627"/>
      <x:c r="H170" s="627"/>
      <x:c r="I170" s="627"/>
      <x:c r="J170" s="627"/>
      <x:c r="K170" s="627"/>
      <x:c r="L170" s="627"/>
      <x:c r="M170" s="627"/>
      <x:c r="N170" s="627"/>
      <x:c r="O170" s="627"/>
      <x:c r="P170" s="627"/>
      <x:c r="Q170" s="627"/>
      <x:c r="R170" s="627"/>
      <x:c r="S170" s="627"/>
      <x:c r="BN170" s="624"/>
    </x:row>
    <x:row r="171" spans="1:66" x14ac:dyDescent="0.2">
      <x:c r="A171" s="625"/>
      <x:c r="F171" s="627"/>
      <x:c r="G171" s="627"/>
      <x:c r="H171" s="627"/>
      <x:c r="I171" s="627"/>
      <x:c r="J171" s="627"/>
      <x:c r="K171" s="627"/>
      <x:c r="L171" s="627"/>
      <x:c r="M171" s="627"/>
      <x:c r="N171" s="627"/>
      <x:c r="O171" s="627"/>
      <x:c r="P171" s="627"/>
      <x:c r="Q171" s="627"/>
      <x:c r="R171" s="627"/>
      <x:c r="S171" s="627"/>
      <x:c r="BN171" s="624"/>
    </x:row>
    <x:row r="172" spans="1:66" x14ac:dyDescent="0.2">
      <x:c r="A172" s="625"/>
      <x:c r="F172" s="627"/>
      <x:c r="G172" s="627"/>
      <x:c r="H172" s="627"/>
      <x:c r="I172" s="627"/>
      <x:c r="J172" s="627"/>
      <x:c r="K172" s="627"/>
      <x:c r="L172" s="627"/>
      <x:c r="M172" s="627"/>
      <x:c r="N172" s="627"/>
      <x:c r="O172" s="627"/>
      <x:c r="P172" s="627"/>
      <x:c r="Q172" s="627"/>
      <x:c r="R172" s="627"/>
      <x:c r="S172" s="627"/>
      <x:c r="BN172" s="624"/>
    </x:row>
    <x:row r="173" spans="1:66" x14ac:dyDescent="0.2">
      <x:c r="A173" s="625"/>
      <x:c r="F173" s="627"/>
      <x:c r="G173" s="627"/>
      <x:c r="H173" s="627"/>
      <x:c r="I173" s="627"/>
      <x:c r="J173" s="627"/>
      <x:c r="K173" s="627"/>
      <x:c r="L173" s="627"/>
      <x:c r="M173" s="627"/>
      <x:c r="N173" s="627"/>
      <x:c r="O173" s="627"/>
      <x:c r="P173" s="627"/>
      <x:c r="Q173" s="627"/>
      <x:c r="R173" s="627"/>
      <x:c r="S173" s="627"/>
      <x:c r="BN173" s="624"/>
    </x:row>
    <x:row r="174" spans="1:66" x14ac:dyDescent="0.2">
      <x:c r="A174" s="625"/>
      <x:c r="F174" s="627"/>
      <x:c r="G174" s="627"/>
      <x:c r="H174" s="627"/>
      <x:c r="I174" s="627"/>
      <x:c r="J174" s="627"/>
      <x:c r="K174" s="627"/>
      <x:c r="L174" s="627"/>
      <x:c r="M174" s="627"/>
      <x:c r="N174" s="627"/>
      <x:c r="O174" s="627"/>
      <x:c r="P174" s="627"/>
      <x:c r="Q174" s="627"/>
      <x:c r="R174" s="627"/>
      <x:c r="S174" s="627"/>
      <x:c r="BN174" s="624"/>
    </x:row>
    <x:row r="175" spans="1:66" x14ac:dyDescent="0.2">
      <x:c r="A175" s="625"/>
      <x:c r="F175" s="627"/>
      <x:c r="G175" s="627"/>
      <x:c r="H175" s="627"/>
      <x:c r="I175" s="627"/>
      <x:c r="J175" s="627"/>
      <x:c r="K175" s="627"/>
      <x:c r="L175" s="627"/>
      <x:c r="M175" s="627"/>
      <x:c r="N175" s="627"/>
      <x:c r="O175" s="627"/>
      <x:c r="P175" s="627"/>
      <x:c r="Q175" s="627"/>
      <x:c r="R175" s="627"/>
      <x:c r="S175" s="627"/>
      <x:c r="BN175" s="624"/>
    </x:row>
    <x:row r="176" spans="1:66" x14ac:dyDescent="0.2">
      <x:c r="A176" s="625"/>
      <x:c r="F176" s="627"/>
      <x:c r="G176" s="627"/>
      <x:c r="H176" s="627"/>
      <x:c r="I176" s="627"/>
      <x:c r="J176" s="627"/>
      <x:c r="K176" s="627"/>
      <x:c r="L176" s="627"/>
      <x:c r="M176" s="627"/>
      <x:c r="N176" s="627"/>
      <x:c r="O176" s="627"/>
      <x:c r="P176" s="627"/>
      <x:c r="Q176" s="627"/>
      <x:c r="R176" s="627"/>
      <x:c r="S176" s="627"/>
      <x:c r="BN176" s="624"/>
    </x:row>
    <x:row r="177" spans="1:66" x14ac:dyDescent="0.2">
      <x:c r="A177" s="625"/>
      <x:c r="F177" s="627"/>
      <x:c r="G177" s="627"/>
      <x:c r="H177" s="627"/>
      <x:c r="I177" s="627"/>
      <x:c r="J177" s="627"/>
      <x:c r="K177" s="627"/>
      <x:c r="L177" s="627"/>
      <x:c r="M177" s="627"/>
      <x:c r="N177" s="627"/>
      <x:c r="O177" s="627"/>
      <x:c r="P177" s="627"/>
      <x:c r="Q177" s="627"/>
      <x:c r="R177" s="627"/>
      <x:c r="S177" s="627"/>
      <x:c r="BN177" s="624"/>
    </x:row>
    <x:row r="178" spans="1:66" x14ac:dyDescent="0.2">
      <x:c r="A178" s="625"/>
      <x:c r="F178" s="627"/>
      <x:c r="G178" s="627"/>
      <x:c r="H178" s="627"/>
      <x:c r="I178" s="627"/>
      <x:c r="J178" s="627"/>
      <x:c r="K178" s="627"/>
      <x:c r="L178" s="627"/>
      <x:c r="M178" s="627"/>
      <x:c r="N178" s="627"/>
      <x:c r="O178" s="627"/>
      <x:c r="P178" s="627"/>
      <x:c r="Q178" s="627"/>
      <x:c r="R178" s="627"/>
      <x:c r="S178" s="627"/>
      <x:c r="BN178" s="624"/>
    </x:row>
    <x:row r="179" spans="1:66" x14ac:dyDescent="0.2">
      <x:c r="A179" s="625"/>
      <x:c r="F179" s="627"/>
      <x:c r="G179" s="627"/>
      <x:c r="H179" s="627"/>
      <x:c r="I179" s="627"/>
      <x:c r="J179" s="627"/>
      <x:c r="K179" s="627"/>
      <x:c r="L179" s="627"/>
      <x:c r="M179" s="627"/>
      <x:c r="N179" s="627"/>
      <x:c r="O179" s="627"/>
      <x:c r="P179" s="627"/>
      <x:c r="Q179" s="627"/>
      <x:c r="R179" s="627"/>
      <x:c r="S179" s="627"/>
      <x:c r="BN179" s="624"/>
    </x:row>
    <x:row r="180" spans="1:66" x14ac:dyDescent="0.2">
      <x:c r="A180" s="625"/>
      <x:c r="F180" s="627"/>
      <x:c r="G180" s="627"/>
      <x:c r="H180" s="627"/>
      <x:c r="I180" s="627"/>
      <x:c r="J180" s="627"/>
      <x:c r="K180" s="627"/>
      <x:c r="L180" s="627"/>
      <x:c r="M180" s="627"/>
      <x:c r="N180" s="627"/>
      <x:c r="O180" s="627"/>
      <x:c r="P180" s="627"/>
      <x:c r="Q180" s="627"/>
      <x:c r="R180" s="627"/>
      <x:c r="S180" s="627"/>
      <x:c r="BN180" s="624"/>
    </x:row>
    <x:row r="181" spans="1:66" x14ac:dyDescent="0.2">
      <x:c r="A181" s="625"/>
      <x:c r="F181" s="627"/>
      <x:c r="G181" s="627"/>
      <x:c r="H181" s="627"/>
      <x:c r="I181" s="627"/>
      <x:c r="J181" s="627"/>
      <x:c r="K181" s="627"/>
      <x:c r="L181" s="627"/>
      <x:c r="M181" s="627"/>
      <x:c r="N181" s="627"/>
      <x:c r="O181" s="627"/>
      <x:c r="P181" s="627"/>
      <x:c r="Q181" s="627"/>
      <x:c r="R181" s="627"/>
      <x:c r="S181" s="627"/>
      <x:c r="BN181" s="624"/>
    </x:row>
    <x:row r="182" spans="1:66" x14ac:dyDescent="0.2">
      <x:c r="A182" s="625"/>
      <x:c r="F182" s="627"/>
      <x:c r="G182" s="627"/>
      <x:c r="H182" s="627"/>
      <x:c r="I182" s="627"/>
      <x:c r="J182" s="627"/>
      <x:c r="K182" s="627"/>
      <x:c r="L182" s="627"/>
      <x:c r="M182" s="627"/>
      <x:c r="N182" s="627"/>
      <x:c r="O182" s="627"/>
      <x:c r="P182" s="627"/>
      <x:c r="Q182" s="627"/>
      <x:c r="R182" s="627"/>
      <x:c r="S182" s="627"/>
      <x:c r="BN182" s="624"/>
    </x:row>
    <x:row r="183" spans="1:66" x14ac:dyDescent="0.2">
      <x:c r="A183" s="625"/>
      <x:c r="F183" s="627"/>
      <x:c r="G183" s="627"/>
      <x:c r="H183" s="627"/>
      <x:c r="I183" s="627"/>
      <x:c r="J183" s="627"/>
      <x:c r="K183" s="627"/>
      <x:c r="L183" s="627"/>
      <x:c r="M183" s="627"/>
      <x:c r="N183" s="627"/>
      <x:c r="O183" s="627"/>
      <x:c r="P183" s="627"/>
      <x:c r="Q183" s="627"/>
      <x:c r="R183" s="627"/>
      <x:c r="S183" s="627"/>
      <x:c r="BN183" s="624"/>
    </x:row>
    <x:row r="184" spans="1:66" x14ac:dyDescent="0.2">
      <x:c r="A184" s="625"/>
      <x:c r="F184" s="627"/>
      <x:c r="G184" s="627"/>
      <x:c r="H184" s="627"/>
      <x:c r="I184" s="627"/>
      <x:c r="J184" s="627"/>
      <x:c r="K184" s="627"/>
      <x:c r="L184" s="627"/>
      <x:c r="M184" s="627"/>
      <x:c r="N184" s="627"/>
      <x:c r="O184" s="627"/>
      <x:c r="P184" s="627"/>
      <x:c r="Q184" s="627"/>
      <x:c r="R184" s="627"/>
      <x:c r="S184" s="627"/>
      <x:c r="BN184" s="624"/>
    </x:row>
    <x:row r="185" spans="1:66" x14ac:dyDescent="0.2">
      <x:c r="A185" s="625"/>
      <x:c r="F185" s="627"/>
      <x:c r="G185" s="627"/>
      <x:c r="H185" s="627"/>
      <x:c r="I185" s="627"/>
      <x:c r="J185" s="627"/>
      <x:c r="K185" s="627"/>
      <x:c r="L185" s="627"/>
      <x:c r="M185" s="627"/>
      <x:c r="N185" s="627"/>
      <x:c r="O185" s="627"/>
      <x:c r="P185" s="627"/>
      <x:c r="Q185" s="627"/>
      <x:c r="R185" s="627"/>
      <x:c r="S185" s="627"/>
      <x:c r="BN185" s="624"/>
    </x:row>
    <x:row r="186" spans="1:66" x14ac:dyDescent="0.2">
      <x:c r="A186" s="625"/>
      <x:c r="F186" s="627"/>
      <x:c r="G186" s="627"/>
      <x:c r="H186" s="627"/>
      <x:c r="I186" s="627"/>
      <x:c r="J186" s="627"/>
      <x:c r="K186" s="627"/>
      <x:c r="L186" s="627"/>
      <x:c r="M186" s="627"/>
      <x:c r="N186" s="627"/>
      <x:c r="O186" s="627"/>
      <x:c r="P186" s="627"/>
      <x:c r="Q186" s="627"/>
      <x:c r="R186" s="627"/>
      <x:c r="S186" s="627"/>
      <x:c r="BN186" s="624"/>
    </x:row>
    <x:row r="187" spans="1:66" x14ac:dyDescent="0.2">
      <x:c r="A187" s="625"/>
      <x:c r="F187" s="627"/>
      <x:c r="G187" s="627"/>
      <x:c r="H187" s="627"/>
      <x:c r="I187" s="627"/>
      <x:c r="J187" s="627"/>
      <x:c r="K187" s="627"/>
      <x:c r="L187" s="627"/>
      <x:c r="M187" s="627"/>
      <x:c r="N187" s="627"/>
      <x:c r="O187" s="627"/>
      <x:c r="P187" s="627"/>
      <x:c r="Q187" s="627"/>
      <x:c r="R187" s="627"/>
      <x:c r="S187" s="627"/>
      <x:c r="BN187" s="624"/>
    </x:row>
    <x:row r="188" spans="1:66" x14ac:dyDescent="0.2">
      <x:c r="A188" s="625"/>
      <x:c r="F188" s="627"/>
      <x:c r="G188" s="627"/>
      <x:c r="H188" s="627"/>
      <x:c r="I188" s="627"/>
      <x:c r="J188" s="627"/>
      <x:c r="K188" s="627"/>
      <x:c r="L188" s="627"/>
      <x:c r="M188" s="627"/>
      <x:c r="N188" s="627"/>
      <x:c r="O188" s="627"/>
      <x:c r="P188" s="627"/>
      <x:c r="Q188" s="627"/>
      <x:c r="R188" s="627"/>
      <x:c r="S188" s="627"/>
      <x:c r="BN188" s="624"/>
    </x:row>
    <x:row r="189" spans="1:66" x14ac:dyDescent="0.2">
      <x:c r="A189" s="625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R189" s="627"/>
      <x:c r="S189" s="627"/>
      <x:c r="BN189" s="624"/>
    </x:row>
    <x:row r="190" spans="1:66" x14ac:dyDescent="0.2">
      <x:c r="A190" s="625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R190" s="627"/>
      <x:c r="S190" s="627"/>
      <x:c r="BN190" s="624"/>
    </x:row>
    <x:row r="191" spans="1:66" x14ac:dyDescent="0.2">
      <x:c r="A191" s="625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R191" s="627"/>
      <x:c r="S191" s="627"/>
      <x:c r="BN191" s="624"/>
    </x:row>
    <x:row r="192" spans="1:66" x14ac:dyDescent="0.2">
      <x:c r="A192" s="625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R192" s="627"/>
      <x:c r="S192" s="627"/>
      <x:c r="BN192" s="624"/>
    </x:row>
    <x:row r="193" spans="1:66" x14ac:dyDescent="0.2">
      <x:c r="A193" s="625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R193" s="627"/>
      <x:c r="S193" s="627"/>
      <x:c r="BN193" s="624"/>
    </x:row>
    <x:row r="194" spans="1:66" x14ac:dyDescent="0.2">
      <x:c r="C194" s="770" t="s">
        <x:v>2</x:v>
      </x:c>
      <x:c r="D194" s="768" t="s">
        <x:v>132</x:v>
      </x:c>
      <x:c r="E194" s="639" t="s">
        <x:v>70</x:v>
      </x:c>
      <x:c r="F194" s="640">
        <x:f>F129+F150-L129+F91-L91</x:f>
        <x:v>0</x:v>
      </x:c>
      <x:c r="G194" s="640">
        <x:f>G129+G91</x:f>
        <x:v>0</x:v>
      </x:c>
      <x:c r="H194" s="640">
        <x:f t="shared" ref="H194:AP194" si="6">H129+H91</x:f>
        <x:v>0</x:v>
      </x:c>
      <x:c r="I194" s="640">
        <x:f t="shared" si="6"/>
        <x:v>0</x:v>
      </x:c>
      <x:c r="J194" s="640">
        <x:f t="shared" si="6"/>
        <x:v>0</x:v>
      </x:c>
      <x:c r="K194" s="640">
        <x:f t="shared" si="6"/>
        <x:v>0</x:v>
      </x:c>
      <x:c r="L194" s="640">
        <x:f t="shared" si="6"/>
        <x:v>0</x:v>
      </x:c>
      <x:c r="M194" s="640">
        <x:f t="shared" si="6"/>
        <x:v>0</x:v>
      </x:c>
      <x:c r="N194" s="640">
        <x:f t="shared" si="6"/>
        <x:v>0</x:v>
      </x:c>
      <x:c r="O194" s="640">
        <x:f t="shared" si="6"/>
        <x:v>0</x:v>
      </x:c>
      <x:c r="P194" s="640">
        <x:f t="shared" si="6"/>
        <x:v>0</x:v>
      </x:c>
      <x:c r="Q194" s="640">
        <x:f t="shared" si="6"/>
        <x:v>0</x:v>
      </x:c>
      <x:c r="R194" s="640">
        <x:f t="shared" si="6"/>
        <x:v>0</x:v>
      </x:c>
      <x:c r="S194" s="640">
        <x:f t="shared" si="6"/>
        <x:v>0</x:v>
      </x:c>
      <x:c r="T194" s="640">
        <x:f t="shared" si="6"/>
        <x:v>0</x:v>
      </x:c>
      <x:c r="U194" s="640">
        <x:f t="shared" si="6"/>
        <x:v>0</x:v>
      </x:c>
      <x:c r="V194" s="640">
        <x:f t="shared" si="6"/>
        <x:v>0</x:v>
      </x:c>
      <x:c r="W194" s="640">
        <x:f t="shared" si="6"/>
        <x:v>0</x:v>
      </x:c>
      <x:c r="X194" s="640">
        <x:f t="shared" si="6"/>
        <x:v>0</x:v>
      </x:c>
      <x:c r="Y194" s="640">
        <x:f t="shared" si="6"/>
        <x:v>0</x:v>
      </x:c>
      <x:c r="Z194" s="640">
        <x:f t="shared" si="6"/>
        <x:v>0</x:v>
      </x:c>
      <x:c r="AA194" s="640">
        <x:f t="shared" si="6"/>
        <x:v>0</x:v>
      </x:c>
      <x:c r="AB194" s="640">
        <x:f t="shared" si="6"/>
        <x:v>0</x:v>
      </x:c>
      <x:c r="AC194" s="640">
        <x:f t="shared" si="6"/>
        <x:v>0</x:v>
      </x:c>
      <x:c r="AD194" s="640">
        <x:f t="shared" si="6"/>
        <x:v>0</x:v>
      </x:c>
      <x:c r="AE194" s="640">
        <x:f t="shared" si="6"/>
        <x:v>0</x:v>
      </x:c>
      <x:c r="AF194" s="640">
        <x:f t="shared" si="6"/>
        <x:v>0</x:v>
      </x:c>
      <x:c r="AG194" s="640">
        <x:f t="shared" si="6"/>
        <x:v>0</x:v>
      </x:c>
      <x:c r="AH194" s="640">
        <x:f t="shared" si="6"/>
        <x:v>0</x:v>
      </x:c>
      <x:c r="AI194" s="640">
        <x:f t="shared" si="6"/>
        <x:v>0</x:v>
      </x:c>
      <x:c r="AJ194" s="640">
        <x:f t="shared" si="6"/>
        <x:v>0</x:v>
      </x:c>
      <x:c r="AK194" s="640">
        <x:f t="shared" si="6"/>
        <x:v>0</x:v>
      </x:c>
      <x:c r="AL194" s="640">
        <x:f t="shared" si="6"/>
        <x:v>0</x:v>
      </x:c>
      <x:c r="AM194" s="640">
        <x:f t="shared" si="6"/>
        <x:v>0</x:v>
      </x:c>
      <x:c r="AN194" s="640">
        <x:f t="shared" si="6"/>
        <x:v>0</x:v>
      </x:c>
      <x:c r="AO194" s="640">
        <x:f t="shared" si="6"/>
        <x:v>0</x:v>
      </x:c>
      <x:c r="AP194" s="640">
        <x:f t="shared" si="6"/>
        <x:v>0</x:v>
      </x:c>
      <x:c r="BN194" s="624"/>
    </x:row>
    <x:row r="195" spans="1:66" x14ac:dyDescent="0.2">
      <x:c r="C195" s="770"/>
      <x:c r="D195" s="768"/>
      <x:c r="E195" s="639" t="s">
        <x:v>73</x:v>
      </x:c>
      <x:c r="F195" s="640">
        <x:f>F150</x:f>
        <x:v>0</x:v>
      </x:c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R195" s="627"/>
      <x:c r="S195" s="627"/>
      <x:c r="BN195" s="624"/>
    </x:row>
    <x:row r="196" spans="1:66" x14ac:dyDescent="0.2">
      <x:c r="C196" s="770"/>
      <x:c r="D196" s="768" t="s">
        <x:v>133</x:v>
      </x:c>
      <x:c r="E196" s="645" t="s">
        <x:v>70</x:v>
      </x:c>
      <x:c r="F196" s="646">
        <x:f>F139+F104-L104</x:f>
        <x:v>0</x:v>
      </x:c>
      <x:c r="G196" s="646">
        <x:f>G104</x:f>
        <x:v>0</x:v>
      </x:c>
      <x:c r="H196" s="646">
        <x:f t="shared" ref="H196:AP196" si="7">H104</x:f>
        <x:v>0</x:v>
      </x:c>
      <x:c r="I196" s="646">
        <x:f t="shared" si="7"/>
        <x:v>0</x:v>
      </x:c>
      <x:c r="J196" s="646">
        <x:f t="shared" si="7"/>
        <x:v>0</x:v>
      </x:c>
      <x:c r="K196" s="646">
        <x:f t="shared" si="7"/>
        <x:v>0</x:v>
      </x:c>
      <x:c r="L196" s="646">
        <x:f t="shared" si="7"/>
        <x:v>0</x:v>
      </x:c>
      <x:c r="M196" s="646">
        <x:f t="shared" si="7"/>
        <x:v>0</x:v>
      </x:c>
      <x:c r="N196" s="646">
        <x:f t="shared" si="7"/>
        <x:v>0</x:v>
      </x:c>
      <x:c r="O196" s="646">
        <x:f t="shared" si="7"/>
        <x:v>0</x:v>
      </x:c>
      <x:c r="P196" s="646">
        <x:f t="shared" si="7"/>
        <x:v>0</x:v>
      </x:c>
      <x:c r="Q196" s="646">
        <x:f t="shared" si="7"/>
        <x:v>0</x:v>
      </x:c>
      <x:c r="R196" s="646">
        <x:f t="shared" si="7"/>
        <x:v>0</x:v>
      </x:c>
      <x:c r="S196" s="646">
        <x:f t="shared" si="7"/>
        <x:v>0</x:v>
      </x:c>
      <x:c r="T196" s="646">
        <x:f t="shared" si="7"/>
        <x:v>0</x:v>
      </x:c>
      <x:c r="U196" s="646">
        <x:f t="shared" si="7"/>
        <x:v>0</x:v>
      </x:c>
      <x:c r="V196" s="646">
        <x:f t="shared" si="7"/>
        <x:v>0</x:v>
      </x:c>
      <x:c r="W196" s="646">
        <x:f t="shared" si="7"/>
        <x:v>0</x:v>
      </x:c>
      <x:c r="X196" s="646">
        <x:f t="shared" si="7"/>
        <x:v>0</x:v>
      </x:c>
      <x:c r="Y196" s="646">
        <x:f t="shared" si="7"/>
        <x:v>0</x:v>
      </x:c>
      <x:c r="Z196" s="646">
        <x:f t="shared" si="7"/>
        <x:v>0</x:v>
      </x:c>
      <x:c r="AA196" s="646">
        <x:f t="shared" si="7"/>
        <x:v>0</x:v>
      </x:c>
      <x:c r="AB196" s="646">
        <x:f t="shared" si="7"/>
        <x:v>0</x:v>
      </x:c>
      <x:c r="AC196" s="646">
        <x:f t="shared" si="7"/>
        <x:v>0</x:v>
      </x:c>
      <x:c r="AD196" s="646">
        <x:f t="shared" si="7"/>
        <x:v>0</x:v>
      </x:c>
      <x:c r="AE196" s="646">
        <x:f t="shared" si="7"/>
        <x:v>0</x:v>
      </x:c>
      <x:c r="AF196" s="646">
        <x:f t="shared" si="7"/>
        <x:v>0</x:v>
      </x:c>
      <x:c r="AG196" s="646">
        <x:f t="shared" si="7"/>
        <x:v>0</x:v>
      </x:c>
      <x:c r="AH196" s="646">
        <x:f t="shared" si="7"/>
        <x:v>0</x:v>
      </x:c>
      <x:c r="AI196" s="646">
        <x:f t="shared" si="7"/>
        <x:v>0</x:v>
      </x:c>
      <x:c r="AJ196" s="646">
        <x:f t="shared" si="7"/>
        <x:v>0</x:v>
      </x:c>
      <x:c r="AK196" s="646">
        <x:f t="shared" si="7"/>
        <x:v>0</x:v>
      </x:c>
      <x:c r="AL196" s="646">
        <x:f t="shared" si="7"/>
        <x:v>0</x:v>
      </x:c>
      <x:c r="AM196" s="646">
        <x:f t="shared" si="7"/>
        <x:v>0</x:v>
      </x:c>
      <x:c r="AN196" s="646">
        <x:f t="shared" si="7"/>
        <x:v>0</x:v>
      </x:c>
      <x:c r="AO196" s="646">
        <x:f t="shared" si="7"/>
        <x:v>0</x:v>
      </x:c>
      <x:c r="AP196" s="646">
        <x:f t="shared" si="7"/>
        <x:v>0</x:v>
      </x:c>
      <x:c r="BN196" s="624"/>
    </x:row>
    <x:row r="197" spans="1:66" x14ac:dyDescent="0.2">
      <x:c r="C197" s="770"/>
      <x:c r="D197" s="768"/>
      <x:c r="E197" s="645" t="s">
        <x:v>73</x:v>
      </x:c>
      <x:c r="F197" s="646">
        <x:f>F139</x:f>
        <x:v>0</x:v>
      </x:c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R197" s="627"/>
      <x:c r="BN197" s="624"/>
    </x:row>
    <x:row r="198" spans="1:66" ht="15" x14ac:dyDescent="0.25">
      <x:c r="A198" s="625"/>
      <x:c r="C198" s="50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R198" s="627"/>
      <x:c r="S198" s="627"/>
      <x:c r="BN198" s="624"/>
    </x:row>
    <x:row r="199" spans="1:66" x14ac:dyDescent="0.2">
      <x:c r="C199" s="770" t="s">
        <x:v>160</x:v>
      </x:c>
      <x:c r="D199" s="768" t="s">
        <x:v>132</x:v>
      </x:c>
      <x:c r="E199" s="647" t="s">
        <x:v>70</x:v>
      </x:c>
      <x:c r="F199" s="648">
        <x:f>F149+F118-L118</x:f>
        <x:v>0</x:v>
      </x:c>
      <x:c r="G199" s="648">
        <x:f>G118</x:f>
        <x:v>0</x:v>
      </x:c>
      <x:c r="H199" s="648">
        <x:f t="shared" ref="H199:AP199" si="8">H118</x:f>
        <x:v>0</x:v>
      </x:c>
      <x:c r="I199" s="648">
        <x:f t="shared" si="8"/>
        <x:v>0</x:v>
      </x:c>
      <x:c r="J199" s="648">
        <x:f t="shared" si="8"/>
        <x:v>0</x:v>
      </x:c>
      <x:c r="K199" s="648">
        <x:f t="shared" si="8"/>
        <x:v>0</x:v>
      </x:c>
      <x:c r="L199" s="648">
        <x:f t="shared" si="8"/>
        <x:v>0</x:v>
      </x:c>
      <x:c r="M199" s="648">
        <x:f t="shared" si="8"/>
        <x:v>0</x:v>
      </x:c>
      <x:c r="N199" s="648">
        <x:f t="shared" si="8"/>
        <x:v>0</x:v>
      </x:c>
      <x:c r="O199" s="648">
        <x:f t="shared" si="8"/>
        <x:v>0</x:v>
      </x:c>
      <x:c r="P199" s="648">
        <x:f t="shared" si="8"/>
        <x:v>0</x:v>
      </x:c>
      <x:c r="Q199" s="648">
        <x:f t="shared" si="8"/>
        <x:v>0</x:v>
      </x:c>
      <x:c r="R199" s="648">
        <x:f t="shared" si="8"/>
        <x:v>0</x:v>
      </x:c>
      <x:c r="S199" s="648">
        <x:f t="shared" si="8"/>
        <x:v>0</x:v>
      </x:c>
      <x:c r="T199" s="648">
        <x:f t="shared" si="8"/>
        <x:v>0</x:v>
      </x:c>
      <x:c r="U199" s="648">
        <x:f t="shared" si="8"/>
        <x:v>0</x:v>
      </x:c>
      <x:c r="V199" s="648">
        <x:f t="shared" si="8"/>
        <x:v>0</x:v>
      </x:c>
      <x:c r="W199" s="648">
        <x:f t="shared" si="8"/>
        <x:v>0</x:v>
      </x:c>
      <x:c r="X199" s="648">
        <x:f t="shared" si="8"/>
        <x:v>0</x:v>
      </x:c>
      <x:c r="Y199" s="648">
        <x:f t="shared" si="8"/>
        <x:v>0</x:v>
      </x:c>
      <x:c r="Z199" s="648">
        <x:f t="shared" si="8"/>
        <x:v>0</x:v>
      </x:c>
      <x:c r="AA199" s="648">
        <x:f t="shared" si="8"/>
        <x:v>0</x:v>
      </x:c>
      <x:c r="AB199" s="648">
        <x:f t="shared" si="8"/>
        <x:v>0</x:v>
      </x:c>
      <x:c r="AC199" s="648">
        <x:f t="shared" si="8"/>
        <x:v>0</x:v>
      </x:c>
      <x:c r="AD199" s="648">
        <x:f t="shared" si="8"/>
        <x:v>0</x:v>
      </x:c>
      <x:c r="AE199" s="648">
        <x:f t="shared" si="8"/>
        <x:v>0</x:v>
      </x:c>
      <x:c r="AF199" s="648">
        <x:f t="shared" si="8"/>
        <x:v>0</x:v>
      </x:c>
      <x:c r="AG199" s="648">
        <x:f t="shared" si="8"/>
        <x:v>0</x:v>
      </x:c>
      <x:c r="AH199" s="648">
        <x:f t="shared" si="8"/>
        <x:v>0</x:v>
      </x:c>
      <x:c r="AI199" s="648">
        <x:f t="shared" si="8"/>
        <x:v>0</x:v>
      </x:c>
      <x:c r="AJ199" s="648">
        <x:f t="shared" si="8"/>
        <x:v>0</x:v>
      </x:c>
      <x:c r="AK199" s="648">
        <x:f t="shared" si="8"/>
        <x:v>0</x:v>
      </x:c>
      <x:c r="AL199" s="648">
        <x:f t="shared" si="8"/>
        <x:v>0</x:v>
      </x:c>
      <x:c r="AM199" s="648">
        <x:f t="shared" si="8"/>
        <x:v>0</x:v>
      </x:c>
      <x:c r="AN199" s="648">
        <x:f t="shared" si="8"/>
        <x:v>0</x:v>
      </x:c>
      <x:c r="AO199" s="648">
        <x:f t="shared" si="8"/>
        <x:v>0</x:v>
      </x:c>
      <x:c r="AP199" s="648">
        <x:f t="shared" si="8"/>
        <x:v>0</x:v>
      </x:c>
      <x:c r="BN199" s="624"/>
    </x:row>
    <x:row r="200" spans="1:66" x14ac:dyDescent="0.2">
      <x:c r="C200" s="770"/>
      <x:c r="D200" s="768"/>
      <x:c r="E200" s="647" t="s">
        <x:v>73</x:v>
      </x:c>
      <x:c r="F200" s="648">
        <x:f>F149</x:f>
        <x:v>0</x:v>
      </x:c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R200" s="627"/>
      <x:c r="S200" s="627"/>
      <x:c r="BN200" s="624"/>
    </x:row>
    <x:row r="201" spans="1:66" x14ac:dyDescent="0.2">
      <x:c r="C201" s="770"/>
      <x:c r="D201" s="768" t="s">
        <x:v>133</x:v>
      </x:c>
      <x:c r="E201" s="649" t="s">
        <x:v>70</x:v>
      </x:c>
      <x:c r="F201" s="650">
        <x:v>0</x:v>
      </x:c>
      <x:c r="G201" s="650">
        <x:v>0</x:v>
      </x:c>
      <x:c r="H201" s="650">
        <x:v>0</x:v>
      </x:c>
      <x:c r="I201" s="650">
        <x:v>0</x:v>
      </x:c>
      <x:c r="J201" s="650">
        <x:v>0</x:v>
      </x:c>
      <x:c r="K201" s="650">
        <x:v>0</x:v>
      </x:c>
      <x:c r="L201" s="650">
        <x:v>0</x:v>
      </x:c>
      <x:c r="M201" s="650">
        <x:v>0</x:v>
      </x:c>
      <x:c r="N201" s="650">
        <x:v>0</x:v>
      </x:c>
      <x:c r="O201" s="650">
        <x:v>0</x:v>
      </x:c>
      <x:c r="P201" s="650">
        <x:v>0</x:v>
      </x:c>
      <x:c r="Q201" s="650">
        <x:v>0</x:v>
      </x:c>
      <x:c r="R201" s="650">
        <x:v>0</x:v>
      </x:c>
      <x:c r="S201" s="650">
        <x:v>0</x:v>
      </x:c>
      <x:c r="T201" s="650">
        <x:v>0</x:v>
      </x:c>
      <x:c r="U201" s="650">
        <x:v>0</x:v>
      </x:c>
      <x:c r="V201" s="650">
        <x:v>0</x:v>
      </x:c>
      <x:c r="W201" s="650">
        <x:v>0</x:v>
      </x:c>
      <x:c r="X201" s="650">
        <x:v>0</x:v>
      </x:c>
      <x:c r="Y201" s="650">
        <x:v>0</x:v>
      </x:c>
      <x:c r="Z201" s="650">
        <x:v>0</x:v>
      </x:c>
      <x:c r="AA201" s="650">
        <x:v>0</x:v>
      </x:c>
      <x:c r="AB201" s="650">
        <x:v>0</x:v>
      </x:c>
      <x:c r="AC201" s="650">
        <x:v>0</x:v>
      </x:c>
      <x:c r="AD201" s="650">
        <x:v>0</x:v>
      </x:c>
      <x:c r="AE201" s="650">
        <x:v>0</x:v>
      </x:c>
      <x:c r="AF201" s="650">
        <x:v>0</x:v>
      </x:c>
      <x:c r="AG201" s="650">
        <x:v>0</x:v>
      </x:c>
      <x:c r="AH201" s="650">
        <x:v>0</x:v>
      </x:c>
      <x:c r="AI201" s="650">
        <x:v>0</x:v>
      </x:c>
      <x:c r="AJ201" s="650">
        <x:v>0</x:v>
      </x:c>
      <x:c r="AK201" s="650">
        <x:v>0</x:v>
      </x:c>
      <x:c r="AL201" s="650">
        <x:v>0</x:v>
      </x:c>
      <x:c r="AM201" s="650">
        <x:v>0</x:v>
      </x:c>
      <x:c r="AN201" s="650">
        <x:v>0</x:v>
      </x:c>
      <x:c r="AO201" s="650">
        <x:v>0</x:v>
      </x:c>
      <x:c r="AP201" s="650">
        <x:v>0</x:v>
      </x:c>
      <x:c r="BN201" s="624"/>
    </x:row>
    <x:row r="202" spans="1:66" x14ac:dyDescent="0.2">
      <x:c r="C202" s="770"/>
      <x:c r="D202" s="768"/>
      <x:c r="E202" s="649" t="s">
        <x:v>73</x:v>
      </x:c>
      <x:c r="F202" s="650">
        <x:v>0</x:v>
      </x:c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R202" s="627"/>
      <x:c r="BN202" s="624"/>
    </x:row>
    <x:row r="203" spans="1:66" ht="15" x14ac:dyDescent="0.25">
      <x:c r="A203" s="625"/>
      <x:c r="C203" s="50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R203" s="627"/>
      <x:c r="S203" s="627"/>
      <x:c r="BN203" s="624"/>
    </x:row>
    <x:row r="204" spans="1:66" x14ac:dyDescent="0.2">
      <x:c r="C204" s="770" t="s">
        <x:v>155</x:v>
      </x:c>
      <x:c r="D204" s="768" t="s">
        <x:v>132</x:v>
      </x:c>
      <x:c r="E204" s="651" t="s">
        <x:v>70</x:v>
      </x:c>
      <x:c r="F204" s="652">
        <x:f>F142+F108+F87--L87-L108</x:f>
        <x:v>0</x:v>
      </x:c>
      <x:c r="G204" s="652">
        <x:f t="shared" ref="G204:AA204" si="9">G108+G87</x:f>
        <x:v>0</x:v>
      </x:c>
      <x:c r="H204" s="652">
        <x:f t="shared" si="9"/>
        <x:v>0</x:v>
      </x:c>
      <x:c r="I204" s="652">
        <x:f t="shared" si="9"/>
        <x:v>0</x:v>
      </x:c>
      <x:c r="J204" s="652">
        <x:f t="shared" si="9"/>
        <x:v>0</x:v>
      </x:c>
      <x:c r="K204" s="652">
        <x:f t="shared" si="9"/>
        <x:v>0</x:v>
      </x:c>
      <x:c r="L204" s="652">
        <x:f t="shared" si="9"/>
        <x:v>0</x:v>
      </x:c>
      <x:c r="M204" s="652">
        <x:f t="shared" si="9"/>
        <x:v>0</x:v>
      </x:c>
      <x:c r="N204" s="652">
        <x:f t="shared" si="9"/>
        <x:v>0</x:v>
      </x:c>
      <x:c r="O204" s="652">
        <x:f t="shared" si="9"/>
        <x:v>0</x:v>
      </x:c>
      <x:c r="P204" s="652">
        <x:f t="shared" si="9"/>
        <x:v>0</x:v>
      </x:c>
      <x:c r="Q204" s="652">
        <x:f t="shared" si="9"/>
        <x:v>0</x:v>
      </x:c>
      <x:c r="R204" s="652">
        <x:f t="shared" si="9"/>
        <x:v>0</x:v>
      </x:c>
      <x:c r="S204" s="652">
        <x:f t="shared" si="9"/>
        <x:v>0</x:v>
      </x:c>
      <x:c r="T204" s="652">
        <x:f t="shared" si="9"/>
        <x:v>0</x:v>
      </x:c>
      <x:c r="U204" s="652">
        <x:f t="shared" si="9"/>
        <x:v>0</x:v>
      </x:c>
      <x:c r="V204" s="652">
        <x:f t="shared" si="9"/>
        <x:v>0</x:v>
      </x:c>
      <x:c r="W204" s="652">
        <x:f t="shared" si="9"/>
        <x:v>0</x:v>
      </x:c>
      <x:c r="X204" s="652">
        <x:f t="shared" si="9"/>
        <x:v>0</x:v>
      </x:c>
      <x:c r="Y204" s="652">
        <x:f t="shared" si="9"/>
        <x:v>0</x:v>
      </x:c>
      <x:c r="Z204" s="652">
        <x:f t="shared" si="9"/>
        <x:v>0</x:v>
      </x:c>
      <x:c r="AA204" s="652">
        <x:f t="shared" si="9"/>
        <x:v>0</x:v>
      </x:c>
      <x:c r="BN204" s="624"/>
    </x:row>
    <x:row r="205" spans="1:66" x14ac:dyDescent="0.2">
      <x:c r="C205" s="770"/>
      <x:c r="D205" s="768"/>
      <x:c r="E205" s="651" t="s">
        <x:v>73</x:v>
      </x:c>
      <x:c r="F205" s="652">
        <x:f>F142</x:f>
        <x:v>0</x:v>
      </x:c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R205" s="627"/>
      <x:c r="S205" s="627"/>
      <x:c r="BN205" s="624"/>
    </x:row>
    <x:row r="206" spans="1:66" x14ac:dyDescent="0.2">
      <x:c r="C206" s="770"/>
      <x:c r="D206" s="768" t="s">
        <x:v>133</x:v>
      </x:c>
      <x:c r="E206" s="629" t="s">
        <x:v>70</x:v>
      </x:c>
      <x:c r="F206" s="630">
        <x:f>F133+F96-L96</x:f>
        <x:v>0</x:v>
      </x:c>
      <x:c r="G206" s="630">
        <x:f>G96</x:f>
        <x:v>0</x:v>
      </x:c>
      <x:c r="H206" s="630">
        <x:f t="shared" ref="H206:AA206" si="10">H96</x:f>
        <x:v>0</x:v>
      </x:c>
      <x:c r="I206" s="630">
        <x:f t="shared" si="10"/>
        <x:v>0</x:v>
      </x:c>
      <x:c r="J206" s="630">
        <x:f t="shared" si="10"/>
        <x:v>0</x:v>
      </x:c>
      <x:c r="K206" s="630">
        <x:f t="shared" si="10"/>
        <x:v>0</x:v>
      </x:c>
      <x:c r="L206" s="630">
        <x:f t="shared" si="10"/>
        <x:v>0</x:v>
      </x:c>
      <x:c r="M206" s="630">
        <x:f t="shared" si="10"/>
        <x:v>0</x:v>
      </x:c>
      <x:c r="N206" s="630">
        <x:f t="shared" si="10"/>
        <x:v>0</x:v>
      </x:c>
      <x:c r="O206" s="630">
        <x:f t="shared" si="10"/>
        <x:v>0</x:v>
      </x:c>
      <x:c r="P206" s="630">
        <x:f t="shared" si="10"/>
        <x:v>0</x:v>
      </x:c>
      <x:c r="Q206" s="630">
        <x:f t="shared" si="10"/>
        <x:v>0</x:v>
      </x:c>
      <x:c r="R206" s="630">
        <x:f t="shared" si="10"/>
        <x:v>0</x:v>
      </x:c>
      <x:c r="S206" s="630">
        <x:f t="shared" si="10"/>
        <x:v>0</x:v>
      </x:c>
      <x:c r="T206" s="630">
        <x:f t="shared" si="10"/>
        <x:v>0</x:v>
      </x:c>
      <x:c r="U206" s="630">
        <x:f t="shared" si="10"/>
        <x:v>0</x:v>
      </x:c>
      <x:c r="V206" s="630">
        <x:f t="shared" si="10"/>
        <x:v>0</x:v>
      </x:c>
      <x:c r="W206" s="630">
        <x:f t="shared" si="10"/>
        <x:v>0</x:v>
      </x:c>
      <x:c r="X206" s="630">
        <x:f t="shared" si="10"/>
        <x:v>0</x:v>
      </x:c>
      <x:c r="Y206" s="630">
        <x:f t="shared" si="10"/>
        <x:v>0</x:v>
      </x:c>
      <x:c r="Z206" s="630">
        <x:f t="shared" si="10"/>
        <x:v>0</x:v>
      </x:c>
      <x:c r="AA206" s="630">
        <x:f t="shared" si="10"/>
        <x:v>0</x:v>
      </x:c>
      <x:c r="BN206" s="624"/>
    </x:row>
    <x:row r="207" spans="1:66" x14ac:dyDescent="0.2">
      <x:c r="C207" s="770"/>
      <x:c r="D207" s="768"/>
      <x:c r="E207" s="629" t="s">
        <x:v>73</x:v>
      </x:c>
      <x:c r="F207" s="630">
        <x:f>F133</x:f>
        <x:v>0</x:v>
      </x:c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R207" s="627"/>
      <x:c r="BN207" s="624"/>
    </x:row>
    <x:row r="208" spans="1:66" ht="15" x14ac:dyDescent="0.25">
      <x:c r="A208" s="625"/>
      <x:c r="C208" s="50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R208" s="627"/>
      <x:c r="S208" s="627"/>
      <x:c r="BN208" s="624"/>
    </x:row>
    <x:row r="209" spans="1:66" x14ac:dyDescent="0.2">
      <x:c r="C209" s="771" t="s">
        <x:v>326</x:v>
      </x:c>
      <x:c r="D209" s="768" t="s">
        <x:v>132</x:v>
      </x:c>
      <x:c r="E209" s="654" t="s">
        <x:v>70</x:v>
      </x:c>
      <x:c r="F209" s="655">
        <x:v>0</x:v>
      </x:c>
      <x:c r="G209" s="655">
        <x:v>0</x:v>
      </x:c>
      <x:c r="H209" s="655">
        <x:v>0</x:v>
      </x:c>
      <x:c r="I209" s="655">
        <x:v>0</x:v>
      </x:c>
      <x:c r="J209" s="655">
        <x:v>0</x:v>
      </x:c>
      <x:c r="K209" s="655">
        <x:v>0</x:v>
      </x:c>
      <x:c r="L209" s="655">
        <x:v>0</x:v>
      </x:c>
      <x:c r="M209" s="655">
        <x:v>0</x:v>
      </x:c>
      <x:c r="N209" s="655">
        <x:v>0</x:v>
      </x:c>
      <x:c r="O209" s="655">
        <x:v>0</x:v>
      </x:c>
      <x:c r="P209" s="655">
        <x:v>0</x:v>
      </x:c>
      <x:c r="Q209" s="655">
        <x:v>0</x:v>
      </x:c>
      <x:c r="R209" s="655">
        <x:v>0</x:v>
      </x:c>
      <x:c r="S209" s="655">
        <x:v>0</x:v>
      </x:c>
      <x:c r="T209" s="655">
        <x:v>0</x:v>
      </x:c>
      <x:c r="U209" s="655">
        <x:v>0</x:v>
      </x:c>
      <x:c r="V209" s="655">
        <x:v>0</x:v>
      </x:c>
      <x:c r="W209" s="655">
        <x:v>0</x:v>
      </x:c>
      <x:c r="X209" s="655">
        <x:v>0</x:v>
      </x:c>
      <x:c r="Y209" s="655">
        <x:v>0</x:v>
      </x:c>
      <x:c r="Z209" s="655">
        <x:v>0</x:v>
      </x:c>
      <x:c r="AA209" s="655">
        <x:v>0</x:v>
      </x:c>
      <x:c r="AB209" s="655">
        <x:v>0</x:v>
      </x:c>
      <x:c r="AC209" s="655">
        <x:v>0</x:v>
      </x:c>
      <x:c r="AD209" s="655">
        <x:v>0</x:v>
      </x:c>
      <x:c r="AE209" s="655">
        <x:v>0</x:v>
      </x:c>
      <x:c r="AF209" s="655">
        <x:v>0</x:v>
      </x:c>
      <x:c r="AG209" s="655">
        <x:v>0</x:v>
      </x:c>
      <x:c r="AH209" s="655">
        <x:v>0</x:v>
      </x:c>
      <x:c r="AI209" s="655">
        <x:v>0</x:v>
      </x:c>
      <x:c r="AJ209" s="655">
        <x:v>0</x:v>
      </x:c>
      <x:c r="AK209" s="655">
        <x:v>0</x:v>
      </x:c>
      <x:c r="AL209" s="655">
        <x:v>0</x:v>
      </x:c>
      <x:c r="AM209" s="655">
        <x:v>0</x:v>
      </x:c>
      <x:c r="AN209" s="655">
        <x:v>0</x:v>
      </x:c>
      <x:c r="AO209" s="655">
        <x:v>0</x:v>
      </x:c>
      <x:c r="BN209" s="624"/>
    </x:row>
    <x:row r="210" spans="1:66" x14ac:dyDescent="0.2">
      <x:c r="C210" s="771"/>
      <x:c r="D210" s="768"/>
      <x:c r="E210" s="654" t="s">
        <x:v>73</x:v>
      </x:c>
      <x:c r="F210" s="655">
        <x:v>0</x:v>
      </x:c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R210" s="627"/>
      <x:c r="S210" s="627"/>
      <x:c r="BN210" s="624"/>
    </x:row>
    <x:row r="211" spans="1:66" x14ac:dyDescent="0.2">
      <x:c r="C211" s="771"/>
      <x:c r="D211" s="768" t="s">
        <x:v>133</x:v>
      </x:c>
      <x:c r="E211" s="656" t="s">
        <x:v>70</x:v>
      </x:c>
      <x:c r="F211" s="657">
        <x:v>0</x:v>
      </x:c>
      <x:c r="G211" s="657">
        <x:v>0</x:v>
      </x:c>
      <x:c r="H211" s="657">
        <x:v>0</x:v>
      </x:c>
      <x:c r="I211" s="657">
        <x:v>0</x:v>
      </x:c>
      <x:c r="J211" s="657">
        <x:v>0</x:v>
      </x:c>
      <x:c r="K211" s="657">
        <x:v>0</x:v>
      </x:c>
      <x:c r="L211" s="657">
        <x:v>0</x:v>
      </x:c>
      <x:c r="M211" s="657">
        <x:v>0</x:v>
      </x:c>
      <x:c r="N211" s="657">
        <x:v>0</x:v>
      </x:c>
      <x:c r="O211" s="657">
        <x:v>0</x:v>
      </x:c>
      <x:c r="P211" s="657">
        <x:v>0</x:v>
      </x:c>
      <x:c r="Q211" s="657">
        <x:v>0</x:v>
      </x:c>
      <x:c r="R211" s="657">
        <x:v>0</x:v>
      </x:c>
      <x:c r="S211" s="657">
        <x:v>0</x:v>
      </x:c>
      <x:c r="T211" s="657">
        <x:v>0</x:v>
      </x:c>
      <x:c r="U211" s="657">
        <x:v>0</x:v>
      </x:c>
      <x:c r="V211" s="657">
        <x:v>0</x:v>
      </x:c>
      <x:c r="W211" s="657">
        <x:v>0</x:v>
      </x:c>
      <x:c r="X211" s="657">
        <x:v>0</x:v>
      </x:c>
      <x:c r="Y211" s="657">
        <x:v>0</x:v>
      </x:c>
      <x:c r="Z211" s="657">
        <x:v>0</x:v>
      </x:c>
      <x:c r="AA211" s="657">
        <x:v>0</x:v>
      </x:c>
      <x:c r="AB211" s="657">
        <x:v>0</x:v>
      </x:c>
      <x:c r="AC211" s="657">
        <x:v>0</x:v>
      </x:c>
      <x:c r="AD211" s="657">
        <x:v>0</x:v>
      </x:c>
      <x:c r="AE211" s="657">
        <x:v>0</x:v>
      </x:c>
      <x:c r="AF211" s="657">
        <x:v>0</x:v>
      </x:c>
      <x:c r="AG211" s="657">
        <x:v>0</x:v>
      </x:c>
      <x:c r="AH211" s="657">
        <x:v>0</x:v>
      </x:c>
      <x:c r="AI211" s="657">
        <x:v>0</x:v>
      </x:c>
      <x:c r="AJ211" s="657">
        <x:v>0</x:v>
      </x:c>
      <x:c r="AK211" s="657">
        <x:v>0</x:v>
      </x:c>
      <x:c r="AL211" s="657">
        <x:v>0</x:v>
      </x:c>
      <x:c r="AM211" s="657">
        <x:v>0</x:v>
      </x:c>
      <x:c r="AN211" s="657">
        <x:v>0</x:v>
      </x:c>
      <x:c r="AO211" s="657">
        <x:v>0</x:v>
      </x:c>
      <x:c r="BN211" s="624"/>
    </x:row>
    <x:row r="212" spans="1:66" x14ac:dyDescent="0.2">
      <x:c r="C212" s="771"/>
      <x:c r="D212" s="768"/>
      <x:c r="E212" s="656" t="s">
        <x:v>73</x:v>
      </x:c>
      <x:c r="F212" s="657">
        <x:v>0</x:v>
      </x:c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R212" s="627"/>
      <x:c r="BN212" s="624"/>
    </x:row>
    <x:row r="213" spans="1:66" ht="15" x14ac:dyDescent="0.25">
      <x:c r="A213" s="625"/>
      <x:c r="C213" s="50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R213" s="627"/>
      <x:c r="S213" s="627"/>
      <x:c r="BN213" s="624"/>
    </x:row>
    <x:row r="214" spans="1:66" x14ac:dyDescent="0.2">
      <x:c r="C214" s="770" t="s">
        <x:v>119</x:v>
      </x:c>
      <x:c r="D214" s="768" t="s">
        <x:v>132</x:v>
      </x:c>
      <x:c r="E214" s="632" t="s">
        <x:v>70</x:v>
      </x:c>
      <x:c r="F214" s="633">
        <x:f>F150+F128+F90-L90-L128</x:f>
        <x:v>0</x:v>
      </x:c>
      <x:c r="G214" s="633">
        <x:f>G128+G90</x:f>
        <x:v>0</x:v>
      </x:c>
      <x:c r="H214" s="633">
        <x:f t="shared" ref="H214:AP214" si="11">H128+H90</x:f>
        <x:v>0</x:v>
      </x:c>
      <x:c r="I214" s="633">
        <x:f t="shared" si="11"/>
        <x:v>0</x:v>
      </x:c>
      <x:c r="J214" s="633">
        <x:f t="shared" si="11"/>
        <x:v>0</x:v>
      </x:c>
      <x:c r="K214" s="633">
        <x:f t="shared" si="11"/>
        <x:v>0</x:v>
      </x:c>
      <x:c r="L214" s="633">
        <x:f t="shared" si="11"/>
        <x:v>0</x:v>
      </x:c>
      <x:c r="M214" s="633">
        <x:f t="shared" si="11"/>
        <x:v>0</x:v>
      </x:c>
      <x:c r="N214" s="633">
        <x:f t="shared" si="11"/>
        <x:v>0</x:v>
      </x:c>
      <x:c r="O214" s="633">
        <x:f t="shared" si="11"/>
        <x:v>0</x:v>
      </x:c>
      <x:c r="P214" s="633">
        <x:f t="shared" si="11"/>
        <x:v>0</x:v>
      </x:c>
      <x:c r="Q214" s="633">
        <x:f t="shared" si="11"/>
        <x:v>0</x:v>
      </x:c>
      <x:c r="R214" s="633">
        <x:f t="shared" si="11"/>
        <x:v>0</x:v>
      </x:c>
      <x:c r="S214" s="633">
        <x:f t="shared" si="11"/>
        <x:v>0</x:v>
      </x:c>
      <x:c r="T214" s="633">
        <x:f t="shared" si="11"/>
        <x:v>0</x:v>
      </x:c>
      <x:c r="U214" s="633">
        <x:f t="shared" si="11"/>
        <x:v>0</x:v>
      </x:c>
      <x:c r="V214" s="633">
        <x:f t="shared" si="11"/>
        <x:v>0</x:v>
      </x:c>
      <x:c r="W214" s="633">
        <x:f t="shared" si="11"/>
        <x:v>0</x:v>
      </x:c>
      <x:c r="X214" s="633">
        <x:f t="shared" si="11"/>
        <x:v>0</x:v>
      </x:c>
      <x:c r="Y214" s="633">
        <x:f t="shared" si="11"/>
        <x:v>0</x:v>
      </x:c>
      <x:c r="Z214" s="633">
        <x:f t="shared" si="11"/>
        <x:v>0</x:v>
      </x:c>
      <x:c r="AA214" s="633">
        <x:f t="shared" si="11"/>
        <x:v>0</x:v>
      </x:c>
      <x:c r="AB214" s="633">
        <x:f t="shared" si="11"/>
        <x:v>0</x:v>
      </x:c>
      <x:c r="AC214" s="633">
        <x:f t="shared" si="11"/>
        <x:v>0</x:v>
      </x:c>
      <x:c r="AD214" s="633">
        <x:f t="shared" si="11"/>
        <x:v>0</x:v>
      </x:c>
      <x:c r="AE214" s="633">
        <x:f t="shared" si="11"/>
        <x:v>0</x:v>
      </x:c>
      <x:c r="AF214" s="633">
        <x:f t="shared" si="11"/>
        <x:v>0</x:v>
      </x:c>
      <x:c r="AG214" s="633">
        <x:f t="shared" si="11"/>
        <x:v>0</x:v>
      </x:c>
      <x:c r="AH214" s="633">
        <x:f t="shared" si="11"/>
        <x:v>0</x:v>
      </x:c>
      <x:c r="AI214" s="633">
        <x:f t="shared" si="11"/>
        <x:v>0</x:v>
      </x:c>
      <x:c r="AJ214" s="633">
        <x:f t="shared" si="11"/>
        <x:v>0</x:v>
      </x:c>
      <x:c r="AK214" s="633">
        <x:f t="shared" si="11"/>
        <x:v>0</x:v>
      </x:c>
      <x:c r="AL214" s="633">
        <x:f t="shared" si="11"/>
        <x:v>0</x:v>
      </x:c>
      <x:c r="AM214" s="633">
        <x:f t="shared" si="11"/>
        <x:v>0</x:v>
      </x:c>
      <x:c r="AN214" s="633">
        <x:f t="shared" si="11"/>
        <x:v>0</x:v>
      </x:c>
      <x:c r="AO214" s="633">
        <x:f t="shared" si="11"/>
        <x:v>0</x:v>
      </x:c>
      <x:c r="AP214" s="633">
        <x:f t="shared" si="11"/>
        <x:v>0</x:v>
      </x:c>
      <x:c r="BN214" s="624"/>
    </x:row>
    <x:row r="215" spans="1:66" x14ac:dyDescent="0.2">
      <x:c r="C215" s="770"/>
      <x:c r="D215" s="768"/>
      <x:c r="E215" s="632" t="s">
        <x:v>73</x:v>
      </x:c>
      <x:c r="F215" s="633">
        <x:f>F150</x:f>
        <x:v>0</x:v>
      </x:c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R215" s="627"/>
      <x:c r="S215" s="627"/>
      <x:c r="BN215" s="624"/>
    </x:row>
    <x:row r="216" spans="1:66" x14ac:dyDescent="0.2">
      <x:c r="C216" s="770"/>
      <x:c r="D216" s="768" t="s">
        <x:v>133</x:v>
      </x:c>
      <x:c r="E216" s="658" t="s">
        <x:v>70</x:v>
      </x:c>
      <x:c r="F216" s="659">
        <x:f>F138+F103-L103</x:f>
        <x:v>0</x:v>
      </x:c>
      <x:c r="G216" s="659">
        <x:f>G103</x:f>
        <x:v>0</x:v>
      </x:c>
      <x:c r="H216" s="659">
        <x:f t="shared" ref="H216:AP216" si="12">H103</x:f>
        <x:v>0</x:v>
      </x:c>
      <x:c r="I216" s="659">
        <x:f t="shared" si="12"/>
        <x:v>0</x:v>
      </x:c>
      <x:c r="J216" s="659">
        <x:f t="shared" si="12"/>
        <x:v>0</x:v>
      </x:c>
      <x:c r="K216" s="659">
        <x:f t="shared" si="12"/>
        <x:v>0</x:v>
      </x:c>
      <x:c r="L216" s="659">
        <x:f t="shared" si="12"/>
        <x:v>0</x:v>
      </x:c>
      <x:c r="M216" s="659">
        <x:f t="shared" si="12"/>
        <x:v>0</x:v>
      </x:c>
      <x:c r="N216" s="659">
        <x:f t="shared" si="12"/>
        <x:v>0</x:v>
      </x:c>
      <x:c r="O216" s="659">
        <x:f t="shared" si="12"/>
        <x:v>0</x:v>
      </x:c>
      <x:c r="P216" s="659">
        <x:f t="shared" si="12"/>
        <x:v>0</x:v>
      </x:c>
      <x:c r="Q216" s="659">
        <x:f t="shared" si="12"/>
        <x:v>0</x:v>
      </x:c>
      <x:c r="R216" s="659">
        <x:f t="shared" si="12"/>
        <x:v>0</x:v>
      </x:c>
      <x:c r="S216" s="659">
        <x:f t="shared" si="12"/>
        <x:v>0</x:v>
      </x:c>
      <x:c r="T216" s="659">
        <x:f t="shared" si="12"/>
        <x:v>0</x:v>
      </x:c>
      <x:c r="U216" s="659">
        <x:f t="shared" si="12"/>
        <x:v>0</x:v>
      </x:c>
      <x:c r="V216" s="659">
        <x:f t="shared" si="12"/>
        <x:v>0</x:v>
      </x:c>
      <x:c r="W216" s="659">
        <x:f t="shared" si="12"/>
        <x:v>0</x:v>
      </x:c>
      <x:c r="X216" s="659">
        <x:f t="shared" si="12"/>
        <x:v>0</x:v>
      </x:c>
      <x:c r="Y216" s="659">
        <x:f t="shared" si="12"/>
        <x:v>0</x:v>
      </x:c>
      <x:c r="Z216" s="659">
        <x:f t="shared" si="12"/>
        <x:v>0</x:v>
      </x:c>
      <x:c r="AA216" s="659">
        <x:f t="shared" si="12"/>
        <x:v>0</x:v>
      </x:c>
      <x:c r="AB216" s="659">
        <x:f t="shared" si="12"/>
        <x:v>0</x:v>
      </x:c>
      <x:c r="AC216" s="659">
        <x:f t="shared" si="12"/>
        <x:v>0</x:v>
      </x:c>
      <x:c r="AD216" s="659">
        <x:f t="shared" si="12"/>
        <x:v>0</x:v>
      </x:c>
      <x:c r="AE216" s="659">
        <x:f t="shared" si="12"/>
        <x:v>0</x:v>
      </x:c>
      <x:c r="AF216" s="659">
        <x:f t="shared" si="12"/>
        <x:v>0</x:v>
      </x:c>
      <x:c r="AG216" s="659">
        <x:f t="shared" si="12"/>
        <x:v>0</x:v>
      </x:c>
      <x:c r="AH216" s="659">
        <x:f t="shared" si="12"/>
        <x:v>0</x:v>
      </x:c>
      <x:c r="AI216" s="659">
        <x:f t="shared" si="12"/>
        <x:v>0</x:v>
      </x:c>
      <x:c r="AJ216" s="659">
        <x:f t="shared" si="12"/>
        <x:v>0</x:v>
      </x:c>
      <x:c r="AK216" s="659">
        <x:f t="shared" si="12"/>
        <x:v>0</x:v>
      </x:c>
      <x:c r="AL216" s="659">
        <x:f t="shared" si="12"/>
        <x:v>0</x:v>
      </x:c>
      <x:c r="AM216" s="659">
        <x:f t="shared" si="12"/>
        <x:v>0</x:v>
      </x:c>
      <x:c r="AN216" s="659">
        <x:f t="shared" si="12"/>
        <x:v>0</x:v>
      </x:c>
      <x:c r="AO216" s="659">
        <x:f t="shared" si="12"/>
        <x:v>0</x:v>
      </x:c>
      <x:c r="AP216" s="659">
        <x:f t="shared" si="12"/>
        <x:v>0</x:v>
      </x:c>
      <x:c r="BN216" s="624"/>
    </x:row>
    <x:row r="217" spans="1:66" x14ac:dyDescent="0.2">
      <x:c r="C217" s="770"/>
      <x:c r="D217" s="768"/>
      <x:c r="E217" s="658" t="s">
        <x:v>73</x:v>
      </x:c>
      <x:c r="F217" s="659">
        <x:f>F138</x:f>
        <x:v>0</x:v>
      </x:c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R217" s="627"/>
      <x:c r="BN217" s="624"/>
    </x:row>
    <x:row r="218" spans="1:66" ht="15" x14ac:dyDescent="0.25">
      <x:c r="A218" s="625"/>
      <x:c r="C218" s="50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R218" s="627"/>
      <x:c r="S218" s="627"/>
      <x:c r="BN218" s="624"/>
    </x:row>
    <x:row r="219" spans="1:66" x14ac:dyDescent="0.2">
      <x:c r="C219" s="769" t="s">
        <x:v>161</x:v>
      </x:c>
      <x:c r="D219" s="768" t="s">
        <x:v>132</x:v>
      </x:c>
      <x:c r="E219" s="661" t="s">
        <x:v>70</x:v>
      </x:c>
      <x:c r="F219" s="662">
        <x:v>0</x:v>
      </x:c>
      <x:c r="G219" s="662">
        <x:v>0</x:v>
      </x:c>
      <x:c r="H219" s="662">
        <x:v>0</x:v>
      </x:c>
      <x:c r="I219" s="662">
        <x:v>0</x:v>
      </x:c>
      <x:c r="J219" s="662">
        <x:v>0</x:v>
      </x:c>
      <x:c r="K219" s="662">
        <x:v>0</x:v>
      </x:c>
      <x:c r="L219" s="662">
        <x:v>0</x:v>
      </x:c>
      <x:c r="M219" s="662">
        <x:v>0</x:v>
      </x:c>
      <x:c r="N219" s="662">
        <x:v>0</x:v>
      </x:c>
      <x:c r="O219" s="662">
        <x:v>0</x:v>
      </x:c>
      <x:c r="P219" s="662">
        <x:v>0</x:v>
      </x:c>
      <x:c r="Q219" s="662">
        <x:v>0</x:v>
      </x:c>
      <x:c r="R219" s="662">
        <x:v>0</x:v>
      </x:c>
      <x:c r="S219" s="662">
        <x:v>0</x:v>
      </x:c>
      <x:c r="T219" s="662">
        <x:v>0</x:v>
      </x:c>
      <x:c r="U219" s="662">
        <x:v>0</x:v>
      </x:c>
      <x:c r="V219" s="662">
        <x:v>0</x:v>
      </x:c>
      <x:c r="W219" s="662">
        <x:v>0</x:v>
      </x:c>
      <x:c r="X219" s="662">
        <x:v>0</x:v>
      </x:c>
      <x:c r="Y219" s="662"/>
      <x:c r="Z219" s="662">
        <x:v>0</x:v>
      </x:c>
      <x:c r="AA219" s="662">
        <x:v>0</x:v>
      </x:c>
      <x:c r="AB219" s="662">
        <x:v>0</x:v>
      </x:c>
      <x:c r="AC219" s="662">
        <x:v>0</x:v>
      </x:c>
      <x:c r="AD219" s="662">
        <x:v>0</x:v>
      </x:c>
      <x:c r="AE219" s="662">
        <x:v>0</x:v>
      </x:c>
      <x:c r="AF219" s="662">
        <x:v>0</x:v>
      </x:c>
      <x:c r="AG219" s="662">
        <x:v>0</x:v>
      </x:c>
      <x:c r="AH219" s="662">
        <x:v>0</x:v>
      </x:c>
      <x:c r="AI219" s="662">
        <x:v>0</x:v>
      </x:c>
      <x:c r="AJ219" s="662">
        <x:v>0</x:v>
      </x:c>
      <x:c r="AK219" s="662">
        <x:v>0</x:v>
      </x:c>
      <x:c r="AL219" s="662">
        <x:v>0</x:v>
      </x:c>
      <x:c r="AM219" s="662">
        <x:v>0</x:v>
      </x:c>
      <x:c r="AN219" s="662">
        <x:v>0</x:v>
      </x:c>
      <x:c r="AO219" s="662">
        <x:v>0</x:v>
      </x:c>
      <x:c r="AP219" s="662">
        <x:v>0</x:v>
      </x:c>
      <x:c r="BN219" s="624"/>
    </x:row>
    <x:row r="220" spans="1:66" x14ac:dyDescent="0.2">
      <x:c r="C220" s="769"/>
      <x:c r="D220" s="768"/>
      <x:c r="E220" s="661" t="s">
        <x:v>73</x:v>
      </x:c>
      <x:c r="F220" s="662">
        <x:v>0</x:v>
      </x:c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S220" s="627"/>
      <x:c r="BN220" s="624"/>
    </x:row>
    <x:row r="221" spans="1:66" x14ac:dyDescent="0.2">
      <x:c r="C221" s="769"/>
      <x:c r="E221" s="663" t="s">
        <x:v>70</x:v>
      </x:c>
      <x:c r="F221" s="664">
        <x:v>0</x:v>
      </x:c>
      <x:c r="G221" s="664">
        <x:v>0</x:v>
      </x:c>
      <x:c r="H221" s="664">
        <x:v>0</x:v>
      </x:c>
      <x:c r="I221" s="664">
        <x:v>0</x:v>
      </x:c>
      <x:c r="J221" s="664">
        <x:v>0</x:v>
      </x:c>
      <x:c r="K221" s="664">
        <x:v>0</x:v>
      </x:c>
      <x:c r="L221" s="664">
        <x:v>0</x:v>
      </x:c>
      <x:c r="M221" s="664">
        <x:v>0</x:v>
      </x:c>
      <x:c r="N221" s="664">
        <x:v>0</x:v>
      </x:c>
      <x:c r="O221" s="664">
        <x:v>0</x:v>
      </x:c>
      <x:c r="P221" s="664">
        <x:v>0</x:v>
      </x:c>
      <x:c r="Q221" s="664">
        <x:v>0</x:v>
      </x:c>
      <x:c r="R221" s="664">
        <x:v>0</x:v>
      </x:c>
      <x:c r="S221" s="664">
        <x:v>0</x:v>
      </x:c>
      <x:c r="T221" s="664">
        <x:v>0</x:v>
      </x:c>
      <x:c r="U221" s="664">
        <x:v>0</x:v>
      </x:c>
      <x:c r="V221" s="664">
        <x:v>0</x:v>
      </x:c>
      <x:c r="W221" s="664">
        <x:v>0</x:v>
      </x:c>
      <x:c r="X221" s="664">
        <x:v>0</x:v>
      </x:c>
      <x:c r="Y221" s="664">
        <x:v>0</x:v>
      </x:c>
      <x:c r="Z221" s="664">
        <x:v>0</x:v>
      </x:c>
      <x:c r="AA221" s="664">
        <x:v>0</x:v>
      </x:c>
      <x:c r="BN221" s="624"/>
    </x:row>
    <x:row r="222" spans="1:66" x14ac:dyDescent="0.2">
      <x:c r="C222" s="769"/>
      <x:c r="D222" s="644" t="s">
        <x:v>132</x:v>
      </x:c>
      <x:c r="E222" s="663" t="s">
        <x:v>73</x:v>
      </x:c>
      <x:c r="F222" s="664">
        <x:v>0</x:v>
      </x:c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BN222" s="624"/>
    </x:row>
    <x:row r="223" spans="1:66" ht="15" x14ac:dyDescent="0.2">
      <x:c r="C223" s="660"/>
      <x:c r="D223" s="644"/>
      <x:c r="E223" s="625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BN223" s="624"/>
    </x:row>
    <x:row r="224" spans="1:66" x14ac:dyDescent="0.2">
      <x:c r="D224" s="634" t="s">
        <x:v>185</x:v>
      </x:c>
      <x:c r="E224" s="665" t="s">
        <x:v>70</x:v>
      </x:c>
      <x:c r="F224" s="666">
        <x:f t="shared" ref="F224:AA224" si="13">F91</x:f>
        <x:v>0</x:v>
      </x:c>
      <x:c r="G224" s="666">
        <x:f t="shared" si="13"/>
        <x:v>0</x:v>
      </x:c>
      <x:c r="H224" s="666">
        <x:f t="shared" si="13"/>
        <x:v>0</x:v>
      </x:c>
      <x:c r="I224" s="666">
        <x:f t="shared" si="13"/>
        <x:v>0</x:v>
      </x:c>
      <x:c r="J224" s="666">
        <x:f t="shared" si="13"/>
        <x:v>0</x:v>
      </x:c>
      <x:c r="K224" s="666">
        <x:f t="shared" si="13"/>
        <x:v>0</x:v>
      </x:c>
      <x:c r="L224" s="666">
        <x:f t="shared" si="13"/>
        <x:v>0</x:v>
      </x:c>
      <x:c r="M224" s="666">
        <x:f t="shared" si="13"/>
        <x:v>0</x:v>
      </x:c>
      <x:c r="N224" s="666">
        <x:f t="shared" si="13"/>
        <x:v>0</x:v>
      </x:c>
      <x:c r="O224" s="666">
        <x:f t="shared" si="13"/>
        <x:v>0</x:v>
      </x:c>
      <x:c r="P224" s="666">
        <x:f t="shared" si="13"/>
        <x:v>0</x:v>
      </x:c>
      <x:c r="Q224" s="666">
        <x:f t="shared" si="13"/>
        <x:v>0</x:v>
      </x:c>
      <x:c r="R224" s="666">
        <x:f t="shared" si="13"/>
        <x:v>0</x:v>
      </x:c>
      <x:c r="S224" s="666">
        <x:f t="shared" si="13"/>
        <x:v>0</x:v>
      </x:c>
      <x:c r="T224" s="666">
        <x:f t="shared" si="13"/>
        <x:v>0</x:v>
      </x:c>
      <x:c r="U224" s="666">
        <x:f t="shared" si="13"/>
        <x:v>0</x:v>
      </x:c>
      <x:c r="V224" s="666">
        <x:f t="shared" si="13"/>
        <x:v>0</x:v>
      </x:c>
      <x:c r="W224" s="666">
        <x:f t="shared" si="13"/>
        <x:v>0</x:v>
      </x:c>
      <x:c r="X224" s="666">
        <x:f t="shared" si="13"/>
        <x:v>0</x:v>
      </x:c>
      <x:c r="Y224" s="666">
        <x:f t="shared" si="13"/>
        <x:v>0</x:v>
      </x:c>
      <x:c r="Z224" s="666">
        <x:f t="shared" si="13"/>
        <x:v>0</x:v>
      </x:c>
      <x:c r="AA224" s="666">
        <x:f t="shared" si="13"/>
        <x:v>0</x:v>
      </x:c>
      <x:c r="BN224" s="624"/>
    </x:row>
    <x:row r="225" spans="1:66" ht="15" x14ac:dyDescent="0.2">
      <x:c r="C225" s="660"/>
      <x:c r="D225" s="644"/>
      <x:c r="E225" s="625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BN225" s="624"/>
    </x:row>
    <x:row r="226" spans="1:66" x14ac:dyDescent="0.2">
      <x:c r="A226" s="624"/>
      <x:c r="B226" s="624"/>
      <x:c r="C226" s="624"/>
      <x:c r="D226" s="624"/>
      <x:c r="E226" s="624"/>
      <x:c r="F226" s="624"/>
      <x:c r="G226" s="624"/>
      <x:c r="H226" s="624"/>
      <x:c r="I226" s="624"/>
      <x:c r="J226" s="624"/>
      <x:c r="K226" s="624"/>
      <x:c r="L226" s="624"/>
      <x:c r="M226" s="624"/>
      <x:c r="N226" s="624"/>
      <x:c r="O226" s="624"/>
      <x:c r="P226" s="624"/>
      <x:c r="Q226" s="624"/>
      <x:c r="R226" s="624"/>
      <x:c r="S226" s="624"/>
      <x:c r="T226" s="624"/>
      <x:c r="U226" s="624"/>
      <x:c r="V226" s="624"/>
      <x:c r="W226" s="624"/>
      <x:c r="X226" s="624"/>
      <x:c r="Y226" s="624"/>
      <x:c r="Z226" s="624"/>
      <x:c r="AA226" s="624"/>
      <x:c r="AB226" s="624"/>
      <x:c r="AC226" s="624"/>
      <x:c r="AD226" s="624"/>
      <x:c r="AE226" s="624"/>
      <x:c r="AF226" s="624"/>
      <x:c r="AG226" s="624"/>
      <x:c r="AH226" s="624"/>
      <x:c r="AI226" s="624"/>
      <x:c r="AJ226" s="624"/>
      <x:c r="AK226" s="624"/>
      <x:c r="AL226" s="624"/>
      <x:c r="AM226" s="624"/>
      <x:c r="AN226" s="624"/>
      <x:c r="AO226" s="624"/>
      <x:c r="AP226" s="624"/>
      <x:c r="AQ226" s="624"/>
      <x:c r="AR226" s="624"/>
      <x:c r="AS226" s="624"/>
      <x:c r="AT226" s="624"/>
      <x:c r="AU226" s="624"/>
      <x:c r="AV226" s="624"/>
      <x:c r="AW226" s="624"/>
      <x:c r="AX226" s="624"/>
      <x:c r="AY226" s="624"/>
      <x:c r="AZ226" s="624"/>
      <x:c r="BA226" s="624"/>
      <x:c r="BB226" s="624"/>
      <x:c r="BC226" s="624"/>
      <x:c r="BD226" s="624"/>
      <x:c r="BE226" s="624"/>
      <x:c r="BF226" s="624"/>
      <x:c r="BG226" s="624"/>
      <x:c r="BH226" s="624"/>
      <x:c r="BI226" s="624"/>
      <x:c r="BJ226" s="624"/>
      <x:c r="BK226" s="624"/>
      <x:c r="BL226" s="624"/>
      <x:c r="BM226" s="624"/>
      <x:c r="BN226" s="624"/>
    </x:row>
    <x:row r="227" spans="1:66" ht="15" x14ac:dyDescent="0.25">
      <x:c r="A227" s="625"/>
      <x:c r="B227" s="50" t="s">
        <x:v>76</x:v>
      </x:c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BN227" s="624"/>
    </x:row>
    <x:row r="228" spans="1:66" s="50" customFormat="1" ht="30" x14ac:dyDescent="0.25">
      <x:c r="F228" s="669" t="s">
        <x:v>70</x:v>
      </x:c>
      <x:c r="G228" s="669" t="s">
        <x:v>64</x:v>
      </x:c>
      <x:c r="H228" s="669" t="s">
        <x:v>65</x:v>
      </x:c>
      <x:c r="I228" s="626" t="s">
        <x:v>164</x:v>
      </x:c>
      <x:c r="J228" s="669" t="s">
        <x:v>69</x:v>
      </x:c>
      <x:c r="K228" s="669" t="s">
        <x:v>68</x:v>
      </x:c>
      <x:c r="L228" s="669" t="s">
        <x:v>71</x:v>
      </x:c>
      <x:c r="M228" s="669" t="s">
        <x:v>66</x:v>
      </x:c>
      <x:c r="N228" s="669" t="s">
        <x:v>63</x:v>
      </x:c>
      <x:c r="O228" s="669" t="s">
        <x:v>61</x:v>
      </x:c>
      <x:c r="P228" s="669" t="s">
        <x:v>62</x:v>
      </x:c>
      <x:c r="Q228" s="669" t="s">
        <x:v>67</x:v>
      </x:c>
      <x:c r="R228" s="669" t="s">
        <x:v>77</x:v>
      </x:c>
      <x:c r="S228" s="669" t="s">
        <x:v>80</x:v>
      </x:c>
      <x:c r="T228" s="669" t="s">
        <x:v>135</x:v>
      </x:c>
      <x:c r="U228" s="669" t="s">
        <x:v>172</x:v>
      </x:c>
      <x:c r="V228" s="669" t="s">
        <x:v>223</x:v>
      </x:c>
      <x:c r="W228" s="669" t="s">
        <x:v>172</x:v>
      </x:c>
      <x:c r="X228" s="50" t="s">
        <x:v>172</x:v>
      </x:c>
      <x:c r="Y228" s="669" t="s">
        <x:v>135</x:v>
      </x:c>
      <x:c r="Z228" s="669" t="s">
        <x:v>166</x:v>
      </x:c>
      <x:c r="BN228" s="618"/>
    </x:row>
    <x:row r="229" spans="1:66" x14ac:dyDescent="0.2">
      <x:c r="A229"/>
      <x:c r="B229"/>
      <x:c r="C229"/>
      <x:c r="D229"/>
      <x:c r="E229" s="625" t="inlineStr">
        <x:is>
          <x:t>Vlr Servicio</x:t>
        </x:is>
      </x:c>
      <x:c r="F229" s="627" t="n">
        <x:v>-3933.31</x:v>
      </x:c>
      <x:c r="G229" s="627" t="n">
        <x:v>-339.36</x:v>
      </x:c>
      <x:c r="H229" s="627" t="n">
        <x:v>-144.18</x:v>
      </x:c>
      <x:c r="I229" s="627" t="n">
        <x:v>-62.97</x:v>
      </x:c>
      <x:c r="J229" s="627" t="n">
        <x:v>-769.6</x:v>
      </x:c>
      <x:c r="K229" s="627" t="n">
        <x:v>-31.71</x:v>
      </x:c>
      <x:c r="L229" s="627" t="n">
        <x:v>0</x:v>
      </x:c>
      <x:c r="M229" s="627" t="n">
        <x:v>-278.13</x:v>
      </x:c>
      <x:c r="N229" s="627" t="n">
        <x:v>-348.6</x:v>
      </x:c>
      <x:c r="O229" s="627" t="n">
        <x:v>-1170.96</x:v>
      </x:c>
      <x:c r="P229" s="627" t="n">
        <x:v>-736.08</x:v>
      </x:c>
      <x:c r="Q229" s="627" t="n">
        <x:v>-51.72</x:v>
      </x:c>
      <x:c r="R229" s="627" t="n">
        <x:v>0</x:v>
      </x:c>
      <x:c r="S229" s="627" t="n">
        <x:v>0</x:v>
      </x:c>
      <x:c r="T229" s="653" t="n">
        <x:v>0</x:v>
      </x:c>
      <x:c r="U229" s="653">
        <x:v>0</x:v>
      </x:c>
      <x:c r="V229" s="653">
        <x:v>0</x:v>
      </x:c>
      <x:c r="W229" s="653">
        <x:v>0</x:v>
      </x:c>
      <x:c r="X229" s="653">
        <x:v>0</x:v>
      </x:c>
      <x:c r="Y229" s="653">
        <x:v>0</x:v>
      </x:c>
      <x:c r="Z229" s="653">
        <x:v>0</x:v>
      </x:c>
      <x:c r="BN229" s="624"/>
    </x:row>
    <x:row r="230" spans="1:66" x14ac:dyDescent="0.2">
      <x:c r="A230"/>
      <x:c r="B230"/>
      <x:c r="C230"/>
      <x:c r="D230" s="25" t="inlineStr">
        <x:is>
          <x:t>E</x:t>
        </x:is>
      </x:c>
      <x:c r="E230" s="625" t="inlineStr">
        <x:is>
          <x:t>Total</x:t>
        </x:is>
      </x:c>
      <x:c r="F230" s="627" t="n">
        <x:v>-3933.31</x:v>
      </x:c>
      <x:c r="G230" s="627" t="n">
        <x:v>-339.36</x:v>
      </x:c>
      <x:c r="H230" s="627" t="n">
        <x:v>-144.18</x:v>
      </x:c>
      <x:c r="I230" s="627" t="n">
        <x:v>-62.97</x:v>
      </x:c>
      <x:c r="J230" s="627" t="n">
        <x:v>-769.6</x:v>
      </x:c>
      <x:c r="K230" s="627" t="n">
        <x:v>-31.71</x:v>
      </x:c>
      <x:c r="L230" s="627" t="n">
        <x:v>0</x:v>
      </x:c>
      <x:c r="M230" s="627" t="n">
        <x:v>-278.13</x:v>
      </x:c>
      <x:c r="N230" s="627" t="n">
        <x:v>-348.6</x:v>
      </x:c>
      <x:c r="O230" s="627" t="n">
        <x:v>-1170.96</x:v>
      </x:c>
      <x:c r="P230" s="627" t="n">
        <x:v>-736.08</x:v>
      </x:c>
      <x:c r="Q230" s="627" t="n">
        <x:v>-51.72</x:v>
      </x:c>
      <x:c r="R230" s="627" t="n">
        <x:v>0</x:v>
      </x:c>
      <x:c r="S230" s="627" t="n">
        <x:v>0</x:v>
      </x:c>
      <x:c r="T230" s="653" t="n">
        <x:v>0</x:v>
      </x:c>
      <x:c r="U230" s="653">
        <x:v>0</x:v>
      </x:c>
      <x:c r="V230" s="653">
        <x:v>0</x:v>
      </x:c>
      <x:c r="W230" s="653">
        <x:v>0</x:v>
      </x:c>
      <x:c r="X230" s="653">
        <x:v>0</x:v>
      </x:c>
      <x:c r="Y230" s="653">
        <x:v>0</x:v>
      </x:c>
      <x:c r="Z230" s="653">
        <x:v>0</x:v>
      </x:c>
      <x:c r="BN230" s="624"/>
    </x:row>
    <x:row r="231" spans="1:66" x14ac:dyDescent="0.2">
      <x:c r="A231" s="631"/>
      <x:c r="B231" s="631"/>
      <x:c r="C231" s="632" t="inlineStr">
        <x:is>
          <x:t>ENEL</x:t>
        </x:is>
      </x:c>
      <x:c r="D231" s="632" t="inlineStr">
        <x:is>
          <x:t>Total</x:t>
        </x:is>
      </x:c>
      <x:c r="E231" s="631"/>
      <x:c r="F231" s="633" t="n">
        <x:v>-3933.31</x:v>
      </x:c>
      <x:c r="G231" s="633" t="n">
        <x:v>-339.36</x:v>
      </x:c>
      <x:c r="H231" s="633" t="n">
        <x:v>-144.18</x:v>
      </x:c>
      <x:c r="I231" s="633" t="n">
        <x:v>-62.97</x:v>
      </x:c>
      <x:c r="J231" s="633" t="n">
        <x:v>-769.6</x:v>
      </x:c>
      <x:c r="K231" s="633" t="n">
        <x:v>-31.71</x:v>
      </x:c>
      <x:c r="L231" s="633" t="n">
        <x:v>0</x:v>
      </x:c>
      <x:c r="M231" s="633" t="n">
        <x:v>-278.13</x:v>
      </x:c>
      <x:c r="N231" s="633" t="n">
        <x:v>-348.6</x:v>
      </x:c>
      <x:c r="O231" s="633" t="n">
        <x:v>-1170.96</x:v>
      </x:c>
      <x:c r="P231" s="633" t="n">
        <x:v>-736.08</x:v>
      </x:c>
      <x:c r="Q231" s="633" t="n">
        <x:v>-51.72</x:v>
      </x:c>
      <x:c r="R231" s="633" t="n">
        <x:v>0</x:v>
      </x:c>
      <x:c r="S231" s="633" t="n">
        <x:v>0</x:v>
      </x:c>
      <x:c r="T231" s="633" t="n">
        <x:v>0</x:v>
      </x:c>
      <x:c r="U231" s="633">
        <x:v>0</x:v>
      </x:c>
      <x:c r="V231" s="633">
        <x:v>0</x:v>
      </x:c>
      <x:c r="W231" s="633">
        <x:v>0</x:v>
      </x:c>
      <x:c r="X231" s="633">
        <x:v>0</x:v>
      </x:c>
      <x:c r="Y231" s="633">
        <x:v>0</x:v>
      </x:c>
      <x:c r="Z231" s="633">
        <x:v>0</x:v>
      </x:c>
      <x:c r="AA231" s="631"/>
      <x:c r="AB231" s="631"/>
      <x:c r="AC231" s="631"/>
      <x:c r="AD231" s="631"/>
      <x:c r="AE231" s="631"/>
      <x:c r="AF231" s="631"/>
      <x:c r="AG231" s="631"/>
      <x:c r="AH231" s="631"/>
      <x:c r="AI231" s="631"/>
      <x:c r="AJ231" s="631"/>
      <x:c r="AK231" s="631"/>
      <x:c r="AL231" s="631"/>
      <x:c r="AM231" s="631"/>
      <x:c r="AN231" s="631"/>
      <x:c r="AO231" s="631"/>
      <x:c r="AP231" s="631"/>
      <x:c r="AQ231" s="631"/>
      <x:c r="AR231" s="631"/>
      <x:c r="AS231" s="631"/>
      <x:c r="AT231" s="631"/>
      <x:c r="AU231" s="631"/>
      <x:c r="AV231" s="631"/>
      <x:c r="AW231" s="631"/>
      <x:c r="AX231" s="631"/>
      <x:c r="AY231" s="631"/>
      <x:c r="AZ231" s="631"/>
      <x:c r="BA231" s="631"/>
      <x:c r="BB231" s="631"/>
      <x:c r="BC231" s="631"/>
      <x:c r="BD231" s="631"/>
      <x:c r="BE231" s="631"/>
      <x:c r="BF231" s="631"/>
      <x:c r="BG231" s="631"/>
      <x:c r="BH231" s="631"/>
      <x:c r="BI231" s="631"/>
      <x:c r="BJ231" s="631"/>
      <x:c r="BK231" s="631"/>
      <x:c r="BL231" s="631"/>
      <x:c r="BM231" s="631"/>
      <x:c r="BN231" s="624"/>
    </x:row>
    <x:row r="232" spans="1:66" x14ac:dyDescent="0.2">
      <x:c r="A232"/>
      <x:c r="B232" s="25"/>
      <x:c r="C232" s="25"/>
      <x:c r="D232"/>
      <x:c r="E232" s="625" t="inlineStr">
        <x:is>
          <x:t>Vlr Servicio</x:t>
        </x:is>
      </x:c>
      <x:c r="F232" s="627" t="n">
        <x:v>-522.8</x:v>
      </x:c>
      <x:c r="G232" s="627" t="n">
        <x:v>-45.25</x:v>
      </x:c>
      <x:c r="H232" s="627" t="n">
        <x:v>-19.22</x:v>
      </x:c>
      <x:c r="I232" s="627" t="n">
        <x:v>-8.39</x:v>
      </x:c>
      <x:c r="J232" s="627" t="n">
        <x:v>-100.86</x:v>
      </x:c>
      <x:c r="K232" s="627" t="n">
        <x:v>-4.23</x:v>
      </x:c>
      <x:c r="L232" s="627" t="n">
        <x:v>0</x:v>
      </x:c>
      <x:c r="M232" s="627" t="n">
        <x:v>-37.08</x:v>
      </x:c>
      <x:c r="N232" s="627" t="n">
        <x:v>-46.6</x:v>
      </x:c>
      <x:c r="O232" s="627" t="n">
        <x:v>-156.13</x:v>
      </x:c>
      <x:c r="P232" s="627" t="n">
        <x:v>-98.14</x:v>
      </x:c>
      <x:c r="Q232" s="627" t="n">
        <x:v>-6.9</x:v>
      </x:c>
      <x:c r="R232" s="627" t="n">
        <x:v>0</x:v>
      </x:c>
      <x:c r="S232" s="627" t="n">
        <x:v>0</x:v>
      </x:c>
      <x:c r="T232" s="653" t="n">
        <x:v>0</x:v>
      </x:c>
      <x:c r="U232" s="653">
        <x:v>0</x:v>
      </x:c>
      <x:c r="V232" s="653">
        <x:v>0</x:v>
      </x:c>
      <x:c r="W232" s="653">
        <x:v>0</x:v>
      </x:c>
      <x:c r="X232" s="653">
        <x:v>0</x:v>
      </x:c>
      <x:c r="Y232" s="653">
        <x:v>0</x:v>
      </x:c>
      <x:c r="Z232" s="653">
        <x:v>0</x:v>
      </x:c>
      <x:c r="BN232" s="624"/>
    </x:row>
    <x:row r="233" spans="1:66" x14ac:dyDescent="0.2">
      <x:c r="A233" s="634"/>
      <x:c r="B233" s="634"/>
      <x:c r="C233" s="634"/>
      <x:c r="D233" s="634" t="inlineStr">
        <x:is>
          <x:t>O</x:t>
        </x:is>
      </x:c>
      <x:c r="E233" s="634" t="inlineStr">
        <x:is>
          <x:t>Total</x:t>
        </x:is>
      </x:c>
      <x:c r="F233" s="670" t="n">
        <x:v>-522.8</x:v>
      </x:c>
      <x:c r="G233" s="670" t="n">
        <x:v>-45.25</x:v>
      </x:c>
      <x:c r="H233" s="670" t="n">
        <x:v>-19.22</x:v>
      </x:c>
      <x:c r="I233" s="670" t="n">
        <x:v>-8.39</x:v>
      </x:c>
      <x:c r="J233" s="670" t="n">
        <x:v>-100.86</x:v>
      </x:c>
      <x:c r="K233" s="670" t="n">
        <x:v>-4.23</x:v>
      </x:c>
      <x:c r="L233" s="670" t="n">
        <x:v>0</x:v>
      </x:c>
      <x:c r="M233" s="670" t="n">
        <x:v>-37.08</x:v>
      </x:c>
      <x:c r="N233" s="670" t="n">
        <x:v>-46.6</x:v>
      </x:c>
      <x:c r="O233" s="670" t="n">
        <x:v>-156.13</x:v>
      </x:c>
      <x:c r="P233" s="670" t="n">
        <x:v>-98.14</x:v>
      </x:c>
      <x:c r="Q233" s="670" t="n">
        <x:v>-6.9</x:v>
      </x:c>
      <x:c r="R233" s="670" t="n">
        <x:v>0</x:v>
      </x:c>
      <x:c r="S233" s="670" t="n">
        <x:v>0</x:v>
      </x:c>
      <x:c r="T233" s="670" t="n">
        <x:v>0</x:v>
      </x:c>
      <x:c r="U233" s="670">
        <x:v>0</x:v>
      </x:c>
      <x:c r="V233" s="670">
        <x:v>0</x:v>
      </x:c>
      <x:c r="W233" s="670">
        <x:v>0</x:v>
      </x:c>
      <x:c r="X233" s="670">
        <x:v>0</x:v>
      </x:c>
      <x:c r="Y233" s="670">
        <x:v>0</x:v>
      </x:c>
      <x:c r="Z233" s="670">
        <x:v>0</x:v>
      </x:c>
      <x:c r="AA233" s="634"/>
      <x:c r="AB233" s="634"/>
      <x:c r="AC233" s="634"/>
      <x:c r="AD233" s="634"/>
      <x:c r="AE233" s="634"/>
      <x:c r="AF233" s="634"/>
      <x:c r="AG233" s="634"/>
      <x:c r="AH233" s="634"/>
      <x:c r="AI233" s="634"/>
      <x:c r="AJ233" s="634"/>
      <x:c r="AK233" s="634"/>
      <x:c r="AL233" s="634"/>
      <x:c r="AM233" s="634"/>
      <x:c r="AN233" s="634"/>
      <x:c r="AO233" s="634"/>
      <x:c r="AP233" s="634"/>
      <x:c r="AQ233" s="634"/>
      <x:c r="AR233" s="634"/>
      <x:c r="AS233" s="634"/>
      <x:c r="AT233" s="634"/>
      <x:c r="AU233" s="634"/>
      <x:c r="AV233" s="634"/>
      <x:c r="AW233" s="634"/>
      <x:c r="AX233" s="634"/>
      <x:c r="AY233" s="634"/>
      <x:c r="AZ233" s="634"/>
      <x:c r="BA233" s="634"/>
      <x:c r="BB233" s="634"/>
      <x:c r="BC233" s="634"/>
      <x:c r="BD233" s="634"/>
      <x:c r="BE233" s="634"/>
      <x:c r="BF233" s="634"/>
      <x:c r="BG233" s="634"/>
      <x:c r="BH233" s="634"/>
      <x:c r="BI233" s="634"/>
      <x:c r="BJ233" s="634"/>
      <x:c r="BK233" s="634"/>
      <x:c r="BL233" s="634"/>
      <x:c r="BM233" s="634"/>
      <x:c r="BN233" s="624"/>
    </x:row>
    <x:row r="234" spans="1:66" x14ac:dyDescent="0.2">
      <x:c r="A234"/>
      <x:c r="B234"/>
      <x:c r="C234" t="inlineStr">
        <x:is>
          <x:t>OCCIDENTE</x:t>
        </x:is>
      </x:c>
      <x:c r="D234" t="inlineStr">
        <x:is>
          <x:t>Total</x:t>
        </x:is>
      </x:c>
      <x:c r="E234" s="625"/>
      <x:c r="F234" s="627" t="n">
        <x:v>-522.8</x:v>
      </x:c>
      <x:c r="G234" s="627" t="n">
        <x:v>-45.25</x:v>
      </x:c>
      <x:c r="H234" s="627" t="n">
        <x:v>-19.22</x:v>
      </x:c>
      <x:c r="I234" s="627" t="n">
        <x:v>-8.39</x:v>
      </x:c>
      <x:c r="J234" s="627" t="n">
        <x:v>-100.86</x:v>
      </x:c>
      <x:c r="K234" s="627" t="n">
        <x:v>-4.23</x:v>
      </x:c>
      <x:c r="L234" s="627" t="n">
        <x:v>0</x:v>
      </x:c>
      <x:c r="M234" s="627" t="n">
        <x:v>-37.08</x:v>
      </x:c>
      <x:c r="N234" s="627" t="n">
        <x:v>-46.6</x:v>
      </x:c>
      <x:c r="O234" s="627" t="n">
        <x:v>-156.13</x:v>
      </x:c>
      <x:c r="P234" s="627" t="n">
        <x:v>-98.14</x:v>
      </x:c>
      <x:c r="Q234" s="627" t="n">
        <x:v>-6.9</x:v>
      </x:c>
      <x:c r="R234" s="627" t="n">
        <x:v>0</x:v>
      </x:c>
      <x:c r="S234" s="627" t="n">
        <x:v>0</x:v>
      </x:c>
      <x:c r="T234" s="653" t="n">
        <x:v>0</x:v>
      </x:c>
      <x:c r="U234" s="653">
        <x:v>0</x:v>
      </x:c>
      <x:c r="V234" s="653">
        <x:v>0</x:v>
      </x:c>
      <x:c r="W234" s="653">
        <x:v>0</x:v>
      </x:c>
      <x:c r="X234" s="653">
        <x:v>0</x:v>
      </x:c>
      <x:c r="Y234" s="653">
        <x:v>0</x:v>
      </x:c>
      <x:c r="Z234" s="653">
        <x:v>0</x:v>
      </x:c>
      <x:c r="BN234" s="624"/>
    </x:row>
    <x:row r="235" spans="1:66" x14ac:dyDescent="0.2">
      <x:c r="A235"/>
      <x:c r="B235" t="inlineStr">
        <x:is>
          <x:t>Mes</x:t>
        </x:is>
      </x:c>
      <x:c r="C235" t="inlineStr">
        <x:is>
          <x:t>Total</x:t>
        </x:is>
      </x:c>
      <x:c r="D235"/>
      <x:c r="E235" s="625"/>
      <x:c r="F235" s="627" t="n">
        <x:v>-4456.11</x:v>
      </x:c>
      <x:c r="G235" s="627" t="n">
        <x:v>-384.61</x:v>
      </x:c>
      <x:c r="H235" s="627" t="n">
        <x:v>-163.4</x:v>
      </x:c>
      <x:c r="I235" s="627" t="n">
        <x:v>-71.36</x:v>
      </x:c>
      <x:c r="J235" s="627" t="n">
        <x:v>-870.46</x:v>
      </x:c>
      <x:c r="K235" s="627" t="n">
        <x:v>-35.94</x:v>
      </x:c>
      <x:c r="L235" s="627" t="n">
        <x:v>0</x:v>
      </x:c>
      <x:c r="M235" s="627" t="n">
        <x:v>-315.21</x:v>
      </x:c>
      <x:c r="N235" s="627" t="n">
        <x:v>-395.2</x:v>
      </x:c>
      <x:c r="O235" s="627" t="n">
        <x:v>-1327.09</x:v>
      </x:c>
      <x:c r="P235" s="627" t="n">
        <x:v>-834.22</x:v>
      </x:c>
      <x:c r="Q235" s="627" t="n">
        <x:v>-58.62</x:v>
      </x:c>
      <x:c r="R235" s="627" t="n">
        <x:v>0</x:v>
      </x:c>
      <x:c r="S235" s="627" t="n">
        <x:v>0</x:v>
      </x:c>
      <x:c r="T235" s="653" t="n">
        <x:v>0</x:v>
      </x:c>
      <x:c r="U235" s="653">
        <x:v>0</x:v>
      </x:c>
      <x:c r="V235" s="653">
        <x:v>0</x:v>
      </x:c>
      <x:c r="W235" s="653">
        <x:v>0</x:v>
      </x:c>
      <x:c r="X235" s="653">
        <x:v>0</x:v>
      </x:c>
      <x:c r="Y235" s="653">
        <x:v>0</x:v>
      </x:c>
      <x:c r="Z235" s="653">
        <x:v>0</x:v>
      </x:c>
      <x:c r="BN235" s="624"/>
    </x:row>
    <x:row r="236" spans="1:66" x14ac:dyDescent="0.2">
      <x:c r="A236" t="inlineStr">
        <x:is>
          <x:t>AFaseo</x:t>
        </x:is>
      </x:c>
      <x:c r="B236" t="inlineStr">
        <x:is>
          <x:t>Total</x:t>
        </x:is>
      </x:c>
      <x:c r="C236"/>
      <x:c r="D236" s="25"/>
      <x:c r="E236" s="625"/>
      <x:c r="F236" s="627" t="n">
        <x:v>-4456.11</x:v>
      </x:c>
      <x:c r="G236" s="627" t="n">
        <x:v>-384.61</x:v>
      </x:c>
      <x:c r="H236" s="627" t="n">
        <x:v>-163.4</x:v>
      </x:c>
      <x:c r="I236" s="627" t="n">
        <x:v>-71.36</x:v>
      </x:c>
      <x:c r="J236" s="627" t="n">
        <x:v>-870.46</x:v>
      </x:c>
      <x:c r="K236" s="627" t="n">
        <x:v>-35.94</x:v>
      </x:c>
      <x:c r="L236" s="627" t="n">
        <x:v>0</x:v>
      </x:c>
      <x:c r="M236" s="627" t="n">
        <x:v>-315.21</x:v>
      </x:c>
      <x:c r="N236" s="627" t="n">
        <x:v>-395.2</x:v>
      </x:c>
      <x:c r="O236" s="627" t="n">
        <x:v>-1327.09</x:v>
      </x:c>
      <x:c r="P236" s="627" t="n">
        <x:v>-834.22</x:v>
      </x:c>
      <x:c r="Q236" s="627" t="n">
        <x:v>-58.62</x:v>
      </x:c>
      <x:c r="R236" s="627" t="n">
        <x:v>0</x:v>
      </x:c>
      <x:c r="S236" s="627" t="n">
        <x:v>0</x:v>
      </x:c>
      <x:c r="T236" s="653" t="n">
        <x:v>0</x:v>
      </x:c>
      <x:c r="U236" s="653">
        <x:v>0</x:v>
      </x:c>
      <x:c r="V236" s="653">
        <x:v>0</x:v>
      </x:c>
      <x:c r="W236" s="653">
        <x:v>0</x:v>
      </x:c>
      <x:c r="X236" s="653">
        <x:v>0</x:v>
      </x:c>
      <x:c r="Y236" s="653">
        <x:v>0</x:v>
      </x:c>
      <x:c r="Z236" s="653">
        <x:v>0</x:v>
      </x:c>
      <x:c r="BN236" s="624"/>
    </x:row>
    <x:row r="237" spans="1:66" x14ac:dyDescent="0.2">
      <x:c r="A237" s="628"/>
      <x:c r="B237" s="628"/>
      <x:c r="C237" s="628"/>
      <x:c r="D237" s="628"/>
      <x:c r="E237" s="629" t="inlineStr">
        <x:is>
          <x:t>Vlr Servicio</x:t>
        </x:is>
      </x:c>
      <x:c r="F237" s="630" t="n">
        <x:v>16203110832.58</x:v>
      </x:c>
      <x:c r="G237" s="630" t="n">
        <x:v>976240418.41</x:v>
      </x:c>
      <x:c r="H237" s="630" t="n">
        <x:v>550553172.93</x:v>
      </x:c>
      <x:c r="I237" s="630" t="n">
        <x:v>289170374.95</x:v>
      </x:c>
      <x:c r="J237" s="630" t="n">
        <x:v>4498063138.45</x:v>
      </x:c>
      <x:c r="K237" s="630" t="n">
        <x:v>125574828.93</x:v>
      </x:c>
      <x:c r="L237" s="630" t="n">
        <x:v>20264217.38</x:v>
      </x:c>
      <x:c r="M237" s="630" t="n">
        <x:v>1101215665.17</x:v>
      </x:c>
      <x:c r="N237" s="630" t="n">
        <x:v>1069039105.44</x:v>
      </x:c>
      <x:c r="O237" s="630" t="n">
        <x:v>5055594780.91</x:v>
      </x:c>
      <x:c r="P237" s="630" t="n">
        <x:v>2312346459.71</x:v>
      </x:c>
      <x:c r="Q237" s="630" t="n">
        <x:v>204931459.27</x:v>
      </x:c>
      <x:c r="R237" s="630" t="n">
        <x:v>117211.03</x:v>
      </x:c>
      <x:c r="S237" s="630" t="n">
        <x:v>0</x:v>
      </x:c>
      <x:c r="T237" s="630" t="n">
        <x:v>0</x:v>
      </x:c>
      <x:c r="U237" s="630">
        <x:v>0</x:v>
      </x:c>
      <x:c r="V237" s="630">
        <x:v>0</x:v>
      </x:c>
      <x:c r="W237" s="630">
        <x:v>0</x:v>
      </x:c>
      <x:c r="X237" s="630">
        <x:v>0</x:v>
      </x:c>
      <x:c r="Y237" s="630">
        <x:v>0</x:v>
      </x:c>
      <x:c r="Z237" s="630">
        <x:v>0</x:v>
      </x:c>
      <x:c r="AA237" s="628"/>
      <x:c r="AB237" s="628"/>
      <x:c r="AC237" s="628"/>
      <x:c r="AD237" s="628"/>
      <x:c r="AE237" s="628"/>
      <x:c r="AF237" s="628"/>
      <x:c r="AG237" s="628"/>
      <x:c r="AH237" s="628"/>
      <x:c r="AI237" s="628"/>
      <x:c r="AJ237" s="628"/>
      <x:c r="AK237" s="628"/>
      <x:c r="AL237" s="628"/>
      <x:c r="AM237" s="628"/>
      <x:c r="AN237" s="628"/>
      <x:c r="AO237" s="628"/>
      <x:c r="AP237" s="628"/>
      <x:c r="AQ237" s="628"/>
      <x:c r="AR237" s="628"/>
      <x:c r="AS237" s="628"/>
      <x:c r="AT237" s="628"/>
      <x:c r="AU237" s="628"/>
      <x:c r="AV237" s="628"/>
      <x:c r="AW237" s="628"/>
      <x:c r="AX237" s="628"/>
      <x:c r="AY237" s="628"/>
      <x:c r="AZ237" s="628"/>
      <x:c r="BA237" s="628"/>
      <x:c r="BB237" s="628"/>
      <x:c r="BC237" s="628"/>
      <x:c r="BD237" s="628"/>
      <x:c r="BE237" s="628"/>
      <x:c r="BF237" s="628"/>
      <x:c r="BG237" s="628"/>
      <x:c r="BH237" s="628"/>
      <x:c r="BI237" s="628"/>
      <x:c r="BJ237" s="628"/>
      <x:c r="BK237" s="628"/>
      <x:c r="BL237" s="628"/>
      <x:c r="BM237" s="628"/>
      <x:c r="BN237" s="624"/>
    </x:row>
    <x:row r="238" spans="1:66" x14ac:dyDescent="0.2">
      <x:c r="A238" s="635"/>
      <x:c r="B238" s="635"/>
      <x:c r="C238" s="635"/>
      <x:c r="D238" s="635"/>
      <x:c r="E238" s="636" t="inlineStr">
        <x:is>
          <x:t>Vlr Intereses</x:t>
        </x:is>
      </x:c>
      <x:c r="F238" s="637" t="n">
        <x:v>9783329.82</x:v>
      </x:c>
      <x:c r="G238" s="637" t="n">
        <x:v>938448.58</x:v>
      </x:c>
      <x:c r="H238" s="637" t="n">
        <x:v>503251.75</x:v>
      </x:c>
      <x:c r="I238" s="637" t="n">
        <x:v>261272.68</x:v>
      </x:c>
      <x:c r="J238" s="637" t="n">
        <x:v>1789165.82</x:v>
      </x:c>
      <x:c r="K238" s="637" t="n">
        <x:v>73394.29</x:v>
      </x:c>
      <x:c r="L238" s="637" t="n">
        <x:v>38943.3</x:v>
      </x:c>
      <x:c r="M238" s="637" t="n">
        <x:v>642167.4</x:v>
      </x:c>
      <x:c r="N238" s="637" t="n">
        <x:v>599838.02</x:v>
      </x:c>
      <x:c r="O238" s="637" t="n">
        <x:v>2640096.6</x:v>
      </x:c>
      <x:c r="P238" s="637" t="n">
        <x:v>2176435.05</x:v>
      </x:c>
      <x:c r="Q238" s="637" t="n">
        <x:v>119898.21</x:v>
      </x:c>
      <x:c r="R238" s="637" t="n">
        <x:v>417.5</x:v>
      </x:c>
      <x:c r="S238" s="637" t="n">
        <x:v>0</x:v>
      </x:c>
      <x:c r="T238" s="637" t="n">
        <x:v>0.62</x:v>
      </x:c>
      <x:c r="U238" s="637">
        <x:v>0</x:v>
      </x:c>
      <x:c r="V238" s="637">
        <x:v>0</x:v>
      </x:c>
      <x:c r="W238" s="637">
        <x:v>0</x:v>
      </x:c>
      <x:c r="X238" s="637">
        <x:v>0</x:v>
      </x:c>
      <x:c r="Y238" s="637">
        <x:v>0</x:v>
      </x:c>
      <x:c r="Z238" s="637">
        <x:v>0</x:v>
      </x:c>
      <x:c r="AA238" s="635"/>
      <x:c r="AB238" s="635"/>
      <x:c r="AC238" s="635"/>
      <x:c r="AD238" s="635"/>
      <x:c r="AE238" s="635"/>
      <x:c r="AF238" s="635"/>
      <x:c r="AG238" s="635"/>
      <x:c r="AH238" s="635"/>
      <x:c r="AI238" s="635"/>
      <x:c r="AJ238" s="635"/>
      <x:c r="AK238" s="635"/>
      <x:c r="AL238" s="635"/>
      <x:c r="AM238" s="635"/>
      <x:c r="AN238" s="635"/>
      <x:c r="AO238" s="635"/>
      <x:c r="AP238" s="635"/>
      <x:c r="AQ238" s="635"/>
      <x:c r="AR238" s="635"/>
      <x:c r="AS238" s="635"/>
      <x:c r="AT238" s="635"/>
      <x:c r="AU238" s="635"/>
      <x:c r="AV238" s="635"/>
      <x:c r="AW238" s="635"/>
      <x:c r="AX238" s="635"/>
      <x:c r="AY238" s="635"/>
      <x:c r="AZ238" s="635"/>
      <x:c r="BA238" s="635"/>
      <x:c r="BB238" s="635"/>
      <x:c r="BC238" s="635"/>
      <x:c r="BD238" s="635"/>
      <x:c r="BE238" s="635"/>
      <x:c r="BF238" s="635"/>
      <x:c r="BG238" s="635"/>
      <x:c r="BH238" s="635"/>
      <x:c r="BI238" s="635"/>
      <x:c r="BJ238" s="635"/>
      <x:c r="BK238" s="635"/>
      <x:c r="BL238" s="635"/>
      <x:c r="BM238" s="635"/>
      <x:c r="BN238" s="624"/>
    </x:row>
    <x:row r="239" spans="1:66" x14ac:dyDescent="0.2">
      <x:c r="A239"/>
      <x:c r="B239"/>
      <x:c r="C239"/>
      <x:c r="D239" t="inlineStr">
        <x:is>
          <x:t>E</x:t>
        </x:is>
      </x:c>
      <x:c r="E239" s="625" t="inlineStr">
        <x:is>
          <x:t>Total</x:t>
        </x:is>
      </x:c>
      <x:c r="F239" s="627" t="n">
        <x:v>16212894162.4</x:v>
      </x:c>
      <x:c r="G239" s="627" t="n">
        <x:v>977178866.99</x:v>
      </x:c>
      <x:c r="H239" s="627" t="n">
        <x:v>551056424.68</x:v>
      </x:c>
      <x:c r="I239" s="627" t="n">
        <x:v>289431647.63</x:v>
      </x:c>
      <x:c r="J239" s="627" t="n">
        <x:v>4499852304.27</x:v>
      </x:c>
      <x:c r="K239" s="627" t="n">
        <x:v>125648223.22</x:v>
      </x:c>
      <x:c r="L239" s="627" t="n">
        <x:v>20303160.68</x:v>
      </x:c>
      <x:c r="M239" s="627" t="n">
        <x:v>1101857832.57</x:v>
      </x:c>
      <x:c r="N239" s="627" t="n">
        <x:v>1069638943.46</x:v>
      </x:c>
      <x:c r="O239" s="627" t="n">
        <x:v>5058234877.51</x:v>
      </x:c>
      <x:c r="P239" s="627" t="n">
        <x:v>2314522894.76</x:v>
      </x:c>
      <x:c r="Q239" s="627" t="n">
        <x:v>205051357.48</x:v>
      </x:c>
      <x:c r="R239" s="627" t="n">
        <x:v>117628.53</x:v>
      </x:c>
      <x:c r="S239" s="627" t="n">
        <x:v>0</x:v>
      </x:c>
      <x:c r="T239" s="653" t="n">
        <x:v>0.62</x:v>
      </x:c>
      <x:c r="U239" s="653">
        <x:v>0</x:v>
      </x:c>
      <x:c r="V239" s="653">
        <x:v>0</x:v>
      </x:c>
      <x:c r="W239" s="653">
        <x:v>0</x:v>
      </x:c>
      <x:c r="X239" s="653">
        <x:v>0</x:v>
      </x:c>
      <x:c r="Y239" s="653">
        <x:v>0</x:v>
      </x:c>
      <x:c r="Z239" s="653">
        <x:v>0</x:v>
      </x:c>
      <x:c r="BN239" s="624"/>
    </x:row>
    <x:row r="240" spans="1:66" x14ac:dyDescent="0.2">
      <x:c r="A240"/>
      <x:c r="B240"/>
      <x:c r="C240" t="inlineStr">
        <x:is>
          <x:t>ENEL</x:t>
        </x:is>
      </x:c>
      <x:c r="D240" t="inlineStr">
        <x:is>
          <x:t>Total</x:t>
        </x:is>
      </x:c>
      <x:c r="E240" s="625"/>
      <x:c r="F240" s="627" t="n">
        <x:v>16212894162.4</x:v>
      </x:c>
      <x:c r="G240" s="627" t="n">
        <x:v>977178866.99</x:v>
      </x:c>
      <x:c r="H240" s="627" t="n">
        <x:v>551056424.68</x:v>
      </x:c>
      <x:c r="I240" s="627" t="n">
        <x:v>289431647.63</x:v>
      </x:c>
      <x:c r="J240" s="627" t="n">
        <x:v>4499852304.27</x:v>
      </x:c>
      <x:c r="K240" s="627" t="n">
        <x:v>125648223.22</x:v>
      </x:c>
      <x:c r="L240" s="627" t="n">
        <x:v>20303160.68</x:v>
      </x:c>
      <x:c r="M240" s="627" t="n">
        <x:v>1101857832.57</x:v>
      </x:c>
      <x:c r="N240" s="627" t="n">
        <x:v>1069638943.46</x:v>
      </x:c>
      <x:c r="O240" s="627" t="n">
        <x:v>5058234877.51</x:v>
      </x:c>
      <x:c r="P240" s="627" t="n">
        <x:v>2314522894.76</x:v>
      </x:c>
      <x:c r="Q240" s="627" t="n">
        <x:v>205051357.48</x:v>
      </x:c>
      <x:c r="R240" s="627" t="n">
        <x:v>117628.53</x:v>
      </x:c>
      <x:c r="S240" s="627" t="n">
        <x:v>0</x:v>
      </x:c>
      <x:c r="T240" s="653" t="n">
        <x:v>0.62</x:v>
      </x:c>
      <x:c r="U240" s="653">
        <x:v>0</x:v>
      </x:c>
      <x:c r="V240" s="653">
        <x:v>0</x:v>
      </x:c>
      <x:c r="W240" s="653">
        <x:v>0</x:v>
      </x:c>
      <x:c r="X240" s="653">
        <x:v>0</x:v>
      </x:c>
      <x:c r="Y240" s="653">
        <x:v>0</x:v>
      </x:c>
      <x:c r="Z240" s="653">
        <x:v>0</x:v>
      </x:c>
      <x:c r="BN240" s="624"/>
    </x:row>
    <x:row r="241" spans="1:66" x14ac:dyDescent="0.2">
      <x:c r="A241"/>
      <x:c r="B241"/>
      <x:c r="C241"/>
      <x:c r="D241" s="25"/>
      <x:c r="E241" s="625" t="inlineStr">
        <x:is>
          <x:t>Vlr Servicio</x:t>
        </x:is>
      </x:c>
      <x:c r="F241" s="627" t="n">
        <x:v>56129769.21</x:v>
      </x:c>
      <x:c r="G241" s="627" t="n">
        <x:v>3612186.16</x:v>
      </x:c>
      <x:c r="H241" s="627" t="n">
        <x:v>2006551.81</x:v>
      </x:c>
      <x:c r="I241" s="627" t="n">
        <x:v>1069933.73</x:v>
      </x:c>
      <x:c r="J241" s="627" t="n">
        <x:v>12679014.02</x:v>
      </x:c>
      <x:c r="K241" s="627" t="n">
        <x:v>341950.57</x:v>
      </x:c>
      <x:c r="L241" s="627" t="n">
        <x:v>588000</x:v>
      </x:c>
      <x:c r="M241" s="627" t="n">
        <x:v>3001602.03</x:v>
      </x:c>
      <x:c r="N241" s="627" t="n">
        <x:v>4189079.11</x:v>
      </x:c>
      <x:c r="O241" s="627" t="n">
        <x:v>19596388.46</x:v>
      </x:c>
      <x:c r="P241" s="627" t="n">
        <x:v>8488561.4</x:v>
      </x:c>
      <x:c r="Q241" s="627" t="n">
        <x:v>556673.94</x:v>
      </x:c>
      <x:c r="R241" s="627" t="n">
        <x:v>-172.02</x:v>
      </x:c>
      <x:c r="S241" s="627" t="n">
        <x:v>0</x:v>
      </x:c>
      <x:c r="T241" s="653" t="n">
        <x:v>0</x:v>
      </x:c>
      <x:c r="U241" s="653">
        <x:v>0</x:v>
      </x:c>
      <x:c r="V241" s="653">
        <x:v>0</x:v>
      </x:c>
      <x:c r="W241" s="653">
        <x:v>0</x:v>
      </x:c>
      <x:c r="X241" s="653">
        <x:v>0</x:v>
      </x:c>
      <x:c r="Y241" s="653">
        <x:v>0</x:v>
      </x:c>
      <x:c r="Z241" s="653">
        <x:v>0</x:v>
      </x:c>
      <x:c r="BN241" s="624"/>
    </x:row>
    <x:row r="242" spans="1:66" x14ac:dyDescent="0.2">
      <x:c r="A242" s="628"/>
      <x:c r="B242" s="628"/>
      <x:c r="C242" s="628"/>
      <x:c r="D242" s="628"/>
      <x:c r="E242" s="629" t="inlineStr">
        <x:is>
          <x:t>Vlr Intereses</x:t>
        </x:is>
      </x:c>
      <x:c r="F242" s="630" t="n">
        <x:v>445748.01</x:v>
      </x:c>
      <x:c r="G242" s="630" t="n">
        <x:v>37881.32</x:v>
      </x:c>
      <x:c r="H242" s="630" t="n">
        <x:v>20288.39</x:v>
      </x:c>
      <x:c r="I242" s="630" t="n">
        <x:v>10854.44</x:v>
      </x:c>
      <x:c r="J242" s="630" t="n">
        <x:v>90241.99</x:v>
      </x:c>
      <x:c r="K242" s="630" t="n">
        <x:v>2624.2</x:v>
      </x:c>
      <x:c r="L242" s="630" t="n">
        <x:v>2977.24</x:v>
      </x:c>
      <x:c r="M242" s="630" t="n">
        <x:v>23003.13</x:v>
      </x:c>
      <x:c r="N242" s="630" t="n">
        <x:v>29336.29</x:v>
      </x:c>
      <x:c r="O242" s="630" t="n">
        <x:v>135738.24</x:v>
      </x:c>
      <x:c r="P242" s="630" t="n">
        <x:v>88525.02</x:v>
      </x:c>
      <x:c r="Q242" s="630" t="n">
        <x:v>4280.27</x:v>
      </x:c>
      <x:c r="R242" s="630" t="n">
        <x:v>-2.79</x:v>
      </x:c>
      <x:c r="S242" s="630" t="n">
        <x:v>0.27</x:v>
      </x:c>
      <x:c r="T242" s="630" t="n">
        <x:v>0</x:v>
      </x:c>
      <x:c r="U242" s="630">
        <x:v>0</x:v>
      </x:c>
      <x:c r="V242" s="630">
        <x:v>0</x:v>
      </x:c>
      <x:c r="W242" s="630">
        <x:v>0</x:v>
      </x:c>
      <x:c r="X242" s="630">
        <x:v>0</x:v>
      </x:c>
      <x:c r="Y242" s="630">
        <x:v>0</x:v>
      </x:c>
      <x:c r="Z242" s="630">
        <x:v>0</x:v>
      </x:c>
      <x:c r="AA242" s="628"/>
      <x:c r="AB242" s="628"/>
      <x:c r="AC242" s="628"/>
      <x:c r="AD242" s="628"/>
      <x:c r="AE242" s="628"/>
      <x:c r="AF242" s="628"/>
      <x:c r="AG242" s="628"/>
      <x:c r="AH242" s="628"/>
      <x:c r="AI242" s="628"/>
      <x:c r="AJ242" s="628"/>
      <x:c r="AK242" s="628"/>
      <x:c r="AL242" s="628"/>
      <x:c r="AM242" s="628"/>
      <x:c r="AN242" s="628"/>
      <x:c r="AO242" s="628"/>
      <x:c r="AP242" s="628"/>
      <x:c r="AQ242" s="628"/>
      <x:c r="AR242" s="628"/>
      <x:c r="AS242" s="628"/>
      <x:c r="AT242" s="628"/>
      <x:c r="AU242" s="628"/>
      <x:c r="AV242" s="628"/>
      <x:c r="AW242" s="628"/>
      <x:c r="AX242" s="628"/>
      <x:c r="AY242" s="628"/>
      <x:c r="AZ242" s="628"/>
      <x:c r="BA242" s="628"/>
      <x:c r="BB242" s="628"/>
      <x:c r="BC242" s="628"/>
      <x:c r="BD242" s="628"/>
      <x:c r="BE242" s="628"/>
      <x:c r="BF242" s="628"/>
      <x:c r="BG242" s="628"/>
      <x:c r="BH242" s="628"/>
      <x:c r="BI242" s="628"/>
      <x:c r="BJ242" s="628"/>
      <x:c r="BK242" s="628"/>
      <x:c r="BL242" s="628"/>
      <x:c r="BM242" s="628"/>
      <x:c r="BN242" s="624"/>
    </x:row>
    <x:row r="243" spans="1:66" x14ac:dyDescent="0.2">
      <x:c r="A243"/>
      <x:c r="B243"/>
      <x:c r="C243"/>
      <x:c r="D243" t="inlineStr">
        <x:is>
          <x:t>H</x:t>
        </x:is>
      </x:c>
      <x:c r="E243" s="625" t="inlineStr">
        <x:is>
          <x:t>Total</x:t>
        </x:is>
      </x:c>
      <x:c r="F243" s="627" t="n">
        <x:v>56575517.22</x:v>
      </x:c>
      <x:c r="G243" s="627" t="n">
        <x:v>3650067.48</x:v>
      </x:c>
      <x:c r="H243" s="627" t="n">
        <x:v>2026840.2</x:v>
      </x:c>
      <x:c r="I243" s="627" t="n">
        <x:v>1080788.17</x:v>
      </x:c>
      <x:c r="J243" s="627" t="n">
        <x:v>12769256.01</x:v>
      </x:c>
      <x:c r="K243" s="627" t="n">
        <x:v>344574.77</x:v>
      </x:c>
      <x:c r="L243" s="627" t="n">
        <x:v>590977.24</x:v>
      </x:c>
      <x:c r="M243" s="627" t="n">
        <x:v>3024605.16</x:v>
      </x:c>
      <x:c r="N243" s="627" t="n">
        <x:v>4218415.4</x:v>
      </x:c>
      <x:c r="O243" s="627" t="n">
        <x:v>19732126.7</x:v>
      </x:c>
      <x:c r="P243" s="627" t="n">
        <x:v>8577086.42</x:v>
      </x:c>
      <x:c r="Q243" s="627" t="n">
        <x:v>560954.21</x:v>
      </x:c>
      <x:c r="R243" s="627" t="n">
        <x:v>-174.81</x:v>
      </x:c>
      <x:c r="S243" s="627" t="n">
        <x:v>0.27</x:v>
      </x:c>
      <x:c r="T243" s="653" t="n">
        <x:v>0</x:v>
      </x:c>
      <x:c r="U243" s="653">
        <x:v>0</x:v>
      </x:c>
      <x:c r="V243" s="653">
        <x:v>0</x:v>
      </x:c>
      <x:c r="W243" s="653">
        <x:v>0</x:v>
      </x:c>
      <x:c r="X243" s="653">
        <x:v>0</x:v>
      </x:c>
      <x:c r="Y243" s="653">
        <x:v>0</x:v>
      </x:c>
      <x:c r="Z243" s="653">
        <x:v>0</x:v>
      </x:c>
      <x:c r="BN243" s="624"/>
    </x:row>
    <x:row r="244" spans="1:66" x14ac:dyDescent="0.2">
      <x:c r="A244"/>
      <x:c r="B244"/>
      <x:c r="C244"/>
      <x:c r="D244"/>
      <x:c r="E244" s="625" t="inlineStr">
        <x:is>
          <x:t>Vlr Servicio</x:t>
        </x:is>
      </x:c>
      <x:c r="F244" s="627" t="n">
        <x:v>69786246.86</x:v>
      </x:c>
      <x:c r="G244" s="627" t="n">
        <x:v>9968250.31</x:v>
      </x:c>
      <x:c r="H244" s="627" t="n">
        <x:v>5506519.31</x:v>
      </x:c>
      <x:c r="I244" s="627" t="n">
        <x:v>2876432.59</x:v>
      </x:c>
      <x:c r="J244" s="627" t="n">
        <x:v>7695333.31</x:v>
      </x:c>
      <x:c r="K244" s="627" t="n">
        <x:v>286308.78</x:v>
      </x:c>
      <x:c r="L244" s="627" t="n">
        <x:v>2185597.67</x:v>
      </x:c>
      <x:c r="M244" s="627" t="n">
        <x:v>2507089.44</x:v>
      </x:c>
      <x:c r="N244" s="627" t="n">
        <x:v>2734349.17</x:v>
      </x:c>
      <x:c r="O244" s="627" t="n">
        <x:v>12142713.65</x:v>
      </x:c>
      <x:c r="P244" s="627" t="n">
        <x:v>23417064.05</x:v>
      </x:c>
      <x:c r="Q244" s="627" t="n">
        <x:v>466943.72</x:v>
      </x:c>
      <x:c r="R244" s="627" t="n">
        <x:v>-355.14</x:v>
      </x:c>
      <x:c r="S244" s="627" t="n">
        <x:v>0</x:v>
      </x:c>
      <x:c r="T244" s="653" t="n">
        <x:v>0</x:v>
      </x:c>
      <x:c r="U244" s="653">
        <x:v>0</x:v>
      </x:c>
      <x:c r="V244" s="653">
        <x:v>0</x:v>
      </x:c>
      <x:c r="W244" s="653">
        <x:v>0</x:v>
      </x:c>
      <x:c r="X244" s="653">
        <x:v>0</x:v>
      </x:c>
      <x:c r="Y244" s="653">
        <x:v>0</x:v>
      </x:c>
      <x:c r="Z244" s="653">
        <x:v>0</x:v>
      </x:c>
      <x:c r="BN244" s="624"/>
    </x:row>
    <x:row r="245" spans="1:66" x14ac:dyDescent="0.2">
      <x:c r="A245"/>
      <x:c r="B245"/>
      <x:c r="C245"/>
      <x:c r="D245" s="625"/>
      <x:c r="E245" s="625" t="inlineStr">
        <x:is>
          <x:t>Vlr Intereses</x:t>
        </x:is>
      </x:c>
      <x:c r="F245" s="627" t="n">
        <x:v>-1435565.73</x:v>
      </x:c>
      <x:c r="G245" s="627" t="n">
        <x:v>389821.03</x:v>
      </x:c>
      <x:c r="H245" s="627" t="n">
        <x:v>170514.02</x:v>
      </x:c>
      <x:c r="I245" s="627" t="n">
        <x:v>70212.55</x:v>
      </x:c>
      <x:c r="J245" s="627" t="n">
        <x:v>245811.06</x:v>
      </x:c>
      <x:c r="K245" s="627" t="n">
        <x:v>14953.69</x:v>
      </x:c>
      <x:c r="L245" s="627" t="n">
        <x:v>70183.93</x:v>
      </x:c>
      <x:c r="M245" s="627" t="n">
        <x:v>131060.59</x:v>
      </x:c>
      <x:c r="N245" s="627" t="n">
        <x:v>106081.33</x:v>
      </x:c>
      <x:c r="O245" s="627" t="n">
        <x:v>396319.07</x:v>
      </x:c>
      <x:c r="P245" s="627" t="n">
        <x:v>906960.48</x:v>
      </x:c>
      <x:c r="Q245" s="627" t="n">
        <x:v>24396.8</x:v>
      </x:c>
      <x:c r="R245" s="627" t="n">
        <x:v>2.76</x:v>
      </x:c>
      <x:c r="S245" s="627" t="n">
        <x:v>-3961883.13</x:v>
      </x:c>
      <x:c r="T245" s="653" t="n">
        <x:v>0.09</x:v>
      </x:c>
      <x:c r="U245" s="653">
        <x:v>0</x:v>
      </x:c>
      <x:c r="V245" s="653">
        <x:v>0</x:v>
      </x:c>
      <x:c r="W245" s="653">
        <x:v>0</x:v>
      </x:c>
      <x:c r="X245" s="653">
        <x:v>0</x:v>
      </x:c>
      <x:c r="Y245" s="653">
        <x:v>0</x:v>
      </x:c>
      <x:c r="Z245" s="653">
        <x:v>0</x:v>
      </x:c>
      <x:c r="BN245" s="624"/>
    </x:row>
    <x:row r="246" spans="1:66" x14ac:dyDescent="0.2">
      <x:c r="A246"/>
      <x:c r="B246"/>
      <x:c r="C246"/>
      <x:c r="D246" s="625" t="inlineStr">
        <x:is>
          <x:t>O</x:t>
        </x:is>
      </x:c>
      <x:c r="E246" s="625" t="inlineStr">
        <x:is>
          <x:t>Total</x:t>
        </x:is>
      </x:c>
      <x:c r="F246" s="627" t="n">
        <x:v>68350681.13</x:v>
      </x:c>
      <x:c r="G246" s="627" t="n">
        <x:v>10358071.34</x:v>
      </x:c>
      <x:c r="H246" s="627" t="n">
        <x:v>5677033.33</x:v>
      </x:c>
      <x:c r="I246" s="627" t="n">
        <x:v>2946645.14</x:v>
      </x:c>
      <x:c r="J246" s="627" t="n">
        <x:v>7941144.37</x:v>
      </x:c>
      <x:c r="K246" s="627" t="n">
        <x:v>301262.47</x:v>
      </x:c>
      <x:c r="L246" s="627" t="n">
        <x:v>2255781.6</x:v>
      </x:c>
      <x:c r="M246" s="627" t="n">
        <x:v>2638150.03</x:v>
      </x:c>
      <x:c r="N246" s="627" t="n">
        <x:v>2840430.5</x:v>
      </x:c>
      <x:c r="O246" s="627" t="n">
        <x:v>12539032.72</x:v>
      </x:c>
      <x:c r="P246" s="627" t="n">
        <x:v>24324024.53</x:v>
      </x:c>
      <x:c r="Q246" s="627" t="n">
        <x:v>491340.52</x:v>
      </x:c>
      <x:c r="R246" s="627" t="n">
        <x:v>-352.38</x:v>
      </x:c>
      <x:c r="S246" s="627" t="n">
        <x:v>-3961883.13</x:v>
      </x:c>
      <x:c r="T246" s="653" t="n">
        <x:v>0.09</x:v>
      </x:c>
      <x:c r="U246" s="653">
        <x:v>0</x:v>
      </x:c>
      <x:c r="V246" s="653">
        <x:v>0</x:v>
      </x:c>
      <x:c r="W246" s="653">
        <x:v>0</x:v>
      </x:c>
      <x:c r="X246" s="653">
        <x:v>0</x:v>
      </x:c>
      <x:c r="Y246" s="653">
        <x:v>0</x:v>
      </x:c>
      <x:c r="Z246" s="653">
        <x:v>0</x:v>
      </x:c>
      <x:c r="BN246" s="624"/>
    </x:row>
    <x:row r="247" spans="1:66" x14ac:dyDescent="0.2">
      <x:c r="A247"/>
      <x:c r="B247"/>
      <x:c r="C247"/>
      <x:c r="D247"/>
      <x:c r="E247" s="625" t="inlineStr">
        <x:is>
          <x:t>Vlr Servicio</x:t>
        </x:is>
      </x:c>
      <x:c r="F247" s="627" t="n">
        <x:v>754857948.81</x:v>
      </x:c>
      <x:c r="G247" s="627" t="n">
        <x:v>148706575.02</x:v>
      </x:c>
      <x:c r="H247" s="627" t="n">
        <x:v>83937865.38</x:v>
      </x:c>
      <x:c r="I247" s="627" t="n">
        <x:v>44068434.13</x:v>
      </x:c>
      <x:c r="J247" s="627" t="n">
        <x:v>37108912.35</x:v>
      </x:c>
      <x:c r="K247" s="627" t="n">
        <x:v>930977.08</x:v>
      </x:c>
      <x:c r="L247" s="627" t="n">
        <x:v>14182236.76</x:v>
      </x:c>
      <x:c r="M247" s="627" t="n">
        <x:v>8142908.47</x:v>
      </x:c>
      <x:c r="N247" s="627" t="n">
        <x:v>11743210.88</x:v>
      </x:c>
      <x:c r="O247" s="627" t="n">
        <x:v>55162077.31</x:v>
      </x:c>
      <x:c r="P247" s="627" t="n">
        <x:v>349358814.97</x:v>
      </x:c>
      <x:c r="Q247" s="627" t="n">
        <x:v>1516361.95</x:v>
      </x:c>
      <x:c r="R247" s="627" t="n">
        <x:v>-425.49</x:v>
      </x:c>
      <x:c r="S247" s="627" t="n">
        <x:v>0</x:v>
      </x:c>
      <x:c r="T247" s="653" t="n">
        <x:v>0</x:v>
      </x:c>
      <x:c r="U247" s="653">
        <x:v>0</x:v>
      </x:c>
      <x:c r="V247" s="653">
        <x:v>0</x:v>
      </x:c>
      <x:c r="W247" s="653">
        <x:v>0</x:v>
      </x:c>
      <x:c r="X247" s="653">
        <x:v>0</x:v>
      </x:c>
      <x:c r="Y247" s="653">
        <x:v>0</x:v>
      </x:c>
      <x:c r="Z247" s="653">
        <x:v>0</x:v>
      </x:c>
      <x:c r="BN247" s="624"/>
    </x:row>
    <x:row r="248" spans="1:66" x14ac:dyDescent="0.2">
      <x:c r="A248"/>
      <x:c r="B248"/>
      <x:c r="C248"/>
      <x:c r="D248" s="625"/>
      <x:c r="E248" s="625" t="inlineStr">
        <x:is>
          <x:t>Vlr Intereses</x:t>
        </x:is>
      </x:c>
      <x:c r="F248" s="627" t="n">
        <x:v>17926857.18</x:v>
      </x:c>
      <x:c r="G248" s="627" t="n">
        <x:v>4123838.17</x:v>
      </x:c>
      <x:c r="H248" s="627" t="n">
        <x:v>2367978.82</x:v>
      </x:c>
      <x:c r="I248" s="627" t="n">
        <x:v>1240495.65</x:v>
      </x:c>
      <x:c r="J248" s="627" t="n">
        <x:v>200712.91</x:v>
      </x:c>
      <x:c r="K248" s="627" t="n">
        <x:v>4663.95</x:v>
      </x:c>
      <x:c r="L248" s="627" t="n">
        <x:v>9192.63</x:v>
      </x:c>
      <x:c r="M248" s="627" t="n">
        <x:v>40706.67</x:v>
      </x:c>
      <x:c r="N248" s="627" t="n">
        <x:v>56538.72</x:v>
      </x:c>
      <x:c r="O248" s="627" t="n">
        <x:v>263898.53</x:v>
      </x:c>
      <x:c r="P248" s="627" t="n">
        <x:v>9622953.21</x:v>
      </x:c>
      <x:c r="Q248" s="627" t="n">
        <x:v>7594.24</x:v>
      </x:c>
      <x:c r="R248" s="627" t="n">
        <x:v>0.68</x:v>
      </x:c>
      <x:c r="S248" s="627" t="n">
        <x:v>-11717</x:v>
      </x:c>
      <x:c r="T248" s="653" t="n">
        <x:v>0</x:v>
      </x:c>
      <x:c r="U248" s="653">
        <x:v>0</x:v>
      </x:c>
      <x:c r="V248" s="653">
        <x:v>0</x:v>
      </x:c>
      <x:c r="W248" s="653">
        <x:v>0</x:v>
      </x:c>
      <x:c r="X248" s="653">
        <x:v>0</x:v>
      </x:c>
      <x:c r="Y248" s="653">
        <x:v>0</x:v>
      </x:c>
      <x:c r="Z248" s="653">
        <x:v>0</x:v>
      </x:c>
      <x:c r="BN248" s="624"/>
    </x:row>
    <x:row r="249" spans="1:66" x14ac:dyDescent="0.2">
      <x:c r="A249"/>
      <x:c r="B249"/>
      <x:c r="C249"/>
      <x:c r="D249" t="inlineStr">
        <x:is>
          <x:t>T</x:t>
        </x:is>
      </x:c>
      <x:c r="E249" s="625" t="inlineStr">
        <x:is>
          <x:t>Total</x:t>
        </x:is>
      </x:c>
      <x:c r="F249" s="627" t="n">
        <x:v>772784805.99</x:v>
      </x:c>
      <x:c r="G249" s="627" t="n">
        <x:v>152830413.19</x:v>
      </x:c>
      <x:c r="H249" s="627" t="n">
        <x:v>86305844.2</x:v>
      </x:c>
      <x:c r="I249" s="627" t="n">
        <x:v>45308929.78</x:v>
      </x:c>
      <x:c r="J249" s="627" t="n">
        <x:v>37309625.26</x:v>
      </x:c>
      <x:c r="K249" s="627" t="n">
        <x:v>935641.03</x:v>
      </x:c>
      <x:c r="L249" s="627" t="n">
        <x:v>14191429.39</x:v>
      </x:c>
      <x:c r="M249" s="627" t="n">
        <x:v>8183615.14</x:v>
      </x:c>
      <x:c r="N249" s="627" t="n">
        <x:v>11799749.6</x:v>
      </x:c>
      <x:c r="O249" s="627" t="n">
        <x:v>55425975.84</x:v>
      </x:c>
      <x:c r="P249" s="627" t="n">
        <x:v>358981768.18</x:v>
      </x:c>
      <x:c r="Q249" s="627" t="n">
        <x:v>1523956.19</x:v>
      </x:c>
      <x:c r="R249" s="627" t="n">
        <x:v>-424.81</x:v>
      </x:c>
      <x:c r="S249" s="627" t="n">
        <x:v>-11717</x:v>
      </x:c>
      <x:c r="T249" s="653" t="n">
        <x:v>0</x:v>
      </x:c>
      <x:c r="U249" s="653">
        <x:v>0</x:v>
      </x:c>
      <x:c r="V249" s="653">
        <x:v>0</x:v>
      </x:c>
      <x:c r="W249" s="653">
        <x:v>0</x:v>
      </x:c>
      <x:c r="X249" s="653">
        <x:v>0</x:v>
      </x:c>
      <x:c r="Y249" s="653">
        <x:v>0</x:v>
      </x:c>
      <x:c r="Z249" s="653">
        <x:v>0</x:v>
      </x:c>
      <x:c r="BN249" s="624"/>
    </x:row>
    <x:row r="250" spans="1:66" x14ac:dyDescent="0.2">
      <x:c r="A250"/>
      <x:c r="B250"/>
      <x:c r="C250" t="inlineStr">
        <x:is>
          <x:t>OCCIDENTE</x:t>
        </x:is>
      </x:c>
      <x:c r="D250" t="inlineStr">
        <x:is>
          <x:t>Total</x:t>
        </x:is>
      </x:c>
      <x:c r="E250" s="625"/>
      <x:c r="F250" s="627" t="n">
        <x:v>897711004.34</x:v>
      </x:c>
      <x:c r="G250" s="627" t="n">
        <x:v>166838552.01</x:v>
      </x:c>
      <x:c r="H250" s="627" t="n">
        <x:v>94009717.73</x:v>
      </x:c>
      <x:c r="I250" s="627" t="n">
        <x:v>49336363.09</x:v>
      </x:c>
      <x:c r="J250" s="627" t="n">
        <x:v>58020025.64</x:v>
      </x:c>
      <x:c r="K250" s="627" t="n">
        <x:v>1581478.27</x:v>
      </x:c>
      <x:c r="L250" s="627" t="n">
        <x:v>17038188.23</x:v>
      </x:c>
      <x:c r="M250" s="627" t="n">
        <x:v>13846370.33</x:v>
      </x:c>
      <x:c r="N250" s="627" t="n">
        <x:v>18858595.5</x:v>
      </x:c>
      <x:c r="O250" s="627" t="n">
        <x:v>87697135.26</x:v>
      </x:c>
      <x:c r="P250" s="627" t="n">
        <x:v>391882879.13</x:v>
      </x:c>
      <x:c r="Q250" s="627" t="n">
        <x:v>2576250.92</x:v>
      </x:c>
      <x:c r="R250" s="627" t="n">
        <x:v>-952</x:v>
      </x:c>
      <x:c r="S250" s="627" t="n">
        <x:v>-3973599.86</x:v>
      </x:c>
      <x:c r="T250" s="653" t="n">
        <x:v>0.09</x:v>
      </x:c>
      <x:c r="U250" s="653">
        <x:v>0</x:v>
      </x:c>
      <x:c r="V250" s="653">
        <x:v>0</x:v>
      </x:c>
      <x:c r="W250" s="653">
        <x:v>0</x:v>
      </x:c>
      <x:c r="X250" s="653">
        <x:v>0</x:v>
      </x:c>
      <x:c r="Y250" s="653">
        <x:v>0</x:v>
      </x:c>
      <x:c r="Z250" s="653">
        <x:v>0</x:v>
      </x:c>
      <x:c r="BN250" s="624"/>
    </x:row>
    <x:row r="251" spans="1:66" x14ac:dyDescent="0.2">
      <x:c r="A251"/>
      <x:c r="B251" t="inlineStr">
        <x:is>
          <x:t>Mes</x:t>
        </x:is>
      </x:c>
      <x:c r="C251" t="inlineStr">
        <x:is>
          <x:t>Total</x:t>
        </x:is>
      </x:c>
      <x:c r="D251" s="625"/>
      <x:c r="E251" s="625"/>
      <x:c r="F251" s="627" t="n">
        <x:v>17110605166.74</x:v>
      </x:c>
      <x:c r="G251" s="627" t="n">
        <x:v>1144017419</x:v>
      </x:c>
      <x:c r="H251" s="627" t="n">
        <x:v>645066142.41</x:v>
      </x:c>
      <x:c r="I251" s="627" t="n">
        <x:v>338768010.72</x:v>
      </x:c>
      <x:c r="J251" s="627" t="n">
        <x:v>4557872329.91</x:v>
      </x:c>
      <x:c r="K251" s="627" t="n">
        <x:v>127229701.49</x:v>
      </x:c>
      <x:c r="L251" s="627" t="n">
        <x:v>37341348.91</x:v>
      </x:c>
      <x:c r="M251" s="627" t="n">
        <x:v>1115704202.9</x:v>
      </x:c>
      <x:c r="N251" s="627" t="n">
        <x:v>1088497538.96</x:v>
      </x:c>
      <x:c r="O251" s="627" t="n">
        <x:v>5145932012.77</x:v>
      </x:c>
      <x:c r="P251" s="627" t="n">
        <x:v>2706405773.89</x:v>
      </x:c>
      <x:c r="Q251" s="627" t="n">
        <x:v>207627608.4</x:v>
      </x:c>
      <x:c r="R251" s="627" t="n">
        <x:v>116676.53</x:v>
      </x:c>
      <x:c r="S251" s="627" t="n">
        <x:v>-3973599.86</x:v>
      </x:c>
      <x:c r="T251" s="653" t="n">
        <x:v>0.71</x:v>
      </x:c>
      <x:c r="U251" s="653">
        <x:v>0</x:v>
      </x:c>
      <x:c r="V251" s="653">
        <x:v>0</x:v>
      </x:c>
      <x:c r="W251" s="653">
        <x:v>0</x:v>
      </x:c>
      <x:c r="X251" s="653">
        <x:v>0</x:v>
      </x:c>
      <x:c r="Y251" s="653">
        <x:v>0</x:v>
      </x:c>
      <x:c r="Z251" s="653">
        <x:v>0</x:v>
      </x:c>
      <x:c r="BN251" s="624"/>
    </x:row>
    <x:row r="252" spans="1:66" x14ac:dyDescent="0.2">
      <x:c r="A252" s="631" t="inlineStr">
        <x:is>
          <x:t>Componente</x:t>
        </x:is>
      </x:c>
      <x:c r="B252" s="631" t="inlineStr">
        <x:is>
          <x:t>Total</x:t>
        </x:is>
      </x:c>
      <x:c r="C252" s="632"/>
      <x:c r="D252" s="632"/>
      <x:c r="E252" s="631"/>
      <x:c r="F252" s="633" t="n">
        <x:v>17110605166.74</x:v>
      </x:c>
      <x:c r="G252" s="633" t="n">
        <x:v>1144017419</x:v>
      </x:c>
      <x:c r="H252" s="633" t="n">
        <x:v>645066142.41</x:v>
      </x:c>
      <x:c r="I252" s="633" t="n">
        <x:v>338768010.72</x:v>
      </x:c>
      <x:c r="J252" s="633" t="n">
        <x:v>4557872329.91</x:v>
      </x:c>
      <x:c r="K252" s="633" t="n">
        <x:v>127229701.49</x:v>
      </x:c>
      <x:c r="L252" s="633" t="n">
        <x:v>37341348.91</x:v>
      </x:c>
      <x:c r="M252" s="633" t="n">
        <x:v>1115704202.9</x:v>
      </x:c>
      <x:c r="N252" s="633" t="n">
        <x:v>1088497538.96</x:v>
      </x:c>
      <x:c r="O252" s="633" t="n">
        <x:v>5145932012.77</x:v>
      </x:c>
      <x:c r="P252" s="633" t="n">
        <x:v>2706405773.89</x:v>
      </x:c>
      <x:c r="Q252" s="633" t="n">
        <x:v>207627608.4</x:v>
      </x:c>
      <x:c r="R252" s="633" t="n">
        <x:v>116676.53</x:v>
      </x:c>
      <x:c r="S252" s="633" t="n">
        <x:v>-3973599.86</x:v>
      </x:c>
      <x:c r="T252" s="633" t="n">
        <x:v>0.71</x:v>
      </x:c>
      <x:c r="U252" s="633">
        <x:v>0</x:v>
      </x:c>
      <x:c r="V252" s="633">
        <x:v>0</x:v>
      </x:c>
      <x:c r="W252" s="633">
        <x:v>0</x:v>
      </x:c>
      <x:c r="X252" s="633">
        <x:v>0</x:v>
      </x:c>
      <x:c r="Y252" s="633">
        <x:v>0</x:v>
      </x:c>
      <x:c r="Z252" s="633">
        <x:v>0</x:v>
      </x:c>
      <x:c r="AA252" s="631"/>
      <x:c r="AB252" s="631"/>
      <x:c r="AC252" s="631"/>
      <x:c r="AD252" s="631"/>
      <x:c r="AE252" s="631"/>
      <x:c r="AF252" s="631"/>
      <x:c r="AG252" s="631"/>
      <x:c r="AH252" s="631"/>
      <x:c r="AI252" s="631"/>
      <x:c r="AJ252" s="631"/>
      <x:c r="AK252" s="631"/>
      <x:c r="AL252" s="631"/>
      <x:c r="AM252" s="631"/>
      <x:c r="AN252" s="631"/>
      <x:c r="AO252" s="631"/>
      <x:c r="AP252" s="631"/>
      <x:c r="AQ252" s="631"/>
      <x:c r="AR252" s="631"/>
      <x:c r="AS252" s="631"/>
      <x:c r="AT252" s="631"/>
      <x:c r="AU252" s="631"/>
      <x:c r="AV252" s="631"/>
      <x:c r="AW252" s="631"/>
      <x:c r="AX252" s="631"/>
      <x:c r="AY252" s="631"/>
      <x:c r="AZ252" s="631"/>
      <x:c r="BA252" s="631"/>
      <x:c r="BB252" s="631"/>
      <x:c r="BC252" s="631"/>
      <x:c r="BD252" s="631"/>
      <x:c r="BE252" s="631"/>
      <x:c r="BF252" s="631"/>
      <x:c r="BG252" s="631"/>
      <x:c r="BH252" s="631"/>
      <x:c r="BI252" s="631"/>
      <x:c r="BJ252" s="631"/>
      <x:c r="BK252" s="631"/>
      <x:c r="BL252" s="631"/>
      <x:c r="BM252" s="631"/>
      <x:c r="BN252" s="624"/>
    </x:row>
    <x:row r="253" spans="1:66" x14ac:dyDescent="0.2">
      <x:c r="A253" s="638"/>
      <x:c r="B253" s="639"/>
      <x:c r="C253" s="639"/>
      <x:c r="D253" s="638"/>
      <x:c r="E253" s="638" t="inlineStr">
        <x:is>
          <x:t>Subsidio(-)/Contribucion(+)</x:t>
        </x:is>
      </x:c>
      <x:c r="F253" s="640" t="n">
        <x:v>-1087996443.09</x:v>
      </x:c>
      <x:c r="G253" s="640" t="n">
        <x:v>192799744.37</x:v>
      </x:c>
      <x:c r="H253" s="640" t="n">
        <x:v>108870075.98</x:v>
      </x:c>
      <x:c r="I253" s="640" t="n">
        <x:v>57205798</x:v>
      </x:c>
      <x:c r="J253" s="640" t="n">
        <x:v>-715866743.76</x:v>
      </x:c>
      <x:c r="K253" s="640" t="n">
        <x:v>-19719209.79</x:v>
      </x:c>
      <x:c r="L253" s="640" t="n">
        <x:v>0</x:v>
      </x:c>
      <x:c r="M253" s="640" t="n">
        <x:v>-172988030.45</x:v>
      </x:c>
      <x:c r="N253" s="640" t="n">
        <x:v>-168117168.85</x:v>
      </x:c>
      <x:c r="O253" s="640" t="n">
        <x:v>-795100944.94</x:v>
      </x:c>
      <x:c r="P253" s="640" t="n">
        <x:v>457090640.21</x:v>
      </x:c>
      <x:c r="Q253" s="640" t="n">
        <x:v>-32170603.86</x:v>
      </x:c>
      <x:c r="R253" s="640" t="n">
        <x:v>0</x:v>
      </x:c>
      <x:c r="S253" s="640" t="n">
        <x:v>0</x:v>
      </x:c>
      <x:c r="T253" s="640" t="n">
        <x:v>0</x:v>
      </x:c>
      <x:c r="U253" s="640">
        <x:v>0</x:v>
      </x:c>
      <x:c r="V253" s="640">
        <x:v>0</x:v>
      </x:c>
      <x:c r="W253" s="640">
        <x:v>0</x:v>
      </x:c>
      <x:c r="X253" s="640">
        <x:v>0</x:v>
      </x:c>
      <x:c r="Y253" s="640">
        <x:v>0</x:v>
      </x:c>
      <x:c r="Z253" s="640">
        <x:v>0</x:v>
      </x:c>
      <x:c r="AA253" s="638"/>
      <x:c r="AB253" s="638"/>
      <x:c r="AC253" s="638"/>
      <x:c r="AD253" s="638"/>
      <x:c r="AE253" s="638"/>
      <x:c r="AF253" s="638"/>
      <x:c r="AG253" s="638"/>
      <x:c r="AH253" s="638"/>
      <x:c r="AI253" s="638"/>
      <x:c r="AJ253" s="638"/>
      <x:c r="AK253" s="638"/>
      <x:c r="AL253" s="638"/>
      <x:c r="AM253" s="638"/>
      <x:c r="AN253" s="638"/>
      <x:c r="AO253" s="638"/>
      <x:c r="AP253" s="638"/>
      <x:c r="AQ253" s="638"/>
      <x:c r="AR253" s="638"/>
      <x:c r="AS253" s="638"/>
      <x:c r="AT253" s="638"/>
      <x:c r="AU253" s="638"/>
      <x:c r="AV253" s="638"/>
      <x:c r="AW253" s="638"/>
      <x:c r="AX253" s="638"/>
      <x:c r="AY253" s="638"/>
      <x:c r="AZ253" s="638"/>
      <x:c r="BA253" s="638"/>
      <x:c r="BB253" s="638"/>
      <x:c r="BC253" s="638"/>
      <x:c r="BD253" s="638"/>
      <x:c r="BE253" s="638"/>
      <x:c r="BF253" s="638"/>
      <x:c r="BG253" s="638"/>
      <x:c r="BH253" s="638"/>
      <x:c r="BI253" s="638"/>
      <x:c r="BJ253" s="638"/>
      <x:c r="BK253" s="638"/>
      <x:c r="BL253" s="638"/>
      <x:c r="BM253" s="638"/>
      <x:c r="BN253" s="624"/>
    </x:row>
    <x:row r="254" spans="1:66" x14ac:dyDescent="0.2">
      <x:c r="A254" s="625"/>
      <x:c r="B254" s="625"/>
      <x:c r="C254"/>
      <x:c r="D254" t="inlineStr">
        <x:is>
          <x:t>E</x:t>
        </x:is>
      </x:c>
      <x:c r="E254" t="inlineStr">
        <x:is>
          <x:t>Total</x:t>
        </x:is>
      </x:c>
      <x:c r="F254" s="627" t="n">
        <x:v>-1087996443.09</x:v>
      </x:c>
      <x:c r="G254" s="627" t="n">
        <x:v>192799744.37</x:v>
      </x:c>
      <x:c r="H254" s="627" t="n">
        <x:v>108870075.98</x:v>
      </x:c>
      <x:c r="I254" s="627" t="n">
        <x:v>57205798</x:v>
      </x:c>
      <x:c r="J254" s="627" t="n">
        <x:v>-715866743.76</x:v>
      </x:c>
      <x:c r="K254" s="627" t="n">
        <x:v>-19719209.79</x:v>
      </x:c>
      <x:c r="L254" s="627" t="n">
        <x:v>0</x:v>
      </x:c>
      <x:c r="M254" s="627" t="n">
        <x:v>-172988030.45</x:v>
      </x:c>
      <x:c r="N254" s="627" t="n">
        <x:v>-168117168.85</x:v>
      </x:c>
      <x:c r="O254" s="627" t="n">
        <x:v>-795100944.94</x:v>
      </x:c>
      <x:c r="P254" s="627" t="n">
        <x:v>457090640.21</x:v>
      </x:c>
      <x:c r="Q254" s="627" t="n">
        <x:v>-32170603.86</x:v>
      </x:c>
      <x:c r="R254" s="627" t="n">
        <x:v>0</x:v>
      </x:c>
      <x:c r="S254" s="627" t="n">
        <x:v>0</x:v>
      </x:c>
      <x:c r="T254" s="653" t="n">
        <x:v>0</x:v>
      </x:c>
      <x:c r="U254" s="653">
        <x:v>0</x:v>
      </x:c>
      <x:c r="V254" s="653">
        <x:v>0</x:v>
      </x:c>
      <x:c r="W254" s="653">
        <x:v>0</x:v>
      </x:c>
      <x:c r="X254" s="653">
        <x:v>0</x:v>
      </x:c>
      <x:c r="Y254" s="653">
        <x:v>0</x:v>
      </x:c>
      <x:c r="Z254" s="653">
        <x:v>0</x:v>
      </x:c>
      <x:c r="BN254" s="624"/>
    </x:row>
    <x:row r="255" spans="1:66" x14ac:dyDescent="0.2">
      <x:c r="A255" s="625"/>
      <x:c r="B255" s="625"/>
      <x:c r="C255" t="inlineStr">
        <x:is>
          <x:t>ENEL</x:t>
        </x:is>
      </x:c>
      <x:c r="D255" t="inlineStr">
        <x:is>
          <x:t>Total</x:t>
        </x:is>
      </x:c>
      <x:c r="E255" s="25"/>
      <x:c r="F255" s="627" t="n">
        <x:v>-1087996443.09</x:v>
      </x:c>
      <x:c r="G255" s="627" t="n">
        <x:v>192799744.37</x:v>
      </x:c>
      <x:c r="H255" s="627" t="n">
        <x:v>108870075.98</x:v>
      </x:c>
      <x:c r="I255" s="627" t="n">
        <x:v>57205798</x:v>
      </x:c>
      <x:c r="J255" s="627" t="n">
        <x:v>-715866743.76</x:v>
      </x:c>
      <x:c r="K255" s="627" t="n">
        <x:v>-19719209.79</x:v>
      </x:c>
      <x:c r="L255" s="627" t="n">
        <x:v>0</x:v>
      </x:c>
      <x:c r="M255" s="627" t="n">
        <x:v>-172988030.45</x:v>
      </x:c>
      <x:c r="N255" s="627" t="n">
        <x:v>-168117168.85</x:v>
      </x:c>
      <x:c r="O255" s="627" t="n">
        <x:v>-795100944.94</x:v>
      </x:c>
      <x:c r="P255" s="627" t="n">
        <x:v>457090640.21</x:v>
      </x:c>
      <x:c r="Q255" s="627" t="n">
        <x:v>-32170603.86</x:v>
      </x:c>
      <x:c r="R255" s="627" t="n">
        <x:v>0</x:v>
      </x:c>
      <x:c r="S255" s="627" t="n">
        <x:v>0</x:v>
      </x:c>
      <x:c r="T255" s="653" t="n">
        <x:v>0</x:v>
      </x:c>
      <x:c r="U255" s="653">
        <x:v>0</x:v>
      </x:c>
      <x:c r="V255" s="653">
        <x:v>0</x:v>
      </x:c>
      <x:c r="W255" s="653">
        <x:v>0</x:v>
      </x:c>
      <x:c r="X255" s="653">
        <x:v>0</x:v>
      </x:c>
      <x:c r="Y255" s="653">
        <x:v>0</x:v>
      </x:c>
      <x:c r="Z255" s="653">
        <x:v>0</x:v>
      </x:c>
      <x:c r="BN255" s="624"/>
    </x:row>
    <x:row r="256" spans="1:66" x14ac:dyDescent="0.2">
      <x:c r="A256" s="625"/>
      <x:c r="B256" s="625"/>
      <x:c r="C256"/>
      <x:c r="D256" s="25"/>
      <x:c r="E256" s="25" t="inlineStr">
        <x:is>
          <x:t>Subsidio(-)/Contribucion(+)</x:t>
        </x:is>
      </x:c>
      <x:c r="F256" s="627" t="n">
        <x:v>2327352.78</x:v>
      </x:c>
      <x:c r="G256" s="627" t="n">
        <x:v>852140.65</x:v>
      </x:c>
      <x:c r="H256" s="627" t="n">
        <x:v>481465.43</x:v>
      </x:c>
      <x:c r="I256" s="627" t="n">
        <x:v>251037.28</x:v>
      </x:c>
      <x:c r="J256" s="627" t="n">
        <x:v>-352667.51</x:v>
      </x:c>
      <x:c r="K256" s="627" t="n">
        <x:v>-10303.81</x:v>
      </x:c>
      <x:c r="L256" s="627" t="n">
        <x:v>0</x:v>
      </x:c>
      <x:c r="M256" s="627" t="n">
        <x:v>-90464.35</x:v>
      </x:c>
      <x:c r="N256" s="627" t="n">
        <x:v>-141735.89</x:v>
      </x:c>
      <x:c r="O256" s="627" t="n">
        <x:v>-654318.1</x:v>
      </x:c>
      <x:c r="P256" s="627" t="n">
        <x:v>2009008.4</x:v>
      </x:c>
      <x:c r="Q256" s="627" t="n">
        <x:v>-16809.32</x:v>
      </x:c>
      <x:c r="R256" s="627" t="n">
        <x:v>0</x:v>
      </x:c>
      <x:c r="S256" s="627" t="n">
        <x:v>0</x:v>
      </x:c>
      <x:c r="T256" s="653" t="n">
        <x:v>0</x:v>
      </x:c>
      <x:c r="U256" s="653">
        <x:v>0</x:v>
      </x:c>
      <x:c r="V256" s="653">
        <x:v>0</x:v>
      </x:c>
      <x:c r="W256" s="653">
        <x:v>0</x:v>
      </x:c>
      <x:c r="X256" s="653">
        <x:v>0</x:v>
      </x:c>
      <x:c r="Y256" s="653">
        <x:v>0</x:v>
      </x:c>
      <x:c r="Z256" s="653">
        <x:v>0</x:v>
      </x:c>
      <x:c r="BN256" s="624"/>
    </x:row>
    <x:row r="257" spans="1:66" x14ac:dyDescent="0.2">
      <x:c r="A257" s="628"/>
      <x:c r="B257" s="628"/>
      <x:c r="C257" s="628"/>
      <x:c r="D257" s="628" t="inlineStr">
        <x:is>
          <x:t>H</x:t>
        </x:is>
      </x:c>
      <x:c r="E257" s="629" t="inlineStr">
        <x:is>
          <x:t>Total</x:t>
        </x:is>
      </x:c>
      <x:c r="F257" s="630" t="n">
        <x:v>2327352.78</x:v>
      </x:c>
      <x:c r="G257" s="630" t="n">
        <x:v>852140.65</x:v>
      </x:c>
      <x:c r="H257" s="630" t="n">
        <x:v>481465.43</x:v>
      </x:c>
      <x:c r="I257" s="630" t="n">
        <x:v>251037.28</x:v>
      </x:c>
      <x:c r="J257" s="630" t="n">
        <x:v>-352667.51</x:v>
      </x:c>
      <x:c r="K257" s="630" t="n">
        <x:v>-10303.81</x:v>
      </x:c>
      <x:c r="L257" s="630" t="n">
        <x:v>0</x:v>
      </x:c>
      <x:c r="M257" s="630" t="n">
        <x:v>-90464.35</x:v>
      </x:c>
      <x:c r="N257" s="630" t="n">
        <x:v>-141735.89</x:v>
      </x:c>
      <x:c r="O257" s="630" t="n">
        <x:v>-654318.1</x:v>
      </x:c>
      <x:c r="P257" s="630" t="n">
        <x:v>2009008.4</x:v>
      </x:c>
      <x:c r="Q257" s="630" t="n">
        <x:v>-16809.32</x:v>
      </x:c>
      <x:c r="R257" s="630" t="n">
        <x:v>0</x:v>
      </x:c>
      <x:c r="S257" s="630" t="n">
        <x:v>0</x:v>
      </x:c>
      <x:c r="T257" s="630" t="n">
        <x:v>0</x:v>
      </x:c>
      <x:c r="U257" s="630">
        <x:v>0</x:v>
      </x:c>
      <x:c r="V257" s="630">
        <x:v>0</x:v>
      </x:c>
      <x:c r="W257" s="630">
        <x:v>0</x:v>
      </x:c>
      <x:c r="X257" s="630">
        <x:v>0</x:v>
      </x:c>
      <x:c r="Y257" s="630">
        <x:v>0</x:v>
      </x:c>
      <x:c r="Z257" s="630">
        <x:v>0</x:v>
      </x:c>
      <x:c r="AA257" s="628"/>
      <x:c r="AB257" s="628"/>
      <x:c r="AC257" s="628"/>
      <x:c r="AD257" s="628"/>
      <x:c r="AE257" s="628"/>
      <x:c r="AF257" s="628"/>
      <x:c r="AG257" s="628"/>
      <x:c r="AH257" s="628"/>
      <x:c r="AI257" s="628"/>
      <x:c r="AJ257" s="628"/>
      <x:c r="AK257" s="628"/>
      <x:c r="AL257" s="628"/>
      <x:c r="AM257" s="628"/>
      <x:c r="AN257" s="628"/>
      <x:c r="AO257" s="628"/>
      <x:c r="AP257" s="628"/>
      <x:c r="AQ257" s="628"/>
      <x:c r="AR257" s="628"/>
      <x:c r="AS257" s="628"/>
      <x:c r="AT257" s="628"/>
      <x:c r="AU257" s="628"/>
      <x:c r="AV257" s="628"/>
      <x:c r="AW257" s="628"/>
      <x:c r="AX257" s="628"/>
      <x:c r="AY257" s="628"/>
      <x:c r="AZ257" s="628"/>
      <x:c r="BA257" s="628"/>
      <x:c r="BB257" s="628"/>
      <x:c r="BC257" s="628"/>
      <x:c r="BD257" s="628"/>
      <x:c r="BE257" s="628"/>
      <x:c r="BF257" s="628"/>
      <x:c r="BG257" s="628"/>
      <x:c r="BH257" s="628"/>
      <x:c r="BI257" s="628"/>
      <x:c r="BJ257" s="628"/>
      <x:c r="BK257" s="628"/>
      <x:c r="BL257" s="628"/>
      <x:c r="BM257" s="628"/>
      <x:c r="BN257" s="624"/>
    </x:row>
    <x:row r="258" spans="1:66" x14ac:dyDescent="0.2">
      <x:c r="A258" s="635"/>
      <x:c r="B258" s="635"/>
      <x:c r="C258" s="635"/>
      <x:c r="D258" s="635"/>
      <x:c r="E258" s="636" t="inlineStr">
        <x:is>
          <x:t>Subsidio(-)/Contribucion(+)</x:t>
        </x:is>
      </x:c>
      <x:c r="F258" s="637" t="n">
        <x:v>30014496.44</x:v>
      </x:c>
      <x:c r="G258" s="637" t="n">
        <x:v>6971628.29</x:v>
      </x:c>
      <x:c r="H258" s="637" t="n">
        <x:v>3925790.17</x:v>
      </x:c>
      <x:c r="I258" s="637" t="n">
        <x:v>2052260.57</x:v>
      </x:c>
      <x:c r="J258" s="637" t="n">
        <x:v>162146.79</x:v>
      </x:c>
      <x:c r="K258" s="637" t="n">
        <x:v>1063.38</x:v>
      </x:c>
      <x:c r="L258" s="637" t="n">
        <x:v>0</x:v>
      </x:c>
      <x:c r="M258" s="637" t="n">
        <x:v>9642.27000000004</x:v>
      </x:c>
      <x:c r="N258" s="637" t="n">
        <x:v>109927.61</x:v>
      </x:c>
      <x:c r="O258" s="637" t="n">
        <x:v>364617.9</x:v>
      </x:c>
      <x:c r="P258" s="637" t="n">
        <x:v>16415666.51</x:v>
      </x:c>
      <x:c r="Q258" s="637" t="n">
        <x:v>1752.95</x:v>
      </x:c>
      <x:c r="R258" s="637" t="n">
        <x:v>0</x:v>
      </x:c>
      <x:c r="S258" s="637" t="n">
        <x:v>0</x:v>
      </x:c>
      <x:c r="T258" s="637" t="n">
        <x:v>0</x:v>
      </x:c>
      <x:c r="U258" s="637">
        <x:v>0</x:v>
      </x:c>
      <x:c r="V258" s="637">
        <x:v>0</x:v>
      </x:c>
      <x:c r="W258" s="637">
        <x:v>0</x:v>
      </x:c>
      <x:c r="X258" s="637">
        <x:v>0</x:v>
      </x:c>
      <x:c r="Y258" s="637">
        <x:v>0</x:v>
      </x:c>
      <x:c r="Z258" s="637">
        <x:v>0</x:v>
      </x:c>
      <x:c r="AA258" s="635"/>
      <x:c r="AB258" s="635"/>
      <x:c r="AC258" s="635"/>
      <x:c r="AD258" s="635"/>
      <x:c r="AE258" s="635"/>
      <x:c r="AF258" s="635"/>
      <x:c r="AG258" s="635"/>
      <x:c r="AH258" s="635"/>
      <x:c r="AI258" s="635"/>
      <x:c r="AJ258" s="635"/>
      <x:c r="AK258" s="635"/>
      <x:c r="AL258" s="635"/>
      <x:c r="AM258" s="635"/>
      <x:c r="AN258" s="635"/>
      <x:c r="AO258" s="635"/>
      <x:c r="AP258" s="635"/>
      <x:c r="AQ258" s="635"/>
      <x:c r="AR258" s="635"/>
      <x:c r="AS258" s="635"/>
      <x:c r="AT258" s="635"/>
      <x:c r="AU258" s="635"/>
      <x:c r="AV258" s="635"/>
      <x:c r="AW258" s="635"/>
      <x:c r="AX258" s="635"/>
      <x:c r="AY258" s="635"/>
      <x:c r="AZ258" s="635"/>
      <x:c r="BA258" s="635"/>
      <x:c r="BB258" s="635"/>
      <x:c r="BC258" s="635"/>
      <x:c r="BD258" s="635"/>
      <x:c r="BE258" s="635"/>
      <x:c r="BF258" s="635"/>
      <x:c r="BG258" s="635"/>
      <x:c r="BH258" s="635"/>
      <x:c r="BI258" s="635"/>
      <x:c r="BJ258" s="635"/>
      <x:c r="BK258" s="635"/>
      <x:c r="BL258" s="635"/>
      <x:c r="BM258" s="635"/>
      <x:c r="BN258" s="624"/>
    </x:row>
    <x:row r="259" spans="1:66" x14ac:dyDescent="0.2">
      <x:c r="A259"/>
      <x:c r="B259"/>
      <x:c r="C259"/>
      <x:c r="D259" t="inlineStr">
        <x:is>
          <x:t>O</x:t>
        </x:is>
      </x:c>
      <x:c r="E259" s="625" t="inlineStr">
        <x:is>
          <x:t>Total</x:t>
        </x:is>
      </x:c>
      <x:c r="F259" s="627" t="n">
        <x:v>30014496.44</x:v>
      </x:c>
      <x:c r="G259" s="627" t="n">
        <x:v>6971628.29</x:v>
      </x:c>
      <x:c r="H259" s="627" t="n">
        <x:v>3925790.17</x:v>
      </x:c>
      <x:c r="I259" s="627" t="n">
        <x:v>2052260.57</x:v>
      </x:c>
      <x:c r="J259" s="627" t="n">
        <x:v>162146.79</x:v>
      </x:c>
      <x:c r="K259" s="627" t="n">
        <x:v>1063.38</x:v>
      </x:c>
      <x:c r="L259" s="627" t="n">
        <x:v>0</x:v>
      </x:c>
      <x:c r="M259" s="627" t="n">
        <x:v>9642.27000000004</x:v>
      </x:c>
      <x:c r="N259" s="627" t="n">
        <x:v>109927.61</x:v>
      </x:c>
      <x:c r="O259" s="627" t="n">
        <x:v>364617.9</x:v>
      </x:c>
      <x:c r="P259" s="627" t="n">
        <x:v>16415666.51</x:v>
      </x:c>
      <x:c r="Q259" s="627" t="n">
        <x:v>1752.95</x:v>
      </x:c>
      <x:c r="R259" s="627" t="n">
        <x:v>0</x:v>
      </x:c>
      <x:c r="S259" s="627" t="n">
        <x:v>0</x:v>
      </x:c>
      <x:c r="T259" s="653" t="n">
        <x:v>0</x:v>
      </x:c>
      <x:c r="U259" s="653">
        <x:v>0</x:v>
      </x:c>
      <x:c r="V259" s="653">
        <x:v>0</x:v>
      </x:c>
      <x:c r="W259" s="653">
        <x:v>0</x:v>
      </x:c>
      <x:c r="X259" s="653">
        <x:v>0</x:v>
      </x:c>
      <x:c r="Y259" s="653">
        <x:v>0</x:v>
      </x:c>
      <x:c r="Z259" s="653">
        <x:v>0</x:v>
      </x:c>
      <x:c r="BN259" s="624"/>
    </x:row>
    <x:row r="260" spans="1:66" x14ac:dyDescent="0.2">
      <x:c r="A260"/>
      <x:c r="B260"/>
      <x:c r="C260"/>
      <x:c r="D260" s="25"/>
      <x:c r="E260" s="625" t="inlineStr">
        <x:is>
          <x:t>Subsidio(-)/Contribucion(+)</x:t>
        </x:is>
      </x:c>
      <x:c r="F260" s="627" t="n">
        <x:v>328146742.01</x:v>
      </x:c>
      <x:c r="G260" s="627" t="n">
        <x:v>76683146.88</x:v>
      </x:c>
      <x:c r="H260" s="627" t="n">
        <x:v>43193693.22</x:v>
      </x:c>
      <x:c r="I260" s="627" t="n">
        <x:v>22706908.89</x:v>
      </x:c>
      <x:c r="J260" s="627" t="n">
        <x:v>1825379.37</x:v>
      </x:c>
      <x:c r="K260" s="627" t="n">
        <x:v>41051.77</x:v>
      </x:c>
      <x:c r="L260" s="627" t="n">
        <x:v>0</x:v>
      </x:c>
      <x:c r="M260" s="627" t="n">
        <x:v>358199.13</x:v>
      </x:c>
      <x:c r="N260" s="627" t="n">
        <x:v>493339.25</x:v>
      </x:c>
      <x:c r="O260" s="627" t="n">
        <x:v>2367883.44</x:v>
      </x:c>
      <x:c r="P260" s="627" t="n">
        <x:v>180410497.93</x:v>
      </x:c>
      <x:c r="Q260" s="627" t="n">
        <x:v>66642.13</x:v>
      </x:c>
      <x:c r="R260" s="627" t="n">
        <x:v>0</x:v>
      </x:c>
      <x:c r="S260" s="627" t="n">
        <x:v>0</x:v>
      </x:c>
      <x:c r="T260" s="653" t="n">
        <x:v>0</x:v>
      </x:c>
      <x:c r="U260" s="653">
        <x:v>0</x:v>
      </x:c>
      <x:c r="V260" s="653">
        <x:v>0</x:v>
      </x:c>
      <x:c r="W260" s="653">
        <x:v>0</x:v>
      </x:c>
      <x:c r="X260" s="653">
        <x:v>0</x:v>
      </x:c>
      <x:c r="Y260" s="653">
        <x:v>0</x:v>
      </x:c>
      <x:c r="Z260" s="653">
        <x:v>0</x:v>
      </x:c>
      <x:c r="BN260" s="624"/>
    </x:row>
    <x:row r="261" spans="1:66" x14ac:dyDescent="0.2">
      <x:c r="A261" s="628"/>
      <x:c r="B261" s="628"/>
      <x:c r="C261" s="628"/>
      <x:c r="D261" s="628" t="inlineStr">
        <x:is>
          <x:t>T</x:t>
        </x:is>
      </x:c>
      <x:c r="E261" s="629" t="inlineStr">
        <x:is>
          <x:t>Total</x:t>
        </x:is>
      </x:c>
      <x:c r="F261" s="630" t="n">
        <x:v>328146742.01</x:v>
      </x:c>
      <x:c r="G261" s="630" t="n">
        <x:v>76683146.88</x:v>
      </x:c>
      <x:c r="H261" s="630" t="n">
        <x:v>43193693.22</x:v>
      </x:c>
      <x:c r="I261" s="630" t="n">
        <x:v>22706908.89</x:v>
      </x:c>
      <x:c r="J261" s="630" t="n">
        <x:v>1825379.37</x:v>
      </x:c>
      <x:c r="K261" s="630" t="n">
        <x:v>41051.77</x:v>
      </x:c>
      <x:c r="L261" s="630" t="n">
        <x:v>0</x:v>
      </x:c>
      <x:c r="M261" s="630" t="n">
        <x:v>358199.13</x:v>
      </x:c>
      <x:c r="N261" s="630" t="n">
        <x:v>493339.25</x:v>
      </x:c>
      <x:c r="O261" s="630" t="n">
        <x:v>2367883.44</x:v>
      </x:c>
      <x:c r="P261" s="630" t="n">
        <x:v>180410497.93</x:v>
      </x:c>
      <x:c r="Q261" s="630" t="n">
        <x:v>66642.13</x:v>
      </x:c>
      <x:c r="R261" s="630" t="n">
        <x:v>0</x:v>
      </x:c>
      <x:c r="S261" s="630" t="n">
        <x:v>0</x:v>
      </x:c>
      <x:c r="T261" s="630" t="n">
        <x:v>0</x:v>
      </x:c>
      <x:c r="U261" s="630">
        <x:v>0</x:v>
      </x:c>
      <x:c r="V261" s="630">
        <x:v>0</x:v>
      </x:c>
      <x:c r="W261" s="630">
        <x:v>0</x:v>
      </x:c>
      <x:c r="X261" s="630">
        <x:v>0</x:v>
      </x:c>
      <x:c r="Y261" s="630">
        <x:v>0</x:v>
      </x:c>
      <x:c r="Z261" s="630">
        <x:v>0</x:v>
      </x:c>
      <x:c r="AA261" s="628"/>
      <x:c r="AB261" s="628"/>
      <x:c r="AC261" s="628"/>
      <x:c r="AD261" s="628"/>
      <x:c r="AE261" s="628"/>
      <x:c r="AF261" s="628"/>
      <x:c r="AG261" s="628"/>
      <x:c r="AH261" s="628"/>
      <x:c r="AI261" s="628"/>
      <x:c r="AJ261" s="628"/>
      <x:c r="AK261" s="628"/>
      <x:c r="AL261" s="628"/>
      <x:c r="AM261" s="628"/>
      <x:c r="AN261" s="628"/>
      <x:c r="AO261" s="628"/>
      <x:c r="AP261" s="628"/>
      <x:c r="AQ261" s="628"/>
      <x:c r="AR261" s="628"/>
      <x:c r="AS261" s="628"/>
      <x:c r="AT261" s="628"/>
      <x:c r="AU261" s="628"/>
      <x:c r="AV261" s="628"/>
      <x:c r="AW261" s="628"/>
      <x:c r="AX261" s="628"/>
      <x:c r="AY261" s="628"/>
      <x:c r="AZ261" s="628"/>
      <x:c r="BA261" s="628"/>
      <x:c r="BB261" s="628"/>
      <x:c r="BC261" s="628"/>
      <x:c r="BD261" s="628"/>
      <x:c r="BE261" s="628"/>
      <x:c r="BF261" s="628"/>
      <x:c r="BG261" s="628"/>
      <x:c r="BH261" s="628"/>
      <x:c r="BI261" s="628"/>
      <x:c r="BJ261" s="628"/>
      <x:c r="BK261" s="628"/>
      <x:c r="BL261" s="628"/>
      <x:c r="BM261" s="628"/>
      <x:c r="BN261" s="624"/>
    </x:row>
    <x:row r="262" spans="1:66" x14ac:dyDescent="0.2">
      <x:c r="A262"/>
      <x:c r="B262"/>
      <x:c r="C262" t="inlineStr">
        <x:is>
          <x:t>OCCIDENTE</x:t>
        </x:is>
      </x:c>
      <x:c r="D262" s="625" t="inlineStr">
        <x:is>
          <x:t>Total</x:t>
        </x:is>
      </x:c>
      <x:c r="E262" s="625"/>
      <x:c r="F262" s="627" t="n">
        <x:v>360488591.23</x:v>
      </x:c>
      <x:c r="G262" s="627" t="n">
        <x:v>84506915.82</x:v>
      </x:c>
      <x:c r="H262" s="627" t="n">
        <x:v>47600948.82</x:v>
      </x:c>
      <x:c r="I262" s="627" t="n">
        <x:v>25010206.74</x:v>
      </x:c>
      <x:c r="J262" s="627" t="n">
        <x:v>1634858.65</x:v>
      </x:c>
      <x:c r="K262" s="627" t="n">
        <x:v>31811.34</x:v>
      </x:c>
      <x:c r="L262" s="627" t="n">
        <x:v>0</x:v>
      </x:c>
      <x:c r="M262" s="627" t="n">
        <x:v>277377.05</x:v>
      </x:c>
      <x:c r="N262" s="627" t="n">
        <x:v>461530.97</x:v>
      </x:c>
      <x:c r="O262" s="627" t="n">
        <x:v>2078183.24</x:v>
      </x:c>
      <x:c r="P262" s="627" t="n">
        <x:v>198835172.84</x:v>
      </x:c>
      <x:c r="Q262" s="627" t="n">
        <x:v>51585.76</x:v>
      </x:c>
      <x:c r="R262" s="627" t="n">
        <x:v>0</x:v>
      </x:c>
      <x:c r="S262" s="627" t="n">
        <x:v>0</x:v>
      </x:c>
      <x:c r="T262" s="653" t="n">
        <x:v>0</x:v>
      </x:c>
      <x:c r="U262" s="653">
        <x:v>0</x:v>
      </x:c>
      <x:c r="V262" s="653">
        <x:v>0</x:v>
      </x:c>
      <x:c r="W262" s="653">
        <x:v>0</x:v>
      </x:c>
      <x:c r="X262" s="653">
        <x:v>0</x:v>
      </x:c>
      <x:c r="Y262" s="653">
        <x:v>0</x:v>
      </x:c>
      <x:c r="Z262" s="653">
        <x:v>0</x:v>
      </x:c>
      <x:c r="BN262" s="624"/>
    </x:row>
    <x:row r="263" spans="1:66" x14ac:dyDescent="0.2">
      <x:c r="A263"/>
      <x:c r="B263" t="inlineStr">
        <x:is>
          <x:t>Mes</x:t>
        </x:is>
      </x:c>
      <x:c r="C263" t="inlineStr">
        <x:is>
          <x:t>Total</x:t>
        </x:is>
      </x:c>
      <x:c r="D263" s="25"/>
      <x:c r="E263" s="625"/>
      <x:c r="F263" s="627" t="n">
        <x:v>-727507851.86</x:v>
      </x:c>
      <x:c r="G263" s="627" t="n">
        <x:v>277306660.19</x:v>
      </x:c>
      <x:c r="H263" s="627" t="n">
        <x:v>156471024.8</x:v>
      </x:c>
      <x:c r="I263" s="627" t="n">
        <x:v>82216004.74</x:v>
      </x:c>
      <x:c r="J263" s="627" t="n">
        <x:v>-714231885.11</x:v>
      </x:c>
      <x:c r="K263" s="627" t="n">
        <x:v>-19687398.45</x:v>
      </x:c>
      <x:c r="L263" s="627" t="n">
        <x:v>0</x:v>
      </x:c>
      <x:c r="M263" s="627" t="n">
        <x:v>-172710653.4</x:v>
      </x:c>
      <x:c r="N263" s="627" t="n">
        <x:v>-167655637.88</x:v>
      </x:c>
      <x:c r="O263" s="627" t="n">
        <x:v>-793022761.7</x:v>
      </x:c>
      <x:c r="P263" s="627" t="n">
        <x:v>655925813.05</x:v>
      </x:c>
      <x:c r="Q263" s="627" t="n">
        <x:v>-32119018.1</x:v>
      </x:c>
      <x:c r="R263" s="627" t="n">
        <x:v>0</x:v>
      </x:c>
      <x:c r="S263" s="627" t="n">
        <x:v>0</x:v>
      </x:c>
      <x:c r="T263" s="653" t="n">
        <x:v>0</x:v>
      </x:c>
      <x:c r="U263" s="653">
        <x:v>0</x:v>
      </x:c>
      <x:c r="V263" s="653">
        <x:v>0</x:v>
      </x:c>
      <x:c r="W263" s="653">
        <x:v>0</x:v>
      </x:c>
      <x:c r="X263" s="653">
        <x:v>0</x:v>
      </x:c>
      <x:c r="Y263" s="653">
        <x:v>0</x:v>
      </x:c>
      <x:c r="Z263" s="653">
        <x:v>0</x:v>
      </x:c>
      <x:c r="BN263" s="624"/>
    </x:row>
    <x:row r="264" spans="1:66" x14ac:dyDescent="0.2">
      <x:c r="A264" t="inlineStr">
        <x:is>
          <x:t>Subs/Cont</x:t>
        </x:is>
      </x:c>
      <x:c r="B264" t="inlineStr">
        <x:is>
          <x:t>Total</x:t>
        </x:is>
      </x:c>
      <x:c r="C264"/>
      <x:c r="D264" s="625"/>
      <x:c r="E264" s="625"/>
      <x:c r="F264" s="627" t="n">
        <x:v>-727507851.86</x:v>
      </x:c>
      <x:c r="G264" s="627" t="n">
        <x:v>277306660.19</x:v>
      </x:c>
      <x:c r="H264" s="627" t="n">
        <x:v>156471024.8</x:v>
      </x:c>
      <x:c r="I264" s="627" t="n">
        <x:v>82216004.74</x:v>
      </x:c>
      <x:c r="J264" s="627" t="n">
        <x:v>-714231885.11</x:v>
      </x:c>
      <x:c r="K264" s="627" t="n">
        <x:v>-19687398.45</x:v>
      </x:c>
      <x:c r="L264" s="627" t="n">
        <x:v>0</x:v>
      </x:c>
      <x:c r="M264" s="627" t="n">
        <x:v>-172710653.4</x:v>
      </x:c>
      <x:c r="N264" s="627" t="n">
        <x:v>-167655637.88</x:v>
      </x:c>
      <x:c r="O264" s="627" t="n">
        <x:v>-793022761.7</x:v>
      </x:c>
      <x:c r="P264" s="627" t="n">
        <x:v>655925813.05</x:v>
      </x:c>
      <x:c r="Q264" s="627" t="n">
        <x:v>-32119018.1</x:v>
      </x:c>
      <x:c r="R264" s="627" t="n">
        <x:v>0</x:v>
      </x:c>
      <x:c r="S264" s="627" t="n">
        <x:v>0</x:v>
      </x:c>
      <x:c r="T264" s="653" t="n">
        <x:v>0</x:v>
      </x:c>
      <x:c r="U264" s="653">
        <x:v>0</x:v>
      </x:c>
      <x:c r="V264" s="653">
        <x:v>0</x:v>
      </x:c>
      <x:c r="W264" s="653">
        <x:v>0</x:v>
      </x:c>
      <x:c r="X264" s="653">
        <x:v>0</x:v>
      </x:c>
      <x:c r="Y264" s="653">
        <x:v>0</x:v>
      </x:c>
      <x:c r="Z264" s="653">
        <x:v>0</x:v>
      </x:c>
      <x:c r="BN264" s="624"/>
    </x:row>
    <x:row r="265" spans="1:66" x14ac:dyDescent="0.2">
      <x:c r="A265" s="25" t="inlineStr">
        <x:is>
          <x:t>Total</x:t>
        </x:is>
      </x:c>
      <x:c r="B265"/>
      <x:c r="C265"/>
      <x:c r="D265"/>
      <x:c r="E265" s="625"/>
      <x:c r="F265" s="627" t="n">
        <x:v>16383092858.77</x:v>
      </x:c>
      <x:c r="G265" s="627" t="n">
        <x:v>1421323694.58</x:v>
      </x:c>
      <x:c r="H265" s="627" t="n">
        <x:v>801537003.81</x:v>
      </x:c>
      <x:c r="I265" s="627" t="n">
        <x:v>420983944.1</x:v>
      </x:c>
      <x:c r="J265" s="627" t="n">
        <x:v>3843639574.34</x:v>
      </x:c>
      <x:c r="K265" s="627" t="n">
        <x:v>107542267.1</x:v>
      </x:c>
      <x:c r="L265" s="627" t="n">
        <x:v>37341348.91</x:v>
      </x:c>
      <x:c r="M265" s="627" t="n">
        <x:v>942993234.29</x:v>
      </x:c>
      <x:c r="N265" s="627" t="n">
        <x:v>920841505.88</x:v>
      </x:c>
      <x:c r="O265" s="627" t="n">
        <x:v>4352907923.98</x:v>
      </x:c>
      <x:c r="P265" s="627" t="n">
        <x:v>3362330752.72</x:v>
      </x:c>
      <x:c r="Q265" s="627" t="n">
        <x:v>175508531.68</x:v>
      </x:c>
      <x:c r="R265" s="627" t="n">
        <x:v>116676.53</x:v>
      </x:c>
      <x:c r="S265" s="627" t="n">
        <x:v>-3973599.86</x:v>
      </x:c>
      <x:c r="T265" s="653" t="n">
        <x:v>0.71</x:v>
      </x:c>
      <x:c r="U265" s="653">
        <x:v>0</x:v>
      </x:c>
      <x:c r="V265" s="653">
        <x:v>0</x:v>
      </x:c>
      <x:c r="W265" s="653">
        <x:v>0</x:v>
      </x:c>
      <x:c r="X265" s="653">
        <x:v>0</x:v>
      </x:c>
      <x:c r="Y265" s="653">
        <x:v>0</x:v>
      </x:c>
      <x:c r="Z265" s="653">
        <x:v>0</x:v>
      </x:c>
      <x:c r="BN265" s="624"/>
    </x:row>
    <x:row r="266" spans="1:66" x14ac:dyDescent="0.2">
      <x:c r="A266" s="625"/>
      <x:c r="B266" s="625"/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S266" s="627"/>
      <x:c r="BN266" s="624"/>
    </x:row>
    <x:row r="267" spans="1:66" x14ac:dyDescent="0.2">
      <x:c r="E267" s="625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S267" s="627"/>
      <x:c r="BN267" s="624"/>
    </x:row>
    <x:row r="268" spans="1:66" x14ac:dyDescent="0.2">
      <x:c r="D268" s="625"/>
      <x:c r="E268" s="625"/>
      <x:c r="F268" s="627"/>
      <x:c r="G268" s="627"/>
      <x:c r="H268" s="627"/>
      <x:c r="I268" s="627"/>
      <x:c r="J268" s="627"/>
      <x:c r="K268" s="627"/>
      <x:c r="L268" s="627"/>
      <x:c r="M268" s="627"/>
      <x:c r="N268" s="627"/>
      <x:c r="O268" s="627"/>
      <x:c r="P268" s="627"/>
      <x:c r="Q268" s="627"/>
      <x:c r="R268" s="627"/>
      <x:c r="S268" s="627"/>
      <x:c r="BN268" s="624"/>
    </x:row>
    <x:row r="269" spans="1:66" x14ac:dyDescent="0.2">
      <x:c r="D269" s="625"/>
      <x:c r="E269" s="625"/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S269" s="627"/>
      <x:c r="BN269" s="624"/>
    </x:row>
    <x:row r="270" spans="1:66" x14ac:dyDescent="0.2">
      <x:c r="E270" s="625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S270" s="627"/>
      <x:c r="BN270" s="624"/>
    </x:row>
    <x:row r="271" spans="1:66" x14ac:dyDescent="0.2">
      <x:c r="D271" s="625"/>
      <x:c r="E271" s="625"/>
      <x:c r="F271" s="627"/>
      <x:c r="G271" s="627"/>
      <x:c r="H271" s="627"/>
      <x:c r="I271" s="627"/>
      <x:c r="J271" s="627"/>
      <x:c r="K271" s="627"/>
      <x:c r="L271" s="627"/>
      <x:c r="M271" s="627"/>
      <x:c r="N271" s="627"/>
      <x:c r="O271" s="627"/>
      <x:c r="P271" s="627"/>
      <x:c r="Q271" s="627"/>
      <x:c r="R271" s="627"/>
      <x:c r="S271" s="627"/>
      <x:c r="BN271" s="624"/>
    </x:row>
    <x:row r="272" spans="1:66" x14ac:dyDescent="0.2">
      <x:c r="E272" s="625"/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S272" s="627"/>
      <x:c r="BN272" s="624"/>
    </x:row>
    <x:row r="273" spans="1:66" x14ac:dyDescent="0.2">
      <x:c r="D273" s="625"/>
      <x:c r="E273" s="625"/>
      <x:c r="F273" s="627"/>
      <x:c r="G273" s="627"/>
      <x:c r="H273" s="627"/>
      <x:c r="I273" s="627"/>
      <x:c r="J273" s="627"/>
      <x:c r="K273" s="627"/>
      <x:c r="L273" s="627"/>
      <x:c r="M273" s="627"/>
      <x:c r="N273" s="627"/>
      <x:c r="O273" s="627"/>
      <x:c r="P273" s="627"/>
      <x:c r="Q273" s="627"/>
      <x:c r="R273" s="627"/>
      <x:c r="S273" s="627"/>
      <x:c r="BN273" s="624"/>
    </x:row>
    <x:row r="274" spans="1:66" x14ac:dyDescent="0.2">
      <x:c r="E274" s="625"/>
      <x:c r="F274" s="627"/>
      <x:c r="G274" s="627"/>
      <x:c r="H274" s="627"/>
      <x:c r="I274" s="627"/>
      <x:c r="J274" s="627"/>
      <x:c r="K274" s="627"/>
      <x:c r="L274" s="627"/>
      <x:c r="M274" s="627"/>
      <x:c r="N274" s="627"/>
      <x:c r="O274" s="627"/>
      <x:c r="P274" s="627"/>
      <x:c r="Q274" s="627"/>
      <x:c r="R274" s="627"/>
      <x:c r="S274" s="627"/>
      <x:c r="BN274" s="624"/>
    </x:row>
    <x:row r="275" spans="1:66" x14ac:dyDescent="0.2">
      <x:c r="D275" s="625"/>
      <x:c r="E275" s="625"/>
      <x:c r="F275" s="627"/>
      <x:c r="G275" s="627"/>
      <x:c r="H275" s="627"/>
      <x:c r="I275" s="627"/>
      <x:c r="J275" s="627"/>
      <x:c r="K275" s="627"/>
      <x:c r="L275" s="627"/>
      <x:c r="M275" s="627"/>
      <x:c r="N275" s="627"/>
      <x:c r="O275" s="627"/>
      <x:c r="P275" s="627"/>
      <x:c r="Q275" s="627"/>
      <x:c r="R275" s="627"/>
      <x:c r="S275" s="627"/>
      <x:c r="BN275" s="624"/>
    </x:row>
    <x:row r="276" spans="1:66" x14ac:dyDescent="0.2">
      <x:c r="C276" s="625"/>
      <x:c r="D276" s="625"/>
      <x:c r="F276" s="627"/>
      <x:c r="G276" s="627"/>
      <x:c r="H276" s="627"/>
      <x:c r="I276" s="627"/>
      <x:c r="J276" s="627"/>
      <x:c r="K276" s="627"/>
      <x:c r="L276" s="627"/>
      <x:c r="M276" s="627"/>
      <x:c r="N276" s="627"/>
      <x:c r="O276" s="627"/>
      <x:c r="P276" s="627"/>
      <x:c r="Q276" s="627"/>
      <x:c r="R276" s="627"/>
      <x:c r="S276" s="627"/>
      <x:c r="BN276" s="624"/>
    </x:row>
    <x:row r="277" spans="1:66" x14ac:dyDescent="0.2">
      <x:c r="E277" s="625"/>
      <x:c r="F277" s="627"/>
      <x:c r="G277" s="627"/>
      <x:c r="H277" s="627"/>
      <x:c r="I277" s="627"/>
      <x:c r="J277" s="627"/>
      <x:c r="K277" s="627"/>
      <x:c r="L277" s="627"/>
      <x:c r="M277" s="627"/>
      <x:c r="N277" s="627"/>
      <x:c r="O277" s="627"/>
      <x:c r="P277" s="627"/>
      <x:c r="Q277" s="627"/>
      <x:c r="R277" s="627"/>
      <x:c r="S277" s="627"/>
      <x:c r="BN277" s="624"/>
    </x:row>
    <x:row r="278" spans="1:66" x14ac:dyDescent="0.2">
      <x:c r="D278" s="625"/>
      <x:c r="E278" s="625"/>
      <x:c r="F278" s="627"/>
      <x:c r="G278" s="627"/>
      <x:c r="H278" s="627"/>
      <x:c r="I278" s="627"/>
      <x:c r="J278" s="627"/>
      <x:c r="K278" s="627"/>
      <x:c r="L278" s="627"/>
      <x:c r="M278" s="627"/>
      <x:c r="N278" s="627"/>
      <x:c r="O278" s="627"/>
      <x:c r="P278" s="627"/>
      <x:c r="Q278" s="627"/>
      <x:c r="R278" s="627"/>
      <x:c r="S278" s="627"/>
      <x:c r="BN278" s="624"/>
    </x:row>
    <x:row r="279" spans="1:66" x14ac:dyDescent="0.2">
      <x:c r="E279" s="625"/>
      <x:c r="F279" s="627"/>
      <x:c r="G279" s="627"/>
      <x:c r="H279" s="627"/>
      <x:c r="I279" s="627"/>
      <x:c r="J279" s="627"/>
      <x:c r="K279" s="627"/>
      <x:c r="L279" s="627"/>
      <x:c r="M279" s="627"/>
      <x:c r="N279" s="627"/>
      <x:c r="O279" s="627"/>
      <x:c r="P279" s="627"/>
      <x:c r="Q279" s="627"/>
      <x:c r="R279" s="627"/>
      <x:c r="S279" s="627"/>
      <x:c r="BN279" s="624"/>
    </x:row>
    <x:row r="280" spans="1:66" x14ac:dyDescent="0.2">
      <x:c r="D280" s="625"/>
      <x:c r="E280" s="625"/>
      <x:c r="F280" s="627"/>
      <x:c r="G280" s="627"/>
      <x:c r="H280" s="627"/>
      <x:c r="I280" s="627"/>
      <x:c r="J280" s="627"/>
      <x:c r="K280" s="627"/>
      <x:c r="L280" s="627"/>
      <x:c r="M280" s="627"/>
      <x:c r="N280" s="627"/>
      <x:c r="O280" s="627"/>
      <x:c r="P280" s="627"/>
      <x:c r="Q280" s="627"/>
      <x:c r="R280" s="627"/>
      <x:c r="S280" s="627"/>
      <x:c r="BN280" s="624"/>
    </x:row>
    <x:row r="281" spans="1:66" x14ac:dyDescent="0.2">
      <x:c r="C281" s="625"/>
      <x:c r="D281" s="625"/>
      <x:c r="F281" s="627"/>
      <x:c r="G281" s="627"/>
      <x:c r="H281" s="627"/>
      <x:c r="I281" s="627"/>
      <x:c r="J281" s="627"/>
      <x:c r="K281" s="627"/>
      <x:c r="L281" s="627"/>
      <x:c r="M281" s="627"/>
      <x:c r="N281" s="627"/>
      <x:c r="O281" s="627"/>
      <x:c r="P281" s="627"/>
      <x:c r="Q281" s="627"/>
      <x:c r="R281" s="627"/>
      <x:c r="S281" s="627"/>
      <x:c r="BN281" s="624"/>
    </x:row>
    <x:row r="282" spans="1:66" x14ac:dyDescent="0.2">
      <x:c r="B282" s="625"/>
      <x:c r="C282" s="625"/>
      <x:c r="F282" s="627"/>
      <x:c r="G282" s="627"/>
      <x:c r="H282" s="627"/>
      <x:c r="I282" s="627"/>
      <x:c r="J282" s="627"/>
      <x:c r="K282" s="627"/>
      <x:c r="L282" s="627"/>
      <x:c r="M282" s="627"/>
      <x:c r="N282" s="627"/>
      <x:c r="O282" s="627"/>
      <x:c r="P282" s="627"/>
      <x:c r="Q282" s="627"/>
      <x:c r="R282" s="627"/>
      <x:c r="S282" s="627"/>
      <x:c r="BN282" s="624"/>
    </x:row>
    <x:row r="283" spans="1:66" x14ac:dyDescent="0.2">
      <x:c r="A283" s="625"/>
      <x:c r="B283" s="625"/>
      <x:c r="F283" s="627"/>
      <x:c r="G283" s="627"/>
      <x:c r="H283" s="627"/>
      <x:c r="I283" s="627"/>
      <x:c r="J283" s="627"/>
      <x:c r="K283" s="627"/>
      <x:c r="L283" s="627"/>
      <x:c r="M283" s="627"/>
      <x:c r="N283" s="627"/>
      <x:c r="O283" s="627"/>
      <x:c r="P283" s="627"/>
      <x:c r="Q283" s="627"/>
      <x:c r="R283" s="627"/>
      <x:c r="S283" s="627"/>
      <x:c r="BN283" s="624"/>
    </x:row>
    <x:row r="284" spans="1:66" x14ac:dyDescent="0.2">
      <x:c r="A284" s="625"/>
      <x:c r="F284" s="627"/>
      <x:c r="G284" s="627"/>
      <x:c r="H284" s="627"/>
      <x:c r="I284" s="627"/>
      <x:c r="J284" s="627"/>
      <x:c r="K284" s="627"/>
      <x:c r="L284" s="627"/>
      <x:c r="M284" s="627"/>
      <x:c r="N284" s="627"/>
      <x:c r="O284" s="627"/>
      <x:c r="P284" s="627"/>
      <x:c r="Q284" s="627"/>
      <x:c r="R284" s="627"/>
      <x:c r="S284" s="627"/>
      <x:c r="BN284" s="624"/>
    </x:row>
    <x:row r="285" spans="1:66" x14ac:dyDescent="0.2">
      <x:c r="A285" s="625"/>
      <x:c r="F285" s="627"/>
      <x:c r="G285" s="627"/>
      <x:c r="H285" s="627"/>
      <x:c r="I285" s="627"/>
      <x:c r="J285" s="627"/>
      <x:c r="K285" s="627"/>
      <x:c r="L285" s="627"/>
      <x:c r="M285" s="627"/>
      <x:c r="N285" s="627"/>
      <x:c r="O285" s="627"/>
      <x:c r="P285" s="627"/>
      <x:c r="Q285" s="627"/>
      <x:c r="R285" s="627"/>
      <x:c r="S285" s="627"/>
      <x:c r="BN285" s="624"/>
    </x:row>
    <x:row r="286" spans="1:66" x14ac:dyDescent="0.2">
      <x:c r="A286" s="625"/>
      <x:c r="F286" s="627"/>
      <x:c r="G286" s="627"/>
      <x:c r="H286" s="627"/>
      <x:c r="I286" s="627"/>
      <x:c r="J286" s="627"/>
      <x:c r="K286" s="627"/>
      <x:c r="L286" s="627"/>
      <x:c r="M286" s="627"/>
      <x:c r="N286" s="627"/>
      <x:c r="O286" s="627"/>
      <x:c r="P286" s="627"/>
      <x:c r="Q286" s="627"/>
      <x:c r="R286" s="627"/>
      <x:c r="S286" s="627"/>
      <x:c r="BN286" s="624"/>
    </x:row>
    <x:row r="287" spans="1:66" x14ac:dyDescent="0.2">
      <x:c r="A287" s="625"/>
      <x:c r="F287" s="627"/>
      <x:c r="G287" s="627"/>
      <x:c r="H287" s="627"/>
      <x:c r="I287" s="627"/>
      <x:c r="J287" s="627"/>
      <x:c r="K287" s="627"/>
      <x:c r="L287" s="627"/>
      <x:c r="M287" s="627"/>
      <x:c r="N287" s="627"/>
      <x:c r="O287" s="627"/>
      <x:c r="P287" s="627"/>
      <x:c r="Q287" s="627"/>
      <x:c r="R287" s="627"/>
      <x:c r="S287" s="627"/>
      <x:c r="BN287" s="624"/>
    </x:row>
    <x:row r="288" spans="1:66" x14ac:dyDescent="0.2">
      <x:c r="A288" s="625"/>
      <x:c r="F288" s="627"/>
      <x:c r="G288" s="627"/>
      <x:c r="H288" s="627"/>
      <x:c r="I288" s="627"/>
      <x:c r="J288" s="627"/>
      <x:c r="K288" s="627"/>
      <x:c r="L288" s="627"/>
      <x:c r="M288" s="627"/>
      <x:c r="N288" s="627"/>
      <x:c r="O288" s="627"/>
      <x:c r="P288" s="627"/>
      <x:c r="Q288" s="627"/>
      <x:c r="R288" s="627"/>
      <x:c r="S288" s="627"/>
      <x:c r="BN288" s="624"/>
    </x:row>
    <x:row r="289" spans="1:66" x14ac:dyDescent="0.2">
      <x:c r="A289" s="625"/>
      <x:c r="F289" s="627"/>
      <x:c r="G289" s="627"/>
      <x:c r="H289" s="627"/>
      <x:c r="I289" s="627"/>
      <x:c r="J289" s="627"/>
      <x:c r="K289" s="627"/>
      <x:c r="L289" s="627"/>
      <x:c r="M289" s="627"/>
      <x:c r="N289" s="627"/>
      <x:c r="O289" s="627"/>
      <x:c r="P289" s="627"/>
      <x:c r="Q289" s="627"/>
      <x:c r="R289" s="627"/>
      <x:c r="S289" s="627"/>
      <x:c r="T289" s="653"/>
      <x:c r="U289" s="653"/>
      <x:c r="V289" s="653"/>
      <x:c r="W289" s="653"/>
      <x:c r="BN289" s="624"/>
    </x:row>
    <x:row r="290" spans="1:66" x14ac:dyDescent="0.2">
      <x:c r="A290" s="625"/>
      <x:c r="F290" s="627"/>
      <x:c r="G290" s="627"/>
      <x:c r="H290" s="627"/>
      <x:c r="I290" s="627"/>
      <x:c r="J290" s="627"/>
      <x:c r="K290" s="627"/>
      <x:c r="L290" s="627"/>
      <x:c r="M290" s="627"/>
      <x:c r="N290" s="627"/>
      <x:c r="O290" s="627"/>
      <x:c r="P290" s="627"/>
      <x:c r="Q290" s="627"/>
      <x:c r="R290" s="627"/>
      <x:c r="S290" s="627"/>
      <x:c r="T290" s="653"/>
      <x:c r="U290" s="653"/>
      <x:c r="V290" s="653"/>
      <x:c r="W290" s="653"/>
      <x:c r="BN290" s="624"/>
    </x:row>
    <x:row r="291" spans="1:66" x14ac:dyDescent="0.2">
      <x:c r="A291" s="625"/>
      <x:c r="F291" s="627"/>
      <x:c r="G291" s="627"/>
      <x:c r="H291" s="627"/>
      <x:c r="I291" s="627"/>
      <x:c r="J291" s="627"/>
      <x:c r="K291" s="627"/>
      <x:c r="L291" s="627"/>
      <x:c r="M291" s="627"/>
      <x:c r="N291" s="627"/>
      <x:c r="O291" s="627"/>
      <x:c r="P291" s="627"/>
      <x:c r="Q291" s="627"/>
      <x:c r="R291" s="627"/>
      <x:c r="S291" s="627"/>
      <x:c r="T291" s="653"/>
      <x:c r="U291" s="653"/>
      <x:c r="V291" s="653"/>
      <x:c r="W291" s="653"/>
      <x:c r="BN291" s="624"/>
    </x:row>
    <x:row r="292" spans="1:66" x14ac:dyDescent="0.2">
      <x:c r="A292" s="625"/>
      <x:c r="F292" s="627"/>
      <x:c r="G292" s="627"/>
      <x:c r="H292" s="627"/>
      <x:c r="I292" s="627"/>
      <x:c r="J292" s="627"/>
      <x:c r="K292" s="627"/>
      <x:c r="L292" s="627"/>
      <x:c r="M292" s="627"/>
      <x:c r="N292" s="627"/>
      <x:c r="O292" s="627"/>
      <x:c r="P292" s="627"/>
      <x:c r="Q292" s="627"/>
      <x:c r="R292" s="627"/>
      <x:c r="S292" s="627"/>
      <x:c r="T292" s="653"/>
      <x:c r="U292" s="653"/>
      <x:c r="V292" s="653"/>
      <x:c r="W292" s="653"/>
      <x:c r="BN292" s="624"/>
    </x:row>
    <x:row r="293" spans="1:66" x14ac:dyDescent="0.2">
      <x:c r="A293" s="625"/>
      <x:c r="F293" s="627"/>
      <x:c r="G293" s="627"/>
      <x:c r="H293" s="627"/>
      <x:c r="I293" s="627"/>
      <x:c r="J293" s="627"/>
      <x:c r="K293" s="627"/>
      <x:c r="L293" s="627"/>
      <x:c r="M293" s="627"/>
      <x:c r="N293" s="627"/>
      <x:c r="O293" s="627"/>
      <x:c r="P293" s="627"/>
      <x:c r="Q293" s="627"/>
      <x:c r="R293" s="627"/>
      <x:c r="S293" s="627"/>
      <x:c r="T293" s="653"/>
      <x:c r="U293" s="653"/>
      <x:c r="V293" s="653"/>
      <x:c r="W293" s="653"/>
      <x:c r="BN293" s="624"/>
    </x:row>
    <x:row r="294" spans="1:66" x14ac:dyDescent="0.2">
      <x:c r="A294" s="625"/>
      <x:c r="F294" s="627"/>
      <x:c r="G294" s="627"/>
      <x:c r="H294" s="627"/>
      <x:c r="I294" s="627"/>
      <x:c r="J294" s="627"/>
      <x:c r="K294" s="627"/>
      <x:c r="L294" s="627"/>
      <x:c r="M294" s="627"/>
      <x:c r="N294" s="627"/>
      <x:c r="O294" s="627"/>
      <x:c r="P294" s="627"/>
      <x:c r="Q294" s="627"/>
      <x:c r="R294" s="627"/>
      <x:c r="S294" s="627"/>
      <x:c r="T294" s="653"/>
      <x:c r="U294" s="653"/>
      <x:c r="V294" s="653"/>
      <x:c r="W294" s="653"/>
      <x:c r="BN294" s="624"/>
    </x:row>
    <x:row r="295" spans="1:66" x14ac:dyDescent="0.2">
      <x:c r="A295" s="625"/>
      <x:c r="F295" s="627"/>
      <x:c r="G295" s="627"/>
      <x:c r="H295" s="627"/>
      <x:c r="I295" s="627"/>
      <x:c r="J295" s="627"/>
      <x:c r="K295" s="627"/>
      <x:c r="L295" s="627"/>
      <x:c r="M295" s="627"/>
      <x:c r="N295" s="627"/>
      <x:c r="O295" s="627"/>
      <x:c r="P295" s="627"/>
      <x:c r="Q295" s="627"/>
      <x:c r="R295" s="627"/>
      <x:c r="S295" s="627"/>
      <x:c r="T295" s="653"/>
      <x:c r="U295" s="653"/>
      <x:c r="V295" s="653"/>
      <x:c r="W295" s="653"/>
      <x:c r="BN295" s="624"/>
    </x:row>
    <x:row r="296" spans="1:66" x14ac:dyDescent="0.2">
      <x:c r="A296" s="625"/>
      <x:c r="F296" s="627"/>
      <x:c r="G296" s="627"/>
      <x:c r="H296" s="627"/>
      <x:c r="I296" s="627"/>
      <x:c r="J296" s="627"/>
      <x:c r="K296" s="627"/>
      <x:c r="L296" s="627"/>
      <x:c r="M296" s="627"/>
      <x:c r="N296" s="627"/>
      <x:c r="O296" s="627"/>
      <x:c r="P296" s="627"/>
      <x:c r="Q296" s="627"/>
      <x:c r="R296" s="627"/>
      <x:c r="S296" s="627"/>
      <x:c r="T296" s="653"/>
      <x:c r="U296" s="653"/>
      <x:c r="V296" s="653"/>
      <x:c r="W296" s="653"/>
      <x:c r="BN296" s="624"/>
    </x:row>
    <x:row r="297" spans="1:66" x14ac:dyDescent="0.2">
      <x:c r="A297" s="625"/>
      <x:c r="F297" s="627"/>
      <x:c r="G297" s="627"/>
      <x:c r="H297" s="627"/>
      <x:c r="I297" s="627"/>
      <x:c r="J297" s="627"/>
      <x:c r="K297" s="627"/>
      <x:c r="L297" s="627"/>
      <x:c r="M297" s="627"/>
      <x:c r="N297" s="627"/>
      <x:c r="O297" s="627"/>
      <x:c r="P297" s="627"/>
      <x:c r="Q297" s="627"/>
      <x:c r="R297" s="627"/>
      <x:c r="S297" s="627"/>
      <x:c r="T297" s="653"/>
      <x:c r="U297" s="653"/>
      <x:c r="V297" s="653"/>
      <x:c r="W297" s="653"/>
      <x:c r="BN297" s="624"/>
    </x:row>
    <x:row r="298" spans="1:66" x14ac:dyDescent="0.2">
      <x:c r="A298" s="625"/>
      <x:c r="F298" s="627"/>
      <x:c r="G298" s="627"/>
      <x:c r="H298" s="627"/>
      <x:c r="I298" s="627"/>
      <x:c r="J298" s="627"/>
      <x:c r="K298" s="627"/>
      <x:c r="L298" s="627"/>
      <x:c r="M298" s="627"/>
      <x:c r="N298" s="627"/>
      <x:c r="O298" s="627"/>
      <x:c r="P298" s="627"/>
      <x:c r="Q298" s="627"/>
      <x:c r="R298" s="627"/>
      <x:c r="S298" s="627"/>
      <x:c r="T298" s="653"/>
      <x:c r="U298" s="653"/>
      <x:c r="V298" s="653"/>
      <x:c r="W298" s="653"/>
      <x:c r="BN298" s="624"/>
    </x:row>
    <x:row r="299" spans="1:66" x14ac:dyDescent="0.2">
      <x:c r="A299" s="625"/>
      <x:c r="F299" s="627"/>
      <x:c r="G299" s="627"/>
      <x:c r="H299" s="627"/>
      <x:c r="I299" s="627"/>
      <x:c r="J299" s="627"/>
      <x:c r="K299" s="627"/>
      <x:c r="L299" s="627"/>
      <x:c r="M299" s="627"/>
      <x:c r="N299" s="627"/>
      <x:c r="O299" s="627"/>
      <x:c r="P299" s="627"/>
      <x:c r="Q299" s="627"/>
      <x:c r="R299" s="627"/>
      <x:c r="S299" s="627"/>
      <x:c r="T299" s="653"/>
      <x:c r="U299" s="653"/>
      <x:c r="V299" s="653"/>
      <x:c r="W299" s="653"/>
      <x:c r="BN299" s="624"/>
    </x:row>
    <x:row r="300" spans="1:66" x14ac:dyDescent="0.2">
      <x:c r="A300" s="625"/>
      <x:c r="F300" s="627"/>
      <x:c r="G300" s="627"/>
      <x:c r="H300" s="627"/>
      <x:c r="I300" s="627"/>
      <x:c r="J300" s="627"/>
      <x:c r="K300" s="627"/>
      <x:c r="L300" s="627"/>
      <x:c r="M300" s="627"/>
      <x:c r="N300" s="627"/>
      <x:c r="O300" s="627"/>
      <x:c r="P300" s="627"/>
      <x:c r="Q300" s="627"/>
      <x:c r="R300" s="627"/>
      <x:c r="S300" s="627"/>
      <x:c r="T300" s="653"/>
      <x:c r="U300" s="653"/>
      <x:c r="V300" s="653"/>
      <x:c r="W300" s="653"/>
      <x:c r="BN300" s="624"/>
    </x:row>
    <x:row r="301" spans="1:66" x14ac:dyDescent="0.2">
      <x:c r="A301" s="625"/>
      <x:c r="F301" s="627"/>
      <x:c r="G301" s="627"/>
      <x:c r="H301" s="627"/>
      <x:c r="I301" s="627"/>
      <x:c r="J301" s="627"/>
      <x:c r="K301" s="627"/>
      <x:c r="L301" s="627"/>
      <x:c r="M301" s="627"/>
      <x:c r="N301" s="627"/>
      <x:c r="O301" s="627"/>
      <x:c r="P301" s="627"/>
      <x:c r="Q301" s="627"/>
      <x:c r="R301" s="627"/>
      <x:c r="S301" s="627"/>
      <x:c r="T301" s="653"/>
      <x:c r="U301" s="653"/>
      <x:c r="V301" s="653"/>
      <x:c r="W301" s="653"/>
      <x:c r="BN301" s="624"/>
    </x:row>
    <x:row r="302" spans="1:66" x14ac:dyDescent="0.2">
      <x:c r="A302" s="625"/>
      <x:c r="F302" s="627"/>
      <x:c r="G302" s="627"/>
      <x:c r="H302" s="627"/>
      <x:c r="I302" s="627"/>
      <x:c r="J302" s="627"/>
      <x:c r="K302" s="627"/>
      <x:c r="L302" s="627"/>
      <x:c r="M302" s="627"/>
      <x:c r="N302" s="627"/>
      <x:c r="O302" s="627"/>
      <x:c r="P302" s="627"/>
      <x:c r="Q302" s="627"/>
      <x:c r="R302" s="627"/>
      <x:c r="S302" s="627"/>
      <x:c r="T302" s="653"/>
      <x:c r="U302" s="653"/>
      <x:c r="V302" s="653"/>
      <x:c r="W302" s="653"/>
      <x:c r="BN302" s="624"/>
    </x:row>
    <x:row r="303" spans="1:66" x14ac:dyDescent="0.2">
      <x:c r="A303" s="625"/>
      <x:c r="F303" s="627"/>
      <x:c r="G303" s="627"/>
      <x:c r="H303" s="627"/>
      <x:c r="I303" s="627"/>
      <x:c r="J303" s="627"/>
      <x:c r="K303" s="627"/>
      <x:c r="L303" s="627"/>
      <x:c r="M303" s="627"/>
      <x:c r="N303" s="627"/>
      <x:c r="O303" s="627"/>
      <x:c r="P303" s="627"/>
      <x:c r="Q303" s="627"/>
      <x:c r="R303" s="627"/>
      <x:c r="S303" s="627"/>
      <x:c r="T303" s="653"/>
      <x:c r="U303" s="653"/>
      <x:c r="V303" s="653"/>
      <x:c r="W303" s="653"/>
      <x:c r="BN303" s="624"/>
    </x:row>
    <x:row r="304" spans="1:66" x14ac:dyDescent="0.2">
      <x:c r="A304" s="625"/>
      <x:c r="F304" s="627"/>
      <x:c r="G304" s="627"/>
      <x:c r="H304" s="627"/>
      <x:c r="I304" s="627"/>
      <x:c r="J304" s="627"/>
      <x:c r="K304" s="627"/>
      <x:c r="L304" s="627"/>
      <x:c r="M304" s="627"/>
      <x:c r="N304" s="627"/>
      <x:c r="O304" s="627"/>
      <x:c r="P304" s="627"/>
      <x:c r="Q304" s="627"/>
      <x:c r="R304" s="627"/>
      <x:c r="S304" s="627"/>
      <x:c r="T304" s="653"/>
      <x:c r="U304" s="653"/>
      <x:c r="V304" s="653"/>
      <x:c r="W304" s="653"/>
      <x:c r="BN304" s="624"/>
    </x:row>
    <x:row r="305" spans="1:66" x14ac:dyDescent="0.2">
      <x:c r="A305" s="625"/>
      <x:c r="F305" s="627"/>
      <x:c r="G305" s="627"/>
      <x:c r="H305" s="627"/>
      <x:c r="I305" s="627"/>
      <x:c r="J305" s="627"/>
      <x:c r="K305" s="627"/>
      <x:c r="L305" s="627"/>
      <x:c r="M305" s="627"/>
      <x:c r="N305" s="627"/>
      <x:c r="O305" s="627"/>
      <x:c r="P305" s="627"/>
      <x:c r="Q305" s="627"/>
      <x:c r="R305" s="627"/>
      <x:c r="S305" s="627"/>
      <x:c r="T305" s="653"/>
      <x:c r="U305" s="653"/>
      <x:c r="V305" s="653"/>
      <x:c r="W305" s="653"/>
      <x:c r="BN305" s="624"/>
    </x:row>
    <x:row r="306" spans="1:66" x14ac:dyDescent="0.2">
      <x:c r="A306" s="625"/>
      <x:c r="F306" s="627"/>
      <x:c r="G306" s="627"/>
      <x:c r="H306" s="627"/>
      <x:c r="I306" s="627"/>
      <x:c r="J306" s="627"/>
      <x:c r="K306" s="627"/>
      <x:c r="L306" s="627"/>
      <x:c r="M306" s="627"/>
      <x:c r="N306" s="627"/>
      <x:c r="O306" s="627"/>
      <x:c r="P306" s="627"/>
      <x:c r="Q306" s="627"/>
      <x:c r="R306" s="627"/>
      <x:c r="S306" s="627"/>
      <x:c r="T306" s="653"/>
      <x:c r="U306" s="653"/>
      <x:c r="V306" s="653"/>
      <x:c r="W306" s="653"/>
      <x:c r="BN306" s="624"/>
    </x:row>
    <x:row r="307" spans="1:66" x14ac:dyDescent="0.2">
      <x:c r="A307" s="625"/>
      <x:c r="F307" s="627"/>
      <x:c r="G307" s="627"/>
      <x:c r="H307" s="627"/>
      <x:c r="I307" s="627"/>
      <x:c r="J307" s="627"/>
      <x:c r="K307" s="627"/>
      <x:c r="L307" s="627"/>
      <x:c r="M307" s="627"/>
      <x:c r="N307" s="627"/>
      <x:c r="O307" s="627"/>
      <x:c r="P307" s="627"/>
      <x:c r="Q307" s="627"/>
      <x:c r="R307" s="627"/>
      <x:c r="S307" s="627"/>
      <x:c r="T307" s="653"/>
      <x:c r="U307" s="653"/>
      <x:c r="V307" s="653"/>
      <x:c r="W307" s="653"/>
      <x:c r="BN307" s="624"/>
    </x:row>
    <x:row r="308" spans="1:66" x14ac:dyDescent="0.2">
      <x:c r="A308" s="625"/>
      <x:c r="F308" s="627"/>
      <x:c r="G308" s="627"/>
      <x:c r="H308" s="627"/>
      <x:c r="I308" s="627"/>
      <x:c r="J308" s="627"/>
      <x:c r="K308" s="627"/>
      <x:c r="L308" s="627"/>
      <x:c r="M308" s="627"/>
      <x:c r="N308" s="627"/>
      <x:c r="O308" s="627"/>
      <x:c r="P308" s="627"/>
      <x:c r="Q308" s="627"/>
      <x:c r="R308" s="627"/>
      <x:c r="S308" s="627"/>
      <x:c r="T308" s="653"/>
      <x:c r="U308" s="653"/>
      <x:c r="V308" s="653"/>
      <x:c r="W308" s="653"/>
      <x:c r="BN308" s="624"/>
    </x:row>
    <x:row r="309" spans="1:66" x14ac:dyDescent="0.2">
      <x:c r="A309" s="625"/>
      <x:c r="F309" s="627"/>
      <x:c r="G309" s="627"/>
      <x:c r="H309" s="627"/>
      <x:c r="I309" s="627"/>
      <x:c r="J309" s="627"/>
      <x:c r="K309" s="627"/>
      <x:c r="L309" s="627"/>
      <x:c r="M309" s="627"/>
      <x:c r="N309" s="627"/>
      <x:c r="O309" s="627"/>
      <x:c r="P309" s="627"/>
      <x:c r="Q309" s="627"/>
      <x:c r="R309" s="627"/>
      <x:c r="S309" s="627"/>
      <x:c r="T309" s="653"/>
      <x:c r="U309" s="653"/>
      <x:c r="V309" s="653"/>
      <x:c r="W309" s="653"/>
      <x:c r="BN309" s="624"/>
    </x:row>
    <x:row r="310" spans="1:66" x14ac:dyDescent="0.2">
      <x:c r="A310" s="625"/>
      <x:c r="F310" s="627"/>
      <x:c r="G310" s="627"/>
      <x:c r="H310" s="627"/>
      <x:c r="I310" s="627"/>
      <x:c r="J310" s="627"/>
      <x:c r="K310" s="627"/>
      <x:c r="L310" s="627"/>
      <x:c r="M310" s="627"/>
      <x:c r="N310" s="627"/>
      <x:c r="O310" s="627"/>
      <x:c r="P310" s="627"/>
      <x:c r="Q310" s="627"/>
      <x:c r="R310" s="627"/>
      <x:c r="S310" s="627"/>
      <x:c r="T310" s="653"/>
      <x:c r="U310" s="653"/>
      <x:c r="V310" s="653"/>
      <x:c r="W310" s="653"/>
      <x:c r="BN310" s="624"/>
    </x:row>
    <x:row r="311" spans="1:66" x14ac:dyDescent="0.2">
      <x:c r="A311" s="625"/>
      <x:c r="F311" s="627"/>
      <x:c r="G311" s="627"/>
      <x:c r="H311" s="627"/>
      <x:c r="I311" s="627"/>
      <x:c r="J311" s="627"/>
      <x:c r="K311" s="627"/>
      <x:c r="L311" s="627"/>
      <x:c r="M311" s="627"/>
      <x:c r="N311" s="627"/>
      <x:c r="O311" s="627"/>
      <x:c r="P311" s="627"/>
      <x:c r="Q311" s="627"/>
      <x:c r="R311" s="627"/>
      <x:c r="S311" s="627"/>
      <x:c r="T311" s="653"/>
      <x:c r="U311" s="653"/>
      <x:c r="V311" s="653"/>
      <x:c r="W311" s="653"/>
      <x:c r="BN311" s="624"/>
    </x:row>
    <x:row r="312" spans="1:66" x14ac:dyDescent="0.2">
      <x:c r="A312" s="625"/>
      <x:c r="F312" s="627"/>
      <x:c r="G312" s="627"/>
      <x:c r="H312" s="627"/>
      <x:c r="I312" s="627"/>
      <x:c r="J312" s="627"/>
      <x:c r="K312" s="627"/>
      <x:c r="L312" s="627"/>
      <x:c r="M312" s="627"/>
      <x:c r="N312" s="627"/>
      <x:c r="O312" s="627"/>
      <x:c r="P312" s="627"/>
      <x:c r="Q312" s="627"/>
      <x:c r="R312" s="627"/>
      <x:c r="S312" s="627"/>
      <x:c r="T312" s="653"/>
      <x:c r="U312" s="653"/>
      <x:c r="V312" s="653"/>
      <x:c r="W312" s="653"/>
      <x:c r="BN312" s="624"/>
    </x:row>
    <x:row r="313" spans="1:66" x14ac:dyDescent="0.2">
      <x:c r="A313" s="625"/>
      <x:c r="F313" s="627"/>
      <x:c r="G313" s="627"/>
      <x:c r="H313" s="627"/>
      <x:c r="I313" s="627"/>
      <x:c r="J313" s="627"/>
      <x:c r="K313" s="627"/>
      <x:c r="L313" s="627"/>
      <x:c r="M313" s="627"/>
      <x:c r="N313" s="627"/>
      <x:c r="O313" s="627"/>
      <x:c r="P313" s="627"/>
      <x:c r="Q313" s="627"/>
      <x:c r="R313" s="627"/>
      <x:c r="S313" s="627"/>
      <x:c r="T313" s="653"/>
      <x:c r="U313" s="653"/>
      <x:c r="V313" s="653"/>
      <x:c r="W313" s="653"/>
      <x:c r="BN313" s="624"/>
    </x:row>
    <x:row r="314" spans="1:66" x14ac:dyDescent="0.2">
      <x:c r="A314" s="625"/>
      <x:c r="F314" s="627"/>
      <x:c r="G314" s="627"/>
      <x:c r="H314" s="627"/>
      <x:c r="I314" s="627"/>
      <x:c r="J314" s="627"/>
      <x:c r="K314" s="627"/>
      <x:c r="L314" s="627"/>
      <x:c r="M314" s="627"/>
      <x:c r="N314" s="627"/>
      <x:c r="O314" s="627"/>
      <x:c r="P314" s="627"/>
      <x:c r="Q314" s="627"/>
      <x:c r="R314" s="627"/>
      <x:c r="S314" s="627"/>
      <x:c r="T314" s="653"/>
      <x:c r="U314" s="653"/>
      <x:c r="V314" s="653"/>
      <x:c r="W314" s="653"/>
      <x:c r="BN314" s="624"/>
    </x:row>
    <x:row r="315" spans="1:66" x14ac:dyDescent="0.2">
      <x:c r="A315" s="625"/>
      <x:c r="F315" s="627"/>
      <x:c r="G315" s="627"/>
      <x:c r="H315" s="627"/>
      <x:c r="I315" s="627"/>
      <x:c r="J315" s="627"/>
      <x:c r="K315" s="627"/>
      <x:c r="L315" s="627"/>
      <x:c r="M315" s="627"/>
      <x:c r="N315" s="627"/>
      <x:c r="O315" s="627"/>
      <x:c r="P315" s="627"/>
      <x:c r="Q315" s="627"/>
      <x:c r="R315" s="627"/>
      <x:c r="S315" s="627"/>
      <x:c r="T315" s="653"/>
      <x:c r="U315" s="653"/>
      <x:c r="V315" s="653"/>
      <x:c r="W315" s="653"/>
      <x:c r="BN315" s="624"/>
    </x:row>
    <x:row r="316" spans="1:66" x14ac:dyDescent="0.2">
      <x:c r="A316" s="625"/>
      <x:c r="F316" s="627"/>
      <x:c r="G316" s="627"/>
      <x:c r="H316" s="627"/>
      <x:c r="I316" s="627"/>
      <x:c r="J316" s="627"/>
      <x:c r="K316" s="627"/>
      <x:c r="L316" s="627"/>
      <x:c r="M316" s="627"/>
      <x:c r="N316" s="627"/>
      <x:c r="O316" s="627"/>
      <x:c r="P316" s="627"/>
      <x:c r="Q316" s="627"/>
      <x:c r="R316" s="627"/>
      <x:c r="S316" s="627"/>
      <x:c r="T316" s="653"/>
      <x:c r="U316" s="653"/>
      <x:c r="V316" s="653"/>
      <x:c r="W316" s="653"/>
      <x:c r="BN316" s="624"/>
    </x:row>
    <x:row r="317" spans="1:66" x14ac:dyDescent="0.2">
      <x:c r="A317" s="625"/>
      <x:c r="F317" s="627"/>
      <x:c r="G317" s="627"/>
      <x:c r="H317" s="627"/>
      <x:c r="I317" s="627"/>
      <x:c r="J317" s="627"/>
      <x:c r="K317" s="627"/>
      <x:c r="L317" s="627"/>
      <x:c r="M317" s="627"/>
      <x:c r="N317" s="627"/>
      <x:c r="O317" s="627"/>
      <x:c r="P317" s="627"/>
      <x:c r="Q317" s="627"/>
      <x:c r="R317" s="627"/>
      <x:c r="S317" s="627"/>
      <x:c r="T317" s="653"/>
      <x:c r="U317" s="653"/>
      <x:c r="V317" s="653"/>
      <x:c r="W317" s="653"/>
      <x:c r="BN317" s="624"/>
    </x:row>
    <x:row r="318" spans="1:66" x14ac:dyDescent="0.2">
      <x:c r="A318" s="625"/>
      <x:c r="F318" s="627"/>
      <x:c r="G318" s="627"/>
      <x:c r="H318" s="627"/>
      <x:c r="I318" s="627"/>
      <x:c r="J318" s="627"/>
      <x:c r="K318" s="627"/>
      <x:c r="L318" s="627"/>
      <x:c r="M318" s="627"/>
      <x:c r="N318" s="627"/>
      <x:c r="O318" s="627"/>
      <x:c r="P318" s="627"/>
      <x:c r="Q318" s="627"/>
      <x:c r="R318" s="627"/>
      <x:c r="S318" s="627"/>
      <x:c r="T318" s="653"/>
      <x:c r="U318" s="653"/>
      <x:c r="V318" s="653"/>
      <x:c r="W318" s="653"/>
      <x:c r="BN318" s="624"/>
    </x:row>
    <x:row r="319" spans="1:66" x14ac:dyDescent="0.2">
      <x:c r="A319" s="625"/>
      <x:c r="F319" s="627"/>
      <x:c r="G319" s="627"/>
      <x:c r="H319" s="627"/>
      <x:c r="I319" s="627"/>
      <x:c r="J319" s="627"/>
      <x:c r="K319" s="627"/>
      <x:c r="L319" s="627"/>
      <x:c r="M319" s="627"/>
      <x:c r="N319" s="627"/>
      <x:c r="O319" s="627"/>
      <x:c r="P319" s="627"/>
      <x:c r="Q319" s="627"/>
      <x:c r="R319" s="627"/>
      <x:c r="S319" s="627"/>
      <x:c r="T319" s="653"/>
      <x:c r="U319" s="653"/>
      <x:c r="V319" s="653"/>
      <x:c r="W319" s="653"/>
      <x:c r="BN319" s="624"/>
    </x:row>
    <x:row r="320" spans="1:66" x14ac:dyDescent="0.2">
      <x:c r="A320" s="625"/>
      <x:c r="F320" s="627"/>
      <x:c r="G320" s="627"/>
      <x:c r="H320" s="627"/>
      <x:c r="I320" s="627"/>
      <x:c r="J320" s="627"/>
      <x:c r="K320" s="627"/>
      <x:c r="L320" s="627"/>
      <x:c r="M320" s="627"/>
      <x:c r="N320" s="627"/>
      <x:c r="O320" s="627"/>
      <x:c r="P320" s="627"/>
      <x:c r="Q320" s="627"/>
      <x:c r="R320" s="627"/>
      <x:c r="S320" s="627"/>
      <x:c r="T320" s="653"/>
      <x:c r="U320" s="653"/>
      <x:c r="V320" s="653"/>
      <x:c r="W320" s="653"/>
      <x:c r="BN320" s="624"/>
    </x:row>
    <x:row r="321" spans="1:66" x14ac:dyDescent="0.2">
      <x:c r="A321" s="625"/>
      <x:c r="F321" s="627"/>
      <x:c r="G321" s="627"/>
      <x:c r="H321" s="627"/>
      <x:c r="I321" s="627"/>
      <x:c r="J321" s="627"/>
      <x:c r="K321" s="627"/>
      <x:c r="L321" s="627"/>
      <x:c r="M321" s="627"/>
      <x:c r="N321" s="627"/>
      <x:c r="O321" s="627"/>
      <x:c r="P321" s="627"/>
      <x:c r="Q321" s="627"/>
      <x:c r="R321" s="627"/>
      <x:c r="S321" s="627"/>
      <x:c r="T321" s="653"/>
      <x:c r="U321" s="653"/>
      <x:c r="V321" s="653"/>
      <x:c r="W321" s="653"/>
      <x:c r="BN321" s="624"/>
    </x:row>
    <x:row r="322" spans="1:66" x14ac:dyDescent="0.2">
      <x:c r="A322" s="625"/>
      <x:c r="F322" s="627"/>
      <x:c r="G322" s="627"/>
      <x:c r="H322" s="627"/>
      <x:c r="I322" s="627"/>
      <x:c r="J322" s="627"/>
      <x:c r="K322" s="627"/>
      <x:c r="L322" s="627"/>
      <x:c r="M322" s="627"/>
      <x:c r="N322" s="627"/>
      <x:c r="O322" s="627"/>
      <x:c r="P322" s="627"/>
      <x:c r="Q322" s="627"/>
      <x:c r="R322" s="627"/>
      <x:c r="S322" s="627"/>
      <x:c r="T322" s="653"/>
      <x:c r="U322" s="653"/>
      <x:c r="V322" s="653"/>
      <x:c r="W322" s="653"/>
      <x:c r="BN322" s="624"/>
    </x:row>
    <x:row r="323" spans="1:66" x14ac:dyDescent="0.2">
      <x:c r="A323" s="625"/>
      <x:c r="F323" s="627"/>
      <x:c r="G323" s="627"/>
      <x:c r="H323" s="627"/>
      <x:c r="I323" s="627"/>
      <x:c r="J323" s="627"/>
      <x:c r="K323" s="627"/>
      <x:c r="L323" s="627"/>
      <x:c r="M323" s="627"/>
      <x:c r="N323" s="627"/>
      <x:c r="O323" s="627"/>
      <x:c r="P323" s="627"/>
      <x:c r="Q323" s="627"/>
      <x:c r="R323" s="627"/>
      <x:c r="S323" s="627"/>
      <x:c r="T323" s="653"/>
      <x:c r="U323" s="653"/>
      <x:c r="V323" s="653"/>
      <x:c r="W323" s="653"/>
      <x:c r="BN323" s="624"/>
    </x:row>
    <x:row r="324" spans="1:66" x14ac:dyDescent="0.2">
      <x:c r="A324" s="625"/>
      <x:c r="F324" s="627"/>
      <x:c r="G324" s="627"/>
      <x:c r="H324" s="627"/>
      <x:c r="I324" s="627"/>
      <x:c r="J324" s="627"/>
      <x:c r="K324" s="627"/>
      <x:c r="L324" s="627"/>
      <x:c r="M324" s="627"/>
      <x:c r="N324" s="627"/>
      <x:c r="O324" s="627"/>
      <x:c r="P324" s="627"/>
      <x:c r="Q324" s="627"/>
      <x:c r="R324" s="627"/>
      <x:c r="S324" s="627"/>
      <x:c r="T324" s="653"/>
      <x:c r="U324" s="653"/>
      <x:c r="V324" s="653"/>
      <x:c r="W324" s="653"/>
      <x:c r="BN324" s="624"/>
    </x:row>
    <x:row r="325" spans="1:66" x14ac:dyDescent="0.2">
      <x:c r="C325" s="770" t="s">
        <x:v>2</x:v>
      </x:c>
      <x:c r="D325" s="768" t="s">
        <x:v>132</x:v>
      </x:c>
      <x:c r="E325" s="639" t="s">
        <x:v>70</x:v>
      </x:c>
      <x:c r="F325" s="640">
        <x:f>F253+F265+F232-L232-L253</x:f>
        <x:v>0</x:v>
      </x:c>
      <x:c r="G325" s="640">
        <x:f>G253+G232</x:f>
        <x:v>0</x:v>
      </x:c>
      <x:c r="H325" s="640">
        <x:f t="shared" ref="H325:AO325" si="14">H253+H232</x:f>
        <x:v>0</x:v>
      </x:c>
      <x:c r="I325" s="640">
        <x:f t="shared" si="14"/>
        <x:v>0</x:v>
      </x:c>
      <x:c r="J325" s="640">
        <x:f t="shared" si="14"/>
        <x:v>0</x:v>
      </x:c>
      <x:c r="K325" s="640">
        <x:f t="shared" si="14"/>
        <x:v>0</x:v>
      </x:c>
      <x:c r="L325" s="640">
        <x:f t="shared" si="14"/>
        <x:v>0</x:v>
      </x:c>
      <x:c r="M325" s="640">
        <x:f t="shared" si="14"/>
        <x:v>0</x:v>
      </x:c>
      <x:c r="N325" s="640">
        <x:f t="shared" si="14"/>
        <x:v>0</x:v>
      </x:c>
      <x:c r="O325" s="640">
        <x:f t="shared" si="14"/>
        <x:v>0</x:v>
      </x:c>
      <x:c r="P325" s="640">
        <x:f t="shared" si="14"/>
        <x:v>0</x:v>
      </x:c>
      <x:c r="Q325" s="640">
        <x:f t="shared" si="14"/>
        <x:v>0</x:v>
      </x:c>
      <x:c r="R325" s="640">
        <x:f t="shared" si="14"/>
        <x:v>0</x:v>
      </x:c>
      <x:c r="S325" s="640">
        <x:f t="shared" si="14"/>
        <x:v>0</x:v>
      </x:c>
      <x:c r="T325" s="640">
        <x:f t="shared" si="14"/>
        <x:v>0</x:v>
      </x:c>
      <x:c r="U325" s="640">
        <x:f t="shared" si="14"/>
        <x:v>0</x:v>
      </x:c>
      <x:c r="V325" s="640">
        <x:f t="shared" si="14"/>
        <x:v>0</x:v>
      </x:c>
      <x:c r="W325" s="640">
        <x:f t="shared" si="14"/>
        <x:v>0</x:v>
      </x:c>
      <x:c r="X325" s="640">
        <x:f t="shared" si="14"/>
        <x:v>0</x:v>
      </x:c>
      <x:c r="Y325" s="640">
        <x:f t="shared" si="14"/>
        <x:v>0</x:v>
      </x:c>
      <x:c r="Z325" s="640">
        <x:f t="shared" si="14"/>
        <x:v>0</x:v>
      </x:c>
      <x:c r="AA325" s="640">
        <x:f t="shared" si="14"/>
        <x:v>0</x:v>
      </x:c>
      <x:c r="AB325" s="640">
        <x:f t="shared" si="14"/>
        <x:v>0</x:v>
      </x:c>
      <x:c r="AC325" s="640">
        <x:f t="shared" si="14"/>
        <x:v>0</x:v>
      </x:c>
      <x:c r="AD325" s="640">
        <x:f t="shared" si="14"/>
        <x:v>0</x:v>
      </x:c>
      <x:c r="AE325" s="640">
        <x:f t="shared" si="14"/>
        <x:v>0</x:v>
      </x:c>
      <x:c r="AF325" s="640">
        <x:f t="shared" si="14"/>
        <x:v>0</x:v>
      </x:c>
      <x:c r="AG325" s="640">
        <x:f t="shared" si="14"/>
        <x:v>0</x:v>
      </x:c>
      <x:c r="AH325" s="640">
        <x:f t="shared" si="14"/>
        <x:v>0</x:v>
      </x:c>
      <x:c r="AI325" s="640">
        <x:f t="shared" si="14"/>
        <x:v>0</x:v>
      </x:c>
      <x:c r="AJ325" s="640">
        <x:f t="shared" si="14"/>
        <x:v>0</x:v>
      </x:c>
      <x:c r="AK325" s="640">
        <x:f t="shared" si="14"/>
        <x:v>0</x:v>
      </x:c>
      <x:c r="AL325" s="640">
        <x:f t="shared" si="14"/>
        <x:v>0</x:v>
      </x:c>
      <x:c r="AM325" s="640">
        <x:f t="shared" si="14"/>
        <x:v>0</x:v>
      </x:c>
      <x:c r="AN325" s="640">
        <x:f t="shared" si="14"/>
        <x:v>0</x:v>
      </x:c>
      <x:c r="AO325" s="640">
        <x:f t="shared" si="14"/>
        <x:v>0</x:v>
      </x:c>
      <x:c r="BN325" s="624"/>
    </x:row>
    <x:row r="326" spans="1:66" x14ac:dyDescent="0.2">
      <x:c r="C326" s="770"/>
      <x:c r="D326" s="768"/>
      <x:c r="E326" s="639" t="s">
        <x:v>73</x:v>
      </x:c>
      <x:c r="F326" s="640">
        <x:f>F265</x:f>
        <x:v>0</x:v>
      </x:c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R326" s="627"/>
      <x:c r="S326" s="627"/>
      <x:c r="BN326" s="624"/>
    </x:row>
    <x:row r="327" spans="1:66" x14ac:dyDescent="0.2">
      <x:c r="A327" s="627"/>
      <x:c r="C327" s="770"/>
      <x:c r="D327" s="768" t="s">
        <x:v>133</x:v>
      </x:c>
      <x:c r="E327" s="645" t="s">
        <x:v>70</x:v>
      </x:c>
      <x:c r="F327" s="646">
        <x:f>F258+F238-L238</x:f>
        <x:v>0</x:v>
      </x:c>
      <x:c r="G327" s="646">
        <x:f>G238</x:f>
        <x:v>0</x:v>
      </x:c>
      <x:c r="H327" s="646">
        <x:f t="shared" ref="H327:AO327" si="15">H238</x:f>
        <x:v>0</x:v>
      </x:c>
      <x:c r="I327" s="646">
        <x:f t="shared" si="15"/>
        <x:v>0</x:v>
      </x:c>
      <x:c r="J327" s="646">
        <x:f t="shared" si="15"/>
        <x:v>0</x:v>
      </x:c>
      <x:c r="K327" s="646">
        <x:f t="shared" si="15"/>
        <x:v>0</x:v>
      </x:c>
      <x:c r="L327" s="646">
        <x:f t="shared" si="15"/>
        <x:v>0</x:v>
      </x:c>
      <x:c r="M327" s="646">
        <x:f t="shared" si="15"/>
        <x:v>0</x:v>
      </x:c>
      <x:c r="N327" s="646">
        <x:f t="shared" si="15"/>
        <x:v>0</x:v>
      </x:c>
      <x:c r="O327" s="646">
        <x:f t="shared" si="15"/>
        <x:v>0</x:v>
      </x:c>
      <x:c r="P327" s="646">
        <x:f t="shared" si="15"/>
        <x:v>0</x:v>
      </x:c>
      <x:c r="Q327" s="646">
        <x:f t="shared" si="15"/>
        <x:v>0</x:v>
      </x:c>
      <x:c r="R327" s="646">
        <x:f t="shared" si="15"/>
        <x:v>0</x:v>
      </x:c>
      <x:c r="S327" s="646">
        <x:f t="shared" si="15"/>
        <x:v>0</x:v>
      </x:c>
      <x:c r="T327" s="646">
        <x:f t="shared" si="15"/>
        <x:v>0</x:v>
      </x:c>
      <x:c r="U327" s="646">
        <x:f t="shared" si="15"/>
        <x:v>0</x:v>
      </x:c>
      <x:c r="V327" s="646">
        <x:f t="shared" si="15"/>
        <x:v>0</x:v>
      </x:c>
      <x:c r="W327" s="646">
        <x:f t="shared" si="15"/>
        <x:v>0</x:v>
      </x:c>
      <x:c r="X327" s="646">
        <x:f t="shared" si="15"/>
        <x:v>0</x:v>
      </x:c>
      <x:c r="Y327" s="646">
        <x:f t="shared" si="15"/>
        <x:v>0</x:v>
      </x:c>
      <x:c r="Z327" s="646">
        <x:f t="shared" si="15"/>
        <x:v>0</x:v>
      </x:c>
      <x:c r="AA327" s="646">
        <x:f t="shared" si="15"/>
        <x:v>0</x:v>
      </x:c>
      <x:c r="AB327" s="646">
        <x:f t="shared" si="15"/>
        <x:v>0</x:v>
      </x:c>
      <x:c r="AC327" s="646">
        <x:f t="shared" si="15"/>
        <x:v>0</x:v>
      </x:c>
      <x:c r="AD327" s="646">
        <x:f t="shared" si="15"/>
        <x:v>0</x:v>
      </x:c>
      <x:c r="AE327" s="646">
        <x:f t="shared" si="15"/>
        <x:v>0</x:v>
      </x:c>
      <x:c r="AF327" s="646">
        <x:f t="shared" si="15"/>
        <x:v>0</x:v>
      </x:c>
      <x:c r="AG327" s="646">
        <x:f t="shared" si="15"/>
        <x:v>0</x:v>
      </x:c>
      <x:c r="AH327" s="646">
        <x:f t="shared" si="15"/>
        <x:v>0</x:v>
      </x:c>
      <x:c r="AI327" s="646">
        <x:f t="shared" si="15"/>
        <x:v>0</x:v>
      </x:c>
      <x:c r="AJ327" s="646">
        <x:f t="shared" si="15"/>
        <x:v>0</x:v>
      </x:c>
      <x:c r="AK327" s="646">
        <x:f t="shared" si="15"/>
        <x:v>0</x:v>
      </x:c>
      <x:c r="AL327" s="646">
        <x:f t="shared" si="15"/>
        <x:v>0</x:v>
      </x:c>
      <x:c r="AM327" s="646">
        <x:f t="shared" si="15"/>
        <x:v>0</x:v>
      </x:c>
      <x:c r="AN327" s="646">
        <x:f t="shared" si="15"/>
        <x:v>0</x:v>
      </x:c>
      <x:c r="AO327" s="646">
        <x:f t="shared" si="15"/>
        <x:v>0</x:v>
      </x:c>
      <x:c r="BN327" s="624"/>
    </x:row>
    <x:row r="328" spans="1:66" x14ac:dyDescent="0.2">
      <x:c r="C328" s="770"/>
      <x:c r="D328" s="768"/>
      <x:c r="E328" s="645" t="s">
        <x:v>73</x:v>
      </x:c>
      <x:c r="F328" s="646">
        <x:f>F258</x:f>
        <x:v>0</x:v>
      </x:c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R328" s="627"/>
      <x:c r="BN328" s="624"/>
    </x:row>
    <x:row r="329" spans="1:66" ht="15" x14ac:dyDescent="0.25">
      <x:c r="A329" s="625"/>
      <x:c r="C329" s="50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R329" s="627"/>
      <x:c r="S329" s="627"/>
      <x:c r="BN329" s="624"/>
    </x:row>
    <x:row r="330" spans="1:66" x14ac:dyDescent="0.2">
      <x:c r="C330" s="770" t="s">
        <x:v>160</x:v>
      </x:c>
      <x:c r="D330" s="768" t="s">
        <x:v>132</x:v>
      </x:c>
      <x:c r="E330" s="647" t="s">
        <x:v>70</x:v>
      </x:c>
      <x:c r="F330" s="648">
        <x:v>0</x:v>
      </x:c>
      <x:c r="G330" s="648">
        <x:v>0</x:v>
      </x:c>
      <x:c r="H330" s="648">
        <x:v>0</x:v>
      </x:c>
      <x:c r="I330" s="648">
        <x:v>0</x:v>
      </x:c>
      <x:c r="J330" s="648">
        <x:v>0</x:v>
      </x:c>
      <x:c r="K330" s="648">
        <x:v>0</x:v>
      </x:c>
      <x:c r="L330" s="648">
        <x:v>0</x:v>
      </x:c>
      <x:c r="M330" s="648">
        <x:v>0</x:v>
      </x:c>
      <x:c r="N330" s="648">
        <x:v>0</x:v>
      </x:c>
      <x:c r="O330" s="648">
        <x:v>0</x:v>
      </x:c>
      <x:c r="P330" s="648">
        <x:v>0</x:v>
      </x:c>
      <x:c r="Q330" s="648">
        <x:v>0</x:v>
      </x:c>
      <x:c r="R330" s="648">
        <x:v>0</x:v>
      </x:c>
      <x:c r="S330" s="648">
        <x:v>0</x:v>
      </x:c>
      <x:c r="T330" s="648">
        <x:v>0</x:v>
      </x:c>
      <x:c r="U330" s="648"/>
      <x:c r="V330" s="648"/>
      <x:c r="W330" s="648"/>
      <x:c r="X330" s="648">
        <x:v>0</x:v>
      </x:c>
      <x:c r="Y330" s="648">
        <x:v>0</x:v>
      </x:c>
      <x:c r="Z330" s="648">
        <x:v>0</x:v>
      </x:c>
      <x:c r="AA330" s="648">
        <x:v>0</x:v>
      </x:c>
      <x:c r="AB330" s="648">
        <x:v>0</x:v>
      </x:c>
      <x:c r="AC330" s="648">
        <x:v>0</x:v>
      </x:c>
      <x:c r="AD330" s="648">
        <x:v>0</x:v>
      </x:c>
      <x:c r="AE330" s="648">
        <x:v>0</x:v>
      </x:c>
      <x:c r="AF330" s="648">
        <x:v>0</x:v>
      </x:c>
      <x:c r="AG330" s="648">
        <x:v>0</x:v>
      </x:c>
      <x:c r="AH330" s="648">
        <x:v>0</x:v>
      </x:c>
      <x:c r="AI330" s="648">
        <x:v>0</x:v>
      </x:c>
      <x:c r="AJ330" s="648">
        <x:v>0</x:v>
      </x:c>
      <x:c r="AK330" s="648">
        <x:v>0</x:v>
      </x:c>
      <x:c r="AL330" s="648">
        <x:v>0</x:v>
      </x:c>
      <x:c r="AM330" s="648">
        <x:v>0</x:v>
      </x:c>
      <x:c r="AN330" s="648">
        <x:v>0</x:v>
      </x:c>
      <x:c r="AO330" s="648">
        <x:v>0</x:v>
      </x:c>
      <x:c r="BN330" s="624"/>
    </x:row>
    <x:row r="331" spans="1:66" x14ac:dyDescent="0.2">
      <x:c r="C331" s="770"/>
      <x:c r="D331" s="768"/>
      <x:c r="E331" s="647" t="s">
        <x:v>73</x:v>
      </x:c>
      <x:c r="F331" s="648">
        <x:v>0</x:v>
      </x:c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R331" s="627"/>
      <x:c r="S331" s="627"/>
      <x:c r="BN331" s="624"/>
    </x:row>
    <x:row r="332" spans="1:66" x14ac:dyDescent="0.2">
      <x:c r="C332" s="770"/>
      <x:c r="D332" s="768" t="s">
        <x:v>133</x:v>
      </x:c>
      <x:c r="E332" s="649" t="s">
        <x:v>70</x:v>
      </x:c>
      <x:c r="F332" s="650">
        <x:v>0</x:v>
      </x:c>
      <x:c r="G332" s="650">
        <x:v>0</x:v>
      </x:c>
      <x:c r="H332" s="650">
        <x:v>0</x:v>
      </x:c>
      <x:c r="I332" s="650">
        <x:v>0</x:v>
      </x:c>
      <x:c r="J332" s="650">
        <x:v>0</x:v>
      </x:c>
      <x:c r="K332" s="650">
        <x:v>0</x:v>
      </x:c>
      <x:c r="L332" s="650">
        <x:v>0</x:v>
      </x:c>
      <x:c r="M332" s="650">
        <x:v>0</x:v>
      </x:c>
      <x:c r="N332" s="650">
        <x:v>0</x:v>
      </x:c>
      <x:c r="O332" s="650">
        <x:v>0</x:v>
      </x:c>
      <x:c r="P332" s="650">
        <x:v>0</x:v>
      </x:c>
      <x:c r="Q332" s="650">
        <x:v>0</x:v>
      </x:c>
      <x:c r="R332" s="650">
        <x:v>0</x:v>
      </x:c>
      <x:c r="S332" s="650">
        <x:v>0</x:v>
      </x:c>
      <x:c r="T332" s="650">
        <x:v>0</x:v>
      </x:c>
      <x:c r="U332" s="650"/>
      <x:c r="V332" s="650"/>
      <x:c r="W332" s="650"/>
      <x:c r="X332" s="650">
        <x:v>0</x:v>
      </x:c>
      <x:c r="Y332" s="650">
        <x:v>0</x:v>
      </x:c>
      <x:c r="Z332" s="650">
        <x:v>0</x:v>
      </x:c>
      <x:c r="AA332" s="650">
        <x:v>0</x:v>
      </x:c>
      <x:c r="AB332" s="650">
        <x:v>0</x:v>
      </x:c>
      <x:c r="AC332" s="650">
        <x:v>0</x:v>
      </x:c>
      <x:c r="AD332" s="650">
        <x:v>0</x:v>
      </x:c>
      <x:c r="AE332" s="650">
        <x:v>0</x:v>
      </x:c>
      <x:c r="AF332" s="650">
        <x:v>0</x:v>
      </x:c>
      <x:c r="AG332" s="650">
        <x:v>0</x:v>
      </x:c>
      <x:c r="AH332" s="650">
        <x:v>0</x:v>
      </x:c>
      <x:c r="AI332" s="650">
        <x:v>0</x:v>
      </x:c>
      <x:c r="AJ332" s="650">
        <x:v>0</x:v>
      </x:c>
      <x:c r="AK332" s="650">
        <x:v>0</x:v>
      </x:c>
      <x:c r="AL332" s="650">
        <x:v>0</x:v>
      </x:c>
      <x:c r="AM332" s="650">
        <x:v>0</x:v>
      </x:c>
      <x:c r="AN332" s="650">
        <x:v>0</x:v>
      </x:c>
      <x:c r="AO332" s="650">
        <x:v>0</x:v>
      </x:c>
      <x:c r="BN332" s="624"/>
    </x:row>
    <x:row r="333" spans="1:66" x14ac:dyDescent="0.2">
      <x:c r="C333" s="770"/>
      <x:c r="D333" s="768"/>
      <x:c r="E333" s="649" t="s">
        <x:v>73</x:v>
      </x:c>
      <x:c r="F333" s="650">
        <x:v>0</x:v>
      </x:c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R333" s="627"/>
      <x:c r="BN333" s="624"/>
    </x:row>
    <x:row r="334" spans="1:66" ht="15" x14ac:dyDescent="0.25">
      <x:c r="A334" s="625"/>
      <x:c r="C334" s="50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R334" s="627"/>
      <x:c r="S334" s="627"/>
      <x:c r="BN334" s="624"/>
    </x:row>
    <x:row r="335" spans="1:66" x14ac:dyDescent="0.2">
      <x:c r="C335" s="770" t="s">
        <x:v>155</x:v>
      </x:c>
      <x:c r="D335" s="768" t="s">
        <x:v>132</x:v>
      </x:c>
      <x:c r="E335" s="651" t="s">
        <x:v>70</x:v>
      </x:c>
      <x:c r="F335" s="652">
        <x:f>F261+F242-L242</x:f>
        <x:v>0</x:v>
      </x:c>
      <x:c r="G335" s="652">
        <x:f>G242</x:f>
        <x:v>0</x:v>
      </x:c>
      <x:c r="H335" s="652">
        <x:f t="shared" ref="H335:AO335" si="16">H242</x:f>
        <x:v>0</x:v>
      </x:c>
      <x:c r="I335" s="652">
        <x:f t="shared" si="16"/>
        <x:v>0</x:v>
      </x:c>
      <x:c r="J335" s="652">
        <x:f t="shared" si="16"/>
        <x:v>0</x:v>
      </x:c>
      <x:c r="K335" s="652">
        <x:f t="shared" si="16"/>
        <x:v>0</x:v>
      </x:c>
      <x:c r="L335" s="652">
        <x:f t="shared" si="16"/>
        <x:v>0</x:v>
      </x:c>
      <x:c r="M335" s="652">
        <x:f t="shared" si="16"/>
        <x:v>0</x:v>
      </x:c>
      <x:c r="N335" s="652">
        <x:f t="shared" si="16"/>
        <x:v>0</x:v>
      </x:c>
      <x:c r="O335" s="652">
        <x:f t="shared" si="16"/>
        <x:v>0</x:v>
      </x:c>
      <x:c r="P335" s="652">
        <x:f t="shared" si="16"/>
        <x:v>0</x:v>
      </x:c>
      <x:c r="Q335" s="652">
        <x:f t="shared" si="16"/>
        <x:v>0</x:v>
      </x:c>
      <x:c r="R335" s="652">
        <x:f t="shared" si="16"/>
        <x:v>0</x:v>
      </x:c>
      <x:c r="S335" s="652">
        <x:f t="shared" si="16"/>
        <x:v>0</x:v>
      </x:c>
      <x:c r="T335" s="652">
        <x:f t="shared" si="16"/>
        <x:v>0</x:v>
      </x:c>
      <x:c r="U335" s="652">
        <x:f t="shared" si="16"/>
        <x:v>0</x:v>
      </x:c>
      <x:c r="V335" s="652">
        <x:f t="shared" si="16"/>
        <x:v>0</x:v>
      </x:c>
      <x:c r="W335" s="652">
        <x:f t="shared" si="16"/>
        <x:v>0</x:v>
      </x:c>
      <x:c r="X335" s="652">
        <x:f t="shared" si="16"/>
        <x:v>0</x:v>
      </x:c>
      <x:c r="Y335" s="652">
        <x:f t="shared" si="16"/>
        <x:v>0</x:v>
      </x:c>
      <x:c r="Z335" s="652">
        <x:f t="shared" si="16"/>
        <x:v>0</x:v>
      </x:c>
      <x:c r="AA335" s="652">
        <x:f t="shared" si="16"/>
        <x:v>0</x:v>
      </x:c>
      <x:c r="AB335" s="652">
        <x:f t="shared" si="16"/>
        <x:v>0</x:v>
      </x:c>
      <x:c r="AC335" s="652">
        <x:f t="shared" si="16"/>
        <x:v>0</x:v>
      </x:c>
      <x:c r="AD335" s="652">
        <x:f t="shared" si="16"/>
        <x:v>0</x:v>
      </x:c>
      <x:c r="AE335" s="652">
        <x:f t="shared" si="16"/>
        <x:v>0</x:v>
      </x:c>
      <x:c r="AF335" s="652">
        <x:f t="shared" si="16"/>
        <x:v>0</x:v>
      </x:c>
      <x:c r="AG335" s="652">
        <x:f t="shared" si="16"/>
        <x:v>0</x:v>
      </x:c>
      <x:c r="AH335" s="652">
        <x:f t="shared" si="16"/>
        <x:v>0</x:v>
      </x:c>
      <x:c r="AI335" s="652">
        <x:f t="shared" si="16"/>
        <x:v>0</x:v>
      </x:c>
      <x:c r="AJ335" s="652">
        <x:f t="shared" si="16"/>
        <x:v>0</x:v>
      </x:c>
      <x:c r="AK335" s="652">
        <x:f t="shared" si="16"/>
        <x:v>0</x:v>
      </x:c>
      <x:c r="AL335" s="652">
        <x:f t="shared" si="16"/>
        <x:v>0</x:v>
      </x:c>
      <x:c r="AM335" s="652">
        <x:f t="shared" si="16"/>
        <x:v>0</x:v>
      </x:c>
      <x:c r="AN335" s="652">
        <x:f t="shared" si="16"/>
        <x:v>0</x:v>
      </x:c>
      <x:c r="AO335" s="652">
        <x:f t="shared" si="16"/>
        <x:v>0</x:v>
      </x:c>
      <x:c r="BN335" s="624"/>
    </x:row>
    <x:row r="336" spans="1:66" x14ac:dyDescent="0.2">
      <x:c r="C336" s="770"/>
      <x:c r="D336" s="768"/>
      <x:c r="E336" s="651" t="s">
        <x:v>73</x:v>
      </x:c>
      <x:c r="F336" s="652">
        <x:f>F261</x:f>
        <x:v>0</x:v>
      </x:c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R336" s="627"/>
      <x:c r="S336" s="627"/>
      <x:c r="BN336" s="624"/>
    </x:row>
    <x:row r="337" spans="1:66" x14ac:dyDescent="0.2">
      <x:c r="C337" s="770"/>
      <x:c r="D337" s="768" t="s">
        <x:v>133</x:v>
      </x:c>
      <x:c r="E337" s="629" t="s">
        <x:v>70</x:v>
      </x:c>
      <x:c r="F337" s="630">
        <x:f>F257+F237-L237</x:f>
        <x:v>0</x:v>
      </x:c>
      <x:c r="G337" s="630">
        <x:f>G237</x:f>
        <x:v>0</x:v>
      </x:c>
      <x:c r="H337" s="630">
        <x:f t="shared" ref="H337:AO337" si="17">H237</x:f>
        <x:v>0</x:v>
      </x:c>
      <x:c r="I337" s="630">
        <x:f t="shared" si="17"/>
        <x:v>0</x:v>
      </x:c>
      <x:c r="J337" s="630">
        <x:f t="shared" si="17"/>
        <x:v>0</x:v>
      </x:c>
      <x:c r="K337" s="630">
        <x:f t="shared" si="17"/>
        <x:v>0</x:v>
      </x:c>
      <x:c r="L337" s="630">
        <x:f t="shared" si="17"/>
        <x:v>0</x:v>
      </x:c>
      <x:c r="M337" s="630">
        <x:f t="shared" si="17"/>
        <x:v>0</x:v>
      </x:c>
      <x:c r="N337" s="630">
        <x:f t="shared" si="17"/>
        <x:v>0</x:v>
      </x:c>
      <x:c r="O337" s="630">
        <x:f t="shared" si="17"/>
        <x:v>0</x:v>
      </x:c>
      <x:c r="P337" s="630">
        <x:f t="shared" si="17"/>
        <x:v>0</x:v>
      </x:c>
      <x:c r="Q337" s="630">
        <x:f t="shared" si="17"/>
        <x:v>0</x:v>
      </x:c>
      <x:c r="R337" s="630">
        <x:f t="shared" si="17"/>
        <x:v>0</x:v>
      </x:c>
      <x:c r="S337" s="630">
        <x:f t="shared" si="17"/>
        <x:v>0</x:v>
      </x:c>
      <x:c r="T337" s="630">
        <x:f t="shared" si="17"/>
        <x:v>0</x:v>
      </x:c>
      <x:c r="U337" s="630">
        <x:f t="shared" si="17"/>
        <x:v>0</x:v>
      </x:c>
      <x:c r="V337" s="630">
        <x:f t="shared" si="17"/>
        <x:v>0</x:v>
      </x:c>
      <x:c r="W337" s="630">
        <x:f t="shared" si="17"/>
        <x:v>0</x:v>
      </x:c>
      <x:c r="X337" s="630">
        <x:f t="shared" si="17"/>
        <x:v>0</x:v>
      </x:c>
      <x:c r="Y337" s="630">
        <x:f t="shared" si="17"/>
        <x:v>0</x:v>
      </x:c>
      <x:c r="Z337" s="630">
        <x:f t="shared" si="17"/>
        <x:v>0</x:v>
      </x:c>
      <x:c r="AA337" s="630">
        <x:f t="shared" si="17"/>
        <x:v>0</x:v>
      </x:c>
      <x:c r="AB337" s="630">
        <x:f t="shared" si="17"/>
        <x:v>0</x:v>
      </x:c>
      <x:c r="AC337" s="630">
        <x:f t="shared" si="17"/>
        <x:v>0</x:v>
      </x:c>
      <x:c r="AD337" s="630">
        <x:f t="shared" si="17"/>
        <x:v>0</x:v>
      </x:c>
      <x:c r="AE337" s="630">
        <x:f t="shared" si="17"/>
        <x:v>0</x:v>
      </x:c>
      <x:c r="AF337" s="630">
        <x:f t="shared" si="17"/>
        <x:v>0</x:v>
      </x:c>
      <x:c r="AG337" s="630">
        <x:f t="shared" si="17"/>
        <x:v>0</x:v>
      </x:c>
      <x:c r="AH337" s="630">
        <x:f t="shared" si="17"/>
        <x:v>0</x:v>
      </x:c>
      <x:c r="AI337" s="630">
        <x:f t="shared" si="17"/>
        <x:v>0</x:v>
      </x:c>
      <x:c r="AJ337" s="630">
        <x:f t="shared" si="17"/>
        <x:v>0</x:v>
      </x:c>
      <x:c r="AK337" s="630">
        <x:f t="shared" si="17"/>
        <x:v>0</x:v>
      </x:c>
      <x:c r="AL337" s="630">
        <x:f t="shared" si="17"/>
        <x:v>0</x:v>
      </x:c>
      <x:c r="AM337" s="630">
        <x:f t="shared" si="17"/>
        <x:v>0</x:v>
      </x:c>
      <x:c r="AN337" s="630">
        <x:f t="shared" si="17"/>
        <x:v>0</x:v>
      </x:c>
      <x:c r="AO337" s="630">
        <x:f t="shared" si="17"/>
        <x:v>0</x:v>
      </x:c>
      <x:c r="BN337" s="624"/>
    </x:row>
    <x:row r="338" spans="1:66" x14ac:dyDescent="0.2">
      <x:c r="C338" s="770"/>
      <x:c r="D338" s="768"/>
      <x:c r="E338" s="629" t="s">
        <x:v>73</x:v>
      </x:c>
      <x:c r="F338" s="630">
        <x:f>F257</x:f>
        <x:v>0</x:v>
      </x:c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R338" s="627"/>
      <x:c r="BN338" s="624"/>
    </x:row>
    <x:row r="339" spans="1:66" ht="15" x14ac:dyDescent="0.25">
      <x:c r="A339" s="625"/>
      <x:c r="C339" s="50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R339" s="627"/>
      <x:c r="S339" s="627"/>
      <x:c r="BN339" s="624"/>
    </x:row>
    <x:row r="340" spans="1:66" x14ac:dyDescent="0.2">
      <x:c r="C340" s="771" t="s">
        <x:v>326</x:v>
      </x:c>
      <x:c r="D340" s="768" t="s">
        <x:v>132</x:v>
      </x:c>
      <x:c r="E340" s="654" t="s">
        <x:v>70</x:v>
      </x:c>
      <x:c r="F340" s="655">
        <x:v>0</x:v>
      </x:c>
      <x:c r="G340" s="655">
        <x:v>0</x:v>
      </x:c>
      <x:c r="H340" s="655">
        <x:v>0</x:v>
      </x:c>
      <x:c r="I340" s="655">
        <x:v>0</x:v>
      </x:c>
      <x:c r="J340" s="655">
        <x:v>0</x:v>
      </x:c>
      <x:c r="K340" s="655">
        <x:v>0</x:v>
      </x:c>
      <x:c r="L340" s="655">
        <x:v>0</x:v>
      </x:c>
      <x:c r="M340" s="655">
        <x:v>0</x:v>
      </x:c>
      <x:c r="N340" s="655">
        <x:v>0</x:v>
      </x:c>
      <x:c r="O340" s="655">
        <x:v>0</x:v>
      </x:c>
      <x:c r="P340" s="655">
        <x:v>0</x:v>
      </x:c>
      <x:c r="Q340" s="655">
        <x:v>0</x:v>
      </x:c>
      <x:c r="R340" s="655">
        <x:v>0</x:v>
      </x:c>
      <x:c r="S340" s="655">
        <x:v>0</x:v>
      </x:c>
      <x:c r="T340" s="655">
        <x:v>0</x:v>
      </x:c>
      <x:c r="U340" s="655">
        <x:v>0</x:v>
      </x:c>
      <x:c r="V340" s="655">
        <x:v>0</x:v>
      </x:c>
      <x:c r="W340" s="655">
        <x:v>0</x:v>
      </x:c>
      <x:c r="X340" s="655">
        <x:v>0</x:v>
      </x:c>
      <x:c r="Y340" s="655">
        <x:v>0</x:v>
      </x:c>
      <x:c r="Z340" s="655">
        <x:v>0</x:v>
      </x:c>
      <x:c r="AA340" s="655">
        <x:v>0</x:v>
      </x:c>
      <x:c r="AB340" s="655">
        <x:v>0</x:v>
      </x:c>
      <x:c r="AC340" s="655">
        <x:v>0</x:v>
      </x:c>
      <x:c r="AD340" s="655">
        <x:v>0</x:v>
      </x:c>
      <x:c r="AE340" s="655">
        <x:v>0</x:v>
      </x:c>
      <x:c r="AF340" s="655">
        <x:v>0</x:v>
      </x:c>
      <x:c r="AG340" s="655">
        <x:v>0</x:v>
      </x:c>
      <x:c r="AH340" s="655">
        <x:v>0</x:v>
      </x:c>
      <x:c r="AI340" s="655">
        <x:v>0</x:v>
      </x:c>
      <x:c r="AJ340" s="655">
        <x:v>0</x:v>
      </x:c>
      <x:c r="AK340" s="655">
        <x:v>0</x:v>
      </x:c>
      <x:c r="AL340" s="655">
        <x:v>0</x:v>
      </x:c>
      <x:c r="AM340" s="655">
        <x:v>0</x:v>
      </x:c>
      <x:c r="AN340" s="655">
        <x:v>0</x:v>
      </x:c>
      <x:c r="AO340" s="655">
        <x:v>0</x:v>
      </x:c>
      <x:c r="BN340" s="624"/>
    </x:row>
    <x:row r="341" spans="1:66" x14ac:dyDescent="0.2">
      <x:c r="C341" s="771"/>
      <x:c r="D341" s="768"/>
      <x:c r="E341" s="654" t="s">
        <x:v>73</x:v>
      </x:c>
      <x:c r="F341" s="655">
        <x:v>0</x:v>
      </x:c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R341" s="627"/>
      <x:c r="S341" s="627"/>
      <x:c r="BN341" s="624"/>
    </x:row>
    <x:row r="342" spans="1:66" x14ac:dyDescent="0.2">
      <x:c r="C342" s="771"/>
      <x:c r="D342" s="768" t="s">
        <x:v>133</x:v>
      </x:c>
      <x:c r="E342" s="656" t="s">
        <x:v>70</x:v>
      </x:c>
      <x:c r="F342" s="657">
        <x:v>0</x:v>
      </x:c>
      <x:c r="G342" s="657">
        <x:v>0</x:v>
      </x:c>
      <x:c r="H342" s="657">
        <x:v>0</x:v>
      </x:c>
      <x:c r="I342" s="657">
        <x:v>0</x:v>
      </x:c>
      <x:c r="J342" s="657">
        <x:v>0</x:v>
      </x:c>
      <x:c r="K342" s="657">
        <x:v>0</x:v>
      </x:c>
      <x:c r="L342" s="657">
        <x:v>0</x:v>
      </x:c>
      <x:c r="M342" s="657">
        <x:v>0</x:v>
      </x:c>
      <x:c r="N342" s="657">
        <x:v>0</x:v>
      </x:c>
      <x:c r="O342" s="657">
        <x:v>0</x:v>
      </x:c>
      <x:c r="P342" s="657">
        <x:v>0</x:v>
      </x:c>
      <x:c r="Q342" s="657">
        <x:v>0</x:v>
      </x:c>
      <x:c r="R342" s="657">
        <x:v>0</x:v>
      </x:c>
      <x:c r="S342" s="657">
        <x:v>0</x:v>
      </x:c>
      <x:c r="T342" s="657">
        <x:v>0</x:v>
      </x:c>
      <x:c r="U342" s="657">
        <x:v>0</x:v>
      </x:c>
      <x:c r="V342" s="657">
        <x:v>0</x:v>
      </x:c>
      <x:c r="W342" s="657">
        <x:v>0</x:v>
      </x:c>
      <x:c r="X342" s="657">
        <x:v>0</x:v>
      </x:c>
      <x:c r="Y342" s="657">
        <x:v>0</x:v>
      </x:c>
      <x:c r="Z342" s="657">
        <x:v>0</x:v>
      </x:c>
      <x:c r="AA342" s="657">
        <x:v>0</x:v>
      </x:c>
      <x:c r="AB342" s="657">
        <x:v>0</x:v>
      </x:c>
      <x:c r="AC342" s="657">
        <x:v>0</x:v>
      </x:c>
      <x:c r="AD342" s="657">
        <x:v>0</x:v>
      </x:c>
      <x:c r="AE342" s="657">
        <x:v>0</x:v>
      </x:c>
      <x:c r="AF342" s="657">
        <x:v>0</x:v>
      </x:c>
      <x:c r="AG342" s="657">
        <x:v>0</x:v>
      </x:c>
      <x:c r="AH342" s="657">
        <x:v>0</x:v>
      </x:c>
      <x:c r="AI342" s="657">
        <x:v>0</x:v>
      </x:c>
      <x:c r="AJ342" s="657">
        <x:v>0</x:v>
      </x:c>
      <x:c r="AK342" s="657">
        <x:v>0</x:v>
      </x:c>
      <x:c r="AL342" s="657">
        <x:v>0</x:v>
      </x:c>
      <x:c r="AM342" s="657">
        <x:v>0</x:v>
      </x:c>
      <x:c r="AN342" s="657">
        <x:v>0</x:v>
      </x:c>
      <x:c r="AO342" s="657">
        <x:v>0</x:v>
      </x:c>
      <x:c r="BN342" s="624"/>
    </x:row>
    <x:row r="343" spans="1:66" x14ac:dyDescent="0.2">
      <x:c r="C343" s="771"/>
      <x:c r="D343" s="768"/>
      <x:c r="E343" s="656" t="s">
        <x:v>73</x:v>
      </x:c>
      <x:c r="F343" s="657">
        <x:v>0</x:v>
      </x:c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R343" s="627"/>
      <x:c r="BN343" s="624"/>
    </x:row>
    <x:row r="344" spans="1:66" ht="15" x14ac:dyDescent="0.25">
      <x:c r="A344" s="625"/>
      <x:c r="C344" s="50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R344" s="627"/>
      <x:c r="S344" s="627"/>
      <x:c r="BN344" s="624"/>
    </x:row>
    <x:row r="345" spans="1:66" x14ac:dyDescent="0.2">
      <x:c r="C345" s="770" t="s">
        <x:v>119</x:v>
      </x:c>
      <x:c r="D345" s="768" t="s">
        <x:v>132</x:v>
      </x:c>
      <x:c r="E345" s="632" t="s">
        <x:v>70</x:v>
      </x:c>
      <x:c r="F345" s="633">
        <x:f>F265+F252+F231-L231-L252</x:f>
        <x:v>0</x:v>
      </x:c>
      <x:c r="G345" s="633">
        <x:f>G252+G231</x:f>
        <x:v>0</x:v>
      </x:c>
      <x:c r="H345" s="633">
        <x:f t="shared" ref="H345:AO345" si="18">H252+H231</x:f>
        <x:v>0</x:v>
      </x:c>
      <x:c r="I345" s="633">
        <x:f t="shared" si="18"/>
        <x:v>0</x:v>
      </x:c>
      <x:c r="J345" s="633">
        <x:f t="shared" si="18"/>
        <x:v>0</x:v>
      </x:c>
      <x:c r="K345" s="633">
        <x:f t="shared" si="18"/>
        <x:v>0</x:v>
      </x:c>
      <x:c r="L345" s="633">
        <x:f t="shared" si="18"/>
        <x:v>0</x:v>
      </x:c>
      <x:c r="M345" s="633">
        <x:f t="shared" si="18"/>
        <x:v>0</x:v>
      </x:c>
      <x:c r="N345" s="633">
        <x:f t="shared" si="18"/>
        <x:v>0</x:v>
      </x:c>
      <x:c r="O345" s="633">
        <x:f t="shared" si="18"/>
        <x:v>0</x:v>
      </x:c>
      <x:c r="P345" s="633">
        <x:f t="shared" si="18"/>
        <x:v>0</x:v>
      </x:c>
      <x:c r="Q345" s="633">
        <x:f t="shared" si="18"/>
        <x:v>0</x:v>
      </x:c>
      <x:c r="R345" s="633">
        <x:f t="shared" si="18"/>
        <x:v>0</x:v>
      </x:c>
      <x:c r="S345" s="633">
        <x:f t="shared" si="18"/>
        <x:v>0</x:v>
      </x:c>
      <x:c r="T345" s="633">
        <x:f t="shared" si="18"/>
        <x:v>0</x:v>
      </x:c>
      <x:c r="U345" s="633">
        <x:f t="shared" si="18"/>
        <x:v>0</x:v>
      </x:c>
      <x:c r="V345" s="633">
        <x:f t="shared" si="18"/>
        <x:v>0</x:v>
      </x:c>
      <x:c r="W345" s="633">
        <x:f t="shared" si="18"/>
        <x:v>0</x:v>
      </x:c>
      <x:c r="X345" s="633">
        <x:f t="shared" si="18"/>
        <x:v>0</x:v>
      </x:c>
      <x:c r="Y345" s="633">
        <x:f t="shared" si="18"/>
        <x:v>0</x:v>
      </x:c>
      <x:c r="Z345" s="633">
        <x:f t="shared" si="18"/>
        <x:v>0</x:v>
      </x:c>
      <x:c r="AA345" s="633">
        <x:f t="shared" si="18"/>
        <x:v>0</x:v>
      </x:c>
      <x:c r="AB345" s="633">
        <x:f t="shared" si="18"/>
        <x:v>0</x:v>
      </x:c>
      <x:c r="AC345" s="633">
        <x:f t="shared" si="18"/>
        <x:v>0</x:v>
      </x:c>
      <x:c r="AD345" s="633">
        <x:f t="shared" si="18"/>
        <x:v>0</x:v>
      </x:c>
      <x:c r="AE345" s="633">
        <x:f t="shared" si="18"/>
        <x:v>0</x:v>
      </x:c>
      <x:c r="AF345" s="633">
        <x:f t="shared" si="18"/>
        <x:v>0</x:v>
      </x:c>
      <x:c r="AG345" s="633">
        <x:f t="shared" si="18"/>
        <x:v>0</x:v>
      </x:c>
      <x:c r="AH345" s="633">
        <x:f t="shared" si="18"/>
        <x:v>0</x:v>
      </x:c>
      <x:c r="AI345" s="633">
        <x:f t="shared" si="18"/>
        <x:v>0</x:v>
      </x:c>
      <x:c r="AJ345" s="633">
        <x:f t="shared" si="18"/>
        <x:v>0</x:v>
      </x:c>
      <x:c r="AK345" s="633">
        <x:f t="shared" si="18"/>
        <x:v>0</x:v>
      </x:c>
      <x:c r="AL345" s="633">
        <x:f t="shared" si="18"/>
        <x:v>0</x:v>
      </x:c>
      <x:c r="AM345" s="633">
        <x:f t="shared" si="18"/>
        <x:v>0</x:v>
      </x:c>
      <x:c r="AN345" s="633">
        <x:f t="shared" si="18"/>
        <x:v>0</x:v>
      </x:c>
      <x:c r="AO345" s="633">
        <x:f t="shared" si="18"/>
        <x:v>0</x:v>
      </x:c>
      <x:c r="BN345" s="624"/>
    </x:row>
    <x:row r="346" spans="1:66" x14ac:dyDescent="0.2">
      <x:c r="C346" s="770"/>
      <x:c r="D346" s="768"/>
      <x:c r="E346" s="632" t="s">
        <x:v>73</x:v>
      </x:c>
      <x:c r="F346" s="633">
        <x:f>F265</x:f>
        <x:v>0</x:v>
      </x:c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R346" s="627"/>
      <x:c r="S346" s="627"/>
      <x:c r="BN346" s="624"/>
    </x:row>
    <x:row r="347" spans="1:66" x14ac:dyDescent="0.2">
      <x:c r="C347" s="770"/>
      <x:c r="D347" s="768" t="s">
        <x:v>133</x:v>
      </x:c>
      <x:c r="E347" s="658" t="s">
        <x:v>70</x:v>
      </x:c>
      <x:c r="F347" s="659">
        <x:v>0</x:v>
      </x:c>
      <x:c r="G347" s="659">
        <x:v>0</x:v>
      </x:c>
      <x:c r="H347" s="659">
        <x:v>0</x:v>
      </x:c>
      <x:c r="I347" s="659">
        <x:v>0</x:v>
      </x:c>
      <x:c r="J347" s="659">
        <x:v>0</x:v>
      </x:c>
      <x:c r="K347" s="659">
        <x:v>0</x:v>
      </x:c>
      <x:c r="L347" s="659">
        <x:v>0</x:v>
      </x:c>
      <x:c r="M347" s="659">
        <x:v>0</x:v>
      </x:c>
      <x:c r="N347" s="659">
        <x:v>0</x:v>
      </x:c>
      <x:c r="O347" s="659">
        <x:v>0</x:v>
      </x:c>
      <x:c r="P347" s="659">
        <x:v>0</x:v>
      </x:c>
      <x:c r="Q347" s="659">
        <x:v>0</x:v>
      </x:c>
      <x:c r="R347" s="659">
        <x:v>0</x:v>
      </x:c>
      <x:c r="S347" s="659">
        <x:v>0</x:v>
      </x:c>
      <x:c r="T347" s="659">
        <x:v>0</x:v>
      </x:c>
      <x:c r="U347" s="659">
        <x:v>0</x:v>
      </x:c>
      <x:c r="V347" s="659">
        <x:v>0</x:v>
      </x:c>
      <x:c r="W347" s="659">
        <x:v>0</x:v>
      </x:c>
      <x:c r="X347" s="659">
        <x:v>0</x:v>
      </x:c>
      <x:c r="Y347" s="659">
        <x:v>0</x:v>
      </x:c>
      <x:c r="Z347" s="659">
        <x:v>0</x:v>
      </x:c>
      <x:c r="AA347" s="659">
        <x:v>0</x:v>
      </x:c>
      <x:c r="AB347" s="659">
        <x:v>0</x:v>
      </x:c>
      <x:c r="AC347" s="659">
        <x:v>0</x:v>
      </x:c>
      <x:c r="AD347" s="659">
        <x:v>0</x:v>
      </x:c>
      <x:c r="AE347" s="659">
        <x:v>0</x:v>
      </x:c>
      <x:c r="AF347" s="659">
        <x:v>0</x:v>
      </x:c>
      <x:c r="AG347" s="659">
        <x:v>0</x:v>
      </x:c>
      <x:c r="AH347" s="659">
        <x:v>0</x:v>
      </x:c>
      <x:c r="AI347" s="659">
        <x:v>0</x:v>
      </x:c>
      <x:c r="AJ347" s="659">
        <x:v>0</x:v>
      </x:c>
      <x:c r="AK347" s="659">
        <x:v>0</x:v>
      </x:c>
      <x:c r="AL347" s="659">
        <x:v>0</x:v>
      </x:c>
      <x:c r="AM347" s="659">
        <x:v>0</x:v>
      </x:c>
      <x:c r="AN347" s="659">
        <x:v>0</x:v>
      </x:c>
      <x:c r="AO347" s="659">
        <x:v>0</x:v>
      </x:c>
      <x:c r="BN347" s="624"/>
    </x:row>
    <x:row r="348" spans="1:66" x14ac:dyDescent="0.2">
      <x:c r="C348" s="770"/>
      <x:c r="D348" s="768"/>
      <x:c r="E348" s="658" t="s">
        <x:v>73</x:v>
      </x:c>
      <x:c r="F348" s="659">
        <x:v>0</x:v>
      </x:c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R348" s="627"/>
      <x:c r="BN348" s="624"/>
    </x:row>
    <x:row r="349" spans="1:66" ht="15" x14ac:dyDescent="0.25">
      <x:c r="A349" s="625"/>
      <x:c r="C349" s="50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R349" s="627"/>
      <x:c r="S349" s="627"/>
      <x:c r="BN349" s="624"/>
    </x:row>
    <x:row r="350" spans="1:66" x14ac:dyDescent="0.2">
      <x:c r="C350" s="769" t="s">
        <x:v>161</x:v>
      </x:c>
      <x:c r="D350" s="768" t="s">
        <x:v>132</x:v>
      </x:c>
      <x:c r="E350" s="661" t="s">
        <x:v>70</x:v>
      </x:c>
      <x:c r="F350" s="662">
        <x:v>0</x:v>
      </x:c>
      <x:c r="G350" s="662">
        <x:v>0</x:v>
      </x:c>
      <x:c r="H350" s="662">
        <x:v>0</x:v>
      </x:c>
      <x:c r="I350" s="662">
        <x:v>0</x:v>
      </x:c>
      <x:c r="J350" s="662">
        <x:v>0</x:v>
      </x:c>
      <x:c r="K350" s="662">
        <x:v>0</x:v>
      </x:c>
      <x:c r="L350" s="662">
        <x:v>0</x:v>
      </x:c>
      <x:c r="M350" s="662">
        <x:v>0</x:v>
      </x:c>
      <x:c r="N350" s="662">
        <x:v>0</x:v>
      </x:c>
      <x:c r="O350" s="662">
        <x:v>0</x:v>
      </x:c>
      <x:c r="P350" s="662">
        <x:v>0</x:v>
      </x:c>
      <x:c r="Q350" s="662">
        <x:v>0</x:v>
      </x:c>
      <x:c r="R350" s="662">
        <x:v>0</x:v>
      </x:c>
      <x:c r="S350" s="662">
        <x:v>0</x:v>
      </x:c>
      <x:c r="T350" s="662">
        <x:v>0</x:v>
      </x:c>
      <x:c r="U350" s="662"/>
      <x:c r="V350" s="662"/>
      <x:c r="W350" s="662"/>
      <x:c r="X350" s="662">
        <x:v>0</x:v>
      </x:c>
      <x:c r="Y350" s="662">
        <x:v>0</x:v>
      </x:c>
      <x:c r="Z350" s="662">
        <x:v>0</x:v>
      </x:c>
      <x:c r="AA350" s="662">
        <x:v>0</x:v>
      </x:c>
      <x:c r="AB350" s="662">
        <x:v>0</x:v>
      </x:c>
      <x:c r="AC350" s="662">
        <x:v>0</x:v>
      </x:c>
      <x:c r="AD350" s="662">
        <x:v>0</x:v>
      </x:c>
      <x:c r="AE350" s="662">
        <x:v>0</x:v>
      </x:c>
      <x:c r="AF350" s="662">
        <x:v>0</x:v>
      </x:c>
      <x:c r="AG350" s="662">
        <x:v>0</x:v>
      </x:c>
      <x:c r="AH350" s="662">
        <x:v>0</x:v>
      </x:c>
      <x:c r="AI350" s="662">
        <x:v>0</x:v>
      </x:c>
      <x:c r="AJ350" s="662">
        <x:v>0</x:v>
      </x:c>
      <x:c r="AK350" s="662">
        <x:v>0</x:v>
      </x:c>
      <x:c r="AL350" s="662">
        <x:v>0</x:v>
      </x:c>
      <x:c r="AM350" s="662">
        <x:v>0</x:v>
      </x:c>
      <x:c r="AN350" s="662">
        <x:v>0</x:v>
      </x:c>
      <x:c r="AO350" s="662">
        <x:v>0</x:v>
      </x:c>
      <x:c r="BN350" s="624"/>
    </x:row>
    <x:row r="351" spans="1:66" x14ac:dyDescent="0.2">
      <x:c r="C351" s="769"/>
      <x:c r="D351" s="768"/>
      <x:c r="E351" s="661" t="s">
        <x:v>73</x:v>
      </x:c>
      <x:c r="F351" s="662">
        <x:v>0</x:v>
      </x:c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R351" s="627"/>
      <x:c r="S351" s="627"/>
      <x:c r="BN351" s="624"/>
    </x:row>
    <x:row r="352" spans="1:66" x14ac:dyDescent="0.2">
      <x:c r="C352" s="769"/>
      <x:c r="D352" s="768" t="s">
        <x:v>133</x:v>
      </x:c>
      <x:c r="E352" s="663" t="s">
        <x:v>70</x:v>
      </x:c>
      <x:c r="F352" s="664">
        <x:v>0</x:v>
      </x:c>
      <x:c r="G352" s="664">
        <x:v>0</x:v>
      </x:c>
      <x:c r="H352" s="664">
        <x:v>0</x:v>
      </x:c>
      <x:c r="I352" s="664">
        <x:v>0</x:v>
      </x:c>
      <x:c r="J352" s="664">
        <x:v>0</x:v>
      </x:c>
      <x:c r="K352" s="664">
        <x:v>0</x:v>
      </x:c>
      <x:c r="L352" s="664">
        <x:v>0</x:v>
      </x:c>
      <x:c r="M352" s="664">
        <x:v>0</x:v>
      </x:c>
      <x:c r="N352" s="664">
        <x:v>0</x:v>
      </x:c>
      <x:c r="O352" s="664">
        <x:v>0</x:v>
      </x:c>
      <x:c r="P352" s="664">
        <x:v>0</x:v>
      </x:c>
      <x:c r="Q352" s="664">
        <x:v>0</x:v>
      </x:c>
      <x:c r="R352" s="664">
        <x:v>0</x:v>
      </x:c>
      <x:c r="S352" s="664">
        <x:v>0</x:v>
      </x:c>
      <x:c r="T352" s="664">
        <x:v>0</x:v>
      </x:c>
      <x:c r="U352" s="664"/>
      <x:c r="V352" s="664"/>
      <x:c r="W352" s="664"/>
      <x:c r="X352" s="664">
        <x:v>0</x:v>
      </x:c>
      <x:c r="Y352" s="664">
        <x:v>0</x:v>
      </x:c>
      <x:c r="Z352" s="664">
        <x:v>0</x:v>
      </x:c>
      <x:c r="AA352" s="664">
        <x:v>0</x:v>
      </x:c>
      <x:c r="AB352" s="664">
        <x:v>0</x:v>
      </x:c>
      <x:c r="AC352" s="664">
        <x:v>0</x:v>
      </x:c>
      <x:c r="AD352" s="664">
        <x:v>0</x:v>
      </x:c>
      <x:c r="AE352" s="664">
        <x:v>0</x:v>
      </x:c>
      <x:c r="AF352" s="664">
        <x:v>0</x:v>
      </x:c>
      <x:c r="AG352" s="664">
        <x:v>0</x:v>
      </x:c>
      <x:c r="AH352" s="664">
        <x:v>0</x:v>
      </x:c>
      <x:c r="AI352" s="664">
        <x:v>0</x:v>
      </x:c>
      <x:c r="AJ352" s="664">
        <x:v>0</x:v>
      </x:c>
      <x:c r="AK352" s="664">
        <x:v>0</x:v>
      </x:c>
      <x:c r="AL352" s="664">
        <x:v>0</x:v>
      </x:c>
      <x:c r="AM352" s="664">
        <x:v>0</x:v>
      </x:c>
      <x:c r="AN352" s="664">
        <x:v>0</x:v>
      </x:c>
      <x:c r="AO352" s="664">
        <x:v>0</x:v>
      </x:c>
      <x:c r="BN352" s="624"/>
    </x:row>
    <x:row r="353" spans="1:66" x14ac:dyDescent="0.2">
      <x:c r="C353" s="769"/>
      <x:c r="D353" s="768"/>
      <x:c r="E353" s="663" t="s">
        <x:v>73</x:v>
      </x:c>
      <x:c r="F353" s="664">
        <x:v>0</x:v>
      </x:c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R353" s="627"/>
      <x:c r="BN353" s="624"/>
    </x:row>
    <x:row r="354" spans="1:66" ht="15" x14ac:dyDescent="0.2">
      <x:c r="C354" s="660"/>
      <x:c r="D354" s="644"/>
      <x:c r="E354" s="625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R354" s="627"/>
      <x:c r="BN354" s="624"/>
    </x:row>
    <x:row r="355" spans="1:66" x14ac:dyDescent="0.2">
      <x:c r="D355" s="634" t="s">
        <x:v>185</x:v>
      </x:c>
      <x:c r="E355" s="665" t="s">
        <x:v>70</x:v>
      </x:c>
      <x:c r="F355" s="666">
        <x:f>F232</x:f>
        <x:v>0</x:v>
      </x:c>
      <x:c r="G355" s="666">
        <x:f t="shared" ref="G355:Z355" si="19">G232</x:f>
        <x:v>0</x:v>
      </x:c>
      <x:c r="H355" s="666">
        <x:f t="shared" si="19"/>
        <x:v>0</x:v>
      </x:c>
      <x:c r="I355" s="666">
        <x:f t="shared" si="19"/>
        <x:v>0</x:v>
      </x:c>
      <x:c r="J355" s="666">
        <x:f t="shared" si="19"/>
        <x:v>0</x:v>
      </x:c>
      <x:c r="K355" s="666">
        <x:f t="shared" si="19"/>
        <x:v>0</x:v>
      </x:c>
      <x:c r="L355" s="666">
        <x:f t="shared" si="19"/>
        <x:v>0</x:v>
      </x:c>
      <x:c r="M355" s="666">
        <x:f t="shared" si="19"/>
        <x:v>0</x:v>
      </x:c>
      <x:c r="N355" s="666">
        <x:f t="shared" si="19"/>
        <x:v>0</x:v>
      </x:c>
      <x:c r="O355" s="666">
        <x:f t="shared" si="19"/>
        <x:v>0</x:v>
      </x:c>
      <x:c r="P355" s="666">
        <x:f t="shared" si="19"/>
        <x:v>0</x:v>
      </x:c>
      <x:c r="Q355" s="666">
        <x:f t="shared" si="19"/>
        <x:v>0</x:v>
      </x:c>
      <x:c r="R355" s="666">
        <x:f t="shared" si="19"/>
        <x:v>0</x:v>
      </x:c>
      <x:c r="S355" s="666">
        <x:f t="shared" si="19"/>
        <x:v>0</x:v>
      </x:c>
      <x:c r="T355" s="666">
        <x:f t="shared" si="19"/>
        <x:v>0</x:v>
      </x:c>
      <x:c r="U355" s="666">
        <x:f t="shared" si="19"/>
        <x:v>0</x:v>
      </x:c>
      <x:c r="V355" s="666">
        <x:f t="shared" si="19"/>
        <x:v>0</x:v>
      </x:c>
      <x:c r="W355" s="666">
        <x:f t="shared" si="19"/>
        <x:v>0</x:v>
      </x:c>
      <x:c r="X355" s="666">
        <x:f t="shared" si="19"/>
        <x:v>0</x:v>
      </x:c>
      <x:c r="Y355" s="666">
        <x:f t="shared" si="19"/>
        <x:v>0</x:v>
      </x:c>
      <x:c r="Z355" s="666">
        <x:f t="shared" si="19"/>
        <x:v>0</x:v>
      </x:c>
      <x:c r="BN355" s="624"/>
    </x:row>
    <x:row r="356" spans="1:66" ht="15" x14ac:dyDescent="0.2">
      <x:c r="C356" s="660"/>
      <x:c r="D356" s="644"/>
      <x:c r="E356" s="625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R356" s="627"/>
      <x:c r="BN356" s="624"/>
    </x:row>
    <x:row r="357" spans="1:66" x14ac:dyDescent="0.2">
      <x:c r="A357" s="624"/>
      <x:c r="B357" s="624"/>
      <x:c r="C357" s="624"/>
      <x:c r="D357" s="624"/>
      <x:c r="E357" s="624"/>
      <x:c r="F357" s="624"/>
      <x:c r="G357" s="624"/>
      <x:c r="H357" s="624"/>
      <x:c r="I357" s="624"/>
      <x:c r="J357" s="624"/>
      <x:c r="K357" s="624"/>
      <x:c r="L357" s="624"/>
      <x:c r="M357" s="624"/>
      <x:c r="N357" s="624"/>
      <x:c r="O357" s="624"/>
      <x:c r="P357" s="624"/>
      <x:c r="Q357" s="624"/>
      <x:c r="R357" s="624"/>
      <x:c r="S357" s="624"/>
      <x:c r="T357" s="624"/>
      <x:c r="U357" s="624"/>
      <x:c r="V357" s="624"/>
      <x:c r="W357" s="624"/>
      <x:c r="X357" s="624"/>
      <x:c r="Y357" s="624"/>
      <x:c r="Z357" s="624"/>
      <x:c r="AA357" s="624"/>
      <x:c r="AB357" s="624"/>
      <x:c r="AC357" s="624"/>
      <x:c r="AD357" s="624"/>
      <x:c r="AE357" s="624"/>
      <x:c r="AF357" s="624"/>
      <x:c r="AG357" s="624"/>
      <x:c r="AH357" s="624"/>
      <x:c r="AI357" s="624"/>
      <x:c r="AJ357" s="624"/>
      <x:c r="AK357" s="624"/>
      <x:c r="AL357" s="624"/>
      <x:c r="AM357" s="624"/>
      <x:c r="AN357" s="624"/>
      <x:c r="AO357" s="624"/>
      <x:c r="AP357" s="624"/>
      <x:c r="AQ357" s="624"/>
      <x:c r="AR357" s="624"/>
      <x:c r="AS357" s="624"/>
      <x:c r="AT357" s="624"/>
      <x:c r="AU357" s="624"/>
      <x:c r="AV357" s="624"/>
      <x:c r="AW357" s="624"/>
      <x:c r="AX357" s="624"/>
      <x:c r="AY357" s="624"/>
      <x:c r="AZ357" s="624"/>
      <x:c r="BA357" s="624"/>
      <x:c r="BB357" s="624"/>
      <x:c r="BC357" s="624"/>
      <x:c r="BD357" s="624"/>
      <x:c r="BE357" s="624"/>
      <x:c r="BF357" s="624"/>
      <x:c r="BG357" s="624"/>
      <x:c r="BH357" s="624"/>
      <x:c r="BI357" s="624"/>
      <x:c r="BJ357" s="624"/>
      <x:c r="BK357" s="624"/>
      <x:c r="BL357" s="624"/>
      <x:c r="BM357" s="624"/>
      <x:c r="BN357" s="624"/>
    </x:row>
    <x:row r="358" spans="1:66" ht="15" x14ac:dyDescent="0.25">
      <x:c r="A358" s="625"/>
      <x:c r="B358" s="50" t="s">
        <x:v>88</x:v>
      </x:c>
      <x:c r="E358" s="627"/>
      <x:c r="F358" s="627"/>
      <x:c r="G358" s="627"/>
      <x:c r="H358" s="627"/>
      <x:c r="I358" s="627"/>
      <x:c r="J358" s="627"/>
      <x:c r="K358" s="627"/>
      <x:c r="L358" s="627"/>
      <x:c r="M358" s="627"/>
      <x:c r="N358" s="627"/>
      <x:c r="O358" s="627"/>
      <x:c r="P358" s="627"/>
      <x:c r="Q358" s="627"/>
      <x:c r="BN358" s="624"/>
    </x:row>
    <x:row r="359" spans="1:66" s="50" customFormat="1" ht="30" x14ac:dyDescent="0.25">
      <x:c r="F359" s="669" t="s">
        <x:v>70</x:v>
      </x:c>
      <x:c r="G359" s="669" t="s">
        <x:v>64</x:v>
      </x:c>
      <x:c r="H359" s="669" t="s">
        <x:v>65</x:v>
      </x:c>
      <x:c r="I359" s="626" t="s">
        <x:v>164</x:v>
      </x:c>
      <x:c r="J359" s="669" t="s">
        <x:v>69</x:v>
      </x:c>
      <x:c r="K359" s="669" t="s">
        <x:v>68</x:v>
      </x:c>
      <x:c r="L359" s="669" t="s">
        <x:v>71</x:v>
      </x:c>
      <x:c r="M359" s="669" t="s">
        <x:v>66</x:v>
      </x:c>
      <x:c r="N359" s="669" t="s">
        <x:v>63</x:v>
      </x:c>
      <x:c r="O359" s="669" t="s">
        <x:v>61</x:v>
      </x:c>
      <x:c r="P359" s="669" t="s">
        <x:v>62</x:v>
      </x:c>
      <x:c r="Q359" s="669" t="s">
        <x:v>67</x:v>
      </x:c>
      <x:c r="R359" s="669" t="s">
        <x:v>77</x:v>
      </x:c>
      <x:c r="S359" s="669" t="s">
        <x:v>80</x:v>
      </x:c>
      <x:c r="T359" s="669" t="s">
        <x:v>135</x:v>
      </x:c>
      <x:c r="U359" s="669" t="s">
        <x:v>222</x:v>
      </x:c>
      <x:c r="V359" s="669" t="s">
        <x:v>223</x:v>
      </x:c>
      <x:c r="W359" s="669" t="s">
        <x:v>172</x:v>
      </x:c>
      <x:c r="X359" s="50" t="s">
        <x:v>166</x:v>
      </x:c>
      <x:c r="Y359" s="669" t="s">
        <x:v>135</x:v>
      </x:c>
      <x:c r="Z359" s="669" t="s">
        <x:v>166</x:v>
      </x:c>
      <x:c r="BN359" s="618"/>
    </x:row>
    <x:row r="360" spans="1:66" x14ac:dyDescent="0.2">
      <x:c r="A360"/>
      <x:c r="B360"/>
      <x:c r="C360"/>
      <x:c r="D360"/>
      <x:c r="E360" s="625" t="inlineStr">
        <x:is>
          <x:t>Vlr Servicio</x:t>
        </x:is>
      </x:c>
      <x:c r="F360" s="627" t="n">
        <x:v>-18514.21</x:v>
      </x:c>
      <x:c r="G360" s="627" t="n">
        <x:v>-1465.26</x:v>
      </x:c>
      <x:c r="H360" s="627" t="n">
        <x:v>-622.47</x:v>
      </x:c>
      <x:c r="I360" s="627" t="n">
        <x:v>-271.83</x:v>
      </x:c>
      <x:c r="J360" s="627" t="n">
        <x:v>-3463.24</x:v>
      </x:c>
      <x:c r="K360" s="627" t="n">
        <x:v>-141.03</x:v>
      </x:c>
      <x:c r="L360" s="627" t="n">
        <x:v>0</x:v>
      </x:c>
      <x:c r="M360" s="627" t="n">
        <x:v>-1237.12</x:v>
      </x:c>
      <x:c r="N360" s="627" t="n">
        <x:v>-1573.13</x:v>
      </x:c>
      <x:c r="O360" s="627" t="n">
        <x:v>-5776.35</x:v>
      </x:c>
      <x:c r="P360" s="627" t="n">
        <x:v>-3733.65</x:v>
      </x:c>
      <x:c r="Q360" s="627" t="n">
        <x:v>-230.13</x:v>
      </x:c>
      <x:c r="R360" s="627" t="n">
        <x:v>0</x:v>
      </x:c>
      <x:c r="S360" s="627" t="n">
        <x:v>0</x:v>
      </x:c>
      <x:c r="T360" s="653" t="n">
        <x:v>0</x:v>
      </x:c>
      <x:c r="U360" s="653">
        <x:v>0</x:v>
      </x:c>
      <x:c r="V360" s="653">
        <x:v>0</x:v>
      </x:c>
      <x:c r="W360" s="653">
        <x:v>0</x:v>
      </x:c>
      <x:c r="X360" s="653">
        <x:v>0</x:v>
      </x:c>
      <x:c r="Y360" s="627">
        <x:v>0</x:v>
      </x:c>
      <x:c r="Z360" s="653" t="n">
        <x:v>0</x:v>
      </x:c>
      <x:c r="BN360" s="624"/>
    </x:row>
    <x:row r="361" spans="1:66" x14ac:dyDescent="0.2">
      <x:c r="A361"/>
      <x:c r="B361"/>
      <x:c r="C361"/>
      <x:c r="D361" s="25" t="inlineStr">
        <x:is>
          <x:t>E</x:t>
        </x:is>
      </x:c>
      <x:c r="E361" s="625" t="inlineStr">
        <x:is>
          <x:t>Total</x:t>
        </x:is>
      </x:c>
      <x:c r="F361" s="627" t="n">
        <x:v>-18514.21</x:v>
      </x:c>
      <x:c r="G361" s="627" t="n">
        <x:v>-1465.26</x:v>
      </x:c>
      <x:c r="H361" s="627" t="n">
        <x:v>-622.47</x:v>
      </x:c>
      <x:c r="I361" s="627" t="n">
        <x:v>-271.83</x:v>
      </x:c>
      <x:c r="J361" s="627" t="n">
        <x:v>-3463.24</x:v>
      </x:c>
      <x:c r="K361" s="627" t="n">
        <x:v>-141.03</x:v>
      </x:c>
      <x:c r="L361" s="627" t="n">
        <x:v>0</x:v>
      </x:c>
      <x:c r="M361" s="627" t="n">
        <x:v>-1237.12</x:v>
      </x:c>
      <x:c r="N361" s="627" t="n">
        <x:v>-1573.13</x:v>
      </x:c>
      <x:c r="O361" s="627" t="n">
        <x:v>-5776.35</x:v>
      </x:c>
      <x:c r="P361" s="627" t="n">
        <x:v>-3733.65</x:v>
      </x:c>
      <x:c r="Q361" s="627" t="n">
        <x:v>-230.13</x:v>
      </x:c>
      <x:c r="R361" s="627" t="n">
        <x:v>0</x:v>
      </x:c>
      <x:c r="S361" s="627" t="n">
        <x:v>0</x:v>
      </x:c>
      <x:c r="T361" s="653" t="n">
        <x:v>0</x:v>
      </x:c>
      <x:c r="U361" s="653">
        <x:v>0</x:v>
      </x:c>
      <x:c r="V361" s="653">
        <x:v>0</x:v>
      </x:c>
      <x:c r="W361" s="653">
        <x:v>0</x:v>
      </x:c>
      <x:c r="X361" s="653">
        <x:v>0</x:v>
      </x:c>
      <x:c r="Y361" s="627">
        <x:v>0</x:v>
      </x:c>
      <x:c r="Z361" s="653" t="n">
        <x:v>0</x:v>
      </x:c>
      <x:c r="BN361" s="624"/>
    </x:row>
    <x:row r="362" spans="1:66" x14ac:dyDescent="0.2">
      <x:c r="A362" s="628"/>
      <x:c r="B362" s="628"/>
      <x:c r="C362" s="628" t="inlineStr">
        <x:is>
          <x:t>ENEL</x:t>
        </x:is>
      </x:c>
      <x:c r="D362" s="628" t="inlineStr">
        <x:is>
          <x:t>Total</x:t>
        </x:is>
      </x:c>
      <x:c r="E362" s="629"/>
      <x:c r="F362" s="630" t="n">
        <x:v>-18514.21</x:v>
      </x:c>
      <x:c r="G362" s="630" t="n">
        <x:v>-1465.26</x:v>
      </x:c>
      <x:c r="H362" s="630" t="n">
        <x:v>-622.47</x:v>
      </x:c>
      <x:c r="I362" s="630" t="n">
        <x:v>-271.83</x:v>
      </x:c>
      <x:c r="J362" s="630" t="n">
        <x:v>-3463.24</x:v>
      </x:c>
      <x:c r="K362" s="630" t="n">
        <x:v>-141.03</x:v>
      </x:c>
      <x:c r="L362" s="630" t="n">
        <x:v>0</x:v>
      </x:c>
      <x:c r="M362" s="630" t="n">
        <x:v>-1237.12</x:v>
      </x:c>
      <x:c r="N362" s="630" t="n">
        <x:v>-1573.13</x:v>
      </x:c>
      <x:c r="O362" s="630" t="n">
        <x:v>-5776.35</x:v>
      </x:c>
      <x:c r="P362" s="630" t="n">
        <x:v>-3733.65</x:v>
      </x:c>
      <x:c r="Q362" s="630" t="n">
        <x:v>-230.13</x:v>
      </x:c>
      <x:c r="R362" s="630" t="n">
        <x:v>0</x:v>
      </x:c>
      <x:c r="S362" s="630" t="n">
        <x:v>0</x:v>
      </x:c>
      <x:c r="T362" s="630" t="n">
        <x:v>0</x:v>
      </x:c>
      <x:c r="U362" s="630">
        <x:v>0</x:v>
      </x:c>
      <x:c r="V362" s="630">
        <x:v>0</x:v>
      </x:c>
      <x:c r="W362" s="630">
        <x:v>0</x:v>
      </x:c>
      <x:c r="X362" s="630">
        <x:v>0</x:v>
      </x:c>
      <x:c r="Y362" s="630">
        <x:v>0</x:v>
      </x:c>
      <x:c r="Z362" s="630" t="n">
        <x:v>0</x:v>
      </x:c>
      <x:c r="AA362" s="628"/>
      <x:c r="AB362" s="628"/>
      <x:c r="AC362" s="628"/>
      <x:c r="AD362" s="628"/>
      <x:c r="AE362" s="628"/>
      <x:c r="AF362" s="628"/>
      <x:c r="AG362" s="628"/>
      <x:c r="AH362" s="628"/>
      <x:c r="AI362" s="628"/>
      <x:c r="AJ362" s="628"/>
      <x:c r="AK362" s="628"/>
      <x:c r="AL362" s="628"/>
      <x:c r="AM362" s="628"/>
      <x:c r="AN362" s="628"/>
      <x:c r="AO362" s="628"/>
      <x:c r="AP362" s="628"/>
      <x:c r="AQ362" s="628"/>
      <x:c r="AR362" s="628"/>
      <x:c r="AS362" s="628"/>
      <x:c r="AT362" s="628"/>
      <x:c r="AU362" s="628"/>
      <x:c r="AV362" s="628"/>
      <x:c r="AW362" s="628"/>
      <x:c r="AX362" s="628"/>
      <x:c r="AY362" s="628"/>
      <x:c r="AZ362" s="628"/>
      <x:c r="BA362" s="628"/>
      <x:c r="BB362" s="628"/>
      <x:c r="BC362" s="628"/>
      <x:c r="BD362" s="628"/>
      <x:c r="BE362" s="628"/>
      <x:c r="BF362" s="628"/>
      <x:c r="BG362" s="628"/>
      <x:c r="BH362" s="628"/>
      <x:c r="BI362" s="628"/>
      <x:c r="BJ362" s="628"/>
      <x:c r="BK362" s="628"/>
      <x:c r="BL362" s="628"/>
      <x:c r="BM362" s="628"/>
      <x:c r="BN362" s="624"/>
    </x:row>
    <x:row r="363" spans="1:66" x14ac:dyDescent="0.2">
      <x:c r="A363"/>
      <x:c r="B363"/>
      <x:c r="C363"/>
      <x:c r="D363"/>
      <x:c r="E363" s="625" t="inlineStr">
        <x:is>
          <x:t>Vlr Servicio</x:t>
        </x:is>
      </x:c>
      <x:c r="F363" s="627" t="n">
        <x:v>-33199.73</x:v>
      </x:c>
      <x:c r="G363" s="627" t="n">
        <x:v>-2759.81</x:v>
      </x:c>
      <x:c r="H363" s="627" t="n">
        <x:v>-1172.47</x:v>
      </x:c>
      <x:c r="I363" s="627" t="n">
        <x:v>-512.02</x:v>
      </x:c>
      <x:c r="J363" s="627" t="n">
        <x:v>-6060.09</x:v>
      </x:c>
      <x:c r="K363" s="627" t="n">
        <x:v>-246.57</x:v>
      </x:c>
      <x:c r="L363" s="627" t="n">
        <x:v>0</x:v>
      </x:c>
      <x:c r="M363" s="627" t="n">
        <x:v>-2162.63</x:v>
      </x:c>
      <x:c r="N363" s="627" t="n">
        <x:v>-2753.76</x:v>
      </x:c>
      <x:c r="O363" s="627" t="n">
        <x:v>-10097.71</x:v>
      </x:c>
      <x:c r="P363" s="627" t="n">
        <x:v>-7032.34</x:v>
      </x:c>
      <x:c r="Q363" s="627" t="n">
        <x:v>-402.33</x:v>
      </x:c>
      <x:c r="R363" s="627" t="n">
        <x:v>0</x:v>
      </x:c>
      <x:c r="S363" s="627" t="n">
        <x:v>0</x:v>
      </x:c>
      <x:c r="T363" s="653" t="n">
        <x:v>0</x:v>
      </x:c>
      <x:c r="U363" s="653">
        <x:v>0</x:v>
      </x:c>
      <x:c r="V363" s="653">
        <x:v>0</x:v>
      </x:c>
      <x:c r="W363" s="653">
        <x:v>0</x:v>
      </x:c>
      <x:c r="X363" s="653">
        <x:v>0</x:v>
      </x:c>
      <x:c r="Y363" s="627">
        <x:v>0</x:v>
      </x:c>
      <x:c r="Z363" s="653" t="n">
        <x:v>0</x:v>
      </x:c>
      <x:c r="BN363" s="624"/>
    </x:row>
    <x:row r="364" spans="1:66" x14ac:dyDescent="0.2">
      <x:c r="A364"/>
      <x:c r="B364"/>
      <x:c r="C364"/>
      <x:c r="D364" s="25" t="inlineStr">
        <x:is>
          <x:t>O</x:t>
        </x:is>
      </x:c>
      <x:c r="E364" s="625" t="inlineStr">
        <x:is>
          <x:t>Total</x:t>
        </x:is>
      </x:c>
      <x:c r="F364" s="627" t="n">
        <x:v>-33199.73</x:v>
      </x:c>
      <x:c r="G364" s="627" t="n">
        <x:v>-2759.81</x:v>
      </x:c>
      <x:c r="H364" s="627" t="n">
        <x:v>-1172.47</x:v>
      </x:c>
      <x:c r="I364" s="627" t="n">
        <x:v>-512.02</x:v>
      </x:c>
      <x:c r="J364" s="627" t="n">
        <x:v>-6060.09</x:v>
      </x:c>
      <x:c r="K364" s="627" t="n">
        <x:v>-246.57</x:v>
      </x:c>
      <x:c r="L364" s="627" t="n">
        <x:v>0</x:v>
      </x:c>
      <x:c r="M364" s="627" t="n">
        <x:v>-2162.63</x:v>
      </x:c>
      <x:c r="N364" s="627" t="n">
        <x:v>-2753.76</x:v>
      </x:c>
      <x:c r="O364" s="627" t="n">
        <x:v>-10097.71</x:v>
      </x:c>
      <x:c r="P364" s="627" t="n">
        <x:v>-7032.34</x:v>
      </x:c>
      <x:c r="Q364" s="627" t="n">
        <x:v>-402.33</x:v>
      </x:c>
      <x:c r="R364" s="627" t="n">
        <x:v>0</x:v>
      </x:c>
      <x:c r="S364" s="627" t="n">
        <x:v>0</x:v>
      </x:c>
      <x:c r="T364" s="653" t="n">
        <x:v>0</x:v>
      </x:c>
      <x:c r="U364" s="653">
        <x:v>0</x:v>
      </x:c>
      <x:c r="V364" s="653">
        <x:v>0</x:v>
      </x:c>
      <x:c r="W364" s="653">
        <x:v>0</x:v>
      </x:c>
      <x:c r="X364" s="653">
        <x:v>0</x:v>
      </x:c>
      <x:c r="Y364" s="627">
        <x:v>0</x:v>
      </x:c>
      <x:c r="Z364" s="653" t="n">
        <x:v>0</x:v>
      </x:c>
      <x:c r="BN364" s="624"/>
    </x:row>
    <x:row r="365" spans="1:66" x14ac:dyDescent="0.2">
      <x:c r="A365" s="631"/>
      <x:c r="B365" s="631"/>
      <x:c r="C365" s="632" t="inlineStr">
        <x:is>
          <x:t>OCCIDENTE</x:t>
        </x:is>
      </x:c>
      <x:c r="D365" s="632" t="inlineStr">
        <x:is>
          <x:t>Total</x:t>
        </x:is>
      </x:c>
      <x:c r="E365" s="631"/>
      <x:c r="F365" s="633" t="n">
        <x:v>-33199.73</x:v>
      </x:c>
      <x:c r="G365" s="633" t="n">
        <x:v>-2759.81</x:v>
      </x:c>
      <x:c r="H365" s="633" t="n">
        <x:v>-1172.47</x:v>
      </x:c>
      <x:c r="I365" s="633" t="n">
        <x:v>-512.02</x:v>
      </x:c>
      <x:c r="J365" s="633" t="n">
        <x:v>-6060.09</x:v>
      </x:c>
      <x:c r="K365" s="633" t="n">
        <x:v>-246.57</x:v>
      </x:c>
      <x:c r="L365" s="633" t="n">
        <x:v>0</x:v>
      </x:c>
      <x:c r="M365" s="633" t="n">
        <x:v>-2162.63</x:v>
      </x:c>
      <x:c r="N365" s="633" t="n">
        <x:v>-2753.76</x:v>
      </x:c>
      <x:c r="O365" s="633" t="n">
        <x:v>-10097.71</x:v>
      </x:c>
      <x:c r="P365" s="633" t="n">
        <x:v>-7032.34</x:v>
      </x:c>
      <x:c r="Q365" s="633" t="n">
        <x:v>-402.33</x:v>
      </x:c>
      <x:c r="R365" s="633" t="n">
        <x:v>0</x:v>
      </x:c>
      <x:c r="S365" s="633" t="n">
        <x:v>0</x:v>
      </x:c>
      <x:c r="T365" s="633" t="n">
        <x:v>0</x:v>
      </x:c>
      <x:c r="U365" s="633">
        <x:v>0</x:v>
      </x:c>
      <x:c r="V365" s="633">
        <x:v>0</x:v>
      </x:c>
      <x:c r="W365" s="633">
        <x:v>0</x:v>
      </x:c>
      <x:c r="X365" s="633">
        <x:v>0</x:v>
      </x:c>
      <x:c r="Y365" s="633">
        <x:v>0</x:v>
      </x:c>
      <x:c r="Z365" s="633" t="n">
        <x:v>0</x:v>
      </x:c>
      <x:c r="AA365" s="631"/>
      <x:c r="AB365" s="631"/>
      <x:c r="AC365" s="631"/>
      <x:c r="AD365" s="631"/>
      <x:c r="AE365" s="631"/>
      <x:c r="AF365" s="631"/>
      <x:c r="AG365" s="631"/>
      <x:c r="AH365" s="631"/>
      <x:c r="AI365" s="631"/>
      <x:c r="AJ365" s="631"/>
      <x:c r="AK365" s="631"/>
      <x:c r="AL365" s="631"/>
      <x:c r="AM365" s="631"/>
      <x:c r="AN365" s="631"/>
      <x:c r="AO365" s="631"/>
      <x:c r="AP365" s="631"/>
      <x:c r="AQ365" s="631"/>
      <x:c r="AR365" s="631"/>
      <x:c r="AS365" s="631"/>
      <x:c r="AT365" s="631"/>
      <x:c r="AU365" s="631"/>
      <x:c r="AV365" s="631"/>
      <x:c r="AW365" s="631"/>
      <x:c r="AX365" s="631"/>
      <x:c r="AY365" s="631"/>
      <x:c r="AZ365" s="631"/>
      <x:c r="BA365" s="631"/>
      <x:c r="BB365" s="631"/>
      <x:c r="BC365" s="631"/>
      <x:c r="BD365" s="631"/>
      <x:c r="BE365" s="631"/>
      <x:c r="BF365" s="631"/>
      <x:c r="BG365" s="631"/>
      <x:c r="BH365" s="631"/>
      <x:c r="BI365" s="631"/>
      <x:c r="BJ365" s="631"/>
      <x:c r="BK365" s="631"/>
      <x:c r="BL365" s="631"/>
      <x:c r="BM365" s="631"/>
      <x:c r="BN365" s="624"/>
    </x:row>
    <x:row r="366" spans="1:66" x14ac:dyDescent="0.2">
      <x:c r="A366"/>
      <x:c r="B366" s="25" t="inlineStr">
        <x:is>
          <x:t>Mes</x:t>
        </x:is>
      </x:c>
      <x:c r="C366" s="25" t="inlineStr">
        <x:is>
          <x:t>Total</x:t>
        </x:is>
      </x:c>
      <x:c r="D366"/>
      <x:c r="E366" s="625"/>
      <x:c r="F366" s="627" t="n">
        <x:v>-51713.94</x:v>
      </x:c>
      <x:c r="G366" s="627" t="n">
        <x:v>-4225.07</x:v>
      </x:c>
      <x:c r="H366" s="627" t="n">
        <x:v>-1794.94</x:v>
      </x:c>
      <x:c r="I366" s="627" t="n">
        <x:v>-783.85</x:v>
      </x:c>
      <x:c r="J366" s="627" t="n">
        <x:v>-9523.33</x:v>
      </x:c>
      <x:c r="K366" s="627" t="n">
        <x:v>-387.6</x:v>
      </x:c>
      <x:c r="L366" s="627" t="n">
        <x:v>0</x:v>
      </x:c>
      <x:c r="M366" s="627" t="n">
        <x:v>-3399.75</x:v>
      </x:c>
      <x:c r="N366" s="627" t="n">
        <x:v>-4326.89</x:v>
      </x:c>
      <x:c r="O366" s="627" t="n">
        <x:v>-15874.06</x:v>
      </x:c>
      <x:c r="P366" s="627" t="n">
        <x:v>-10765.99</x:v>
      </x:c>
      <x:c r="Q366" s="627" t="n">
        <x:v>-632.46</x:v>
      </x:c>
      <x:c r="R366" s="627" t="n">
        <x:v>0</x:v>
      </x:c>
      <x:c r="S366" s="627" t="n">
        <x:v>0</x:v>
      </x:c>
      <x:c r="T366" s="653" t="n">
        <x:v>0</x:v>
      </x:c>
      <x:c r="U366" s="653">
        <x:v>0</x:v>
      </x:c>
      <x:c r="V366" s="653">
        <x:v>0</x:v>
      </x:c>
      <x:c r="W366" s="653">
        <x:v>0</x:v>
      </x:c>
      <x:c r="X366" s="653">
        <x:v>0</x:v>
      </x:c>
      <x:c r="Y366" s="627">
        <x:v>0</x:v>
      </x:c>
      <x:c r="Z366" s="653" t="n">
        <x:v>0</x:v>
      </x:c>
      <x:c r="BN366" s="624"/>
    </x:row>
    <x:row r="367" spans="1:66" x14ac:dyDescent="0.2">
      <x:c r="A367" s="634" t="inlineStr">
        <x:is>
          <x:t>AFaseo</x:t>
        </x:is>
      </x:c>
      <x:c r="B367" s="634" t="inlineStr">
        <x:is>
          <x:t>Total</x:t>
        </x:is>
      </x:c>
      <x:c r="C367" s="634"/>
      <x:c r="D367" s="634"/>
      <x:c r="E367" s="634"/>
      <x:c r="F367" s="670" t="n">
        <x:v>-51713.94</x:v>
      </x:c>
      <x:c r="G367" s="670" t="n">
        <x:v>-4225.07</x:v>
      </x:c>
      <x:c r="H367" s="670" t="n">
        <x:v>-1794.94</x:v>
      </x:c>
      <x:c r="I367" s="670" t="n">
        <x:v>-783.85</x:v>
      </x:c>
      <x:c r="J367" s="670" t="n">
        <x:v>-9523.33</x:v>
      </x:c>
      <x:c r="K367" s="670" t="n">
        <x:v>-387.6</x:v>
      </x:c>
      <x:c r="L367" s="670" t="n">
        <x:v>0</x:v>
      </x:c>
      <x:c r="M367" s="670" t="n">
        <x:v>-3399.75</x:v>
      </x:c>
      <x:c r="N367" s="670" t="n">
        <x:v>-4326.89</x:v>
      </x:c>
      <x:c r="O367" s="670" t="n">
        <x:v>-15874.06</x:v>
      </x:c>
      <x:c r="P367" s="670" t="n">
        <x:v>-10765.99</x:v>
      </x:c>
      <x:c r="Q367" s="670" t="n">
        <x:v>-632.46</x:v>
      </x:c>
      <x:c r="R367" s="670" t="n">
        <x:v>0</x:v>
      </x:c>
      <x:c r="S367" s="670" t="n">
        <x:v>0</x:v>
      </x:c>
      <x:c r="T367" s="670" t="n">
        <x:v>0</x:v>
      </x:c>
      <x:c r="U367" s="670">
        <x:v>0</x:v>
      </x:c>
      <x:c r="V367" s="670">
        <x:v>0</x:v>
      </x:c>
      <x:c r="W367" s="670">
        <x:v>0</x:v>
      </x:c>
      <x:c r="X367" s="670">
        <x:v>0</x:v>
      </x:c>
      <x:c r="Y367" s="670">
        <x:v>0</x:v>
      </x:c>
      <x:c r="Z367" s="670" t="n">
        <x:v>0</x:v>
      </x:c>
      <x:c r="AA367" s="634"/>
      <x:c r="AB367" s="634"/>
      <x:c r="AC367" s="634"/>
      <x:c r="AD367" s="634"/>
      <x:c r="AE367" s="634"/>
      <x:c r="AF367" s="634"/>
      <x:c r="AG367" s="634"/>
      <x:c r="AH367" s="634"/>
      <x:c r="AI367" s="634"/>
      <x:c r="AJ367" s="634"/>
      <x:c r="AK367" s="634"/>
      <x:c r="AL367" s="634"/>
      <x:c r="AM367" s="634"/>
      <x:c r="AN367" s="634"/>
      <x:c r="AO367" s="634"/>
      <x:c r="AP367" s="634"/>
      <x:c r="AQ367" s="634"/>
      <x:c r="AR367" s="634"/>
      <x:c r="AS367" s="634"/>
      <x:c r="AT367" s="634"/>
      <x:c r="AU367" s="634"/>
      <x:c r="AV367" s="634"/>
      <x:c r="AW367" s="634"/>
      <x:c r="AX367" s="634"/>
      <x:c r="AY367" s="634"/>
      <x:c r="AZ367" s="634"/>
      <x:c r="BA367" s="634"/>
      <x:c r="BB367" s="634"/>
      <x:c r="BC367" s="634"/>
      <x:c r="BD367" s="634"/>
      <x:c r="BE367" s="634"/>
      <x:c r="BF367" s="634"/>
      <x:c r="BG367" s="634"/>
      <x:c r="BH367" s="634"/>
      <x:c r="BI367" s="634"/>
      <x:c r="BJ367" s="634"/>
      <x:c r="BK367" s="634"/>
      <x:c r="BL367" s="634"/>
      <x:c r="BM367" s="634"/>
      <x:c r="BN367" s="624"/>
    </x:row>
    <x:row r="368" spans="1:66" x14ac:dyDescent="0.2">
      <x:c r="A368"/>
      <x:c r="B368"/>
      <x:c r="C368"/>
      <x:c r="D368"/>
      <x:c r="E368" s="625" t="inlineStr">
        <x:is>
          <x:t>Vlr Servicio</x:t>
        </x:is>
      </x:c>
      <x:c r="F368" s="627" t="n">
        <x:v>3709879.72</x:v>
      </x:c>
      <x:c r="G368" s="627" t="n">
        <x:v>196377.36</x:v>
      </x:c>
      <x:c r="H368" s="627" t="n">
        <x:v>114434.12</x:v>
      </x:c>
      <x:c r="I368" s="627" t="n">
        <x:v>58698.11</x:v>
      </x:c>
      <x:c r="J368" s="627" t="n">
        <x:v>857547.27</x:v>
      </x:c>
      <x:c r="K368" s="627" t="n">
        <x:v>28413.92</x:v>
      </x:c>
      <x:c r="L368" s="627" t="n">
        <x:v>0</x:v>
      </x:c>
      <x:c r="M368" s="627" t="n">
        <x:v>249245.18</x:v>
      </x:c>
      <x:c r="N368" s="627" t="n">
        <x:v>269177.44</x:v>
      </x:c>
      <x:c r="O368" s="627" t="n">
        <x:v>1367703.75</x:v>
      </x:c>
      <x:c r="P368" s="627" t="n">
        <x:v>521918.88</x:v>
      </x:c>
      <x:c r="Q368" s="627" t="n">
        <x:v>46359.48</x:v>
      </x:c>
      <x:c r="R368" s="627" t="n">
        <x:v>4.21</x:v>
      </x:c>
      <x:c r="S368" s="627" t="n">
        <x:v>0</x:v>
      </x:c>
      <x:c r="T368" s="653" t="n">
        <x:v>0</x:v>
      </x:c>
      <x:c r="U368" s="653">
        <x:v>0</x:v>
      </x:c>
      <x:c r="V368" s="653">
        <x:v>0</x:v>
      </x:c>
      <x:c r="W368" s="653">
        <x:v>0</x:v>
      </x:c>
      <x:c r="X368" s="653">
        <x:v>0</x:v>
      </x:c>
      <x:c r="Y368" s="627">
        <x:v>0</x:v>
      </x:c>
      <x:c r="Z368" s="653" t="n">
        <x:v>0</x:v>
      </x:c>
      <x:c r="BN368" s="624"/>
    </x:row>
    <x:row r="369" spans="1:66" x14ac:dyDescent="0.2">
      <x:c r="A369"/>
      <x:c r="B369"/>
      <x:c r="C369"/>
      <x:c r="D369"/>
      <x:c r="E369" s="625" t="inlineStr">
        <x:is>
          <x:t>Vlr Intereses</x:t>
        </x:is>
      </x:c>
      <x:c r="F369" s="627" t="n">
        <x:v>8714.85</x:v>
      </x:c>
      <x:c r="G369" s="627" t="n">
        <x:v>3104.05</x:v>
      </x:c>
      <x:c r="H369" s="627" t="n">
        <x:v>1800</x:v>
      </x:c>
      <x:c r="I369" s="627" t="n">
        <x:v>929.08</x:v>
      </x:c>
      <x:c r="J369" s="627" t="n">
        <x:v>1812.55</x:v>
      </x:c>
      <x:c r="K369" s="627" t="n">
        <x:v>63.48</x:v>
      </x:c>
      <x:c r="L369" s="627" t="n">
        <x:v>0</x:v>
      </x:c>
      <x:c r="M369" s="627" t="n">
        <x:v>556.56</x:v>
      </x:c>
      <x:c r="N369" s="627" t="n">
        <x:v>563.08</x:v>
      </x:c>
      <x:c r="O369" s="627" t="n">
        <x:v>-8499.69</x:v>
      </x:c>
      <x:c r="P369" s="627" t="n">
        <x:v>8282.25</x:v>
      </x:c>
      <x:c r="Q369" s="627" t="n">
        <x:v>103.47</x:v>
      </x:c>
      <x:c r="R369" s="627" t="n">
        <x:v>0.02</x:v>
      </x:c>
      <x:c r="S369" s="627" t="n">
        <x:v>0</x:v>
      </x:c>
      <x:c r="T369" s="653" t="n">
        <x:v>0</x:v>
      </x:c>
      <x:c r="U369" s="653">
        <x:v>0</x:v>
      </x:c>
      <x:c r="V369" s="653">
        <x:v>0</x:v>
      </x:c>
      <x:c r="W369" s="653">
        <x:v>0</x:v>
      </x:c>
      <x:c r="X369" s="653">
        <x:v>0</x:v>
      </x:c>
      <x:c r="Y369" s="627">
        <x:v>0</x:v>
      </x:c>
      <x:c r="Z369" s="653" t="n">
        <x:v>0</x:v>
      </x:c>
      <x:c r="BN369" s="624"/>
    </x:row>
    <x:row r="370" spans="1:66" x14ac:dyDescent="0.2">
      <x:c r="A370"/>
      <x:c r="B370"/>
      <x:c r="C370"/>
      <x:c r="D370" s="25" t="inlineStr">
        <x:is>
          <x:t>E</x:t>
        </x:is>
      </x:c>
      <x:c r="E370" s="625" t="inlineStr">
        <x:is>
          <x:t>Total</x:t>
        </x:is>
      </x:c>
      <x:c r="F370" s="627" t="n">
        <x:v>3718594.57</x:v>
      </x:c>
      <x:c r="G370" s="627" t="n">
        <x:v>199481.41</x:v>
      </x:c>
      <x:c r="H370" s="627" t="n">
        <x:v>116234.12</x:v>
      </x:c>
      <x:c r="I370" s="627" t="n">
        <x:v>59627.19</x:v>
      </x:c>
      <x:c r="J370" s="627" t="n">
        <x:v>859359.82</x:v>
      </x:c>
      <x:c r="K370" s="627" t="n">
        <x:v>28477.4</x:v>
      </x:c>
      <x:c r="L370" s="627" t="n">
        <x:v>0</x:v>
      </x:c>
      <x:c r="M370" s="627" t="n">
        <x:v>249801.74</x:v>
      </x:c>
      <x:c r="N370" s="627" t="n">
        <x:v>269740.52</x:v>
      </x:c>
      <x:c r="O370" s="627" t="n">
        <x:v>1359204.06</x:v>
      </x:c>
      <x:c r="P370" s="627" t="n">
        <x:v>530201.13</x:v>
      </x:c>
      <x:c r="Q370" s="627" t="n">
        <x:v>46462.95</x:v>
      </x:c>
      <x:c r="R370" s="627" t="n">
        <x:v>4.23</x:v>
      </x:c>
      <x:c r="S370" s="627" t="n">
        <x:v>0</x:v>
      </x:c>
      <x:c r="T370" s="653" t="n">
        <x:v>0</x:v>
      </x:c>
      <x:c r="U370" s="653">
        <x:v>0</x:v>
      </x:c>
      <x:c r="V370" s="653">
        <x:v>0</x:v>
      </x:c>
      <x:c r="W370" s="653">
        <x:v>0</x:v>
      </x:c>
      <x:c r="X370" s="653">
        <x:v>0</x:v>
      </x:c>
      <x:c r="Y370" s="627">
        <x:v>0</x:v>
      </x:c>
      <x:c r="Z370" s="653" t="n">
        <x:v>0</x:v>
      </x:c>
      <x:c r="BN370" s="624"/>
    </x:row>
    <x:row r="371" spans="1:66" x14ac:dyDescent="0.2">
      <x:c r="A371" s="628"/>
      <x:c r="B371" s="628"/>
      <x:c r="C371" s="628" t="inlineStr">
        <x:is>
          <x:t>ENEL</x:t>
        </x:is>
      </x:c>
      <x:c r="D371" s="628" t="inlineStr">
        <x:is>
          <x:t>Total</x:t>
        </x:is>
      </x:c>
      <x:c r="E371" s="629"/>
      <x:c r="F371" s="630" t="n">
        <x:v>3718594.57</x:v>
      </x:c>
      <x:c r="G371" s="630" t="n">
        <x:v>199481.41</x:v>
      </x:c>
      <x:c r="H371" s="630" t="n">
        <x:v>116234.12</x:v>
      </x:c>
      <x:c r="I371" s="630" t="n">
        <x:v>59627.19</x:v>
      </x:c>
      <x:c r="J371" s="630" t="n">
        <x:v>859359.82</x:v>
      </x:c>
      <x:c r="K371" s="630" t="n">
        <x:v>28477.4</x:v>
      </x:c>
      <x:c r="L371" s="630" t="n">
        <x:v>0</x:v>
      </x:c>
      <x:c r="M371" s="630" t="n">
        <x:v>249801.74</x:v>
      </x:c>
      <x:c r="N371" s="630" t="n">
        <x:v>269740.52</x:v>
      </x:c>
      <x:c r="O371" s="630" t="n">
        <x:v>1359204.06</x:v>
      </x:c>
      <x:c r="P371" s="630" t="n">
        <x:v>530201.13</x:v>
      </x:c>
      <x:c r="Q371" s="630" t="n">
        <x:v>46462.95</x:v>
      </x:c>
      <x:c r="R371" s="630" t="n">
        <x:v>4.23</x:v>
      </x:c>
      <x:c r="S371" s="630" t="n">
        <x:v>0</x:v>
      </x:c>
      <x:c r="T371" s="630" t="n">
        <x:v>0</x:v>
      </x:c>
      <x:c r="U371" s="630">
        <x:v>0</x:v>
      </x:c>
      <x:c r="V371" s="630">
        <x:v>0</x:v>
      </x:c>
      <x:c r="W371" s="630">
        <x:v>0</x:v>
      </x:c>
      <x:c r="X371" s="630">
        <x:v>0</x:v>
      </x:c>
      <x:c r="Y371" s="630">
        <x:v>0</x:v>
      </x:c>
      <x:c r="Z371" s="630" t="n">
        <x:v>0</x:v>
      </x:c>
      <x:c r="AA371" s="628"/>
      <x:c r="AB371" s="628"/>
      <x:c r="AC371" s="628"/>
      <x:c r="AD371" s="628"/>
      <x:c r="AE371" s="628"/>
      <x:c r="AF371" s="628"/>
      <x:c r="AG371" s="628"/>
      <x:c r="AH371" s="628"/>
      <x:c r="AI371" s="628"/>
      <x:c r="AJ371" s="628"/>
      <x:c r="AK371" s="628"/>
      <x:c r="AL371" s="628"/>
      <x:c r="AM371" s="628"/>
      <x:c r="AN371" s="628"/>
      <x:c r="AO371" s="628"/>
      <x:c r="AP371" s="628"/>
      <x:c r="AQ371" s="628"/>
      <x:c r="AR371" s="628"/>
      <x:c r="AS371" s="628"/>
      <x:c r="AT371" s="628"/>
      <x:c r="AU371" s="628"/>
      <x:c r="AV371" s="628"/>
      <x:c r="AW371" s="628"/>
      <x:c r="AX371" s="628"/>
      <x:c r="AY371" s="628"/>
      <x:c r="AZ371" s="628"/>
      <x:c r="BA371" s="628"/>
      <x:c r="BB371" s="628"/>
      <x:c r="BC371" s="628"/>
      <x:c r="BD371" s="628"/>
      <x:c r="BE371" s="628"/>
      <x:c r="BF371" s="628"/>
      <x:c r="BG371" s="628"/>
      <x:c r="BH371" s="628"/>
      <x:c r="BI371" s="628"/>
      <x:c r="BJ371" s="628"/>
      <x:c r="BK371" s="628"/>
      <x:c r="BL371" s="628"/>
      <x:c r="BM371" s="628"/>
      <x:c r="BN371" s="624"/>
    </x:row>
    <x:row r="372" spans="1:66" x14ac:dyDescent="0.2">
      <x:c r="A372"/>
      <x:c r="B372"/>
      <x:c r="C372"/>
      <x:c r="D372"/>
      <x:c r="E372" s="625" t="inlineStr">
        <x:is>
          <x:t>Vlr Servicio</x:t>
        </x:is>
      </x:c>
      <x:c r="F372" s="627" t="n">
        <x:v>182248.69</x:v>
      </x:c>
      <x:c r="G372" s="627" t="n">
        <x:v>21062.98</x:v>
      </x:c>
      <x:c r="H372" s="627" t="n">
        <x:v>11904.98</x:v>
      </x:c>
      <x:c r="I372" s="627" t="n">
        <x:v>6299.15</x:v>
      </x:c>
      <x:c r="J372" s="627" t="n">
        <x:v>27092.54</x:v>
      </x:c>
      <x:c r="K372" s="627" t="n">
        <x:v>814.1</x:v>
      </x:c>
      <x:c r="L372" s="627" t="n">
        <x:v>0</x:v>
      </x:c>
      <x:c r="M372" s="627" t="n">
        <x:v>7141.31</x:v>
      </x:c>
      <x:c r="N372" s="627" t="n">
        <x:v>8330.12</x:v>
      </x:c>
      <x:c r="O372" s="627" t="n">
        <x:v>42011.47</x:v>
      </x:c>
      <x:c r="P372" s="627" t="n">
        <x:v>56267.63</x:v>
      </x:c>
      <x:c r="Q372" s="627" t="n">
        <x:v>1328.28</x:v>
      </x:c>
      <x:c r="R372" s="627" t="n">
        <x:v>-3.87</x:v>
      </x:c>
      <x:c r="S372" s="627" t="n">
        <x:v>0</x:v>
      </x:c>
      <x:c r="T372" s="653" t="n">
        <x:v>0</x:v>
      </x:c>
      <x:c r="U372" s="653">
        <x:v>0</x:v>
      </x:c>
      <x:c r="V372" s="653">
        <x:v>0</x:v>
      </x:c>
      <x:c r="W372" s="653">
        <x:v>0</x:v>
      </x:c>
      <x:c r="X372" s="653">
        <x:v>0</x:v>
      </x:c>
      <x:c r="Y372" s="627">
        <x:v>0</x:v>
      </x:c>
      <x:c r="Z372" s="653" t="n">
        <x:v>0</x:v>
      </x:c>
      <x:c r="BN372" s="624"/>
    </x:row>
    <x:row r="373" spans="1:66" x14ac:dyDescent="0.2">
      <x:c r="A373"/>
      <x:c r="B373"/>
      <x:c r="C373"/>
      <x:c r="D373" s="25"/>
      <x:c r="E373" s="625" t="inlineStr">
        <x:is>
          <x:t>Vlr Intereses</x:t>
        </x:is>
      </x:c>
      <x:c r="F373" s="627" t="n">
        <x:v>-457.82</x:v>
      </x:c>
      <x:c r="G373" s="627" t="n">
        <x:v>0.04</x:v>
      </x:c>
      <x:c r="H373" s="627" t="n">
        <x:v>0.02</x:v>
      </x:c>
      <x:c r="I373" s="627" t="n">
        <x:v>0.01</x:v>
      </x:c>
      <x:c r="J373" s="627" t="n">
        <x:v>0.19</x:v>
      </x:c>
      <x:c r="K373" s="627" t="n">
        <x:v>0.01</x:v>
      </x:c>
      <x:c r="L373" s="627" t="n">
        <x:v>0</x:v>
      </x:c>
      <x:c r="M373" s="627" t="n">
        <x:v>0.06</x:v>
      </x:c>
      <x:c r="N373" s="627" t="n">
        <x:v>0.06</x:v>
      </x:c>
      <x:c r="O373" s="627" t="n">
        <x:v>-458.32</x:v>
      </x:c>
      <x:c r="P373" s="627" t="n">
        <x:v>0.1</x:v>
      </x:c>
      <x:c r="Q373" s="627" t="n">
        <x:v>0.01</x:v>
      </x:c>
      <x:c r="R373" s="627" t="n">
        <x:v>0</x:v>
      </x:c>
      <x:c r="S373" s="627" t="n">
        <x:v>0</x:v>
      </x:c>
      <x:c r="T373" s="653" t="n">
        <x:v>0</x:v>
      </x:c>
      <x:c r="U373" s="653">
        <x:v>0</x:v>
      </x:c>
      <x:c r="V373" s="653">
        <x:v>0</x:v>
      </x:c>
      <x:c r="W373" s="653">
        <x:v>0</x:v>
      </x:c>
      <x:c r="X373" s="653">
        <x:v>0</x:v>
      </x:c>
      <x:c r="Y373" s="627">
        <x:v>0</x:v>
      </x:c>
      <x:c r="Z373" s="653" t="n">
        <x:v>0</x:v>
      </x:c>
      <x:c r="BN373" s="624"/>
    </x:row>
    <x:row r="374" spans="1:66" x14ac:dyDescent="0.2">
      <x:c r="A374" s="667"/>
      <x:c r="B374" s="667"/>
      <x:c r="C374" s="647"/>
      <x:c r="D374" s="647" t="inlineStr">
        <x:is>
          <x:t>1</x:t>
        </x:is>
      </x:c>
      <x:c r="E374" s="667" t="inlineStr">
        <x:is>
          <x:t>Total</x:t>
        </x:is>
      </x:c>
      <x:c r="F374" s="648" t="n">
        <x:v>181790.87</x:v>
      </x:c>
      <x:c r="G374" s="648" t="n">
        <x:v>21063.02</x:v>
      </x:c>
      <x:c r="H374" s="648" t="n">
        <x:v>11905</x:v>
      </x:c>
      <x:c r="I374" s="648" t="n">
        <x:v>6299.16</x:v>
      </x:c>
      <x:c r="J374" s="648" t="n">
        <x:v>27092.73</x:v>
      </x:c>
      <x:c r="K374" s="648" t="n">
        <x:v>814.11</x:v>
      </x:c>
      <x:c r="L374" s="648" t="n">
        <x:v>0</x:v>
      </x:c>
      <x:c r="M374" s="648" t="n">
        <x:v>7141.37</x:v>
      </x:c>
      <x:c r="N374" s="648" t="n">
        <x:v>8330.18</x:v>
      </x:c>
      <x:c r="O374" s="648" t="n">
        <x:v>41553.15</x:v>
      </x:c>
      <x:c r="P374" s="648" t="n">
        <x:v>56267.73</x:v>
      </x:c>
      <x:c r="Q374" s="648" t="n">
        <x:v>1328.29</x:v>
      </x:c>
      <x:c r="R374" s="648" t="n">
        <x:v>-3.87</x:v>
      </x:c>
      <x:c r="S374" s="648" t="n">
        <x:v>0</x:v>
      </x:c>
      <x:c r="T374" s="648" t="n">
        <x:v>0</x:v>
      </x:c>
      <x:c r="U374" s="648">
        <x:v>0</x:v>
      </x:c>
      <x:c r="V374" s="648">
        <x:v>0</x:v>
      </x:c>
      <x:c r="W374" s="648">
        <x:v>0</x:v>
      </x:c>
      <x:c r="X374" s="672">
        <x:v>0</x:v>
      </x:c>
      <x:c r="Y374" s="672">
        <x:v>0</x:v>
      </x:c>
      <x:c r="Z374" s="672" t="n">
        <x:v>0</x:v>
      </x:c>
      <x:c r="AA374" s="667"/>
      <x:c r="AB374" s="667"/>
      <x:c r="AC374" s="667"/>
      <x:c r="AD374" s="667"/>
      <x:c r="AE374" s="667"/>
      <x:c r="AF374" s="667"/>
      <x:c r="AG374" s="667"/>
      <x:c r="AH374" s="667"/>
      <x:c r="AI374" s="667"/>
      <x:c r="AJ374" s="667"/>
      <x:c r="AK374" s="667"/>
      <x:c r="AL374" s="667"/>
      <x:c r="AM374" s="667"/>
      <x:c r="AN374" s="667"/>
      <x:c r="AO374" s="667"/>
      <x:c r="AP374" s="667"/>
      <x:c r="AQ374" s="667"/>
      <x:c r="AR374" s="667"/>
      <x:c r="AS374" s="667"/>
      <x:c r="AT374" s="667"/>
      <x:c r="AU374" s="667"/>
      <x:c r="AV374" s="667"/>
      <x:c r="AW374" s="667"/>
      <x:c r="AX374" s="667"/>
      <x:c r="AY374" s="667"/>
      <x:c r="AZ374" s="667"/>
      <x:c r="BA374" s="667"/>
      <x:c r="BB374" s="667"/>
      <x:c r="BC374" s="667"/>
      <x:c r="BD374" s="667"/>
      <x:c r="BE374" s="667"/>
      <x:c r="BF374" s="667"/>
      <x:c r="BG374" s="667"/>
      <x:c r="BH374" s="667"/>
      <x:c r="BI374" s="667"/>
      <x:c r="BJ374" s="667"/>
      <x:c r="BK374" s="667"/>
      <x:c r="BL374" s="667"/>
      <x:c r="BM374" s="667"/>
      <x:c r="BN374" s="624"/>
    </x:row>
    <x:row r="375" spans="1:66" x14ac:dyDescent="0.2">
      <x:c r="A375"/>
      <x:c r="B375"/>
      <x:c r="C375"/>
      <x:c r="D375"/>
      <x:c r="E375" s="625" t="inlineStr">
        <x:is>
          <x:t>Vlr Servicio</x:t>
        </x:is>
      </x:c>
      <x:c r="F375" s="627" t="n">
        <x:v>28490</x:v>
      </x:c>
      <x:c r="G375" s="627" t="n">
        <x:v>1238.03</x:v>
      </x:c>
      <x:c r="H375" s="627" t="n">
        <x:v>698.99</x:v>
      </x:c>
      <x:c r="I375" s="627" t="n">
        <x:v>366.88</x:v>
      </x:c>
      <x:c r="J375" s="627" t="n">
        <x:v>7103.83</x:v>
      </x:c>
      <x:c r="K375" s="627" t="n">
        <x:v>179.43</x:v>
      </x:c>
      <x:c r="L375" s="627" t="n">
        <x:v>0</x:v>
      </x:c>
      <x:c r="M375" s="627" t="n">
        <x:v>1573.94</x:v>
      </x:c>
      <x:c r="N375" s="627" t="n">
        <x:v>2313.65</x:v>
      </x:c>
      <x:c r="O375" s="627" t="n">
        <x:v>11445.44</x:v>
      </x:c>
      <x:c r="P375" s="627" t="n">
        <x:v>3277.05</x:v>
      </x:c>
      <x:c r="Q375" s="627" t="n">
        <x:v>292.76</x:v>
      </x:c>
      <x:c r="R375" s="627" t="n">
        <x:v>0</x:v>
      </x:c>
      <x:c r="S375" s="627" t="n">
        <x:v>0</x:v>
      </x:c>
      <x:c r="T375" s="653" t="n">
        <x:v>0</x:v>
      </x:c>
      <x:c r="U375" s="653">
        <x:v>0</x:v>
      </x:c>
      <x:c r="V375" s="653">
        <x:v>0</x:v>
      </x:c>
      <x:c r="W375" s="653">
        <x:v>0</x:v>
      </x:c>
      <x:c r="X375" s="653">
        <x:v>0</x:v>
      </x:c>
      <x:c r="Y375" s="627">
        <x:v>0</x:v>
      </x:c>
      <x:c r="Z375" s="653" t="n">
        <x:v>0</x:v>
      </x:c>
      <x:c r="BN375" s="624"/>
    </x:row>
    <x:row r="376" spans="1:66" x14ac:dyDescent="0.2">
      <x:c r="A376"/>
      <x:c r="B376"/>
      <x:c r="C376"/>
      <x:c r="D376" t="inlineStr">
        <x:is>
          <x:t>5</x:t>
        </x:is>
      </x:c>
      <x:c r="E376" s="625" t="inlineStr">
        <x:is>
          <x:t>Total</x:t>
        </x:is>
      </x:c>
      <x:c r="F376" s="627" t="n">
        <x:v>28490</x:v>
      </x:c>
      <x:c r="G376" s="627" t="n">
        <x:v>1238.03</x:v>
      </x:c>
      <x:c r="H376" s="627" t="n">
        <x:v>698.99</x:v>
      </x:c>
      <x:c r="I376" s="627" t="n">
        <x:v>366.88</x:v>
      </x:c>
      <x:c r="J376" s="627" t="n">
        <x:v>7103.83</x:v>
      </x:c>
      <x:c r="K376" s="627" t="n">
        <x:v>179.43</x:v>
      </x:c>
      <x:c r="L376" s="627" t="n">
        <x:v>0</x:v>
      </x:c>
      <x:c r="M376" s="627" t="n">
        <x:v>1573.94</x:v>
      </x:c>
      <x:c r="N376" s="627" t="n">
        <x:v>2313.65</x:v>
      </x:c>
      <x:c r="O376" s="627" t="n">
        <x:v>11445.44</x:v>
      </x:c>
      <x:c r="P376" s="627" t="n">
        <x:v>3277.05</x:v>
      </x:c>
      <x:c r="Q376" s="627" t="n">
        <x:v>292.76</x:v>
      </x:c>
      <x:c r="R376" s="627" t="n">
        <x:v>0</x:v>
      </x:c>
      <x:c r="S376" s="627" t="n">
        <x:v>0</x:v>
      </x:c>
      <x:c r="T376" s="653" t="n">
        <x:v>0</x:v>
      </x:c>
      <x:c r="U376" s="653">
        <x:v>0</x:v>
      </x:c>
      <x:c r="V376" s="653">
        <x:v>0</x:v>
      </x:c>
      <x:c r="W376" s="653">
        <x:v>0</x:v>
      </x:c>
      <x:c r="X376" s="653">
        <x:v>0</x:v>
      </x:c>
      <x:c r="Y376" s="627">
        <x:v>0</x:v>
      </x:c>
      <x:c r="Z376" s="653" t="n">
        <x:v>0</x:v>
      </x:c>
      <x:c r="BN376" s="624"/>
    </x:row>
    <x:row r="377" spans="1:66" x14ac:dyDescent="0.2">
      <x:c r="A377"/>
      <x:c r="B377"/>
      <x:c r="C377" t="inlineStr">
        <x:is>
          <x:t>NUEVO ESQUEMA</x:t>
        </x:is>
      </x:c>
      <x:c r="D377" s="25" t="inlineStr">
        <x:is>
          <x:t>Total</x:t>
        </x:is>
      </x:c>
      <x:c r="E377" s="625"/>
      <x:c r="F377" s="627" t="n">
        <x:v>210280.87</x:v>
      </x:c>
      <x:c r="G377" s="627" t="n">
        <x:v>22301.05</x:v>
      </x:c>
      <x:c r="H377" s="627" t="n">
        <x:v>12603.99</x:v>
      </x:c>
      <x:c r="I377" s="627" t="n">
        <x:v>6666.04</x:v>
      </x:c>
      <x:c r="J377" s="627" t="n">
        <x:v>34196.56</x:v>
      </x:c>
      <x:c r="K377" s="627" t="n">
        <x:v>993.54</x:v>
      </x:c>
      <x:c r="L377" s="627" t="n">
        <x:v>0</x:v>
      </x:c>
      <x:c r="M377" s="627" t="n">
        <x:v>8715.31</x:v>
      </x:c>
      <x:c r="N377" s="627" t="n">
        <x:v>10643.83</x:v>
      </x:c>
      <x:c r="O377" s="627" t="n">
        <x:v>52998.59</x:v>
      </x:c>
      <x:c r="P377" s="627" t="n">
        <x:v>59544.78</x:v>
      </x:c>
      <x:c r="Q377" s="627" t="n">
        <x:v>1621.05</x:v>
      </x:c>
      <x:c r="R377" s="627" t="n">
        <x:v>-3.87</x:v>
      </x:c>
      <x:c r="S377" s="627" t="n">
        <x:v>0</x:v>
      </x:c>
      <x:c r="T377" s="653" t="n">
        <x:v>0</x:v>
      </x:c>
      <x:c r="U377" s="653">
        <x:v>0</x:v>
      </x:c>
      <x:c r="V377" s="653">
        <x:v>0</x:v>
      </x:c>
      <x:c r="W377" s="653">
        <x:v>0</x:v>
      </x:c>
      <x:c r="X377" s="653">
        <x:v>0</x:v>
      </x:c>
      <x:c r="Y377" s="627">
        <x:v>0</x:v>
      </x:c>
      <x:c r="Z377" s="653" t="n">
        <x:v>0</x:v>
      </x:c>
      <x:c r="BN377" s="624"/>
    </x:row>
    <x:row r="378" spans="1:66" x14ac:dyDescent="0.2">
      <x:c r="A378" s="631"/>
      <x:c r="B378" s="631"/>
      <x:c r="C378" s="632"/>
      <x:c r="D378" s="632"/>
      <x:c r="E378" s="631" t="inlineStr">
        <x:is>
          <x:t>Vlr Servicio</x:t>
        </x:is>
      </x:c>
      <x:c r="F378" s="633" t="n">
        <x:v>225667.06</x:v>
      </x:c>
      <x:c r="G378" s="633" t="n">
        <x:v>12477.11</x:v>
      </x:c>
      <x:c r="H378" s="633" t="n">
        <x:v>7049.52</x:v>
      </x:c>
      <x:c r="I378" s="633" t="n">
        <x:v>3719.42</x:v>
      </x:c>
      <x:c r="J378" s="633" t="n">
        <x:v>47751.59</x:v>
      </x:c>
      <x:c r="K378" s="633" t="n">
        <x:v>1809.28</x:v>
      </x:c>
      <x:c r="L378" s="633" t="n">
        <x:v>0</x:v>
      </x:c>
      <x:c r="M378" s="633" t="n">
        <x:v>15870.89</x:v>
      </x:c>
      <x:c r="N378" s="633" t="n">
        <x:v>16621.71</x:v>
      </x:c>
      <x:c r="O378" s="633" t="n">
        <x:v>84191.47</x:v>
      </x:c>
      <x:c r="P378" s="633" t="n">
        <x:v>33222.43</x:v>
      </x:c>
      <x:c r="Q378" s="633" t="n">
        <x:v>2951.97</x:v>
      </x:c>
      <x:c r="R378" s="633" t="n">
        <x:v>1.67</x:v>
      </x:c>
      <x:c r="S378" s="633" t="n">
        <x:v>0</x:v>
      </x:c>
      <x:c r="T378" s="633" t="n">
        <x:v>0</x:v>
      </x:c>
      <x:c r="U378" s="633">
        <x:v>0</x:v>
      </x:c>
      <x:c r="V378" s="633">
        <x:v>0</x:v>
      </x:c>
      <x:c r="W378" s="633">
        <x:v>0</x:v>
      </x:c>
      <x:c r="X378" s="633">
        <x:v>0</x:v>
      </x:c>
      <x:c r="Y378" s="633">
        <x:v>0</x:v>
      </x:c>
      <x:c r="Z378" s="633" t="n">
        <x:v>0</x:v>
      </x:c>
      <x:c r="AA378" s="631"/>
      <x:c r="AB378" s="631"/>
      <x:c r="AC378" s="631"/>
      <x:c r="AD378" s="631"/>
      <x:c r="AE378" s="631"/>
      <x:c r="AF378" s="631"/>
      <x:c r="AG378" s="631"/>
      <x:c r="AH378" s="631"/>
      <x:c r="AI378" s="631"/>
      <x:c r="AJ378" s="631"/>
      <x:c r="AK378" s="631"/>
      <x:c r="AL378" s="631"/>
      <x:c r="AM378" s="631"/>
      <x:c r="AN378" s="631"/>
      <x:c r="AO378" s="631"/>
      <x:c r="AP378" s="631"/>
      <x:c r="AQ378" s="631"/>
      <x:c r="AR378" s="631"/>
      <x:c r="AS378" s="631"/>
      <x:c r="AT378" s="631"/>
      <x:c r="AU378" s="631"/>
      <x:c r="AV378" s="631"/>
      <x:c r="AW378" s="631"/>
      <x:c r="AX378" s="631"/>
      <x:c r="AY378" s="631"/>
      <x:c r="AZ378" s="631"/>
      <x:c r="BA378" s="631"/>
      <x:c r="BB378" s="631"/>
      <x:c r="BC378" s="631"/>
      <x:c r="BD378" s="631"/>
      <x:c r="BE378" s="631"/>
      <x:c r="BF378" s="631"/>
      <x:c r="BG378" s="631"/>
      <x:c r="BH378" s="631"/>
      <x:c r="BI378" s="631"/>
      <x:c r="BJ378" s="631"/>
      <x:c r="BK378" s="631"/>
      <x:c r="BL378" s="631"/>
      <x:c r="BM378" s="631"/>
      <x:c r="BN378" s="624"/>
    </x:row>
    <x:row r="379" spans="1:66" x14ac:dyDescent="0.2">
      <x:c r="A379" s="635"/>
      <x:c r="B379" s="635"/>
      <x:c r="C379" s="635"/>
      <x:c r="D379" s="635"/>
      <x:c r="E379" s="636" t="inlineStr">
        <x:is>
          <x:t>Vlr Intereses</x:t>
        </x:is>
      </x:c>
      <x:c r="F379" s="637" t="n">
        <x:v>-291.68</x:v>
      </x:c>
      <x:c r="G379" s="637" t="n">
        <x:v>0</x:v>
      </x:c>
      <x:c r="H379" s="637" t="n">
        <x:v>0</x:v>
      </x:c>
      <x:c r="I379" s="637" t="n">
        <x:v>0</x:v>
      </x:c>
      <x:c r="J379" s="637" t="n">
        <x:v>0</x:v>
      </x:c>
      <x:c r="K379" s="637" t="n">
        <x:v>0</x:v>
      </x:c>
      <x:c r="L379" s="637" t="n">
        <x:v>0</x:v>
      </x:c>
      <x:c r="M379" s="637" t="n">
        <x:v>0</x:v>
      </x:c>
      <x:c r="N379" s="637" t="n">
        <x:v>0</x:v>
      </x:c>
      <x:c r="O379" s="637" t="n">
        <x:v>-291.68</x:v>
      </x:c>
      <x:c r="P379" s="637" t="n">
        <x:v>0</x:v>
      </x:c>
      <x:c r="Q379" s="637" t="n">
        <x:v>0</x:v>
      </x:c>
      <x:c r="R379" s="637" t="n">
        <x:v>0</x:v>
      </x:c>
      <x:c r="S379" s="637" t="n">
        <x:v>0</x:v>
      </x:c>
      <x:c r="T379" s="637" t="n">
        <x:v>0</x:v>
      </x:c>
      <x:c r="U379" s="637">
        <x:v>0</x:v>
      </x:c>
      <x:c r="V379" s="637">
        <x:v>0</x:v>
      </x:c>
      <x:c r="W379" s="637">
        <x:v>0</x:v>
      </x:c>
      <x:c r="X379" s="637">
        <x:v>0</x:v>
      </x:c>
      <x:c r="Y379" s="637">
        <x:v>0</x:v>
      </x:c>
      <x:c r="Z379" s="637" t="n">
        <x:v>0</x:v>
      </x:c>
      <x:c r="AA379" s="635"/>
      <x:c r="AB379" s="635"/>
      <x:c r="AC379" s="635"/>
      <x:c r="AD379" s="635"/>
      <x:c r="AE379" s="635"/>
      <x:c r="AF379" s="635"/>
      <x:c r="AG379" s="635"/>
      <x:c r="AH379" s="635"/>
      <x:c r="AI379" s="635"/>
      <x:c r="AJ379" s="635"/>
      <x:c r="AK379" s="635"/>
      <x:c r="AL379" s="635"/>
      <x:c r="AM379" s="635"/>
      <x:c r="AN379" s="635"/>
      <x:c r="AO379" s="635"/>
      <x:c r="AP379" s="635"/>
      <x:c r="AQ379" s="635"/>
      <x:c r="AR379" s="635"/>
      <x:c r="AS379" s="635"/>
      <x:c r="AT379" s="635"/>
      <x:c r="AU379" s="635"/>
      <x:c r="AV379" s="635"/>
      <x:c r="AW379" s="635"/>
      <x:c r="AX379" s="635"/>
      <x:c r="AY379" s="635"/>
      <x:c r="AZ379" s="635"/>
      <x:c r="BA379" s="635"/>
      <x:c r="BB379" s="635"/>
      <x:c r="BC379" s="635"/>
      <x:c r="BD379" s="635"/>
      <x:c r="BE379" s="635"/>
      <x:c r="BF379" s="635"/>
      <x:c r="BG379" s="635"/>
      <x:c r="BH379" s="635"/>
      <x:c r="BI379" s="635"/>
      <x:c r="BJ379" s="635"/>
      <x:c r="BK379" s="635"/>
      <x:c r="BL379" s="635"/>
      <x:c r="BM379" s="635"/>
      <x:c r="BN379" s="624"/>
    </x:row>
    <x:row r="380" spans="1:66" x14ac:dyDescent="0.2">
      <x:c r="A380"/>
      <x:c r="B380"/>
      <x:c r="C380"/>
      <x:c r="D380" t="inlineStr">
        <x:is>
          <x:t>O</x:t>
        </x:is>
      </x:c>
      <x:c r="E380" s="625" t="inlineStr">
        <x:is>
          <x:t>Total</x:t>
        </x:is>
      </x:c>
      <x:c r="F380" s="627" t="n">
        <x:v>225375.38</x:v>
      </x:c>
      <x:c r="G380" s="627" t="n">
        <x:v>12477.11</x:v>
      </x:c>
      <x:c r="H380" s="627" t="n">
        <x:v>7049.52</x:v>
      </x:c>
      <x:c r="I380" s="627" t="n">
        <x:v>3719.42</x:v>
      </x:c>
      <x:c r="J380" s="627" t="n">
        <x:v>47751.59</x:v>
      </x:c>
      <x:c r="K380" s="627" t="n">
        <x:v>1809.28</x:v>
      </x:c>
      <x:c r="L380" s="627" t="n">
        <x:v>0</x:v>
      </x:c>
      <x:c r="M380" s="627" t="n">
        <x:v>15870.89</x:v>
      </x:c>
      <x:c r="N380" s="627" t="n">
        <x:v>16621.71</x:v>
      </x:c>
      <x:c r="O380" s="627" t="n">
        <x:v>83899.79</x:v>
      </x:c>
      <x:c r="P380" s="627" t="n">
        <x:v>33222.43</x:v>
      </x:c>
      <x:c r="Q380" s="627" t="n">
        <x:v>2951.97</x:v>
      </x:c>
      <x:c r="R380" s="627" t="n">
        <x:v>1.67</x:v>
      </x:c>
      <x:c r="S380" s="627" t="n">
        <x:v>0</x:v>
      </x:c>
      <x:c r="T380" s="653" t="n">
        <x:v>0</x:v>
      </x:c>
      <x:c r="U380" s="653">
        <x:v>0</x:v>
      </x:c>
      <x:c r="V380" s="653">
        <x:v>0</x:v>
      </x:c>
      <x:c r="W380" s="653">
        <x:v>0</x:v>
      </x:c>
      <x:c r="X380" s="653">
        <x:v>0</x:v>
      </x:c>
      <x:c r="Y380" s="627">
        <x:v>0</x:v>
      </x:c>
      <x:c r="Z380" s="653" t="n">
        <x:v>0</x:v>
      </x:c>
      <x:c r="BN380" s="624"/>
    </x:row>
    <x:row r="381" spans="1:66" x14ac:dyDescent="0.2">
      <x:c r="A381"/>
      <x:c r="B381"/>
      <x:c r="C381" t="inlineStr">
        <x:is>
          <x:t>OCCIDENTE</x:t>
        </x:is>
      </x:c>
      <x:c r="D381" t="inlineStr">
        <x:is>
          <x:t>Total</x:t>
        </x:is>
      </x:c>
      <x:c r="E381" s="625"/>
      <x:c r="F381" s="627" t="n">
        <x:v>225375.38</x:v>
      </x:c>
      <x:c r="G381" s="627" t="n">
        <x:v>12477.11</x:v>
      </x:c>
      <x:c r="H381" s="627" t="n">
        <x:v>7049.52</x:v>
      </x:c>
      <x:c r="I381" s="627" t="n">
        <x:v>3719.42</x:v>
      </x:c>
      <x:c r="J381" s="627" t="n">
        <x:v>47751.59</x:v>
      </x:c>
      <x:c r="K381" s="627" t="n">
        <x:v>1809.28</x:v>
      </x:c>
      <x:c r="L381" s="627" t="n">
        <x:v>0</x:v>
      </x:c>
      <x:c r="M381" s="627" t="n">
        <x:v>15870.89</x:v>
      </x:c>
      <x:c r="N381" s="627" t="n">
        <x:v>16621.71</x:v>
      </x:c>
      <x:c r="O381" s="627" t="n">
        <x:v>83899.79</x:v>
      </x:c>
      <x:c r="P381" s="627" t="n">
        <x:v>33222.43</x:v>
      </x:c>
      <x:c r="Q381" s="627" t="n">
        <x:v>2951.97</x:v>
      </x:c>
      <x:c r="R381" s="627" t="n">
        <x:v>1.67</x:v>
      </x:c>
      <x:c r="S381" s="627" t="n">
        <x:v>0</x:v>
      </x:c>
      <x:c r="T381" s="653" t="n">
        <x:v>0</x:v>
      </x:c>
      <x:c r="U381" s="653">
        <x:v>0</x:v>
      </x:c>
      <x:c r="V381" s="653">
        <x:v>0</x:v>
      </x:c>
      <x:c r="W381" s="653">
        <x:v>0</x:v>
      </x:c>
      <x:c r="X381" s="653">
        <x:v>0</x:v>
      </x:c>
      <x:c r="Y381" s="627">
        <x:v>0</x:v>
      </x:c>
      <x:c r="Z381" s="653" t="n">
        <x:v>0</x:v>
      </x:c>
      <x:c r="BN381" s="624"/>
    </x:row>
    <x:row r="382" spans="1:66" x14ac:dyDescent="0.2">
      <x:c r="A382"/>
      <x:c r="B382" t="inlineStr">
        <x:is>
          <x:t>Aplicacion nuevos x reversion</x:t>
        </x:is>
      </x:c>
      <x:c r="C382" t="inlineStr">
        <x:is>
          <x:t>Total</x:t>
        </x:is>
      </x:c>
      <x:c r="D382" s="25"/>
      <x:c r="E382" s="625"/>
      <x:c r="F382" s="627" t="n">
        <x:v>4154250.82</x:v>
      </x:c>
      <x:c r="G382" s="627" t="n">
        <x:v>234259.57</x:v>
      </x:c>
      <x:c r="H382" s="627" t="n">
        <x:v>135887.63</x:v>
      </x:c>
      <x:c r="I382" s="627" t="n">
        <x:v>70012.65</x:v>
      </x:c>
      <x:c r="J382" s="627" t="n">
        <x:v>941307.97</x:v>
      </x:c>
      <x:c r="K382" s="627" t="n">
        <x:v>31280.22</x:v>
      </x:c>
      <x:c r="L382" s="627" t="n">
        <x:v>0</x:v>
      </x:c>
      <x:c r="M382" s="627" t="n">
        <x:v>274387.94</x:v>
      </x:c>
      <x:c r="N382" s="627" t="n">
        <x:v>297006.06</x:v>
      </x:c>
      <x:c r="O382" s="627" t="n">
        <x:v>1496102.44</x:v>
      </x:c>
      <x:c r="P382" s="627" t="n">
        <x:v>622968.34</x:v>
      </x:c>
      <x:c r="Q382" s="627" t="n">
        <x:v>51035.97</x:v>
      </x:c>
      <x:c r="R382" s="627" t="n">
        <x:v>2.03</x:v>
      </x:c>
      <x:c r="S382" s="627" t="n">
        <x:v>0</x:v>
      </x:c>
      <x:c r="T382" s="653" t="n">
        <x:v>0</x:v>
      </x:c>
      <x:c r="U382" s="653">
        <x:v>0</x:v>
      </x:c>
      <x:c r="V382" s="653">
        <x:v>0</x:v>
      </x:c>
      <x:c r="W382" s="653">
        <x:v>0</x:v>
      </x:c>
      <x:c r="X382" s="653">
        <x:v>0</x:v>
      </x:c>
      <x:c r="Y382" s="627">
        <x:v>0</x:v>
      </x:c>
      <x:c r="Z382" s="653" t="n">
        <x:v>0</x:v>
      </x:c>
      <x:c r="BN382" s="624"/>
    </x:row>
    <x:row r="383" spans="1:66" x14ac:dyDescent="0.2">
      <x:c r="A383" s="628"/>
      <x:c r="B383" s="628"/>
      <x:c r="C383" s="628"/>
      <x:c r="D383" s="628"/>
      <x:c r="E383" s="629" t="inlineStr">
        <x:is>
          <x:t>Vlr Servicio</x:t>
        </x:is>
      </x:c>
      <x:c r="F383" s="630" t="n">
        <x:v>8246938884.85</x:v>
      </x:c>
      <x:c r="G383" s="630" t="n">
        <x:v>418385103.01</x:v>
      </x:c>
      <x:c r="H383" s="630" t="n">
        <x:v>234855572.9</x:v>
      </x:c>
      <x:c r="I383" s="630" t="n">
        <x:v>123687427.84</x:v>
      </x:c>
      <x:c r="J383" s="630" t="n">
        <x:v>1962584951.27</x:v>
      </x:c>
      <x:c r="K383" s="630" t="n">
        <x:v>68869194.48</x:v>
      </x:c>
      <x:c r="L383" s="630" t="n">
        <x:v>7745996.08</x:v>
      </x:c>
      <x:c r="M383" s="630" t="n">
        <x:v>603491495.67</x:v>
      </x:c>
      <x:c r="N383" s="630" t="n">
        <x:v>585976188.19</x:v>
      </x:c>
      <x:c r="O383" s="630" t="n">
        <x:v>3021520121.18</x:v>
      </x:c>
      <x:c r="P383" s="630" t="n">
        <x:v>1107450420.26</x:v>
      </x:c>
      <x:c r="Q383" s="630" t="n">
        <x:v>112386007.66</x:v>
      </x:c>
      <x:c r="R383" s="630" t="n">
        <x:v>-13593.69</x:v>
      </x:c>
      <x:c r="S383" s="630" t="n">
        <x:v>0</x:v>
      </x:c>
      <x:c r="T383" s="630" t="n">
        <x:v>0</x:v>
      </x:c>
      <x:c r="U383" s="630">
        <x:v>0</x:v>
      </x:c>
      <x:c r="V383" s="630">
        <x:v>0</x:v>
      </x:c>
      <x:c r="W383" s="630">
        <x:v>0</x:v>
      </x:c>
      <x:c r="X383" s="630">
        <x:v>0</x:v>
      </x:c>
      <x:c r="Y383" s="630">
        <x:v>0</x:v>
      </x:c>
      <x:c r="Z383" s="630" t="n">
        <x:v>0</x:v>
      </x:c>
      <x:c r="AA383" s="628"/>
      <x:c r="AB383" s="628"/>
      <x:c r="AC383" s="628"/>
      <x:c r="AD383" s="628"/>
      <x:c r="AE383" s="628"/>
      <x:c r="AF383" s="628"/>
      <x:c r="AG383" s="628"/>
      <x:c r="AH383" s="628"/>
      <x:c r="AI383" s="628"/>
      <x:c r="AJ383" s="628"/>
      <x:c r="AK383" s="628"/>
      <x:c r="AL383" s="628"/>
      <x:c r="AM383" s="628"/>
      <x:c r="AN383" s="628"/>
      <x:c r="AO383" s="628"/>
      <x:c r="AP383" s="628"/>
      <x:c r="AQ383" s="628"/>
      <x:c r="AR383" s="628"/>
      <x:c r="AS383" s="628"/>
      <x:c r="AT383" s="628"/>
      <x:c r="AU383" s="628"/>
      <x:c r="AV383" s="628"/>
      <x:c r="AW383" s="628"/>
      <x:c r="AX383" s="628"/>
      <x:c r="AY383" s="628"/>
      <x:c r="AZ383" s="628"/>
      <x:c r="BA383" s="628"/>
      <x:c r="BB383" s="628"/>
      <x:c r="BC383" s="628"/>
      <x:c r="BD383" s="628"/>
      <x:c r="BE383" s="628"/>
      <x:c r="BF383" s="628"/>
      <x:c r="BG383" s="628"/>
      <x:c r="BH383" s="628"/>
      <x:c r="BI383" s="628"/>
      <x:c r="BJ383" s="628"/>
      <x:c r="BK383" s="628"/>
      <x:c r="BL383" s="628"/>
      <x:c r="BM383" s="628"/>
      <x:c r="BN383" s="624"/>
    </x:row>
    <x:row r="384" spans="1:66" x14ac:dyDescent="0.2">
      <x:c r="A384"/>
      <x:c r="B384"/>
      <x:c r="C384"/>
      <x:c r="D384" s="625"/>
      <x:c r="E384" s="625" t="inlineStr">
        <x:is>
          <x:t>Vlr Intereses</x:t>
        </x:is>
      </x:c>
      <x:c r="F384" s="627" t="n">
        <x:v>-30791040.7</x:v>
      </x:c>
      <x:c r="G384" s="627" t="n">
        <x:v>1755835.77</x:v>
      </x:c>
      <x:c r="H384" s="627" t="n">
        <x:v>780658.97</x:v>
      </x:c>
      <x:c r="I384" s="627" t="n">
        <x:v>311045.96</x:v>
      </x:c>
      <x:c r="J384" s="627" t="n">
        <x:v>2389867.39</x:v>
      </x:c>
      <x:c r="K384" s="627" t="n">
        <x:v>91402.69</x:v>
      </x:c>
      <x:c r="L384" s="627" t="n">
        <x:v>2279.97</x:v>
      </x:c>
      <x:c r="M384" s="627" t="n">
        <x:v>794061.7</x:v>
      </x:c>
      <x:c r="N384" s="627" t="n">
        <x:v>942791.52</x:v>
      </x:c>
      <x:c r="O384" s="627" t="n">
        <x:v>-42652009.55</x:v>
      </x:c>
      <x:c r="P384" s="627" t="n">
        <x:v>4643734.8</x:v>
      </x:c>
      <x:c r="Q384" s="627" t="n">
        <x:v>149163.01</x:v>
      </x:c>
      <x:c r="R384" s="627" t="n">
        <x:v>-22.34</x:v>
      </x:c>
      <x:c r="S384" s="627" t="n">
        <x:v>0</x:v>
      </x:c>
      <x:c r="T384" s="653" t="n">
        <x:v>150.12</x:v>
      </x:c>
      <x:c r="U384" s="653">
        <x:v>0</x:v>
      </x:c>
      <x:c r="V384" s="653">
        <x:v>0</x:v>
      </x:c>
      <x:c r="W384" s="653">
        <x:v>0</x:v>
      </x:c>
      <x:c r="X384" s="653">
        <x:v>0</x:v>
      </x:c>
      <x:c r="Y384" s="627">
        <x:v>0</x:v>
      </x:c>
      <x:c r="Z384" s="653" t="n">
        <x:v>-0.71</x:v>
      </x:c>
      <x:c r="BN384" s="624"/>
    </x:row>
    <x:row r="385" spans="1:66" x14ac:dyDescent="0.2">
      <x:c r="A385"/>
      <x:c r="B385"/>
      <x:c r="C385"/>
      <x:c r="D385" s="625" t="inlineStr">
        <x:is>
          <x:t>E</x:t>
        </x:is>
      </x:c>
      <x:c r="E385" s="625" t="inlineStr">
        <x:is>
          <x:t>Total</x:t>
        </x:is>
      </x:c>
      <x:c r="F385" s="627" t="n">
        <x:v>8216147844.15</x:v>
      </x:c>
      <x:c r="G385" s="627" t="n">
        <x:v>420140938.78</x:v>
      </x:c>
      <x:c r="H385" s="627" t="n">
        <x:v>235636231.87</x:v>
      </x:c>
      <x:c r="I385" s="627" t="n">
        <x:v>123998473.8</x:v>
      </x:c>
      <x:c r="J385" s="627" t="n">
        <x:v>1964974818.66</x:v>
      </x:c>
      <x:c r="K385" s="627" t="n">
        <x:v>68960597.17</x:v>
      </x:c>
      <x:c r="L385" s="627" t="n">
        <x:v>7748276.05</x:v>
      </x:c>
      <x:c r="M385" s="627" t="n">
        <x:v>604285557.37</x:v>
      </x:c>
      <x:c r="N385" s="627" t="n">
        <x:v>586918979.71</x:v>
      </x:c>
      <x:c r="O385" s="627" t="n">
        <x:v>2978868111.63</x:v>
      </x:c>
      <x:c r="P385" s="627" t="n">
        <x:v>1112094155.06</x:v>
      </x:c>
      <x:c r="Q385" s="627" t="n">
        <x:v>112535170.67</x:v>
      </x:c>
      <x:c r="R385" s="627" t="n">
        <x:v>-13616.03</x:v>
      </x:c>
      <x:c r="S385" s="627" t="n">
        <x:v>0</x:v>
      </x:c>
      <x:c r="T385" s="653" t="n">
        <x:v>150.12</x:v>
      </x:c>
      <x:c r="U385" s="653">
        <x:v>0</x:v>
      </x:c>
      <x:c r="V385" s="653">
        <x:v>0</x:v>
      </x:c>
      <x:c r="W385" s="653">
        <x:v>0</x:v>
      </x:c>
      <x:c r="X385" s="653">
        <x:v>0</x:v>
      </x:c>
      <x:c r="Y385" s="627">
        <x:v>0</x:v>
      </x:c>
      <x:c r="Z385" s="653" t="n">
        <x:v>-0.71</x:v>
      </x:c>
      <x:c r="BN385" s="624"/>
    </x:row>
    <x:row r="386" spans="1:66" x14ac:dyDescent="0.2">
      <x:c r="A386"/>
      <x:c r="B386"/>
      <x:c r="C386" t="inlineStr">
        <x:is>
          <x:t>ENEL</x:t>
        </x:is>
      </x:c>
      <x:c r="D386" s="625" t="inlineStr">
        <x:is>
          <x:t>Total</x:t>
        </x:is>
      </x:c>
      <x:c r="E386" s="625"/>
      <x:c r="F386" s="627" t="n">
        <x:v>8216147844.15</x:v>
      </x:c>
      <x:c r="G386" s="627" t="n">
        <x:v>420140938.78</x:v>
      </x:c>
      <x:c r="H386" s="627" t="n">
        <x:v>235636231.87</x:v>
      </x:c>
      <x:c r="I386" s="627" t="n">
        <x:v>123998473.8</x:v>
      </x:c>
      <x:c r="J386" s="627" t="n">
        <x:v>1964974818.66</x:v>
      </x:c>
      <x:c r="K386" s="627" t="n">
        <x:v>68960597.17</x:v>
      </x:c>
      <x:c r="L386" s="627" t="n">
        <x:v>7748276.05</x:v>
      </x:c>
      <x:c r="M386" s="627" t="n">
        <x:v>604285557.37</x:v>
      </x:c>
      <x:c r="N386" s="627" t="n">
        <x:v>586918979.71</x:v>
      </x:c>
      <x:c r="O386" s="627" t="n">
        <x:v>2978868111.63</x:v>
      </x:c>
      <x:c r="P386" s="627" t="n">
        <x:v>1112094155.06</x:v>
      </x:c>
      <x:c r="Q386" s="627" t="n">
        <x:v>112535170.67</x:v>
      </x:c>
      <x:c r="R386" s="627" t="n">
        <x:v>-13616.03</x:v>
      </x:c>
      <x:c r="S386" s="627" t="n">
        <x:v>0</x:v>
      </x:c>
      <x:c r="T386" s="653" t="n">
        <x:v>150.12</x:v>
      </x:c>
      <x:c r="U386" s="653">
        <x:v>0</x:v>
      </x:c>
      <x:c r="V386" s="653">
        <x:v>0</x:v>
      </x:c>
      <x:c r="W386" s="653">
        <x:v>0</x:v>
      </x:c>
      <x:c r="X386" s="653">
        <x:v>0</x:v>
      </x:c>
      <x:c r="Y386" s="627">
        <x:v>0</x:v>
      </x:c>
      <x:c r="Z386" s="653" t="n">
        <x:v>-0.71</x:v>
      </x:c>
      <x:c r="BN386" s="624"/>
    </x:row>
    <x:row r="387" spans="1:66" x14ac:dyDescent="0.2">
      <x:c r="A387"/>
      <x:c r="B387"/>
      <x:c r="C387"/>
      <x:c r="D387" s="625"/>
      <x:c r="E387" s="625" t="inlineStr">
        <x:is>
          <x:t>Vlr Servicio</x:t>
        </x:is>
      </x:c>
      <x:c r="F387" s="627" t="n">
        <x:v>1254003.59</x:v>
      </x:c>
      <x:c r="G387" s="627" t="n">
        <x:v>80806.82</x:v>
      </x:c>
      <x:c r="H387" s="627" t="n">
        <x:v>41946.19</x:v>
      </x:c>
      <x:c r="I387" s="627" t="n">
        <x:v>23065.34</x:v>
      </x:c>
      <x:c r="J387" s="627" t="n">
        <x:v>196721.82</x:v>
      </x:c>
      <x:c r="K387" s="627" t="n">
        <x:v>9802.46</x:v>
      </x:c>
      <x:c r="L387" s="627" t="n">
        <x:v>0</x:v>
      </x:c>
      <x:c r="M387" s="627" t="n">
        <x:v>86037.19</x:v>
      </x:c>
      <x:c r="N387" s="627" t="n">
        <x:v>96463.74</x:v>
      </x:c>
      <x:c r="O387" s="627" t="n">
        <x:v>487406.76</x:v>
      </x:c>
      <x:c r="P387" s="627" t="n">
        <x:v>215750.89</x:v>
      </x:c>
      <x:c r="Q387" s="627" t="n">
        <x:v>16008.65</x:v>
      </x:c>
      <x:c r="R387" s="627" t="n">
        <x:v>-6.27</x:v>
      </x:c>
      <x:c r="S387" s="627" t="n">
        <x:v>0</x:v>
      </x:c>
      <x:c r="T387" s="653" t="n">
        <x:v>0</x:v>
      </x:c>
      <x:c r="U387" s="653">
        <x:v>0</x:v>
      </x:c>
      <x:c r="V387" s="653">
        <x:v>0</x:v>
      </x:c>
      <x:c r="W387" s="653">
        <x:v>0</x:v>
      </x:c>
      <x:c r="X387" s="653">
        <x:v>0</x:v>
      </x:c>
      <x:c r="Y387" s="627">
        <x:v>0</x:v>
      </x:c>
      <x:c r="Z387" s="653" t="n">
        <x:v>0</x:v>
      </x:c>
      <x:c r="BN387" s="624"/>
    </x:row>
    <x:row r="388" spans="1:66" x14ac:dyDescent="0.2">
      <x:c r="A388"/>
      <x:c r="B388"/>
      <x:c r="C388"/>
      <x:c r="D388" s="625"/>
      <x:c r="E388" s="625" t="inlineStr">
        <x:is>
          <x:t>Vlr Intereses</x:t>
        </x:is>
      </x:c>
      <x:c r="F388" s="627" t="n">
        <x:v>23450.18</x:v>
      </x:c>
      <x:c r="G388" s="627" t="n">
        <x:v>1237.93</x:v>
      </x:c>
      <x:c r="H388" s="627" t="n">
        <x:v>604.21</x:v>
      </x:c>
      <x:c r="I388" s="627" t="n">
        <x:v>330.22</x:v>
      </x:c>
      <x:c r="J388" s="627" t="n">
        <x:v>2250.5</x:v>
      </x:c>
      <x:c r="K388" s="627" t="n">
        <x:v>209.66</x:v>
      </x:c>
      <x:c r="L388" s="627" t="n">
        <x:v>0</x:v>
      </x:c>
      <x:c r="M388" s="627" t="n">
        <x:v>1840.76</x:v>
      </x:c>
      <x:c r="N388" s="627" t="n">
        <x:v>2234.78</x:v>
      </x:c>
      <x:c r="O388" s="627" t="n">
        <x:v>11104.93</x:v>
      </x:c>
      <x:c r="P388" s="627" t="n">
        <x:v>3295.12</x:v>
      </x:c>
      <x:c r="Q388" s="627" t="n">
        <x:v>342.77</x:v>
      </x:c>
      <x:c r="R388" s="627" t="n">
        <x:v>-0.7</x:v>
      </x:c>
      <x:c r="S388" s="627" t="n">
        <x:v>0</x:v>
      </x:c>
      <x:c r="T388" s="653" t="n">
        <x:v>0</x:v>
      </x:c>
      <x:c r="U388" s="653">
        <x:v>0</x:v>
      </x:c>
      <x:c r="V388" s="653">
        <x:v>0</x:v>
      </x:c>
      <x:c r="W388" s="653">
        <x:v>0</x:v>
      </x:c>
      <x:c r="X388" s="653">
        <x:v>0</x:v>
      </x:c>
      <x:c r="Y388" s="627">
        <x:v>0</x:v>
      </x:c>
      <x:c r="Z388" s="653" t="n">
        <x:v>0</x:v>
      </x:c>
      <x:c r="BN388" s="624"/>
    </x:row>
    <x:row r="389" spans="1:66" x14ac:dyDescent="0.2">
      <x:c r="A389"/>
      <x:c r="B389"/>
      <x:c r="C389"/>
      <x:c r="D389" s="625" t="inlineStr">
        <x:is>
          <x:t>1</x:t>
        </x:is>
      </x:c>
      <x:c r="E389" s="625" t="inlineStr">
        <x:is>
          <x:t>Total</x:t>
        </x:is>
      </x:c>
      <x:c r="F389" s="627" t="n">
        <x:v>1277453.77</x:v>
      </x:c>
      <x:c r="G389" s="627" t="n">
        <x:v>82044.75</x:v>
      </x:c>
      <x:c r="H389" s="627" t="n">
        <x:v>42550.4</x:v>
      </x:c>
      <x:c r="I389" s="627" t="n">
        <x:v>23395.56</x:v>
      </x:c>
      <x:c r="J389" s="627" t="n">
        <x:v>198972.32</x:v>
      </x:c>
      <x:c r="K389" s="627" t="n">
        <x:v>10012.12</x:v>
      </x:c>
      <x:c r="L389" s="627" t="n">
        <x:v>0</x:v>
      </x:c>
      <x:c r="M389" s="627" t="n">
        <x:v>87877.95</x:v>
      </x:c>
      <x:c r="N389" s="627" t="n">
        <x:v>98698.52</x:v>
      </x:c>
      <x:c r="O389" s="627" t="n">
        <x:v>498511.69</x:v>
      </x:c>
      <x:c r="P389" s="627" t="n">
        <x:v>219046.01</x:v>
      </x:c>
      <x:c r="Q389" s="627" t="n">
        <x:v>16351.42</x:v>
      </x:c>
      <x:c r="R389" s="627" t="n">
        <x:v>-6.97</x:v>
      </x:c>
      <x:c r="S389" s="627" t="n">
        <x:v>0</x:v>
      </x:c>
      <x:c r="T389" s="653" t="n">
        <x:v>0</x:v>
      </x:c>
      <x:c r="U389" s="653">
        <x:v>0</x:v>
      </x:c>
      <x:c r="V389" s="653">
        <x:v>0</x:v>
      </x:c>
      <x:c r="W389" s="653">
        <x:v>0</x:v>
      </x:c>
      <x:c r="X389" s="653">
        <x:v>0</x:v>
      </x:c>
      <x:c r="Y389" s="627">
        <x:v>0</x:v>
      </x:c>
      <x:c r="Z389" s="653" t="n">
        <x:v>0</x:v>
      </x:c>
      <x:c r="BN389" s="624"/>
    </x:row>
    <x:row r="390" spans="1:66" x14ac:dyDescent="0.2">
      <x:c r="A390"/>
      <x:c r="B390"/>
      <x:c r="C390" s="625"/>
      <x:c r="D390" s="625"/>
      <x:c r="E390" s="25" t="inlineStr">
        <x:is>
          <x:t>Vlr Servicio</x:t>
        </x:is>
      </x:c>
      <x:c r="F390" s="627" t="n">
        <x:v>276088.81</x:v>
      </x:c>
      <x:c r="G390" s="627" t="n">
        <x:v>26444.74</x:v>
      </x:c>
      <x:c r="H390" s="627" t="n">
        <x:v>13622.29</x:v>
      </x:c>
      <x:c r="I390" s="627" t="n">
        <x:v>7750.53</x:v>
      </x:c>
      <x:c r="J390" s="627" t="n">
        <x:v>50845.44</x:v>
      </x:c>
      <x:c r="K390" s="627" t="n">
        <x:v>1478.68</x:v>
      </x:c>
      <x:c r="L390" s="627" t="n">
        <x:v>0</x:v>
      </x:c>
      <x:c r="M390" s="627" t="n">
        <x:v>12971.02</x:v>
      </x:c>
      <x:c r="N390" s="627" t="n">
        <x:v>14865.36</x:v>
      </x:c>
      <x:c r="O390" s="627" t="n">
        <x:v>75370.83</x:v>
      </x:c>
      <x:c r="P390" s="627" t="n">
        <x:v>70322.63</x:v>
      </x:c>
      <x:c r="Q390" s="627" t="n">
        <x:v>2412.6</x:v>
      </x:c>
      <x:c r="R390" s="627" t="n">
        <x:v>4.69</x:v>
      </x:c>
      <x:c r="S390" s="627" t="n">
        <x:v>0</x:v>
      </x:c>
      <x:c r="T390" s="653" t="n">
        <x:v>0</x:v>
      </x:c>
      <x:c r="U390" s="653">
        <x:v>0</x:v>
      </x:c>
      <x:c r="V390" s="653">
        <x:v>0</x:v>
      </x:c>
      <x:c r="W390" s="653">
        <x:v>0</x:v>
      </x:c>
      <x:c r="X390" s="653">
        <x:v>0</x:v>
      </x:c>
      <x:c r="Y390" s="627">
        <x:v>0</x:v>
      </x:c>
      <x:c r="Z390" s="653" t="n">
        <x:v>0</x:v>
      </x:c>
      <x:c r="BN390" s="624"/>
    </x:row>
    <x:row r="391" spans="1:66" x14ac:dyDescent="0.2">
      <x:c r="A391"/>
      <x:c r="B391"/>
      <x:c r="C391"/>
      <x:c r="D391"/>
      <x:c r="E391" s="625" t="inlineStr">
        <x:is>
          <x:t>Vlr Intereses</x:t>
        </x:is>
      </x:c>
      <x:c r="F391" s="627" t="n">
        <x:v>1763.36</x:v>
      </x:c>
      <x:c r="G391" s="627" t="n">
        <x:v>163.44</x:v>
      </x:c>
      <x:c r="H391" s="627" t="n">
        <x:v>79.78</x:v>
      </x:c>
      <x:c r="I391" s="627" t="n">
        <x:v>44.61</x:v>
      </x:c>
      <x:c r="J391" s="627" t="n">
        <x:v>581.24</x:v>
      </x:c>
      <x:c r="K391" s="627" t="n">
        <x:v>14.67</x:v>
      </x:c>
      <x:c r="L391" s="627" t="n">
        <x:v>0</x:v>
      </x:c>
      <x:c r="M391" s="627" t="n">
        <x:v>117.58</x:v>
      </x:c>
      <x:c r="N391" s="627" t="n">
        <x:v>155.7</x:v>
      </x:c>
      <x:c r="O391" s="627" t="n">
        <x:v>210.6</x:v>
      </x:c>
      <x:c r="P391" s="627" t="n">
        <x:v>371.89</x:v>
      </x:c>
      <x:c r="Q391" s="627" t="n">
        <x:v>23.92</x:v>
      </x:c>
      <x:c r="R391" s="627" t="n">
        <x:v>-0.07</x:v>
      </x:c>
      <x:c r="S391" s="627" t="n">
        <x:v>0</x:v>
      </x:c>
      <x:c r="T391" s="653" t="n">
        <x:v>0</x:v>
      </x:c>
      <x:c r="U391" s="653">
        <x:v>0</x:v>
      </x:c>
      <x:c r="V391" s="653">
        <x:v>0</x:v>
      </x:c>
      <x:c r="W391" s="653">
        <x:v>0</x:v>
      </x:c>
      <x:c r="X391" s="653">
        <x:v>0</x:v>
      </x:c>
      <x:c r="Y391" s="627">
        <x:v>0</x:v>
      </x:c>
      <x:c r="Z391" s="653" t="n">
        <x:v>0</x:v>
      </x:c>
      <x:c r="BN391" s="624"/>
    </x:row>
    <x:row r="392" spans="1:66" x14ac:dyDescent="0.2">
      <x:c r="A392"/>
      <x:c r="B392"/>
      <x:c r="C392"/>
      <x:c r="D392" s="25" t="inlineStr">
        <x:is>
          <x:t>2</x:t>
        </x:is>
      </x:c>
      <x:c r="E392" s="625" t="inlineStr">
        <x:is>
          <x:t>Total</x:t>
        </x:is>
      </x:c>
      <x:c r="F392" s="627" t="n">
        <x:v>277852.17</x:v>
      </x:c>
      <x:c r="G392" s="627" t="n">
        <x:v>26608.18</x:v>
      </x:c>
      <x:c r="H392" s="627" t="n">
        <x:v>13702.07</x:v>
      </x:c>
      <x:c r="I392" s="627" t="n">
        <x:v>7795.14</x:v>
      </x:c>
      <x:c r="J392" s="627" t="n">
        <x:v>51426.68</x:v>
      </x:c>
      <x:c r="K392" s="627" t="n">
        <x:v>1493.35</x:v>
      </x:c>
      <x:c r="L392" s="627" t="n">
        <x:v>0</x:v>
      </x:c>
      <x:c r="M392" s="627" t="n">
        <x:v>13088.6</x:v>
      </x:c>
      <x:c r="N392" s="627" t="n">
        <x:v>15021.06</x:v>
      </x:c>
      <x:c r="O392" s="627" t="n">
        <x:v>75581.43</x:v>
      </x:c>
      <x:c r="P392" s="627" t="n">
        <x:v>70694.52</x:v>
      </x:c>
      <x:c r="Q392" s="627" t="n">
        <x:v>2436.52</x:v>
      </x:c>
      <x:c r="R392" s="627" t="n">
        <x:v>4.62</x:v>
      </x:c>
      <x:c r="S392" s="627" t="n">
        <x:v>0</x:v>
      </x:c>
      <x:c r="T392" s="653" t="n">
        <x:v>0</x:v>
      </x:c>
      <x:c r="U392" s="653">
        <x:v>0</x:v>
      </x:c>
      <x:c r="V392" s="653">
        <x:v>0</x:v>
      </x:c>
      <x:c r="W392" s="653">
        <x:v>0</x:v>
      </x:c>
      <x:c r="X392" s="653">
        <x:v>0</x:v>
      </x:c>
      <x:c r="Y392" s="627">
        <x:v>0</x:v>
      </x:c>
      <x:c r="Z392" s="653" t="n">
        <x:v>0</x:v>
      </x:c>
      <x:c r="BN392" s="624"/>
    </x:row>
    <x:row r="393" spans="1:66" x14ac:dyDescent="0.2">
      <x:c r="A393" s="667"/>
      <x:c r="B393" s="667"/>
      <x:c r="C393" s="647"/>
      <x:c r="D393" s="647"/>
      <x:c r="E393" s="667" t="inlineStr">
        <x:is>
          <x:t>Vlr Servicio</x:t>
        </x:is>
      </x:c>
      <x:c r="F393" s="648" t="n">
        <x:v>2520325.29</x:v>
      </x:c>
      <x:c r="G393" s="648" t="n">
        <x:v>121957.19</x:v>
      </x:c>
      <x:c r="H393" s="648" t="n">
        <x:v>67910.85</x:v>
      </x:c>
      <x:c r="I393" s="648" t="n">
        <x:v>36000.71</x:v>
      </x:c>
      <x:c r="J393" s="648" t="n">
        <x:v>615618.21</x:v>
      </x:c>
      <x:c r="K393" s="648" t="n">
        <x:v>20743.35</x:v>
      </x:c>
      <x:c r="L393" s="648" t="n">
        <x:v>0</x:v>
      </x:c>
      <x:c r="M393" s="648" t="n">
        <x:v>183015.86</x:v>
      </x:c>
      <x:c r="N393" s="648" t="n">
        <x:v>182611.23</x:v>
      </x:c>
      <x:c r="O393" s="648" t="n">
        <x:v>932935.39</x:v>
      </x:c>
      <x:c r="P393" s="648" t="n">
        <x:v>325684.34</x:v>
      </x:c>
      <x:c r="Q393" s="648" t="n">
        <x:v>33844.33</x:v>
      </x:c>
      <x:c r="R393" s="648" t="n">
        <x:v>3.83</x:v>
      </x:c>
      <x:c r="S393" s="648" t="n">
        <x:v>0</x:v>
      </x:c>
      <x:c r="T393" s="648" t="n">
        <x:v>0</x:v>
      </x:c>
      <x:c r="U393" s="648">
        <x:v>0</x:v>
      </x:c>
      <x:c r="V393" s="648">
        <x:v>0</x:v>
      </x:c>
      <x:c r="W393" s="648">
        <x:v>0</x:v>
      </x:c>
      <x:c r="X393" s="672">
        <x:v>0</x:v>
      </x:c>
      <x:c r="Y393" s="672">
        <x:v>0</x:v>
      </x:c>
      <x:c r="Z393" s="672" t="n">
        <x:v>0</x:v>
      </x:c>
      <x:c r="AA393" s="667"/>
      <x:c r="AB393" s="667"/>
      <x:c r="AC393" s="667"/>
      <x:c r="AD393" s="667"/>
      <x:c r="AE393" s="667"/>
      <x:c r="AF393" s="667"/>
      <x:c r="AG393" s="667"/>
      <x:c r="AH393" s="667"/>
      <x:c r="AI393" s="667"/>
      <x:c r="AJ393" s="667"/>
      <x:c r="AK393" s="667"/>
      <x:c r="AL393" s="667"/>
      <x:c r="AM393" s="667"/>
      <x:c r="AN393" s="667"/>
      <x:c r="AO393" s="667"/>
      <x:c r="AP393" s="667"/>
      <x:c r="AQ393" s="667"/>
      <x:c r="AR393" s="667"/>
      <x:c r="AS393" s="667"/>
      <x:c r="AT393" s="667"/>
      <x:c r="AU393" s="667"/>
      <x:c r="AV393" s="667"/>
      <x:c r="AW393" s="667"/>
      <x:c r="AX393" s="667"/>
      <x:c r="AY393" s="667"/>
      <x:c r="AZ393" s="667"/>
      <x:c r="BA393" s="667"/>
      <x:c r="BB393" s="667"/>
      <x:c r="BC393" s="667"/>
      <x:c r="BD393" s="667"/>
      <x:c r="BE393" s="667"/>
      <x:c r="BF393" s="667"/>
      <x:c r="BG393" s="667"/>
      <x:c r="BH393" s="667"/>
      <x:c r="BI393" s="667"/>
      <x:c r="BJ393" s="667"/>
      <x:c r="BK393" s="667"/>
      <x:c r="BL393" s="667"/>
      <x:c r="BM393" s="667"/>
      <x:c r="BN393" s="624"/>
    </x:row>
    <x:row r="394" spans="1:66" x14ac:dyDescent="0.2">
      <x:c r="A394"/>
      <x:c r="B394"/>
      <x:c r="C394"/>
      <x:c r="D394"/>
      <x:c r="E394" s="625" t="inlineStr">
        <x:is>
          <x:t>Vlr Intereses</x:t>
        </x:is>
      </x:c>
      <x:c r="F394" s="627" t="n">
        <x:v>-6849.08</x:v>
      </x:c>
      <x:c r="G394" s="627" t="n">
        <x:v>231.53</x:v>
      </x:c>
      <x:c r="H394" s="627" t="n">
        <x:v>122.31</x:v>
      </x:c>
      <x:c r="I394" s="627" t="n">
        <x:v>66.9</x:v>
      </x:c>
      <x:c r="J394" s="627" t="n">
        <x:v>1041.73</x:v>
      </x:c>
      <x:c r="K394" s="627" t="n">
        <x:v>28.29</x:v>
      </x:c>
      <x:c r="L394" s="627" t="n">
        <x:v>0</x:v>
      </x:c>
      <x:c r="M394" s="627" t="n">
        <x:v>248.59</x:v>
      </x:c>
      <x:c r="N394" s="627" t="n">
        <x:v>318.93</x:v>
      </x:c>
      <x:c r="O394" s="627" t="n">
        <x:v>-9573.24</x:v>
      </x:c>
      <x:c r="P394" s="627" t="n">
        <x:v>619.87</x:v>
      </x:c>
      <x:c r="Q394" s="627" t="n">
        <x:v>46.07</x:v>
      </x:c>
      <x:c r="R394" s="627" t="n">
        <x:v>-0.06</x:v>
      </x:c>
      <x:c r="S394" s="627" t="n">
        <x:v>0</x:v>
      </x:c>
      <x:c r="T394" s="653" t="n">
        <x:v>0</x:v>
      </x:c>
      <x:c r="U394" s="653">
        <x:v>0</x:v>
      </x:c>
      <x:c r="V394" s="653">
        <x:v>0</x:v>
      </x:c>
      <x:c r="W394" s="653">
        <x:v>0</x:v>
      </x:c>
      <x:c r="X394" s="653">
        <x:v>0</x:v>
      </x:c>
      <x:c r="Y394" s="627">
        <x:v>0</x:v>
      </x:c>
      <x:c r="Z394" s="653" t="n">
        <x:v>0</x:v>
      </x:c>
      <x:c r="BN394" s="624"/>
    </x:row>
    <x:row r="395" spans="1:66" x14ac:dyDescent="0.2">
      <x:c r="A395"/>
      <x:c r="B395"/>
      <x:c r="C395"/>
      <x:c r="D395" s="625" t="inlineStr">
        <x:is>
          <x:t>5</x:t>
        </x:is>
      </x:c>
      <x:c r="E395" s="625" t="inlineStr">
        <x:is>
          <x:t>Total</x:t>
        </x:is>
      </x:c>
      <x:c r="F395" s="627" t="n">
        <x:v>2513476.21</x:v>
      </x:c>
      <x:c r="G395" s="627" t="n">
        <x:v>122188.72</x:v>
      </x:c>
      <x:c r="H395" s="627" t="n">
        <x:v>68033.16</x:v>
      </x:c>
      <x:c r="I395" s="627" t="n">
        <x:v>36067.61</x:v>
      </x:c>
      <x:c r="J395" s="627" t="n">
        <x:v>616659.94</x:v>
      </x:c>
      <x:c r="K395" s="627" t="n">
        <x:v>20771.64</x:v>
      </x:c>
      <x:c r="L395" s="627" t="n">
        <x:v>0</x:v>
      </x:c>
      <x:c r="M395" s="627" t="n">
        <x:v>183264.45</x:v>
      </x:c>
      <x:c r="N395" s="627" t="n">
        <x:v>182930.16</x:v>
      </x:c>
      <x:c r="O395" s="627" t="n">
        <x:v>923362.15</x:v>
      </x:c>
      <x:c r="P395" s="627" t="n">
        <x:v>326304.21</x:v>
      </x:c>
      <x:c r="Q395" s="627" t="n">
        <x:v>33890.4</x:v>
      </x:c>
      <x:c r="R395" s="627" t="n">
        <x:v>3.77</x:v>
      </x:c>
      <x:c r="S395" s="627" t="n">
        <x:v>0</x:v>
      </x:c>
      <x:c r="T395" s="653" t="n">
        <x:v>0</x:v>
      </x:c>
      <x:c r="U395" s="653">
        <x:v>0</x:v>
      </x:c>
      <x:c r="V395" s="653">
        <x:v>0</x:v>
      </x:c>
      <x:c r="W395" s="653">
        <x:v>0</x:v>
      </x:c>
      <x:c r="X395" s="653">
        <x:v>0</x:v>
      </x:c>
      <x:c r="Y395" s="627">
        <x:v>0</x:v>
      </x:c>
      <x:c r="Z395" s="653" t="n">
        <x:v>0</x:v>
      </x:c>
      <x:c r="BN395" s="624"/>
    </x:row>
    <x:row r="396" spans="1:66" x14ac:dyDescent="0.2">
      <x:c r="A396"/>
      <x:c r="B396"/>
      <x:c r="C396" t="inlineStr">
        <x:is>
          <x:t>NUEVO ESQUEMA</x:t>
        </x:is>
      </x:c>
      <x:c r="D396" s="25" t="inlineStr">
        <x:is>
          <x:t>Total</x:t>
        </x:is>
      </x:c>
      <x:c r="E396" s="625"/>
      <x:c r="F396" s="627" t="n">
        <x:v>4068782.15</x:v>
      </x:c>
      <x:c r="G396" s="627" t="n">
        <x:v>230841.65</x:v>
      </x:c>
      <x:c r="H396" s="627" t="n">
        <x:v>124285.63</x:v>
      </x:c>
      <x:c r="I396" s="627" t="n">
        <x:v>67258.31</x:v>
      </x:c>
      <x:c r="J396" s="627" t="n">
        <x:v>867058.94</x:v>
      </x:c>
      <x:c r="K396" s="627" t="n">
        <x:v>32277.11</x:v>
      </x:c>
      <x:c r="L396" s="627" t="n">
        <x:v>0</x:v>
      </x:c>
      <x:c r="M396" s="627" t="n">
        <x:v>284231</x:v>
      </x:c>
      <x:c r="N396" s="627" t="n">
        <x:v>296649.74</x:v>
      </x:c>
      <x:c r="O396" s="627" t="n">
        <x:v>1497455.27</x:v>
      </x:c>
      <x:c r="P396" s="627" t="n">
        <x:v>616044.74</x:v>
      </x:c>
      <x:c r="Q396" s="627" t="n">
        <x:v>52678.34</x:v>
      </x:c>
      <x:c r="R396" s="627" t="n">
        <x:v>1.42</x:v>
      </x:c>
      <x:c r="S396" s="627" t="n">
        <x:v>0</x:v>
      </x:c>
      <x:c r="T396" s="653" t="n">
        <x:v>0</x:v>
      </x:c>
      <x:c r="U396" s="653">
        <x:v>0</x:v>
      </x:c>
      <x:c r="V396" s="653">
        <x:v>0</x:v>
      </x:c>
      <x:c r="W396" s="653">
        <x:v>0</x:v>
      </x:c>
      <x:c r="X396" s="653">
        <x:v>0</x:v>
      </x:c>
      <x:c r="Y396" s="627">
        <x:v>0</x:v>
      </x:c>
      <x:c r="Z396" s="653" t="n">
        <x:v>0</x:v>
      </x:c>
      <x:c r="BN396" s="624"/>
    </x:row>
    <x:row r="397" spans="1:66" x14ac:dyDescent="0.2">
      <x:c r="A397"/>
      <x:c r="B397"/>
      <x:c r="C397"/>
      <x:c r="D397"/>
      <x:c r="E397" s="625" t="inlineStr">
        <x:is>
          <x:t>Vlr Servicio</x:t>
        </x:is>
      </x:c>
      <x:c r="F397" s="627" t="n">
        <x:v>236487797.15</x:v>
      </x:c>
      <x:c r="G397" s="627" t="n">
        <x:v>13918818.07</x:v>
      </x:c>
      <x:c r="H397" s="627" t="n">
        <x:v>7898835.56</x:v>
      </x:c>
      <x:c r="I397" s="627" t="n">
        <x:v>4195469.62</x:v>
      </x:c>
      <x:c r="J397" s="627" t="n">
        <x:v>53584722.26</x:v>
      </x:c>
      <x:c r="K397" s="627" t="n">
        <x:v>1358543.91</x:v>
      </x:c>
      <x:c r="L397" s="627" t="n">
        <x:v>1016480.32</x:v>
      </x:c>
      <x:c r="M397" s="627" t="n">
        <x:v>11908266.17</x:v>
      </x:c>
      <x:c r="N397" s="627" t="n">
        <x:v>17185993.23</x:v>
      </x:c>
      <x:c r="O397" s="627" t="n">
        <x:v>85883176.32</x:v>
      </x:c>
      <x:c r="P397" s="627" t="n">
        <x:v>37317675.79</x:v>
      </x:c>
      <x:c r="Q397" s="627" t="n">
        <x:v>2219113.11</x:v>
      </x:c>
      <x:c r="R397" s="627" t="n">
        <x:v>702.79</x:v>
      </x:c>
      <x:c r="S397" s="627" t="n">
        <x:v>0</x:v>
      </x:c>
      <x:c r="T397" s="653" t="n">
        <x:v>0</x:v>
      </x:c>
      <x:c r="U397" s="653">
        <x:v>0</x:v>
      </x:c>
      <x:c r="V397" s="653">
        <x:v>0</x:v>
      </x:c>
      <x:c r="W397" s="653">
        <x:v>0</x:v>
      </x:c>
      <x:c r="X397" s="653">
        <x:v>0</x:v>
      </x:c>
      <x:c r="Y397" s="627">
        <x:v>0</x:v>
      </x:c>
      <x:c r="Z397" s="653" t="n">
        <x:v>0</x:v>
      </x:c>
      <x:c r="BN397" s="624"/>
    </x:row>
    <x:row r="398" spans="1:66" x14ac:dyDescent="0.2">
      <x:c r="A398"/>
      <x:c r="B398"/>
      <x:c r="C398"/>
      <x:c r="D398" s="625"/>
      <x:c r="E398" s="625" t="inlineStr">
        <x:is>
          <x:t>Vlr Intereses</x:t>
        </x:is>
      </x:c>
      <x:c r="F398" s="627" t="n">
        <x:v>-66055.51</x:v>
      </x:c>
      <x:c r="G398" s="627" t="n">
        <x:v>42875.36</x:v>
      </x:c>
      <x:c r="H398" s="627" t="n">
        <x:v>22349.12</x:v>
      </x:c>
      <x:c r="I398" s="627" t="n">
        <x:v>10965.42</x:v>
      </x:c>
      <x:c r="J398" s="627" t="n">
        <x:v>130899.72</x:v>
      </x:c>
      <x:c r="K398" s="627" t="n">
        <x:v>3940.94</x:v>
      </x:c>
      <x:c r="L398" s="627" t="n">
        <x:v>0</x:v>
      </x:c>
      <x:c r="M398" s="627" t="n">
        <x:v>34479.27</x:v>
      </x:c>
      <x:c r="N398" s="627" t="n">
        <x:v>46233.09</x:v>
      </x:c>
      <x:c r="O398" s="627" t="n">
        <x:v>-477074.43</x:v>
      </x:c>
      <x:c r="P398" s="627" t="n">
        <x:v>112811.27</x:v>
      </x:c>
      <x:c r="Q398" s="627" t="n">
        <x:v>6438.25</x:v>
      </x:c>
      <x:c r="R398" s="627" t="n">
        <x:v>26.46</x:v>
      </x:c>
      <x:c r="S398" s="627" t="n">
        <x:v>0</x:v>
      </x:c>
      <x:c r="T398" s="653" t="n">
        <x:v>0.02</x:v>
      </x:c>
      <x:c r="U398" s="653">
        <x:v>0</x:v>
      </x:c>
      <x:c r="V398" s="653">
        <x:v>0</x:v>
      </x:c>
      <x:c r="W398" s="653">
        <x:v>0</x:v>
      </x:c>
      <x:c r="X398" s="653">
        <x:v>0</x:v>
      </x:c>
      <x:c r="Y398" s="627">
        <x:v>0</x:v>
      </x:c>
      <x:c r="Z398" s="653" t="n">
        <x:v>0</x:v>
      </x:c>
      <x:c r="BN398" s="624"/>
    </x:row>
    <x:row r="399" spans="1:66" x14ac:dyDescent="0.2">
      <x:c r="A399"/>
      <x:c r="B399"/>
      <x:c r="C399" s="625"/>
      <x:c r="D399" s="625" t="inlineStr">
        <x:is>
          <x:t>H</x:t>
        </x:is>
      </x:c>
      <x:c r="E399" s="25" t="inlineStr">
        <x:is>
          <x:t>Total</x:t>
        </x:is>
      </x:c>
      <x:c r="F399" s="627" t="n">
        <x:v>236421741.64</x:v>
      </x:c>
      <x:c r="G399" s="627" t="n">
        <x:v>13961693.43</x:v>
      </x:c>
      <x:c r="H399" s="627" t="n">
        <x:v>7921184.68</x:v>
      </x:c>
      <x:c r="I399" s="627" t="n">
        <x:v>4206435.04</x:v>
      </x:c>
      <x:c r="J399" s="627" t="n">
        <x:v>53715621.98</x:v>
      </x:c>
      <x:c r="K399" s="627" t="n">
        <x:v>1362484.85</x:v>
      </x:c>
      <x:c r="L399" s="627" t="n">
        <x:v>1016480.32</x:v>
      </x:c>
      <x:c r="M399" s="627" t="n">
        <x:v>11942745.44</x:v>
      </x:c>
      <x:c r="N399" s="627" t="n">
        <x:v>17232226.32</x:v>
      </x:c>
      <x:c r="O399" s="627" t="n">
        <x:v>85406101.89</x:v>
      </x:c>
      <x:c r="P399" s="627" t="n">
        <x:v>37430487.06</x:v>
      </x:c>
      <x:c r="Q399" s="627" t="n">
        <x:v>2225551.36</x:v>
      </x:c>
      <x:c r="R399" s="627" t="n">
        <x:v>729.25</x:v>
      </x:c>
      <x:c r="S399" s="627" t="n">
        <x:v>0</x:v>
      </x:c>
      <x:c r="T399" s="653" t="n">
        <x:v>0.02</x:v>
      </x:c>
      <x:c r="U399" s="653">
        <x:v>0</x:v>
      </x:c>
      <x:c r="V399" s="653">
        <x:v>0</x:v>
      </x:c>
      <x:c r="W399" s="653">
        <x:v>0</x:v>
      </x:c>
      <x:c r="X399" s="653">
        <x:v>0</x:v>
      </x:c>
      <x:c r="Y399" s="627">
        <x:v>0</x:v>
      </x:c>
      <x:c r="Z399" s="653" t="n">
        <x:v>0</x:v>
      </x:c>
      <x:c r="BN399" s="624"/>
    </x:row>
    <x:row r="400" spans="1:66" x14ac:dyDescent="0.2">
      <x:c r="A400"/>
      <x:c r="B400" s="625"/>
      <x:c r="C400" s="625"/>
      <x:c r="D400"/>
      <x:c r="E400" s="25" t="inlineStr">
        <x:is>
          <x:t>Vlr Servicio</x:t>
        </x:is>
      </x:c>
      <x:c r="F400" s="627" t="n">
        <x:v>119612851.98</x:v>
      </x:c>
      <x:c r="G400" s="627" t="n">
        <x:v>8292390.03</x:v>
      </x:c>
      <x:c r="H400" s="627" t="n">
        <x:v>4384853.36</x:v>
      </x:c>
      <x:c r="I400" s="627" t="n">
        <x:v>2254693.04</x:v>
      </x:c>
      <x:c r="J400" s="627" t="n">
        <x:v>23302372.99</x:v>
      </x:c>
      <x:c r="K400" s="627" t="n">
        <x:v>786498.33</x:v>
      </x:c>
      <x:c r="L400" s="627" t="n">
        <x:v>0</x:v>
      </x:c>
      <x:c r="M400" s="627" t="n">
        <x:v>6976666.04</x:v>
      </x:c>
      <x:c r="N400" s="627" t="n">
        <x:v>8374828.44</x:v>
      </x:c>
      <x:c r="O400" s="627" t="n">
        <x:v>41727065.31</x:v>
      </x:c>
      <x:c r="P400" s="627" t="n">
        <x:v>22226422.92</x:v>
      </x:c>
      <x:c r="Q400" s="627" t="n">
        <x:v>1287271.41</x:v>
      </x:c>
      <x:c r="R400" s="627" t="n">
        <x:v>-209.89</x:v>
      </x:c>
      <x:c r="S400" s="627" t="n">
        <x:v>0</x:v>
      </x:c>
      <x:c r="T400" s="653" t="n">
        <x:v>0</x:v>
      </x:c>
      <x:c r="U400" s="653">
        <x:v>0</x:v>
      </x:c>
      <x:c r="V400" s="653">
        <x:v>0</x:v>
      </x:c>
      <x:c r="W400" s="653">
        <x:v>0</x:v>
      </x:c>
      <x:c r="X400" s="653">
        <x:v>0</x:v>
      </x:c>
      <x:c r="Y400" s="627">
        <x:v>0</x:v>
      </x:c>
      <x:c r="Z400" s="653" t="n">
        <x:v>0</x:v>
      </x:c>
      <x:c r="BN400" s="624"/>
    </x:row>
    <x:row r="401" spans="1:66" x14ac:dyDescent="0.2">
      <x:c r="A401" s="625"/>
      <x:c r="B401" s="625"/>
      <x:c r="C401"/>
      <x:c r="D401"/>
      <x:c r="E401" s="25" t="inlineStr">
        <x:is>
          <x:t>Vlr Intereses</x:t>
        </x:is>
      </x:c>
      <x:c r="F401" s="627" t="n">
        <x:v>15411450.94</x:v>
      </x:c>
      <x:c r="G401" s="627" t="n">
        <x:v>1726182.39</x:v>
      </x:c>
      <x:c r="H401" s="627" t="n">
        <x:v>769860.72</x:v>
      </x:c>
      <x:c r="I401" s="627" t="n">
        <x:v>305841.89</x:v>
      </x:c>
      <x:c r="J401" s="627" t="n">
        <x:v>2602464.39</x:v>
      </x:c>
      <x:c r="K401" s="627" t="n">
        <x:v>100531.14</x:v>
      </x:c>
      <x:c r="L401" s="627" t="n">
        <x:v>7106.45</x:v>
      </x:c>
      <x:c r="M401" s="627" t="n">
        <x:v>880027.17</x:v>
      </x:c>
      <x:c r="N401" s="627" t="n">
        <x:v>1051372.76</x:v>
      </x:c>
      <x:c r="O401" s="627" t="n">
        <x:v>3263318.58</x:v>
      </x:c>
      <x:c r="P401" s="627" t="n">
        <x:v>4540696.83</x:v>
      </x:c>
      <x:c r="Q401" s="627" t="n">
        <x:v>164080.44</x:v>
      </x:c>
      <x:c r="R401" s="627" t="n">
        <x:v>153.19</x:v>
      </x:c>
      <x:c r="S401" s="627" t="n">
        <x:v>-7.76</x:v>
      </x:c>
      <x:c r="T401" s="653" t="n">
        <x:v>0.89</x:v>
      </x:c>
      <x:c r="U401" s="653">
        <x:v>0</x:v>
      </x:c>
      <x:c r="V401" s="653">
        <x:v>0</x:v>
      </x:c>
      <x:c r="W401" s="653">
        <x:v>0</x:v>
      </x:c>
      <x:c r="X401" s="653">
        <x:v>0</x:v>
      </x:c>
      <x:c r="Y401" s="627">
        <x:v>0</x:v>
      </x:c>
      <x:c r="Z401" s="653" t="n">
        <x:v>-178.14</x:v>
      </x:c>
      <x:c r="BN401" s="624"/>
    </x:row>
    <x:row r="402" spans="1:66" x14ac:dyDescent="0.2">
      <x:c r="A402" s="625"/>
      <x:c r="B402" s="625"/>
      <x:c r="C402"/>
      <x:c r="D402" s="25" t="inlineStr">
        <x:is>
          <x:t>O</x:t>
        </x:is>
      </x:c>
      <x:c r="E402" s="25" t="inlineStr">
        <x:is>
          <x:t>Total</x:t>
        </x:is>
      </x:c>
      <x:c r="F402" s="627" t="n">
        <x:v>135024302.92</x:v>
      </x:c>
      <x:c r="G402" s="627" t="n">
        <x:v>10018572.42</x:v>
      </x:c>
      <x:c r="H402" s="627" t="n">
        <x:v>5154714.08</x:v>
      </x:c>
      <x:c r="I402" s="627" t="n">
        <x:v>2560534.93</x:v>
      </x:c>
      <x:c r="J402" s="627" t="n">
        <x:v>25904837.38</x:v>
      </x:c>
      <x:c r="K402" s="627" t="n">
        <x:v>887029.47</x:v>
      </x:c>
      <x:c r="L402" s="627" t="n">
        <x:v>7106.45</x:v>
      </x:c>
      <x:c r="M402" s="627" t="n">
        <x:v>7856693.21</x:v>
      </x:c>
      <x:c r="N402" s="627" t="n">
        <x:v>9426201.2</x:v>
      </x:c>
      <x:c r="O402" s="627" t="n">
        <x:v>44990383.89</x:v>
      </x:c>
      <x:c r="P402" s="627" t="n">
        <x:v>26767119.75</x:v>
      </x:c>
      <x:c r="Q402" s="627" t="n">
        <x:v>1451351.85</x:v>
      </x:c>
      <x:c r="R402" s="627" t="n">
        <x:v>-56.7</x:v>
      </x:c>
      <x:c r="S402" s="627" t="n">
        <x:v>-7.76</x:v>
      </x:c>
      <x:c r="T402" s="653" t="n">
        <x:v>0.89</x:v>
      </x:c>
      <x:c r="U402" s="653">
        <x:v>0</x:v>
      </x:c>
      <x:c r="V402" s="653">
        <x:v>0</x:v>
      </x:c>
      <x:c r="W402" s="653">
        <x:v>0</x:v>
      </x:c>
      <x:c r="X402" s="653">
        <x:v>0</x:v>
      </x:c>
      <x:c r="Y402" s="627">
        <x:v>0</x:v>
      </x:c>
      <x:c r="Z402" s="653" t="n">
        <x:v>-178.14</x:v>
      </x:c>
      <x:c r="BN402" s="624"/>
    </x:row>
    <x:row r="403" spans="1:66" x14ac:dyDescent="0.2">
      <x:c r="A403" s="631"/>
      <x:c r="B403" s="631"/>
      <x:c r="C403" s="632"/>
      <x:c r="D403" s="632"/>
      <x:c r="E403" s="631" t="inlineStr">
        <x:is>
          <x:t>Vlr Servicio</x:t>
        </x:is>
      </x:c>
      <x:c r="F403" s="633" t="n">
        <x:v>446543960.28</x:v>
      </x:c>
      <x:c r="G403" s="633" t="n">
        <x:v>66854304.45</x:v>
      </x:c>
      <x:c r="H403" s="633" t="n">
        <x:v>37816769.84</x:v>
      </x:c>
      <x:c r="I403" s="633" t="n">
        <x:v>20303817.34</x:v>
      </x:c>
      <x:c r="J403" s="633" t="n">
        <x:v>43780605.03</x:v>
      </x:c>
      <x:c r="K403" s="633" t="n">
        <x:v>1135251.91</x:v>
      </x:c>
      <x:c r="L403" s="633" t="n">
        <x:v>2445230</x:v>
      </x:c>
      <x:c r="M403" s="633" t="n">
        <x:v>9919745.51</x:v>
      </x:c>
      <x:c r="N403" s="633" t="n">
        <x:v>14017427.35</x:v>
      </x:c>
      <x:c r="O403" s="633" t="n">
        <x:v>70719234.17</x:v>
      </x:c>
      <x:c r="P403" s="633" t="n">
        <x:v>177697375.5</x:v>
      </x:c>
      <x:c r="Q403" s="633" t="n">
        <x:v>1853373.37</x:v>
      </x:c>
      <x:c r="R403" s="633" t="n">
        <x:v>825.81</x:v>
      </x:c>
      <x:c r="S403" s="633" t="n">
        <x:v>0</x:v>
      </x:c>
      <x:c r="T403" s="633" t="n">
        <x:v>0</x:v>
      </x:c>
      <x:c r="U403" s="633">
        <x:v>0</x:v>
      </x:c>
      <x:c r="V403" s="633">
        <x:v>0</x:v>
      </x:c>
      <x:c r="W403" s="633">
        <x:v>0</x:v>
      </x:c>
      <x:c r="X403" s="633">
        <x:v>0</x:v>
      </x:c>
      <x:c r="Y403" s="633">
        <x:v>0</x:v>
      </x:c>
      <x:c r="Z403" s="633" t="n">
        <x:v>0</x:v>
      </x:c>
      <x:c r="AA403" s="631"/>
      <x:c r="AB403" s="631"/>
      <x:c r="AC403" s="631"/>
      <x:c r="AD403" s="631"/>
      <x:c r="AE403" s="631"/>
      <x:c r="AF403" s="631"/>
      <x:c r="AG403" s="631"/>
      <x:c r="AH403" s="631"/>
      <x:c r="AI403" s="631"/>
      <x:c r="AJ403" s="631"/>
      <x:c r="AK403" s="631"/>
      <x:c r="AL403" s="631"/>
      <x:c r="AM403" s="631"/>
      <x:c r="AN403" s="631"/>
      <x:c r="AO403" s="631"/>
      <x:c r="AP403" s="631"/>
      <x:c r="AQ403" s="631"/>
      <x:c r="AR403" s="631"/>
      <x:c r="AS403" s="631"/>
      <x:c r="AT403" s="631"/>
      <x:c r="AU403" s="631"/>
      <x:c r="AV403" s="631"/>
      <x:c r="AW403" s="631"/>
      <x:c r="AX403" s="631"/>
      <x:c r="AY403" s="631"/>
      <x:c r="AZ403" s="631"/>
      <x:c r="BA403" s="631"/>
      <x:c r="BB403" s="631"/>
      <x:c r="BC403" s="631"/>
      <x:c r="BD403" s="631"/>
      <x:c r="BE403" s="631"/>
      <x:c r="BF403" s="631"/>
      <x:c r="BG403" s="631"/>
      <x:c r="BH403" s="631"/>
      <x:c r="BI403" s="631"/>
      <x:c r="BJ403" s="631"/>
      <x:c r="BK403" s="631"/>
      <x:c r="BL403" s="631"/>
      <x:c r="BM403" s="631"/>
      <x:c r="BN403" s="624"/>
    </x:row>
    <x:row r="404" spans="1:66" x14ac:dyDescent="0.2">
      <x:c r="A404" s="638"/>
      <x:c r="B404" s="639"/>
      <x:c r="C404" s="639"/>
      <x:c r="D404" s="638"/>
      <x:c r="E404" s="638" t="inlineStr">
        <x:is>
          <x:t>Vlr Intereses</x:t>
        </x:is>
      </x:c>
      <x:c r="F404" s="640" t="n">
        <x:v>894038.45</x:v>
      </x:c>
      <x:c r="G404" s="640" t="n">
        <x:v>112344.75</x:v>
      </x:c>
      <x:c r="H404" s="640" t="n">
        <x:v>61002.58</x:v>
      </x:c>
      <x:c r="I404" s="640" t="n">
        <x:v>32461.38</x:v>
      </x:c>
      <x:c r="J404" s="640" t="n">
        <x:v>277351.73</x:v>
      </x:c>
      <x:c r="K404" s="640" t="n">
        <x:v>7905.64</x:v>
      </x:c>
      <x:c r="L404" s="640" t="n">
        <x:v>384.17</x:v>
      </x:c>
      <x:c r="M404" s="640" t="n">
        <x:v>69273.59</x:v>
      </x:c>
      <x:c r="N404" s="640" t="n">
        <x:v>92469.56</x:v>
      </x:c>
      <x:c r="O404" s="640" t="n">
        <x:v>-74928.42</x:v>
      </x:c>
      <x:c r="P404" s="640" t="n">
        <x:v>302876.88</x:v>
      </x:c>
      <x:c r="Q404" s="640" t="n">
        <x:v>12896.23</x:v>
      </x:c>
      <x:c r="R404" s="640" t="n">
        <x:v>0.35</x:v>
      </x:c>
      <x:c r="S404" s="640" t="n">
        <x:v>0.01</x:v>
      </x:c>
      <x:c r="T404" s="640" t="n">
        <x:v>0</x:v>
      </x:c>
      <x:c r="U404" s="640">
        <x:v>0</x:v>
      </x:c>
      <x:c r="V404" s="640">
        <x:v>0</x:v>
      </x:c>
      <x:c r="W404" s="640">
        <x:v>0</x:v>
      </x:c>
      <x:c r="X404" s="640">
        <x:v>0</x:v>
      </x:c>
      <x:c r="Y404" s="640">
        <x:v>0</x:v>
      </x:c>
      <x:c r="Z404" s="640" t="n">
        <x:v>0</x:v>
      </x:c>
      <x:c r="AA404" s="638"/>
      <x:c r="AB404" s="638"/>
      <x:c r="AC404" s="638"/>
      <x:c r="AD404" s="638"/>
      <x:c r="AE404" s="638"/>
      <x:c r="AF404" s="638"/>
      <x:c r="AG404" s="638"/>
      <x:c r="AH404" s="638"/>
      <x:c r="AI404" s="638"/>
      <x:c r="AJ404" s="638"/>
      <x:c r="AK404" s="638"/>
      <x:c r="AL404" s="638"/>
      <x:c r="AM404" s="638"/>
      <x:c r="AN404" s="638"/>
      <x:c r="AO404" s="638"/>
      <x:c r="AP404" s="638"/>
      <x:c r="AQ404" s="638"/>
      <x:c r="AR404" s="638"/>
      <x:c r="AS404" s="638"/>
      <x:c r="AT404" s="638"/>
      <x:c r="AU404" s="638"/>
      <x:c r="AV404" s="638"/>
      <x:c r="AW404" s="638"/>
      <x:c r="AX404" s="638"/>
      <x:c r="AY404" s="638"/>
      <x:c r="AZ404" s="638"/>
      <x:c r="BA404" s="638"/>
      <x:c r="BB404" s="638"/>
      <x:c r="BC404" s="638"/>
      <x:c r="BD404" s="638"/>
      <x:c r="BE404" s="638"/>
      <x:c r="BF404" s="638"/>
      <x:c r="BG404" s="638"/>
      <x:c r="BH404" s="638"/>
      <x:c r="BI404" s="638"/>
      <x:c r="BJ404" s="638"/>
      <x:c r="BK404" s="638"/>
      <x:c r="BL404" s="638"/>
      <x:c r="BM404" s="638"/>
      <x:c r="BN404" s="624"/>
    </x:row>
    <x:row r="405" spans="1:66" x14ac:dyDescent="0.2">
      <x:c r="A405" s="625"/>
      <x:c r="B405" s="625"/>
      <x:c r="C405"/>
      <x:c r="D405" t="inlineStr">
        <x:is>
          <x:t>T</x:t>
        </x:is>
      </x:c>
      <x:c r="E405" t="inlineStr">
        <x:is>
          <x:t>Total</x:t>
        </x:is>
      </x:c>
      <x:c r="F405" s="627" t="n">
        <x:v>447437998.73</x:v>
      </x:c>
      <x:c r="G405" s="627" t="n">
        <x:v>66966649.2</x:v>
      </x:c>
      <x:c r="H405" s="627" t="n">
        <x:v>37877772.42</x:v>
      </x:c>
      <x:c r="I405" s="627" t="n">
        <x:v>20336278.72</x:v>
      </x:c>
      <x:c r="J405" s="627" t="n">
        <x:v>44057956.76</x:v>
      </x:c>
      <x:c r="K405" s="627" t="n">
        <x:v>1143157.55</x:v>
      </x:c>
      <x:c r="L405" s="627" t="n">
        <x:v>2445614.17</x:v>
      </x:c>
      <x:c r="M405" s="627" t="n">
        <x:v>9989019.1</x:v>
      </x:c>
      <x:c r="N405" s="627" t="n">
        <x:v>14109896.91</x:v>
      </x:c>
      <x:c r="O405" s="627" t="n">
        <x:v>70644305.75</x:v>
      </x:c>
      <x:c r="P405" s="627" t="n">
        <x:v>178000252.38</x:v>
      </x:c>
      <x:c r="Q405" s="627" t="n">
        <x:v>1866269.6</x:v>
      </x:c>
      <x:c r="R405" s="627" t="n">
        <x:v>826.16</x:v>
      </x:c>
      <x:c r="S405" s="627" t="n">
        <x:v>0.01</x:v>
      </x:c>
      <x:c r="T405" s="653" t="n">
        <x:v>0</x:v>
      </x:c>
      <x:c r="U405" s="653">
        <x:v>0</x:v>
      </x:c>
      <x:c r="V405" s="653">
        <x:v>0</x:v>
      </x:c>
      <x:c r="W405" s="653">
        <x:v>0</x:v>
      </x:c>
      <x:c r="X405" s="653">
        <x:v>0</x:v>
      </x:c>
      <x:c r="Y405" s="627">
        <x:v>0</x:v>
      </x:c>
      <x:c r="Z405" s="653" t="n">
        <x:v>0</x:v>
      </x:c>
      <x:c r="BN405" s="624"/>
    </x:row>
    <x:row r="406" spans="1:66" x14ac:dyDescent="0.2">
      <x:c r="A406"/>
      <x:c r="B406"/>
      <x:c r="C406" t="inlineStr">
        <x:is>
          <x:t>OCCIDENTE</x:t>
        </x:is>
      </x:c>
      <x:c r="D406" t="inlineStr">
        <x:is>
          <x:t>Total</x:t>
        </x:is>
      </x:c>
      <x:c r="E406" s="625"/>
      <x:c r="F406" s="627" t="n">
        <x:v>818884043.29</x:v>
      </x:c>
      <x:c r="G406" s="627" t="n">
        <x:v>90946915.05</x:v>
      </x:c>
      <x:c r="H406" s="627" t="n">
        <x:v>50953671.18</x:v>
      </x:c>
      <x:c r="I406" s="627" t="n">
        <x:v>27103248.69</x:v>
      </x:c>
      <x:c r="J406" s="627" t="n">
        <x:v>123678416.12</x:v>
      </x:c>
      <x:c r="K406" s="627" t="n">
        <x:v>3392671.87</x:v>
      </x:c>
      <x:c r="L406" s="627" t="n">
        <x:v>3469200.94</x:v>
      </x:c>
      <x:c r="M406" s="627" t="n">
        <x:v>29788457.75</x:v>
      </x:c>
      <x:c r="N406" s="627" t="n">
        <x:v>40768324.43</x:v>
      </x:c>
      <x:c r="O406" s="627" t="n">
        <x:v>201040791.53</x:v>
      </x:c>
      <x:c r="P406" s="627" t="n">
        <x:v>242197859.19</x:v>
      </x:c>
      <x:c r="Q406" s="627" t="n">
        <x:v>5543172.81</x:v>
      </x:c>
      <x:c r="R406" s="627" t="n">
        <x:v>1498.71</x:v>
      </x:c>
      <x:c r="S406" s="627" t="n">
        <x:v>-7.75</x:v>
      </x:c>
      <x:c r="T406" s="653" t="n">
        <x:v>0.91</x:v>
      </x:c>
      <x:c r="U406" s="653">
        <x:v>0</x:v>
      </x:c>
      <x:c r="V406" s="653">
        <x:v>0</x:v>
      </x:c>
      <x:c r="W406" s="653">
        <x:v>0</x:v>
      </x:c>
      <x:c r="X406" s="653">
        <x:v>0</x:v>
      </x:c>
      <x:c r="Y406" s="627">
        <x:v>0</x:v>
      </x:c>
      <x:c r="Z406" s="653" t="n">
        <x:v>-178.14</x:v>
      </x:c>
      <x:c r="BN406" s="624"/>
    </x:row>
    <x:row r="407" spans="1:66" x14ac:dyDescent="0.2">
      <x:c r="A407"/>
      <x:c r="B407" t="inlineStr">
        <x:is>
          <x:t>Mes</x:t>
        </x:is>
      </x:c>
      <x:c r="C407" t="inlineStr">
        <x:is>
          <x:t>Total</x:t>
        </x:is>
      </x:c>
      <x:c r="D407" s="25"/>
      <x:c r="E407" s="625"/>
      <x:c r="F407" s="627" t="n">
        <x:v>9039100669.59</x:v>
      </x:c>
      <x:c r="G407" s="627" t="n">
        <x:v>511318695.48</x:v>
      </x:c>
      <x:c r="H407" s="627" t="n">
        <x:v>286714188.68</x:v>
      </x:c>
      <x:c r="I407" s="627" t="n">
        <x:v>151168980.8</x:v>
      </x:c>
      <x:c r="J407" s="627" t="n">
        <x:v>2089520293.72</x:v>
      </x:c>
      <x:c r="K407" s="627" t="n">
        <x:v>72385546.15</x:v>
      </x:c>
      <x:c r="L407" s="627" t="n">
        <x:v>11217476.99</x:v>
      </x:c>
      <x:c r="M407" s="627" t="n">
        <x:v>634358246.12</x:v>
      </x:c>
      <x:c r="N407" s="627" t="n">
        <x:v>627983953.88</x:v>
      </x:c>
      <x:c r="O407" s="627" t="n">
        <x:v>3181406358.43</x:v>
      </x:c>
      <x:c r="P407" s="627" t="n">
        <x:v>1354908058.99</x:v>
      </x:c>
      <x:c r="Q407" s="627" t="n">
        <x:v>118131021.82</x:v>
      </x:c>
      <x:c r="R407" s="627" t="n">
        <x:v>-12115.9</x:v>
      </x:c>
      <x:c r="S407" s="627" t="n">
        <x:v>-7.75</x:v>
      </x:c>
      <x:c r="T407" s="653" t="n">
        <x:v>151.03</x:v>
      </x:c>
      <x:c r="U407" s="653">
        <x:v>0</x:v>
      </x:c>
      <x:c r="V407" s="653">
        <x:v>0</x:v>
      </x:c>
      <x:c r="W407" s="653">
        <x:v>0</x:v>
      </x:c>
      <x:c r="X407" s="653">
        <x:v>0</x:v>
      </x:c>
      <x:c r="Y407" s="627">
        <x:v>0</x:v>
      </x:c>
      <x:c r="Z407" s="653" t="n">
        <x:v>-178.85</x:v>
      </x:c>
      <x:c r="BN407" s="624"/>
    </x:row>
    <x:row r="408" spans="1:66" x14ac:dyDescent="0.2">
      <x:c r="A408" s="628" t="inlineStr">
        <x:is>
          <x:t>Componente</x:t>
        </x:is>
      </x:c>
      <x:c r="B408" s="628" t="inlineStr">
        <x:is>
          <x:t>Total</x:t>
        </x:is>
      </x:c>
      <x:c r="C408" s="628"/>
      <x:c r="D408" s="628"/>
      <x:c r="E408" s="629"/>
      <x:c r="F408" s="630" t="n">
        <x:v>9043254920.41</x:v>
      </x:c>
      <x:c r="G408" s="630" t="n">
        <x:v>511552955.05</x:v>
      </x:c>
      <x:c r="H408" s="630" t="n">
        <x:v>286850076.31</x:v>
      </x:c>
      <x:c r="I408" s="630" t="n">
        <x:v>151238993.45</x:v>
      </x:c>
      <x:c r="J408" s="630" t="n">
        <x:v>2090461601.69</x:v>
      </x:c>
      <x:c r="K408" s="630" t="n">
        <x:v>72416826.37</x:v>
      </x:c>
      <x:c r="L408" s="630" t="n">
        <x:v>11217476.99</x:v>
      </x:c>
      <x:c r="M408" s="630" t="n">
        <x:v>634632634.06</x:v>
      </x:c>
      <x:c r="N408" s="630" t="n">
        <x:v>628280959.94</x:v>
      </x:c>
      <x:c r="O408" s="630" t="n">
        <x:v>3182902460.87</x:v>
      </x:c>
      <x:c r="P408" s="630" t="n">
        <x:v>1355531027.33</x:v>
      </x:c>
      <x:c r="Q408" s="630" t="n">
        <x:v>118182057.79</x:v>
      </x:c>
      <x:c r="R408" s="630" t="n">
        <x:v>-12113.87</x:v>
      </x:c>
      <x:c r="S408" s="630" t="n">
        <x:v>-7.75</x:v>
      </x:c>
      <x:c r="T408" s="630" t="n">
        <x:v>151.03</x:v>
      </x:c>
      <x:c r="U408" s="630">
        <x:v>0</x:v>
      </x:c>
      <x:c r="V408" s="630">
        <x:v>0</x:v>
      </x:c>
      <x:c r="W408" s="630">
        <x:v>0</x:v>
      </x:c>
      <x:c r="X408" s="630">
        <x:v>0</x:v>
      </x:c>
      <x:c r="Y408" s="630">
        <x:v>0</x:v>
      </x:c>
      <x:c r="Z408" s="630" t="n">
        <x:v>-178.85</x:v>
      </x:c>
      <x:c r="AA408" s="628"/>
      <x:c r="AB408" s="628"/>
      <x:c r="AC408" s="628"/>
      <x:c r="AD408" s="628"/>
      <x:c r="AE408" s="628"/>
      <x:c r="AF408" s="628"/>
      <x:c r="AG408" s="628"/>
      <x:c r="AH408" s="628"/>
      <x:c r="AI408" s="628"/>
      <x:c r="AJ408" s="628"/>
      <x:c r="AK408" s="628"/>
      <x:c r="AL408" s="628"/>
      <x:c r="AM408" s="628"/>
      <x:c r="AN408" s="628"/>
      <x:c r="AO408" s="628"/>
      <x:c r="AP408" s="628"/>
      <x:c r="AQ408" s="628"/>
      <x:c r="AR408" s="628"/>
      <x:c r="AS408" s="628"/>
      <x:c r="AT408" s="628"/>
      <x:c r="AU408" s="628"/>
      <x:c r="AV408" s="628"/>
      <x:c r="AW408" s="628"/>
      <x:c r="AX408" s="628"/>
      <x:c r="AY408" s="628"/>
      <x:c r="AZ408" s="628"/>
      <x:c r="BA408" s="628"/>
      <x:c r="BB408" s="628"/>
      <x:c r="BC408" s="628"/>
      <x:c r="BD408" s="628"/>
      <x:c r="BE408" s="628"/>
      <x:c r="BF408" s="628"/>
      <x:c r="BG408" s="628"/>
      <x:c r="BH408" s="628"/>
      <x:c r="BI408" s="628"/>
      <x:c r="BJ408" s="628"/>
      <x:c r="BK408" s="628"/>
      <x:c r="BL408" s="628"/>
      <x:c r="BM408" s="628"/>
      <x:c r="BN408" s="624"/>
    </x:row>
    <x:row r="409" spans="1:66" x14ac:dyDescent="0.2">
      <x:c r="A409"/>
      <x:c r="B409"/>
      <x:c r="C409"/>
      <x:c r="D409"/>
      <x:c r="E409" s="625" t="inlineStr">
        <x:is>
          <x:t>Subsidio(-)/Contribucion(+)</x:t>
        </x:is>
      </x:c>
      <x:c r="F409" s="627" t="n">
        <x:v>-75886.57</x:v>
      </x:c>
      <x:c r="G409" s="627" t="n">
        <x:v>21412.4</x:v>
      </x:c>
      <x:c r="H409" s="627" t="n">
        <x:v>12149.5</x:v>
      </x:c>
      <x:c r="I409" s="627" t="n">
        <x:v>6596.89</x:v>
      </x:c>
      <x:c r="J409" s="627" t="n">
        <x:v>-52501</x:v>
      </x:c>
      <x:c r="K409" s="627" t="n">
        <x:v>-1820.39</x:v>
      </x:c>
      <x:c r="L409" s="627" t="n">
        <x:v>0</x:v>
      </x:c>
      <x:c r="M409" s="627" t="n">
        <x:v>-15969.4</x:v>
      </x:c>
      <x:c r="N409" s="627" t="n">
        <x:v>-16468.37</x:v>
      </x:c>
      <x:c r="O409" s="627" t="n">
        <x:v>-85136.83</x:v>
      </x:c>
      <x:c r="P409" s="627" t="n">
        <x:v>58820.91</x:v>
      </x:c>
      <x:c r="Q409" s="627" t="n">
        <x:v>-2970.28</x:v>
      </x:c>
      <x:c r="R409" s="627" t="n">
        <x:v>0</x:v>
      </x:c>
      <x:c r="S409" s="627" t="n">
        <x:v>0</x:v>
      </x:c>
      <x:c r="T409" s="653" t="n">
        <x:v>0</x:v>
      </x:c>
      <x:c r="U409" s="653">
        <x:v>0</x:v>
      </x:c>
      <x:c r="V409" s="653">
        <x:v>0</x:v>
      </x:c>
      <x:c r="W409" s="653">
        <x:v>0</x:v>
      </x:c>
      <x:c r="X409" s="653">
        <x:v>0</x:v>
      </x:c>
      <x:c r="Y409" s="627">
        <x:v>0</x:v>
      </x:c>
      <x:c r="Z409" s="653" t="n">
        <x:v>0</x:v>
      </x:c>
      <x:c r="BN409" s="624"/>
    </x:row>
    <x:row r="410" spans="1:66" x14ac:dyDescent="0.2">
      <x:c r="A410"/>
      <x:c r="B410"/>
      <x:c r="C410"/>
      <x:c r="D410" s="25" t="inlineStr">
        <x:is>
          <x:t>E</x:t>
        </x:is>
      </x:c>
      <x:c r="E410" s="625" t="inlineStr">
        <x:is>
          <x:t>Total</x:t>
        </x:is>
      </x:c>
      <x:c r="F410" s="627" t="n">
        <x:v>-75886.57</x:v>
      </x:c>
      <x:c r="G410" s="627" t="n">
        <x:v>21412.4</x:v>
      </x:c>
      <x:c r="H410" s="627" t="n">
        <x:v>12149.5</x:v>
      </x:c>
      <x:c r="I410" s="627" t="n">
        <x:v>6596.89</x:v>
      </x:c>
      <x:c r="J410" s="627" t="n">
        <x:v>-52501</x:v>
      </x:c>
      <x:c r="K410" s="627" t="n">
        <x:v>-1820.39</x:v>
      </x:c>
      <x:c r="L410" s="627" t="n">
        <x:v>0</x:v>
      </x:c>
      <x:c r="M410" s="627" t="n">
        <x:v>-15969.4</x:v>
      </x:c>
      <x:c r="N410" s="627" t="n">
        <x:v>-16468.37</x:v>
      </x:c>
      <x:c r="O410" s="627" t="n">
        <x:v>-85136.83</x:v>
      </x:c>
      <x:c r="P410" s="627" t="n">
        <x:v>58820.91</x:v>
      </x:c>
      <x:c r="Q410" s="627" t="n">
        <x:v>-2970.28</x:v>
      </x:c>
      <x:c r="R410" s="627" t="n">
        <x:v>0</x:v>
      </x:c>
      <x:c r="S410" s="627" t="n">
        <x:v>0</x:v>
      </x:c>
      <x:c r="T410" s="653" t="n">
        <x:v>0</x:v>
      </x:c>
      <x:c r="U410" s="653">
        <x:v>0</x:v>
      </x:c>
      <x:c r="V410" s="653">
        <x:v>0</x:v>
      </x:c>
      <x:c r="W410" s="653">
        <x:v>0</x:v>
      </x:c>
      <x:c r="X410" s="653">
        <x:v>0</x:v>
      </x:c>
      <x:c r="Y410" s="627">
        <x:v>0</x:v>
      </x:c>
      <x:c r="Z410" s="653" t="n">
        <x:v>0</x:v>
      </x:c>
      <x:c r="BN410" s="624"/>
    </x:row>
    <x:row r="411" spans="1:66" x14ac:dyDescent="0.2">
      <x:c r="A411" s="631"/>
      <x:c r="B411" s="631"/>
      <x:c r="C411" s="632" t="inlineStr">
        <x:is>
          <x:t>ENEL</x:t>
        </x:is>
      </x:c>
      <x:c r="D411" s="632" t="inlineStr">
        <x:is>
          <x:t>Total</x:t>
        </x:is>
      </x:c>
      <x:c r="E411" s="631"/>
      <x:c r="F411" s="633" t="n">
        <x:v>-75886.57</x:v>
      </x:c>
      <x:c r="G411" s="633" t="n">
        <x:v>21412.4</x:v>
      </x:c>
      <x:c r="H411" s="633" t="n">
        <x:v>12149.5</x:v>
      </x:c>
      <x:c r="I411" s="633" t="n">
        <x:v>6596.89</x:v>
      </x:c>
      <x:c r="J411" s="633" t="n">
        <x:v>-52501</x:v>
      </x:c>
      <x:c r="K411" s="633" t="n">
        <x:v>-1820.39</x:v>
      </x:c>
      <x:c r="L411" s="633" t="n">
        <x:v>0</x:v>
      </x:c>
      <x:c r="M411" s="633" t="n">
        <x:v>-15969.4</x:v>
      </x:c>
      <x:c r="N411" s="633" t="n">
        <x:v>-16468.37</x:v>
      </x:c>
      <x:c r="O411" s="633" t="n">
        <x:v>-85136.83</x:v>
      </x:c>
      <x:c r="P411" s="633" t="n">
        <x:v>58820.91</x:v>
      </x:c>
      <x:c r="Q411" s="633" t="n">
        <x:v>-2970.28</x:v>
      </x:c>
      <x:c r="R411" s="633" t="n">
        <x:v>0</x:v>
      </x:c>
      <x:c r="S411" s="633" t="n">
        <x:v>0</x:v>
      </x:c>
      <x:c r="T411" s="633" t="n">
        <x:v>0</x:v>
      </x:c>
      <x:c r="U411" s="633">
        <x:v>0</x:v>
      </x:c>
      <x:c r="V411" s="633">
        <x:v>0</x:v>
      </x:c>
      <x:c r="W411" s="633">
        <x:v>0</x:v>
      </x:c>
      <x:c r="X411" s="633">
        <x:v>0</x:v>
      </x:c>
      <x:c r="Y411" s="633">
        <x:v>0</x:v>
      </x:c>
      <x:c r="Z411" s="633" t="n">
        <x:v>0</x:v>
      </x:c>
      <x:c r="AA411" s="631"/>
      <x:c r="AB411" s="631"/>
      <x:c r="AC411" s="631"/>
      <x:c r="AD411" s="631"/>
      <x:c r="AE411" s="631"/>
      <x:c r="AF411" s="631"/>
      <x:c r="AG411" s="631"/>
      <x:c r="AH411" s="631"/>
      <x:c r="AI411" s="631"/>
      <x:c r="AJ411" s="631"/>
      <x:c r="AK411" s="631"/>
      <x:c r="AL411" s="631"/>
      <x:c r="AM411" s="631"/>
      <x:c r="AN411" s="631"/>
      <x:c r="AO411" s="631"/>
      <x:c r="AP411" s="631"/>
      <x:c r="AQ411" s="631"/>
      <x:c r="AR411" s="631"/>
      <x:c r="AS411" s="631"/>
      <x:c r="AT411" s="631"/>
      <x:c r="AU411" s="631"/>
      <x:c r="AV411" s="631"/>
      <x:c r="AW411" s="631"/>
      <x:c r="AX411" s="631"/>
      <x:c r="AY411" s="631"/>
      <x:c r="AZ411" s="631"/>
      <x:c r="BA411" s="631"/>
      <x:c r="BB411" s="631"/>
      <x:c r="BC411" s="631"/>
      <x:c r="BD411" s="631"/>
      <x:c r="BE411" s="631"/>
      <x:c r="BF411" s="631"/>
      <x:c r="BG411" s="631"/>
      <x:c r="BH411" s="631"/>
      <x:c r="BI411" s="631"/>
      <x:c r="BJ411" s="631"/>
      <x:c r="BK411" s="631"/>
      <x:c r="BL411" s="631"/>
      <x:c r="BM411" s="631"/>
      <x:c r="BN411" s="624"/>
    </x:row>
    <x:row r="412" spans="1:66" x14ac:dyDescent="0.2">
      <x:c r="A412" s="635"/>
      <x:c r="B412" s="635"/>
      <x:c r="C412" s="635"/>
      <x:c r="D412" s="635"/>
      <x:c r="E412" s="636" t="inlineStr">
        <x:is>
          <x:t>Subsidio(-)/Contribucion(+)</x:t>
        </x:is>
      </x:c>
      <x:c r="F412" s="637" t="n">
        <x:v>22589.13</x:v>
      </x:c>
      <x:c r="G412" s="637" t="n">
        <x:v>1124.45</x:v>
      </x:c>
      <x:c r="H412" s="637" t="n">
        <x:v>636.15</x:v>
      </x:c>
      <x:c r="I412" s="637" t="n">
        <x:v>338.95</x:v>
      </x:c>
      <x:c r="J412" s="637" t="n">
        <x:v>5266.33</x:v>
      </x:c>
      <x:c r="K412" s="637" t="n">
        <x:v>223.93</x:v>
      </x:c>
      <x:c r="L412" s="637" t="n">
        <x:v>0</x:v>
      </x:c>
      <x:c r="M412" s="637" t="n">
        <x:v>1964.49</x:v>
      </x:c>
      <x:c r="N412" s="637" t="n">
        <x:v>1620.27</x:v>
      </x:c>
      <x:c r="O412" s="637" t="n">
        <x:v>8022.02</x:v>
      </x:c>
      <x:c r="P412" s="637" t="n">
        <x:v>3027.13</x:v>
      </x:c>
      <x:c r="Q412" s="637" t="n">
        <x:v>365.41</x:v>
      </x:c>
      <x:c r="R412" s="637" t="n">
        <x:v>0</x:v>
      </x:c>
      <x:c r="S412" s="637" t="n">
        <x:v>0</x:v>
      </x:c>
      <x:c r="T412" s="637" t="n">
        <x:v>0</x:v>
      </x:c>
      <x:c r="U412" s="637">
        <x:v>0</x:v>
      </x:c>
      <x:c r="V412" s="637">
        <x:v>0</x:v>
      </x:c>
      <x:c r="W412" s="637">
        <x:v>0</x:v>
      </x:c>
      <x:c r="X412" s="637">
        <x:v>0</x:v>
      </x:c>
      <x:c r="Y412" s="637">
        <x:v>0</x:v>
      </x:c>
      <x:c r="Z412" s="637" t="n">
        <x:v>0</x:v>
      </x:c>
      <x:c r="AA412" s="635"/>
      <x:c r="AB412" s="635"/>
      <x:c r="AC412" s="635"/>
      <x:c r="AD412" s="635"/>
      <x:c r="AE412" s="635"/>
      <x:c r="AF412" s="635"/>
      <x:c r="AG412" s="635"/>
      <x:c r="AH412" s="635"/>
      <x:c r="AI412" s="635"/>
      <x:c r="AJ412" s="635"/>
      <x:c r="AK412" s="635"/>
      <x:c r="AL412" s="635"/>
      <x:c r="AM412" s="635"/>
      <x:c r="AN412" s="635"/>
      <x:c r="AO412" s="635"/>
      <x:c r="AP412" s="635"/>
      <x:c r="AQ412" s="635"/>
      <x:c r="AR412" s="635"/>
      <x:c r="AS412" s="635"/>
      <x:c r="AT412" s="635"/>
      <x:c r="AU412" s="635"/>
      <x:c r="AV412" s="635"/>
      <x:c r="AW412" s="635"/>
      <x:c r="AX412" s="635"/>
      <x:c r="AY412" s="635"/>
      <x:c r="AZ412" s="635"/>
      <x:c r="BA412" s="635"/>
      <x:c r="BB412" s="635"/>
      <x:c r="BC412" s="635"/>
      <x:c r="BD412" s="635"/>
      <x:c r="BE412" s="635"/>
      <x:c r="BF412" s="635"/>
      <x:c r="BG412" s="635"/>
      <x:c r="BH412" s="635"/>
      <x:c r="BI412" s="635"/>
      <x:c r="BJ412" s="635"/>
      <x:c r="BK412" s="635"/>
      <x:c r="BL412" s="635"/>
      <x:c r="BM412" s="635"/>
      <x:c r="BN412" s="624"/>
    </x:row>
    <x:row r="413" spans="1:66" x14ac:dyDescent="0.2">
      <x:c r="A413"/>
      <x:c r="B413"/>
      <x:c r="C413"/>
      <x:c r="D413" t="inlineStr">
        <x:is>
          <x:t>1</x:t>
        </x:is>
      </x:c>
      <x:c r="E413" s="625" t="inlineStr">
        <x:is>
          <x:t>Total</x:t>
        </x:is>
      </x:c>
      <x:c r="F413" s="627" t="n">
        <x:v>22589.13</x:v>
      </x:c>
      <x:c r="G413" s="627" t="n">
        <x:v>1124.45</x:v>
      </x:c>
      <x:c r="H413" s="627" t="n">
        <x:v>636.15</x:v>
      </x:c>
      <x:c r="I413" s="627" t="n">
        <x:v>338.95</x:v>
      </x:c>
      <x:c r="J413" s="627" t="n">
        <x:v>5266.33</x:v>
      </x:c>
      <x:c r="K413" s="627" t="n">
        <x:v>223.93</x:v>
      </x:c>
      <x:c r="L413" s="627" t="n">
        <x:v>0</x:v>
      </x:c>
      <x:c r="M413" s="627" t="n">
        <x:v>1964.49</x:v>
      </x:c>
      <x:c r="N413" s="627" t="n">
        <x:v>1620.27</x:v>
      </x:c>
      <x:c r="O413" s="627" t="n">
        <x:v>8022.02</x:v>
      </x:c>
      <x:c r="P413" s="627" t="n">
        <x:v>3027.13</x:v>
      </x:c>
      <x:c r="Q413" s="627" t="n">
        <x:v>365.41</x:v>
      </x:c>
      <x:c r="R413" s="627" t="n">
        <x:v>0</x:v>
      </x:c>
      <x:c r="S413" s="627" t="n">
        <x:v>0</x:v>
      </x:c>
      <x:c r="T413" s="653" t="n">
        <x:v>0</x:v>
      </x:c>
      <x:c r="U413" s="653">
        <x:v>0</x:v>
      </x:c>
      <x:c r="V413" s="653">
        <x:v>0</x:v>
      </x:c>
      <x:c r="W413" s="653">
        <x:v>0</x:v>
      </x:c>
      <x:c r="X413" s="653">
        <x:v>0</x:v>
      </x:c>
      <x:c r="Y413" s="627">
        <x:v>0</x:v>
      </x:c>
      <x:c r="Z413" s="653" t="n">
        <x:v>0</x:v>
      </x:c>
      <x:c r="BN413" s="624"/>
    </x:row>
    <x:row r="414" spans="1:66" x14ac:dyDescent="0.2">
      <x:c r="A414"/>
      <x:c r="B414"/>
      <x:c r="C414" t="inlineStr">
        <x:is>
          <x:t>NUEVO ESQUEMA</x:t>
        </x:is>
      </x:c>
      <x:c r="D414" s="625" t="inlineStr">
        <x:is>
          <x:t>Total</x:t>
        </x:is>
      </x:c>
      <x:c r="E414" s="625"/>
      <x:c r="F414" s="627" t="n">
        <x:v>22589.13</x:v>
      </x:c>
      <x:c r="G414" s="627" t="n">
        <x:v>1124.45</x:v>
      </x:c>
      <x:c r="H414" s="627" t="n">
        <x:v>636.15</x:v>
      </x:c>
      <x:c r="I414" s="627" t="n">
        <x:v>338.95</x:v>
      </x:c>
      <x:c r="J414" s="627" t="n">
        <x:v>5266.33</x:v>
      </x:c>
      <x:c r="K414" s="627" t="n">
        <x:v>223.93</x:v>
      </x:c>
      <x:c r="L414" s="627" t="n">
        <x:v>0</x:v>
      </x:c>
      <x:c r="M414" s="627" t="n">
        <x:v>1964.49</x:v>
      </x:c>
      <x:c r="N414" s="627" t="n">
        <x:v>1620.27</x:v>
      </x:c>
      <x:c r="O414" s="627" t="n">
        <x:v>8022.02</x:v>
      </x:c>
      <x:c r="P414" s="627" t="n">
        <x:v>3027.13</x:v>
      </x:c>
      <x:c r="Q414" s="627" t="n">
        <x:v>365.41</x:v>
      </x:c>
      <x:c r="R414" s="627" t="n">
        <x:v>0</x:v>
      </x:c>
      <x:c r="S414" s="627" t="n">
        <x:v>0</x:v>
      </x:c>
      <x:c r="T414" s="653" t="n">
        <x:v>0</x:v>
      </x:c>
      <x:c r="U414" s="653">
        <x:v>0</x:v>
      </x:c>
      <x:c r="V414" s="653">
        <x:v>0</x:v>
      </x:c>
      <x:c r="W414" s="653">
        <x:v>0</x:v>
      </x:c>
      <x:c r="X414" s="653">
        <x:v>0</x:v>
      </x:c>
      <x:c r="Y414" s="627">
        <x:v>0</x:v>
      </x:c>
      <x:c r="Z414" s="653" t="n">
        <x:v>0</x:v>
      </x:c>
      <x:c r="BN414" s="624"/>
    </x:row>
    <x:row r="415" spans="1:66" x14ac:dyDescent="0.2">
      <x:c r="A415" s="628"/>
      <x:c r="B415" s="628"/>
      <x:c r="C415" s="628"/>
      <x:c r="D415" s="628"/>
      <x:c r="E415" s="629" t="inlineStr">
        <x:is>
          <x:t>Subsidio(-)/Contribucion(+)</x:t>
        </x:is>
      </x:c>
      <x:c r="F415" s="630" t="n">
        <x:v>-70543.38</x:v>
      </x:c>
      <x:c r="G415" s="630" t="n">
        <x:v>-3069.48</x:v>
      </x:c>
      <x:c r="H415" s="630" t="n">
        <x:v>-1734.99</x:v>
      </x:c>
      <x:c r="I415" s="630" t="n">
        <x:v>-918.37</x:v>
      </x:c>
      <x:c r="J415" s="630" t="n">
        <x:v>-15369.17</x:v>
      </x:c>
      <x:c r="K415" s="630" t="n">
        <x:v>-578.75</x:v>
      </x:c>
      <x:c r="L415" s="630" t="n">
        <x:v>0</x:v>
      </x:c>
      <x:c r="M415" s="630" t="n">
        <x:v>-5076.82</x:v>
      </x:c>
      <x:c r="N415" s="630" t="n">
        <x:v>-5702.76</x:v>
      </x:c>
      <x:c r="O415" s="630" t="n">
        <x:v>-28945.65</x:v>
      </x:c>
      <x:c r="P415" s="630" t="n">
        <x:v>-8203.09</x:v>
      </x:c>
      <x:c r="Q415" s="630" t="n">
        <x:v>-944.3</x:v>
      </x:c>
      <x:c r="R415" s="630" t="n">
        <x:v>0</x:v>
      </x:c>
      <x:c r="S415" s="630" t="n">
        <x:v>0</x:v>
      </x:c>
      <x:c r="T415" s="630" t="n">
        <x:v>0</x:v>
      </x:c>
      <x:c r="U415" s="630">
        <x:v>0</x:v>
      </x:c>
      <x:c r="V415" s="630">
        <x:v>0</x:v>
      </x:c>
      <x:c r="W415" s="630">
        <x:v>0</x:v>
      </x:c>
      <x:c r="X415" s="630">
        <x:v>0</x:v>
      </x:c>
      <x:c r="Y415" s="630">
        <x:v>0</x:v>
      </x:c>
      <x:c r="Z415" s="630" t="n">
        <x:v>0</x:v>
      </x:c>
      <x:c r="AA415" s="628"/>
      <x:c r="AB415" s="628"/>
      <x:c r="AC415" s="628"/>
      <x:c r="AD415" s="628"/>
      <x:c r="AE415" s="628"/>
      <x:c r="AF415" s="628"/>
      <x:c r="AG415" s="628"/>
      <x:c r="AH415" s="628"/>
      <x:c r="AI415" s="628"/>
      <x:c r="AJ415" s="628"/>
      <x:c r="AK415" s="628"/>
      <x:c r="AL415" s="628"/>
      <x:c r="AM415" s="628"/>
      <x:c r="AN415" s="628"/>
      <x:c r="AO415" s="628"/>
      <x:c r="AP415" s="628"/>
      <x:c r="AQ415" s="628"/>
      <x:c r="AR415" s="628"/>
      <x:c r="AS415" s="628"/>
      <x:c r="AT415" s="628"/>
      <x:c r="AU415" s="628"/>
      <x:c r="AV415" s="628"/>
      <x:c r="AW415" s="628"/>
      <x:c r="AX415" s="628"/>
      <x:c r="AY415" s="628"/>
      <x:c r="AZ415" s="628"/>
      <x:c r="BA415" s="628"/>
      <x:c r="BB415" s="628"/>
      <x:c r="BC415" s="628"/>
      <x:c r="BD415" s="628"/>
      <x:c r="BE415" s="628"/>
      <x:c r="BF415" s="628"/>
      <x:c r="BG415" s="628"/>
      <x:c r="BH415" s="628"/>
      <x:c r="BI415" s="628"/>
      <x:c r="BJ415" s="628"/>
      <x:c r="BK415" s="628"/>
      <x:c r="BL415" s="628"/>
      <x:c r="BM415" s="628"/>
      <x:c r="BN415" s="624"/>
    </x:row>
    <x:row r="416" spans="1:66" x14ac:dyDescent="0.2">
      <x:c r="A416"/>
      <x:c r="B416"/>
      <x:c r="C416"/>
      <x:c r="D416" s="625" t="inlineStr">
        <x:is>
          <x:t>O</x:t>
        </x:is>
      </x:c>
      <x:c r="E416" s="625" t="inlineStr">
        <x:is>
          <x:t>Total</x:t>
        </x:is>
      </x:c>
      <x:c r="F416" s="627" t="n">
        <x:v>-70543.38</x:v>
      </x:c>
      <x:c r="G416" s="627" t="n">
        <x:v>-3069.48</x:v>
      </x:c>
      <x:c r="H416" s="627" t="n">
        <x:v>-1734.99</x:v>
      </x:c>
      <x:c r="I416" s="627" t="n">
        <x:v>-918.37</x:v>
      </x:c>
      <x:c r="J416" s="627" t="n">
        <x:v>-15369.17</x:v>
      </x:c>
      <x:c r="K416" s="627" t="n">
        <x:v>-578.75</x:v>
      </x:c>
      <x:c r="L416" s="627" t="n">
        <x:v>0</x:v>
      </x:c>
      <x:c r="M416" s="627" t="n">
        <x:v>-5076.82</x:v>
      </x:c>
      <x:c r="N416" s="627" t="n">
        <x:v>-5702.76</x:v>
      </x:c>
      <x:c r="O416" s="627" t="n">
        <x:v>-28945.65</x:v>
      </x:c>
      <x:c r="P416" s="627" t="n">
        <x:v>-8203.09</x:v>
      </x:c>
      <x:c r="Q416" s="627" t="n">
        <x:v>-944.3</x:v>
      </x:c>
      <x:c r="R416" s="627" t="n">
        <x:v>0</x:v>
      </x:c>
      <x:c r="S416" s="627" t="n">
        <x:v>0</x:v>
      </x:c>
      <x:c r="T416" s="653" t="n">
        <x:v>0</x:v>
      </x:c>
      <x:c r="U416" s="653">
        <x:v>0</x:v>
      </x:c>
      <x:c r="V416" s="653">
        <x:v>0</x:v>
      </x:c>
      <x:c r="W416" s="653">
        <x:v>0</x:v>
      </x:c>
      <x:c r="X416" s="653">
        <x:v>0</x:v>
      </x:c>
      <x:c r="Y416" s="627">
        <x:v>0</x:v>
      </x:c>
      <x:c r="Z416" s="653" t="n">
        <x:v>0</x:v>
      </x:c>
      <x:c r="BN416" s="624"/>
    </x:row>
    <x:row r="417" spans="1:66" x14ac:dyDescent="0.2">
      <x:c r="A417"/>
      <x:c r="B417"/>
      <x:c r="C417" t="inlineStr">
        <x:is>
          <x:t>OCCIDENTE</x:t>
        </x:is>
      </x:c>
      <x:c r="D417" s="625" t="inlineStr">
        <x:is>
          <x:t>Total</x:t>
        </x:is>
      </x:c>
      <x:c r="E417" s="625"/>
      <x:c r="F417" s="627" t="n">
        <x:v>-70543.38</x:v>
      </x:c>
      <x:c r="G417" s="627" t="n">
        <x:v>-3069.48</x:v>
      </x:c>
      <x:c r="H417" s="627" t="n">
        <x:v>-1734.99</x:v>
      </x:c>
      <x:c r="I417" s="627" t="n">
        <x:v>-918.37</x:v>
      </x:c>
      <x:c r="J417" s="627" t="n">
        <x:v>-15369.17</x:v>
      </x:c>
      <x:c r="K417" s="627" t="n">
        <x:v>-578.75</x:v>
      </x:c>
      <x:c r="L417" s="627" t="n">
        <x:v>0</x:v>
      </x:c>
      <x:c r="M417" s="627" t="n">
        <x:v>-5076.82</x:v>
      </x:c>
      <x:c r="N417" s="627" t="n">
        <x:v>-5702.76</x:v>
      </x:c>
      <x:c r="O417" s="627" t="n">
        <x:v>-28945.65</x:v>
      </x:c>
      <x:c r="P417" s="627" t="n">
        <x:v>-8203.09</x:v>
      </x:c>
      <x:c r="Q417" s="627" t="n">
        <x:v>-944.3</x:v>
      </x:c>
      <x:c r="R417" s="627" t="n">
        <x:v>0</x:v>
      </x:c>
      <x:c r="S417" s="627" t="n">
        <x:v>0</x:v>
      </x:c>
      <x:c r="T417" s="653" t="n">
        <x:v>0</x:v>
      </x:c>
      <x:c r="U417" s="653">
        <x:v>0</x:v>
      </x:c>
      <x:c r="V417" s="653">
        <x:v>0</x:v>
      </x:c>
      <x:c r="W417" s="653">
        <x:v>0</x:v>
      </x:c>
      <x:c r="X417" s="653">
        <x:v>0</x:v>
      </x:c>
      <x:c r="Y417" s="627">
        <x:v>0</x:v>
      </x:c>
      <x:c r="Z417" s="653" t="n">
        <x:v>0</x:v>
      </x:c>
      <x:c r="BN417" s="624"/>
    </x:row>
    <x:row r="418" spans="1:66" x14ac:dyDescent="0.2">
      <x:c r="A418"/>
      <x:c r="B418" t="inlineStr">
        <x:is>
          <x:t>Aplicacion nuevos x reversion</x:t>
        </x:is>
      </x:c>
      <x:c r="C418" t="inlineStr">
        <x:is>
          <x:t>Total</x:t>
        </x:is>
      </x:c>
      <x:c r="D418" s="625"/>
      <x:c r="E418" s="625"/>
      <x:c r="F418" s="627" t="n">
        <x:v>-123840.82</x:v>
      </x:c>
      <x:c r="G418" s="627" t="n">
        <x:v>19467.37</x:v>
      </x:c>
      <x:c r="H418" s="627" t="n">
        <x:v>11050.66</x:v>
      </x:c>
      <x:c r="I418" s="627" t="n">
        <x:v>6017.47</x:v>
      </x:c>
      <x:c r="J418" s="627" t="n">
        <x:v>-62603.84</x:v>
      </x:c>
      <x:c r="K418" s="627" t="n">
        <x:v>-2175.21</x:v>
      </x:c>
      <x:c r="L418" s="627" t="n">
        <x:v>0</x:v>
      </x:c>
      <x:c r="M418" s="627" t="n">
        <x:v>-19081.73</x:v>
      </x:c>
      <x:c r="N418" s="627" t="n">
        <x:v>-20550.86</x:v>
      </x:c>
      <x:c r="O418" s="627" t="n">
        <x:v>-106060.46</x:v>
      </x:c>
      <x:c r="P418" s="627" t="n">
        <x:v>53644.95</x:v>
      </x:c>
      <x:c r="Q418" s="627" t="n">
        <x:v>-3549.17</x:v>
      </x:c>
      <x:c r="R418" s="627" t="n">
        <x:v>0</x:v>
      </x:c>
      <x:c r="S418" s="627" t="n">
        <x:v>0</x:v>
      </x:c>
      <x:c r="T418" s="653" t="n">
        <x:v>0</x:v>
      </x:c>
      <x:c r="U418" s="653">
        <x:v>0</x:v>
      </x:c>
      <x:c r="V418" s="653">
        <x:v>0</x:v>
      </x:c>
      <x:c r="W418" s="653">
        <x:v>0</x:v>
      </x:c>
      <x:c r="X418" s="653">
        <x:v>0</x:v>
      </x:c>
      <x:c r="Y418" s="627">
        <x:v>0</x:v>
      </x:c>
      <x:c r="Z418" s="653" t="n">
        <x:v>0</x:v>
      </x:c>
      <x:c r="BN418" s="624"/>
    </x:row>
    <x:row r="419" spans="1:66" x14ac:dyDescent="0.2">
      <x:c r="A419"/>
      <x:c r="B419"/>
      <x:c r="C419"/>
      <x:c r="D419" s="625"/>
      <x:c r="E419" s="625" t="inlineStr">
        <x:is>
          <x:t>Subsidio(-)/Contribucion(+)</x:t>
        </x:is>
      </x:c>
      <x:c r="F419" s="627" t="n">
        <x:v>-857738903.94</x:v>
      </x:c>
      <x:c r="G419" s="627" t="n">
        <x:v>4405231.86</x:v>
      </x:c>
      <x:c r="H419" s="627" t="n">
        <x:v>2242892.02</x:v>
      </x:c>
      <x:c r="I419" s="627" t="n">
        <x:v>1177898.82</x:v>
      </x:c>
      <x:c r="J419" s="627" t="n">
        <x:v>-272438951.13</x:v>
      </x:c>
      <x:c r="K419" s="627" t="n">
        <x:v>-9479808.46</x:v>
      </x:c>
      <x:c r="L419" s="627" t="n">
        <x:v>0</x:v>
      </x:c>
      <x:c r="M419" s="627" t="n">
        <x:v>-83169863.27</x:v>
      </x:c>
      <x:c r="N419" s="627" t="n">
        <x:v>-80173858.32</x:v>
      </x:c>
      <x:c r="O419" s="627" t="n">
        <x:v>-416001153.35</x:v>
      </x:c>
      <x:c r="P419" s="627" t="n">
        <x:v>11163339.61</x:v>
      </x:c>
      <x:c r="Q419" s="627" t="n">
        <x:v>-15464631.72</x:v>
      </x:c>
      <x:c r="R419" s="627" t="n">
        <x:v>0</x:v>
      </x:c>
      <x:c r="S419" s="627" t="n">
        <x:v>0</x:v>
      </x:c>
      <x:c r="T419" s="653" t="n">
        <x:v>0</x:v>
      </x:c>
      <x:c r="U419" s="653">
        <x:v>0</x:v>
      </x:c>
      <x:c r="V419" s="653">
        <x:v>0</x:v>
      </x:c>
      <x:c r="W419" s="653">
        <x:v>0</x:v>
      </x:c>
      <x:c r="X419" s="653">
        <x:v>0</x:v>
      </x:c>
      <x:c r="Y419" s="627">
        <x:v>0</x:v>
      </x:c>
      <x:c r="Z419" s="653" t="n">
        <x:v>0</x:v>
      </x:c>
      <x:c r="BN419" s="624"/>
    </x:row>
    <x:row r="420" spans="1:66" x14ac:dyDescent="0.2">
      <x:c r="A420"/>
      <x:c r="B420"/>
      <x:c r="C420"/>
      <x:c r="D420" t="inlineStr">
        <x:is>
          <x:t>E</x:t>
        </x:is>
      </x:c>
      <x:c r="E420" s="625" t="inlineStr">
        <x:is>
          <x:t>Total</x:t>
        </x:is>
      </x:c>
      <x:c r="F420" s="627" t="n">
        <x:v>-857738903.94</x:v>
      </x:c>
      <x:c r="G420" s="627" t="n">
        <x:v>4405231.86</x:v>
      </x:c>
      <x:c r="H420" s="627" t="n">
        <x:v>2242892.02</x:v>
      </x:c>
      <x:c r="I420" s="627" t="n">
        <x:v>1177898.82</x:v>
      </x:c>
      <x:c r="J420" s="627" t="n">
        <x:v>-272438951.13</x:v>
      </x:c>
      <x:c r="K420" s="627" t="n">
        <x:v>-9479808.46</x:v>
      </x:c>
      <x:c r="L420" s="627" t="n">
        <x:v>0</x:v>
      </x:c>
      <x:c r="M420" s="627" t="n">
        <x:v>-83169863.27</x:v>
      </x:c>
      <x:c r="N420" s="627" t="n">
        <x:v>-80173858.32</x:v>
      </x:c>
      <x:c r="O420" s="627" t="n">
        <x:v>-416001153.35</x:v>
      </x:c>
      <x:c r="P420" s="627" t="n">
        <x:v>11163339.61</x:v>
      </x:c>
      <x:c r="Q420" s="627" t="n">
        <x:v>-15464631.72</x:v>
      </x:c>
      <x:c r="R420" s="627" t="n">
        <x:v>0</x:v>
      </x:c>
      <x:c r="S420" s="627" t="n">
        <x:v>0</x:v>
      </x:c>
      <x:c r="T420" s="653" t="n">
        <x:v>0</x:v>
      </x:c>
      <x:c r="U420" s="653">
        <x:v>0</x:v>
      </x:c>
      <x:c r="V420" s="653">
        <x:v>0</x:v>
      </x:c>
      <x:c r="W420" s="653">
        <x:v>0</x:v>
      </x:c>
      <x:c r="X420" s="653">
        <x:v>0</x:v>
      </x:c>
      <x:c r="Y420" s="627">
        <x:v>0</x:v>
      </x:c>
      <x:c r="Z420" s="653" t="n">
        <x:v>0</x:v>
      </x:c>
      <x:c r="BN420" s="624"/>
    </x:row>
    <x:row r="421" spans="1:66" x14ac:dyDescent="0.2">
      <x:c r="A421"/>
      <x:c r="B421"/>
      <x:c r="C421" t="inlineStr">
        <x:is>
          <x:t>ENEL</x:t>
        </x:is>
      </x:c>
      <x:c r="D421" s="625" t="inlineStr">
        <x:is>
          <x:t>Total</x:t>
        </x:is>
      </x:c>
      <x:c r="E421" s="625"/>
      <x:c r="F421" s="627" t="n">
        <x:v>-857738903.94</x:v>
      </x:c>
      <x:c r="G421" s="627" t="n">
        <x:v>4405231.86</x:v>
      </x:c>
      <x:c r="H421" s="627" t="n">
        <x:v>2242892.02</x:v>
      </x:c>
      <x:c r="I421" s="627" t="n">
        <x:v>1177898.82</x:v>
      </x:c>
      <x:c r="J421" s="627" t="n">
        <x:v>-272438951.13</x:v>
      </x:c>
      <x:c r="K421" s="627" t="n">
        <x:v>-9479808.46</x:v>
      </x:c>
      <x:c r="L421" s="627" t="n">
        <x:v>0</x:v>
      </x:c>
      <x:c r="M421" s="627" t="n">
        <x:v>-83169863.27</x:v>
      </x:c>
      <x:c r="N421" s="627" t="n">
        <x:v>-80173858.32</x:v>
      </x:c>
      <x:c r="O421" s="627" t="n">
        <x:v>-416001153.35</x:v>
      </x:c>
      <x:c r="P421" s="627" t="n">
        <x:v>11163339.61</x:v>
      </x:c>
      <x:c r="Q421" s="627" t="n">
        <x:v>-15464631.72</x:v>
      </x:c>
      <x:c r="R421" s="627" t="n">
        <x:v>0</x:v>
      </x:c>
      <x:c r="S421" s="627" t="n">
        <x:v>0</x:v>
      </x:c>
      <x:c r="T421" s="653" t="n">
        <x:v>0</x:v>
      </x:c>
      <x:c r="U421" s="653">
        <x:v>0</x:v>
      </x:c>
      <x:c r="V421" s="653">
        <x:v>0</x:v>
      </x:c>
      <x:c r="W421" s="653">
        <x:v>0</x:v>
      </x:c>
      <x:c r="X421" s="653">
        <x:v>0</x:v>
      </x:c>
      <x:c r="Y421" s="627">
        <x:v>0</x:v>
      </x:c>
      <x:c r="Z421" s="653" t="n">
        <x:v>0</x:v>
      </x:c>
      <x:c r="BN421" s="624"/>
    </x:row>
    <x:row r="422" spans="1:66" x14ac:dyDescent="0.2">
      <x:c r="A422" s="667"/>
      <x:c r="B422" s="667"/>
      <x:c r="C422" s="647"/>
      <x:c r="D422" s="647"/>
      <x:c r="E422" s="667" t="inlineStr">
        <x:is>
          <x:t>Subsidio(-)/Contribucion(+)</x:t>
        </x:is>
      </x:c>
      <x:c r="F422" s="648" t="n">
        <x:v>473206.23</x:v>
      </x:c>
      <x:c r="G422" s="648" t="n">
        <x:v>34977.86</x:v>
      </x:c>
      <x:c r="H422" s="648" t="n">
        <x:v>17976.93</x:v>
      </x:c>
      <x:c r="I422" s="648" t="n">
        <x:v>9832.34</x:v>
      </x:c>
      <x:c r="J422" s="648" t="n">
        <x:v>58508.14</x:v>
      </x:c>
      <x:c r="K422" s="648" t="n">
        <x:v>3549.24</x:v>
      </x:c>
      <x:c r="L422" s="648" t="n">
        <x:v>0</x:v>
      </x:c>
      <x:c r="M422" s="648" t="n">
        <x:v>31158.51</x:v>
      </x:c>
      <x:c r="N422" s="648" t="n">
        <x:v>36200.94</x:v>
      </x:c>
      <x:c r="O422" s="648" t="n">
        <x:v>181413.76</x:v>
      </x:c>
      <x:c r="P422" s="648" t="n">
        <x:v>93790.05</x:v>
      </x:c>
      <x:c r="Q422" s="648" t="n">
        <x:v>5798.46</x:v>
      </x:c>
      <x:c r="R422" s="648" t="n">
        <x:v>0</x:v>
      </x:c>
      <x:c r="S422" s="648" t="n">
        <x:v>0</x:v>
      </x:c>
      <x:c r="T422" s="648" t="n">
        <x:v>0</x:v>
      </x:c>
      <x:c r="U422" s="648">
        <x:v>0</x:v>
      </x:c>
      <x:c r="V422" s="648">
        <x:v>0</x:v>
      </x:c>
      <x:c r="W422" s="648">
        <x:v>0</x:v>
      </x:c>
      <x:c r="X422" s="672">
        <x:v>0</x:v>
      </x:c>
      <x:c r="Y422" s="672">
        <x:v>0</x:v>
      </x:c>
      <x:c r="Z422" s="672" t="n">
        <x:v>0</x:v>
      </x:c>
      <x:c r="AA422" s="667"/>
      <x:c r="AB422" s="667"/>
      <x:c r="AC422" s="667"/>
      <x:c r="AD422" s="667"/>
      <x:c r="AE422" s="667"/>
      <x:c r="AF422" s="667"/>
      <x:c r="AG422" s="667"/>
      <x:c r="AH422" s="667"/>
      <x:c r="AI422" s="667"/>
      <x:c r="AJ422" s="667"/>
      <x:c r="AK422" s="667"/>
      <x:c r="AL422" s="667"/>
      <x:c r="AM422" s="667"/>
      <x:c r="AN422" s="667"/>
      <x:c r="AO422" s="667"/>
      <x:c r="AP422" s="667"/>
      <x:c r="AQ422" s="667"/>
      <x:c r="AR422" s="667"/>
      <x:c r="AS422" s="667"/>
      <x:c r="AT422" s="667"/>
      <x:c r="AU422" s="667"/>
      <x:c r="AV422" s="667"/>
      <x:c r="AW422" s="667"/>
      <x:c r="AX422" s="667"/>
      <x:c r="AY422" s="667"/>
      <x:c r="AZ422" s="667"/>
      <x:c r="BA422" s="667"/>
      <x:c r="BB422" s="667"/>
      <x:c r="BC422" s="667"/>
      <x:c r="BD422" s="667"/>
      <x:c r="BE422" s="667"/>
      <x:c r="BF422" s="667"/>
      <x:c r="BG422" s="667"/>
      <x:c r="BH422" s="667"/>
      <x:c r="BI422" s="667"/>
      <x:c r="BJ422" s="667"/>
      <x:c r="BK422" s="667"/>
      <x:c r="BL422" s="667"/>
      <x:c r="BM422" s="667"/>
      <x:c r="BN422" s="624"/>
    </x:row>
    <x:row r="423" spans="1:66" x14ac:dyDescent="0.2">
      <x:c r="A423"/>
      <x:c r="B423"/>
      <x:c r="C423"/>
      <x:c r="D423" t="inlineStr">
        <x:is>
          <x:t>1</x:t>
        </x:is>
      </x:c>
      <x:c r="E423" s="625" t="inlineStr">
        <x:is>
          <x:t>Total</x:t>
        </x:is>
      </x:c>
      <x:c r="F423" s="627" t="n">
        <x:v>473206.23</x:v>
      </x:c>
      <x:c r="G423" s="627" t="n">
        <x:v>34977.86</x:v>
      </x:c>
      <x:c r="H423" s="627" t="n">
        <x:v>17976.93</x:v>
      </x:c>
      <x:c r="I423" s="627" t="n">
        <x:v>9832.34</x:v>
      </x:c>
      <x:c r="J423" s="627" t="n">
        <x:v>58508.14</x:v>
      </x:c>
      <x:c r="K423" s="627" t="n">
        <x:v>3549.24</x:v>
      </x:c>
      <x:c r="L423" s="627" t="n">
        <x:v>0</x:v>
      </x:c>
      <x:c r="M423" s="627" t="n">
        <x:v>31158.51</x:v>
      </x:c>
      <x:c r="N423" s="627" t="n">
        <x:v>36200.94</x:v>
      </x:c>
      <x:c r="O423" s="627" t="n">
        <x:v>181413.76</x:v>
      </x:c>
      <x:c r="P423" s="627" t="n">
        <x:v>93790.05</x:v>
      </x:c>
      <x:c r="Q423" s="627" t="n">
        <x:v>5798.46</x:v>
      </x:c>
      <x:c r="R423" s="627" t="n">
        <x:v>0</x:v>
      </x:c>
      <x:c r="S423" s="627" t="n">
        <x:v>0</x:v>
      </x:c>
      <x:c r="T423" s="653" t="n">
        <x:v>0</x:v>
      </x:c>
      <x:c r="U423" s="653">
        <x:v>0</x:v>
      </x:c>
      <x:c r="V423" s="653">
        <x:v>0</x:v>
      </x:c>
      <x:c r="W423" s="653">
        <x:v>0</x:v>
      </x:c>
      <x:c r="X423" s="653">
        <x:v>0</x:v>
      </x:c>
      <x:c r="Y423" s="627">
        <x:v>0</x:v>
      </x:c>
      <x:c r="Z423" s="653" t="n">
        <x:v>0</x:v>
      </x:c>
      <x:c r="BN423" s="624"/>
    </x:row>
    <x:row r="424" spans="1:66" x14ac:dyDescent="0.2">
      <x:c r="A424"/>
      <x:c r="B424"/>
      <x:c r="C424"/>
      <x:c r="D424" s="625"/>
      <x:c r="E424" s="625" t="inlineStr">
        <x:is>
          <x:t>Subsidio(-)/Contribucion(+)</x:t>
        </x:is>
      </x:c>
      <x:c r="F424" s="627" t="n">
        <x:v>124967.83</x:v>
      </x:c>
      <x:c r="G424" s="627" t="n">
        <x:v>14186.21</x:v>
      </x:c>
      <x:c r="H424" s="627" t="n">
        <x:v>7180.58</x:v>
      </x:c>
      <x:c r="I424" s="627" t="n">
        <x:v>3849.33</x:v>
      </x:c>
      <x:c r="J424" s="627" t="n">
        <x:v>20435.75</x:v>
      </x:c>
      <x:c r="K424" s="627" t="n">
        <x:v>604.46</x:v>
      </x:c>
      <x:c r="L424" s="627" t="n">
        <x:v>0</x:v>
      </x:c>
      <x:c r="M424" s="627" t="n">
        <x:v>5302.21</x:v>
      </x:c>
      <x:c r="N424" s="627" t="n">
        <x:v>5679.27</x:v>
      </x:c>
      <x:c r="O424" s="627" t="n">
        <x:v>28713.3</x:v>
      </x:c>
      <x:c r="P424" s="627" t="n">
        <x:v>38030.49</x:v>
      </x:c>
      <x:c r="Q424" s="627" t="n">
        <x:v>986.23</x:v>
      </x:c>
      <x:c r="R424" s="627" t="n">
        <x:v>0</x:v>
      </x:c>
      <x:c r="S424" s="627" t="n">
        <x:v>0</x:v>
      </x:c>
      <x:c r="T424" s="653" t="n">
        <x:v>0</x:v>
      </x:c>
      <x:c r="U424" s="653">
        <x:v>0</x:v>
      </x:c>
      <x:c r="V424" s="653">
        <x:v>0</x:v>
      </x:c>
      <x:c r="W424" s="653">
        <x:v>0</x:v>
      </x:c>
      <x:c r="X424" s="653">
        <x:v>0</x:v>
      </x:c>
      <x:c r="Y424" s="627">
        <x:v>0</x:v>
      </x:c>
      <x:c r="Z424" s="653" t="n">
        <x:v>0</x:v>
      </x:c>
      <x:c r="BN424" s="624"/>
    </x:row>
    <x:row r="425" spans="1:66" x14ac:dyDescent="0.2">
      <x:c r="A425"/>
      <x:c r="B425"/>
      <x:c r="C425"/>
      <x:c r="D425" t="inlineStr">
        <x:is>
          <x:t>2</x:t>
        </x:is>
      </x:c>
      <x:c r="E425" s="625" t="inlineStr">
        <x:is>
          <x:t>Total</x:t>
        </x:is>
      </x:c>
      <x:c r="F425" s="627" t="n">
        <x:v>124967.83</x:v>
      </x:c>
      <x:c r="G425" s="627" t="n">
        <x:v>14186.21</x:v>
      </x:c>
      <x:c r="H425" s="627" t="n">
        <x:v>7180.58</x:v>
      </x:c>
      <x:c r="I425" s="627" t="n">
        <x:v>3849.33</x:v>
      </x:c>
      <x:c r="J425" s="627" t="n">
        <x:v>20435.75</x:v>
      </x:c>
      <x:c r="K425" s="627" t="n">
        <x:v>604.46</x:v>
      </x:c>
      <x:c r="L425" s="627" t="n">
        <x:v>0</x:v>
      </x:c>
      <x:c r="M425" s="627" t="n">
        <x:v>5302.21</x:v>
      </x:c>
      <x:c r="N425" s="627" t="n">
        <x:v>5679.27</x:v>
      </x:c>
      <x:c r="O425" s="627" t="n">
        <x:v>28713.3</x:v>
      </x:c>
      <x:c r="P425" s="627" t="n">
        <x:v>38030.49</x:v>
      </x:c>
      <x:c r="Q425" s="627" t="n">
        <x:v>986.23</x:v>
      </x:c>
      <x:c r="R425" s="627" t="n">
        <x:v>0</x:v>
      </x:c>
      <x:c r="S425" s="627" t="n">
        <x:v>0</x:v>
      </x:c>
      <x:c r="T425" s="653" t="n">
        <x:v>0</x:v>
      </x:c>
      <x:c r="U425" s="653">
        <x:v>0</x:v>
      </x:c>
      <x:c r="V425" s="653">
        <x:v>0</x:v>
      </x:c>
      <x:c r="W425" s="653">
        <x:v>0</x:v>
      </x:c>
      <x:c r="X425" s="653">
        <x:v>0</x:v>
      </x:c>
      <x:c r="Y425" s="627">
        <x:v>0</x:v>
      </x:c>
      <x:c r="Z425" s="653" t="n">
        <x:v>0</x:v>
      </x:c>
      <x:c r="BN425" s="624"/>
    </x:row>
    <x:row r="426" spans="1:66" x14ac:dyDescent="0.2">
      <x:c r="A426"/>
      <x:c r="B426"/>
      <x:c r="C426"/>
      <x:c r="D426" s="625"/>
      <x:c r="E426" s="625" t="inlineStr">
        <x:is>
          <x:t>Subsidio(-)/Contribucion(+)</x:t>
        </x:is>
      </x:c>
      <x:c r="F426" s="627" t="n">
        <x:v>-303906.21</x:v>
      </x:c>
      <x:c r="G426" s="627" t="n">
        <x:v>-7553.23</x:v>
      </x:c>
      <x:c r="H426" s="627" t="n">
        <x:v>-4110.88</x:v>
      </x:c>
      <x:c r="I426" s="627" t="n">
        <x:v>-2196.59</x:v>
      </x:c>
      <x:c r="J426" s="627" t="n">
        <x:v>-83778.22</x:v>
      </x:c>
      <x:c r="K426" s="627" t="n">
        <x:v>-2844.69</x:v>
      </x:c>
      <x:c r="L426" s="627" t="n">
        <x:v>0</x:v>
      </x:c>
      <x:c r="M426" s="627" t="n">
        <x:v>-24953.45</x:v>
      </x:c>
      <x:c r="N426" s="627" t="n">
        <x:v>-25182.18</x:v>
      </x:c>
      <x:c r="O426" s="627" t="n">
        <x:v>-128393.14</x:v>
      </x:c>
      <x:c r="P426" s="627" t="n">
        <x:v>-20252.51</x:v>
      </x:c>
      <x:c r="Q426" s="627" t="n">
        <x:v>-4641.32</x:v>
      </x:c>
      <x:c r="R426" s="627" t="n">
        <x:v>0</x:v>
      </x:c>
      <x:c r="S426" s="627" t="n">
        <x:v>0</x:v>
      </x:c>
      <x:c r="T426" s="653" t="n">
        <x:v>0</x:v>
      </x:c>
      <x:c r="U426" s="653">
        <x:v>0</x:v>
      </x:c>
      <x:c r="V426" s="653">
        <x:v>0</x:v>
      </x:c>
      <x:c r="W426" s="653">
        <x:v>0</x:v>
      </x:c>
      <x:c r="X426" s="653">
        <x:v>0</x:v>
      </x:c>
      <x:c r="Y426" s="627">
        <x:v>0</x:v>
      </x:c>
      <x:c r="Z426" s="653" t="n">
        <x:v>0</x:v>
      </x:c>
      <x:c r="BN426" s="624"/>
    </x:row>
    <x:row r="427" spans="1:66" x14ac:dyDescent="0.2">
      <x:c r="A427"/>
      <x:c r="B427"/>
      <x:c r="C427"/>
      <x:c r="D427" t="inlineStr">
        <x:is>
          <x:t>5</x:t>
        </x:is>
      </x:c>
      <x:c r="E427" s="625" t="inlineStr">
        <x:is>
          <x:t>Total</x:t>
        </x:is>
      </x:c>
      <x:c r="F427" s="627" t="n">
        <x:v>-303906.21</x:v>
      </x:c>
      <x:c r="G427" s="627" t="n">
        <x:v>-7553.23</x:v>
      </x:c>
      <x:c r="H427" s="627" t="n">
        <x:v>-4110.88</x:v>
      </x:c>
      <x:c r="I427" s="627" t="n">
        <x:v>-2196.59</x:v>
      </x:c>
      <x:c r="J427" s="627" t="n">
        <x:v>-83778.22</x:v>
      </x:c>
      <x:c r="K427" s="627" t="n">
        <x:v>-2844.69</x:v>
      </x:c>
      <x:c r="L427" s="627" t="n">
        <x:v>0</x:v>
      </x:c>
      <x:c r="M427" s="627" t="n">
        <x:v>-24953.45</x:v>
      </x:c>
      <x:c r="N427" s="627" t="n">
        <x:v>-25182.18</x:v>
      </x:c>
      <x:c r="O427" s="627" t="n">
        <x:v>-128393.14</x:v>
      </x:c>
      <x:c r="P427" s="627" t="n">
        <x:v>-20252.51</x:v>
      </x:c>
      <x:c r="Q427" s="627" t="n">
        <x:v>-4641.32</x:v>
      </x:c>
      <x:c r="R427" s="627" t="n">
        <x:v>0</x:v>
      </x:c>
      <x:c r="S427" s="627" t="n">
        <x:v>0</x:v>
      </x:c>
      <x:c r="T427" s="653" t="n">
        <x:v>0</x:v>
      </x:c>
      <x:c r="U427" s="653">
        <x:v>0</x:v>
      </x:c>
      <x:c r="V427" s="653">
        <x:v>0</x:v>
      </x:c>
      <x:c r="W427" s="653">
        <x:v>0</x:v>
      </x:c>
      <x:c r="X427" s="653">
        <x:v>0</x:v>
      </x:c>
      <x:c r="Y427" s="627">
        <x:v>0</x:v>
      </x:c>
      <x:c r="Z427" s="653" t="n">
        <x:v>0</x:v>
      </x:c>
      <x:c r="BN427" s="624"/>
    </x:row>
    <x:row r="428" spans="1:66" x14ac:dyDescent="0.2">
      <x:c r="A428"/>
      <x:c r="B428"/>
      <x:c r="C428" t="inlineStr">
        <x:is>
          <x:t>NUEVO ESQUEMA</x:t>
        </x:is>
      </x:c>
      <x:c r="D428" s="625" t="inlineStr">
        <x:is>
          <x:t>Total</x:t>
        </x:is>
      </x:c>
      <x:c r="E428" s="625"/>
      <x:c r="F428" s="627" t="n">
        <x:v>294267.85</x:v>
      </x:c>
      <x:c r="G428" s="627" t="n">
        <x:v>41610.84</x:v>
      </x:c>
      <x:c r="H428" s="627" t="n">
        <x:v>21046.63</x:v>
      </x:c>
      <x:c r="I428" s="627" t="n">
        <x:v>11485.08</x:v>
      </x:c>
      <x:c r="J428" s="627" t="n">
        <x:v>-4834.33</x:v>
      </x:c>
      <x:c r="K428" s="627" t="n">
        <x:v>1309.01</x:v>
      </x:c>
      <x:c r="L428" s="627" t="n">
        <x:v>0</x:v>
      </x:c>
      <x:c r="M428" s="627" t="n">
        <x:v>11507.27</x:v>
      </x:c>
      <x:c r="N428" s="627" t="n">
        <x:v>16698.03</x:v>
      </x:c>
      <x:c r="O428" s="627" t="n">
        <x:v>81733.92</x:v>
      </x:c>
      <x:c r="P428" s="627" t="n">
        <x:v>111568.03</x:v>
      </x:c>
      <x:c r="Q428" s="627" t="n">
        <x:v>2143.37</x:v>
      </x:c>
      <x:c r="R428" s="627" t="n">
        <x:v>0</x:v>
      </x:c>
      <x:c r="S428" s="627" t="n">
        <x:v>0</x:v>
      </x:c>
      <x:c r="T428" s="653" t="n">
        <x:v>0</x:v>
      </x:c>
      <x:c r="U428" s="653">
        <x:v>0</x:v>
      </x:c>
      <x:c r="V428" s="653">
        <x:v>0</x:v>
      </x:c>
      <x:c r="W428" s="653">
        <x:v>0</x:v>
      </x:c>
      <x:c r="X428" s="653">
        <x:v>0</x:v>
      </x:c>
      <x:c r="Y428" s="627">
        <x:v>0</x:v>
      </x:c>
      <x:c r="Z428" s="653" t="n">
        <x:v>0</x:v>
      </x:c>
      <x:c r="BN428" s="624"/>
    </x:row>
    <x:row r="429" spans="1:66" x14ac:dyDescent="0.2">
      <x:c r="A429" s="631"/>
      <x:c r="B429" s="631"/>
      <x:c r="C429" s="632"/>
      <x:c r="D429" s="632"/>
      <x:c r="E429" s="631" t="inlineStr">
        <x:is>
          <x:t>Subsidio(-)/Contribucion(+)</x:t>
        </x:is>
      </x:c>
      <x:c r="F429" s="633" t="n">
        <x:v>3529314.36</x:v>
      </x:c>
      <x:c r="G429" s="633" t="n">
        <x:v>1791108.79</x:v>
      </x:c>
      <x:c r="H429" s="633" t="n">
        <x:v>1022958.89</x:v>
      </x:c>
      <x:c r="I429" s="633" t="n">
        <x:v>541364.61</x:v>
      </x:c>
      <x:c r="J429" s="633" t="n">
        <x:v>-1432168.43</x:v>
      </x:c>
      <x:c r="K429" s="633" t="n">
        <x:v>-35468.95</x:v>
      </x:c>
      <x:c r="L429" s="633" t="n">
        <x:v>0</x:v>
      </x:c>
      <x:c r="M429" s="633" t="n">
        <x:v>-314697.47</x:v>
      </x:c>
      <x:c r="N429" s="633" t="n">
        <x:v>-476294.61</x:v>
      </x:c>
      <x:c r="O429" s="633" t="n">
        <x:v>-2294667.21</x:v>
      </x:c>
      <x:c r="P429" s="633" t="n">
        <x:v>4785048.26</x:v>
      </x:c>
      <x:c r="Q429" s="633" t="n">
        <x:v>-57869.52</x:v>
      </x:c>
      <x:c r="R429" s="633" t="n">
        <x:v>0</x:v>
      </x:c>
      <x:c r="S429" s="633" t="n">
        <x:v>0</x:v>
      </x:c>
      <x:c r="T429" s="633" t="n">
        <x:v>0</x:v>
      </x:c>
      <x:c r="U429" s="633">
        <x:v>0</x:v>
      </x:c>
      <x:c r="V429" s="633">
        <x:v>0</x:v>
      </x:c>
      <x:c r="W429" s="633">
        <x:v>0</x:v>
      </x:c>
      <x:c r="X429" s="633">
        <x:v>0</x:v>
      </x:c>
      <x:c r="Y429" s="633">
        <x:v>0</x:v>
      </x:c>
      <x:c r="Z429" s="633" t="n">
        <x:v>0</x:v>
      </x:c>
      <x:c r="AA429" s="631"/>
      <x:c r="AB429" s="631"/>
      <x:c r="AC429" s="631"/>
      <x:c r="AD429" s="631"/>
      <x:c r="AE429" s="631"/>
      <x:c r="AF429" s="631"/>
      <x:c r="AG429" s="631"/>
      <x:c r="AH429" s="631"/>
      <x:c r="AI429" s="631"/>
      <x:c r="AJ429" s="631"/>
      <x:c r="AK429" s="631"/>
      <x:c r="AL429" s="631"/>
      <x:c r="AM429" s="631"/>
      <x:c r="AN429" s="631"/>
      <x:c r="AO429" s="631"/>
      <x:c r="AP429" s="631"/>
      <x:c r="AQ429" s="631"/>
      <x:c r="AR429" s="631"/>
      <x:c r="AS429" s="631"/>
      <x:c r="AT429" s="631"/>
      <x:c r="AU429" s="631"/>
      <x:c r="AV429" s="631"/>
      <x:c r="AW429" s="631"/>
      <x:c r="AX429" s="631"/>
      <x:c r="AY429" s="631"/>
      <x:c r="AZ429" s="631"/>
      <x:c r="BA429" s="631"/>
      <x:c r="BB429" s="631"/>
      <x:c r="BC429" s="631"/>
      <x:c r="BD429" s="631"/>
      <x:c r="BE429" s="631"/>
      <x:c r="BF429" s="631"/>
      <x:c r="BG429" s="631"/>
      <x:c r="BH429" s="631"/>
      <x:c r="BI429" s="631"/>
      <x:c r="BJ429" s="631"/>
      <x:c r="BK429" s="631"/>
      <x:c r="BL429" s="631"/>
      <x:c r="BM429" s="631"/>
      <x:c r="BN429" s="624"/>
    </x:row>
    <x:row r="430" spans="1:66" x14ac:dyDescent="0.2">
      <x:c r="A430" s="638"/>
      <x:c r="B430" s="639"/>
      <x:c r="C430" s="639"/>
      <x:c r="D430" s="638" t="inlineStr">
        <x:is>
          <x:t>H</x:t>
        </x:is>
      </x:c>
      <x:c r="E430" s="638" t="inlineStr">
        <x:is>
          <x:t>Total</x:t>
        </x:is>
      </x:c>
      <x:c r="F430" s="640" t="n">
        <x:v>3529314.36</x:v>
      </x:c>
      <x:c r="G430" s="640" t="n">
        <x:v>1791108.79</x:v>
      </x:c>
      <x:c r="H430" s="640" t="n">
        <x:v>1022958.89</x:v>
      </x:c>
      <x:c r="I430" s="640" t="n">
        <x:v>541364.61</x:v>
      </x:c>
      <x:c r="J430" s="640" t="n">
        <x:v>-1432168.43</x:v>
      </x:c>
      <x:c r="K430" s="640" t="n">
        <x:v>-35468.95</x:v>
      </x:c>
      <x:c r="L430" s="640" t="n">
        <x:v>0</x:v>
      </x:c>
      <x:c r="M430" s="640" t="n">
        <x:v>-314697.47</x:v>
      </x:c>
      <x:c r="N430" s="640" t="n">
        <x:v>-476294.61</x:v>
      </x:c>
      <x:c r="O430" s="640" t="n">
        <x:v>-2294667.21</x:v>
      </x:c>
      <x:c r="P430" s="640" t="n">
        <x:v>4785048.26</x:v>
      </x:c>
      <x:c r="Q430" s="640" t="n">
        <x:v>-57869.52</x:v>
      </x:c>
      <x:c r="R430" s="640" t="n">
        <x:v>0</x:v>
      </x:c>
      <x:c r="S430" s="640" t="n">
        <x:v>0</x:v>
      </x:c>
      <x:c r="T430" s="640" t="n">
        <x:v>0</x:v>
      </x:c>
      <x:c r="U430" s="640">
        <x:v>0</x:v>
      </x:c>
      <x:c r="V430" s="640">
        <x:v>0</x:v>
      </x:c>
      <x:c r="W430" s="640">
        <x:v>0</x:v>
      </x:c>
      <x:c r="X430" s="640">
        <x:v>0</x:v>
      </x:c>
      <x:c r="Y430" s="640">
        <x:v>0</x:v>
      </x:c>
      <x:c r="Z430" s="640" t="n">
        <x:v>0</x:v>
      </x:c>
      <x:c r="AA430" s="638"/>
      <x:c r="AB430" s="638"/>
      <x:c r="AC430" s="638"/>
      <x:c r="AD430" s="638"/>
      <x:c r="AE430" s="638"/>
      <x:c r="AF430" s="638"/>
      <x:c r="AG430" s="638"/>
      <x:c r="AH430" s="638"/>
      <x:c r="AI430" s="638"/>
      <x:c r="AJ430" s="638"/>
      <x:c r="AK430" s="638"/>
      <x:c r="AL430" s="638"/>
      <x:c r="AM430" s="638"/>
      <x:c r="AN430" s="638"/>
      <x:c r="AO430" s="638"/>
      <x:c r="AP430" s="638"/>
      <x:c r="AQ430" s="638"/>
      <x:c r="AR430" s="638"/>
      <x:c r="AS430" s="638"/>
      <x:c r="AT430" s="638"/>
      <x:c r="AU430" s="638"/>
      <x:c r="AV430" s="638"/>
      <x:c r="AW430" s="638"/>
      <x:c r="AX430" s="638"/>
      <x:c r="AY430" s="638"/>
      <x:c r="AZ430" s="638"/>
      <x:c r="BA430" s="638"/>
      <x:c r="BB430" s="638"/>
      <x:c r="BC430" s="638"/>
      <x:c r="BD430" s="638"/>
      <x:c r="BE430" s="638"/>
      <x:c r="BF430" s="638"/>
      <x:c r="BG430" s="638"/>
      <x:c r="BH430" s="638"/>
      <x:c r="BI430" s="638"/>
      <x:c r="BJ430" s="638"/>
      <x:c r="BK430" s="638"/>
      <x:c r="BL430" s="638"/>
      <x:c r="BM430" s="638"/>
      <x:c r="BN430" s="624"/>
    </x:row>
    <x:row r="431" spans="1:66" x14ac:dyDescent="0.2">
      <x:c r="A431" s="625"/>
      <x:c r="B431" s="625"/>
      <x:c r="C431"/>
      <x:c r="D431"/>
      <x:c r="E431" t="inlineStr">
        <x:is>
          <x:t>Subsidio(-)/Contribucion(+)</x:t>
        </x:is>
      </x:c>
      <x:c r="F431" s="627" t="n">
        <x:v>5555762.35</x:v>
      </x:c>
      <x:c r="G431" s="627" t="n">
        <x:v>1608362.89</x:v>
      </x:c>
      <x:c r="H431" s="627" t="n">
        <x:v>920093.85</x:v>
      </x:c>
      <x:c r="I431" s="627" t="n">
        <x:v>489714.31</x:v>
      </x:c>
      <x:c r="J431" s="627" t="n">
        <x:v>-644331.18</x:v>
      </x:c>
      <x:c r="K431" s="627" t="n">
        <x:v>-24655.96</x:v>
      </x:c>
      <x:c r="L431" s="627" t="n">
        <x:v>0</x:v>
      </x:c>
      <x:c r="M431" s="627" t="n">
        <x:v>-216215.06</x:v>
      </x:c>
      <x:c r="N431" s="627" t="n">
        <x:v>-183607.56</x:v>
      </x:c>
      <x:c r="O431" s="627" t="n">
        <x:v>-612812.9</x:v>
      </x:c>
      <x:c r="P431" s="627" t="n">
        <x:v>4259381.79</x:v>
      </x:c>
      <x:c r="Q431" s="627" t="n">
        <x:v>-40167.83</x:v>
      </x:c>
      <x:c r="R431" s="627" t="n">
        <x:v>0</x:v>
      </x:c>
      <x:c r="S431" s="627" t="n">
        <x:v>0</x:v>
      </x:c>
      <x:c r="T431" s="653" t="n">
        <x:v>0</x:v>
      </x:c>
      <x:c r="U431" s="653">
        <x:v>0</x:v>
      </x:c>
      <x:c r="V431" s="653">
        <x:v>0</x:v>
      </x:c>
      <x:c r="W431" s="653">
        <x:v>0</x:v>
      </x:c>
      <x:c r="X431" s="653">
        <x:v>0</x:v>
      </x:c>
      <x:c r="Y431" s="627">
        <x:v>0</x:v>
      </x:c>
      <x:c r="Z431" s="653" t="n">
        <x:v>0</x:v>
      </x:c>
      <x:c r="BN431" s="624"/>
    </x:row>
    <x:row r="432" spans="1:66" x14ac:dyDescent="0.2">
      <x:c r="A432" s="625"/>
      <x:c r="B432" s="625"/>
      <x:c r="C432"/>
      <x:c r="D432" t="inlineStr">
        <x:is>
          <x:t>O</x:t>
        </x:is>
      </x:c>
      <x:c r="E432" t="inlineStr">
        <x:is>
          <x:t>Total</x:t>
        </x:is>
      </x:c>
      <x:c r="F432" s="627" t="n">
        <x:v>5555762.35</x:v>
      </x:c>
      <x:c r="G432" s="627" t="n">
        <x:v>1608362.89</x:v>
      </x:c>
      <x:c r="H432" s="627" t="n">
        <x:v>920093.85</x:v>
      </x:c>
      <x:c r="I432" s="627" t="n">
        <x:v>489714.31</x:v>
      </x:c>
      <x:c r="J432" s="627" t="n">
        <x:v>-644331.18</x:v>
      </x:c>
      <x:c r="K432" s="627" t="n">
        <x:v>-24655.96</x:v>
      </x:c>
      <x:c r="L432" s="627" t="n">
        <x:v>0</x:v>
      </x:c>
      <x:c r="M432" s="627" t="n">
        <x:v>-216215.06</x:v>
      </x:c>
      <x:c r="N432" s="627" t="n">
        <x:v>-183607.56</x:v>
      </x:c>
      <x:c r="O432" s="627" t="n">
        <x:v>-612812.9</x:v>
      </x:c>
      <x:c r="P432" s="627" t="n">
        <x:v>4259381.79</x:v>
      </x:c>
      <x:c r="Q432" s="627" t="n">
        <x:v>-40167.83</x:v>
      </x:c>
      <x:c r="R432" s="627" t="n">
        <x:v>0</x:v>
      </x:c>
      <x:c r="S432" s="627" t="n">
        <x:v>0</x:v>
      </x:c>
      <x:c r="T432" s="653" t="n">
        <x:v>0</x:v>
      </x:c>
      <x:c r="U432" s="653"/>
      <x:c r="V432" s="653"/>
      <x:c r="W432" s="653"/>
      <x:c r="X432" s="653"/>
      <x:c r="Y432" s="627"/>
      <x:c r="Z432" s="653" t="n">
        <x:v>0</x:v>
      </x:c>
      <x:c r="BN432" s="624"/>
    </x:row>
    <x:row r="433" spans="1:66" x14ac:dyDescent="0.2">
      <x:c r="A433" s="625"/>
      <x:c r="B433" s="625"/>
      <x:c r="C433"/>
      <x:c r="D433"/>
      <x:c r="E433" t="inlineStr">
        <x:is>
          <x:t>Subsidio(-)/Contribucion(+)</x:t>
        </x:is>
      </x:c>
      <x:c r="F433" s="627" t="n">
        <x:v>92816863.27</x:v>
      </x:c>
      <x:c r="G433" s="627" t="n">
        <x:v>19214046.53</x:v>
      </x:c>
      <x:c r="H433" s="627" t="n">
        <x:v>10879874.35</x:v>
      </x:c>
      <x:c r="I433" s="627" t="n">
        <x:v>5768324.89</x:v>
      </x:c>
      <x:c r="J433" s="627" t="n">
        <x:v>1735938.17</x:v>
      </x:c>
      <x:c r="K433" s="627" t="n">
        <x:v>43100.4</x:v>
      </x:c>
      <x:c r="L433" s="627" t="n">
        <x:v>0</x:v>
      </x:c>
      <x:c r="M433" s="627" t="n">
        <x:v>377107.8</x:v>
      </x:c>
      <x:c r="N433" s="627" t="n">
        <x:v>532255.15</x:v>
      </x:c>
      <x:c r="O433" s="627" t="n">
        <x:v>2745336.55</x:v>
      </x:c>
      <x:c r="P433" s="627" t="n">
        <x:v>51449770.57</x:v>
      </x:c>
      <x:c r="Q433" s="627" t="n">
        <x:v>71108.86</x:v>
      </x:c>
      <x:c r="R433" s="627" t="n">
        <x:v>0</x:v>
      </x:c>
      <x:c r="S433" s="627" t="n">
        <x:v>0</x:v>
      </x:c>
      <x:c r="T433" s="653" t="n">
        <x:v>0</x:v>
      </x:c>
      <x:c r="U433" s="653"/>
      <x:c r="V433" s="653"/>
      <x:c r="W433" s="653"/>
      <x:c r="X433" s="653"/>
      <x:c r="Y433" s="627"/>
      <x:c r="Z433" s="653" t="n">
        <x:v>0</x:v>
      </x:c>
      <x:c r="BN433" s="624"/>
    </x:row>
    <x:row r="434" spans="1:66" x14ac:dyDescent="0.2">
      <x:c r="A434" s="625"/>
      <x:c r="B434" s="625"/>
      <x:c r="C434"/>
      <x:c r="D434" t="inlineStr">
        <x:is>
          <x:t>T</x:t>
        </x:is>
      </x:c>
      <x:c r="E434" t="inlineStr">
        <x:is>
          <x:t>Total</x:t>
        </x:is>
      </x:c>
      <x:c r="F434" s="627" t="n">
        <x:v>92816863.27</x:v>
      </x:c>
      <x:c r="G434" s="627" t="n">
        <x:v>19214046.53</x:v>
      </x:c>
      <x:c r="H434" s="627" t="n">
        <x:v>10879874.35</x:v>
      </x:c>
      <x:c r="I434" s="627" t="n">
        <x:v>5768324.89</x:v>
      </x:c>
      <x:c r="J434" s="627" t="n">
        <x:v>1735938.17</x:v>
      </x:c>
      <x:c r="K434" s="627" t="n">
        <x:v>43100.4</x:v>
      </x:c>
      <x:c r="L434" s="627" t="n">
        <x:v>0</x:v>
      </x:c>
      <x:c r="M434" s="627" t="n">
        <x:v>377107.8</x:v>
      </x:c>
      <x:c r="N434" s="627" t="n">
        <x:v>532255.15</x:v>
      </x:c>
      <x:c r="O434" s="627" t="n">
        <x:v>2745336.55</x:v>
      </x:c>
      <x:c r="P434" s="627" t="n">
        <x:v>51449770.57</x:v>
      </x:c>
      <x:c r="Q434" s="627" t="n">
        <x:v>71108.86</x:v>
      </x:c>
      <x:c r="R434" s="627" t="n">
        <x:v>0</x:v>
      </x:c>
      <x:c r="S434" s="627" t="n">
        <x:v>0</x:v>
      </x:c>
      <x:c r="T434" s="653" t="n">
        <x:v>0</x:v>
      </x:c>
      <x:c r="U434" s="653"/>
      <x:c r="V434" s="653"/>
      <x:c r="W434" s="653"/>
      <x:c r="X434" s="653"/>
      <x:c r="Y434" s="627"/>
      <x:c r="Z434" s="653" t="n">
        <x:v>0</x:v>
      </x:c>
      <x:c r="BN434" s="624"/>
    </x:row>
    <x:row r="435" spans="1:66" x14ac:dyDescent="0.2">
      <x:c r="A435" s="625"/>
      <x:c r="B435" s="625"/>
      <x:c r="C435" t="inlineStr">
        <x:is>
          <x:t>OCCIDENTE</x:t>
        </x:is>
      </x:c>
      <x:c r="D435" t="inlineStr">
        <x:is>
          <x:t>Total</x:t>
        </x:is>
      </x:c>
      <x:c r="E435"/>
      <x:c r="F435" s="627" t="n">
        <x:v>101901939.98</x:v>
      </x:c>
      <x:c r="G435" s="627" t="n">
        <x:v>22613518.21</x:v>
      </x:c>
      <x:c r="H435" s="627" t="n">
        <x:v>12822927.09</x:v>
      </x:c>
      <x:c r="I435" s="627" t="n">
        <x:v>6799403.81</x:v>
      </x:c>
      <x:c r="J435" s="627" t="n">
        <x:v>-340561.44</x:v>
      </x:c>
      <x:c r="K435" s="627" t="n">
        <x:v>-17024.51</x:v>
      </x:c>
      <x:c r="L435" s="627" t="n">
        <x:v>0</x:v>
      </x:c>
      <x:c r="M435" s="627" t="n">
        <x:v>-153804.73</x:v>
      </x:c>
      <x:c r="N435" s="627" t="n">
        <x:v>-127647.02</x:v>
      </x:c>
      <x:c r="O435" s="627" t="n">
        <x:v>-162143.56</x:v>
      </x:c>
      <x:c r="P435" s="627" t="n">
        <x:v>60494200.62</x:v>
      </x:c>
      <x:c r="Q435" s="627" t="n">
        <x:v>-26928.49</x:v>
      </x:c>
      <x:c r="R435" s="627" t="n">
        <x:v>0</x:v>
      </x:c>
      <x:c r="S435" s="627" t="n">
        <x:v>0</x:v>
      </x:c>
      <x:c r="T435" s="653" t="n">
        <x:v>0</x:v>
      </x:c>
      <x:c r="U435" s="653"/>
      <x:c r="V435" s="653"/>
      <x:c r="W435" s="653"/>
      <x:c r="X435" s="653"/>
      <x:c r="Y435" s="627"/>
      <x:c r="Z435" s="653" t="n">
        <x:v>0</x:v>
      </x:c>
      <x:c r="BN435" s="624"/>
    </x:row>
    <x:row r="436" spans="1:66" x14ac:dyDescent="0.2">
      <x:c r="A436" s="625"/>
      <x:c r="B436" s="625" t="inlineStr">
        <x:is>
          <x:t>Mes</x:t>
        </x:is>
      </x:c>
      <x:c r="C436" t="inlineStr">
        <x:is>
          <x:t>Total</x:t>
        </x:is>
      </x:c>
      <x:c r="D436"/>
      <x:c r="E436"/>
      <x:c r="F436" s="627" t="n">
        <x:v>-755542696.11</x:v>
      </x:c>
      <x:c r="G436" s="627" t="n">
        <x:v>27060360.91</x:v>
      </x:c>
      <x:c r="H436" s="627" t="n">
        <x:v>15086865.74</x:v>
      </x:c>
      <x:c r="I436" s="627" t="n">
        <x:v>7988787.71</x:v>
      </x:c>
      <x:c r="J436" s="627" t="n">
        <x:v>-272784346.9</x:v>
      </x:c>
      <x:c r="K436" s="627" t="n">
        <x:v>-9495523.96</x:v>
      </x:c>
      <x:c r="L436" s="627" t="n">
        <x:v>0</x:v>
      </x:c>
      <x:c r="M436" s="627" t="n">
        <x:v>-83312160.73</x:v>
      </x:c>
      <x:c r="N436" s="627" t="n">
        <x:v>-80284807.31</x:v>
      </x:c>
      <x:c r="O436" s="627" t="n">
        <x:v>-416081562.99</x:v>
      </x:c>
      <x:c r="P436" s="627" t="n">
        <x:v>71769108.26</x:v>
      </x:c>
      <x:c r="Q436" s="627" t="n">
        <x:v>-15489416.84</x:v>
      </x:c>
      <x:c r="R436" s="627" t="n">
        <x:v>0</x:v>
      </x:c>
      <x:c r="S436" s="627" t="n">
        <x:v>0</x:v>
      </x:c>
      <x:c r="T436" s="653" t="n">
        <x:v>0</x:v>
      </x:c>
      <x:c r="U436" s="653"/>
      <x:c r="V436" s="653"/>
      <x:c r="W436" s="653"/>
      <x:c r="X436" s="653"/>
      <x:c r="Y436" s="627"/>
      <x:c r="Z436" s="653" t="n">
        <x:v>0</x:v>
      </x:c>
      <x:c r="BN436" s="624"/>
    </x:row>
    <x:row r="437" spans="1:66" x14ac:dyDescent="0.2">
      <x:c r="A437" s="625" t="inlineStr">
        <x:is>
          <x:t>Subs/Cont</x:t>
        </x:is>
      </x:c>
      <x:c r="B437" s="625" t="inlineStr">
        <x:is>
          <x:t>Total</x:t>
        </x:is>
      </x:c>
      <x:c r="C437"/>
      <x:c r="D437"/>
      <x:c r="E437"/>
      <x:c r="F437" s="627" t="n">
        <x:v>-755666536.93</x:v>
      </x:c>
      <x:c r="G437" s="627" t="n">
        <x:v>27079828.28</x:v>
      </x:c>
      <x:c r="H437" s="627" t="n">
        <x:v>15097916.4</x:v>
      </x:c>
      <x:c r="I437" s="627" t="n">
        <x:v>7994805.18</x:v>
      </x:c>
      <x:c r="J437" s="627" t="n">
        <x:v>-272846950.74</x:v>
      </x:c>
      <x:c r="K437" s="627" t="n">
        <x:v>-9497699.17</x:v>
      </x:c>
      <x:c r="L437" s="627" t="n">
        <x:v>0</x:v>
      </x:c>
      <x:c r="M437" s="627" t="n">
        <x:v>-83331242.46</x:v>
      </x:c>
      <x:c r="N437" s="627" t="n">
        <x:v>-80305358.17</x:v>
      </x:c>
      <x:c r="O437" s="627" t="n">
        <x:v>-416187623.45</x:v>
      </x:c>
      <x:c r="P437" s="627" t="n">
        <x:v>71822753.21</x:v>
      </x:c>
      <x:c r="Q437" s="627" t="n">
        <x:v>-15492966.01</x:v>
      </x:c>
      <x:c r="R437" s="627" t="n">
        <x:v>0</x:v>
      </x:c>
      <x:c r="S437" s="627" t="n">
        <x:v>0</x:v>
      </x:c>
      <x:c r="T437" s="653" t="n">
        <x:v>0</x:v>
      </x:c>
      <x:c r="U437" s="653"/>
      <x:c r="V437" s="653"/>
      <x:c r="W437" s="653"/>
      <x:c r="X437" s="653"/>
      <x:c r="Y437" s="627"/>
      <x:c r="Z437" s="653" t="n">
        <x:v>0</x:v>
      </x:c>
      <x:c r="BN437" s="624"/>
    </x:row>
    <x:row r="438" spans="1:66" x14ac:dyDescent="0.2">
      <x:c r="A438" s="625" t="inlineStr">
        <x:is>
          <x:t>Total</x:t>
        </x:is>
      </x:c>
      <x:c r="B438"/>
      <x:c r="C438"/>
      <x:c r="D438"/>
      <x:c r="E438"/>
      <x:c r="F438" s="627" t="n">
        <x:v>8287536669.54</x:v>
      </x:c>
      <x:c r="G438" s="627" t="n">
        <x:v>538628558.26</x:v>
      </x:c>
      <x:c r="H438" s="627" t="n">
        <x:v>301946197.77</x:v>
      </x:c>
      <x:c r="I438" s="627" t="n">
        <x:v>159233014.78</x:v>
      </x:c>
      <x:c r="J438" s="627" t="n">
        <x:v>1817605127.62</x:v>
      </x:c>
      <x:c r="K438" s="627" t="n">
        <x:v>62918739.6</x:v>
      </x:c>
      <x:c r="L438" s="627" t="n">
        <x:v>11217476.99</x:v>
      </x:c>
      <x:c r="M438" s="627" t="n">
        <x:v>551297991.85</x:v>
      </x:c>
      <x:c r="N438" s="627" t="n">
        <x:v>547971274.88</x:v>
      </x:c>
      <x:c r="O438" s="627" t="n">
        <x:v>2766698963.36</x:v>
      </x:c>
      <x:c r="P438" s="627" t="n">
        <x:v>1427343014.55</x:v>
      </x:c>
      <x:c r="Q438" s="627" t="n">
        <x:v>102688459.32</x:v>
      </x:c>
      <x:c r="R438" s="627" t="n">
        <x:v>-12113.87</x:v>
      </x:c>
      <x:c r="S438" s="627" t="n">
        <x:v>-7.75</x:v>
      </x:c>
      <x:c r="T438" s="653" t="n">
        <x:v>151.03</x:v>
      </x:c>
      <x:c r="U438" s="653">
        <x:v>0</x:v>
      </x:c>
      <x:c r="V438" s="653">
        <x:v>0</x:v>
      </x:c>
      <x:c r="W438" s="653">
        <x:v>0</x:v>
      </x:c>
      <x:c r="X438" s="653">
        <x:v>0</x:v>
      </x:c>
      <x:c r="Y438" s="627">
        <x:v>0</x:v>
      </x:c>
      <x:c r="Z438" s="653" t="n">
        <x:v>-178.85</x:v>
      </x:c>
      <x:c r="BN438" s="624"/>
    </x:row>
    <x:row r="439" spans="1:66" x14ac:dyDescent="0.2">
      <x:c r="A439" s="625"/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S439" s="627"/>
      <x:c r="T439" s="627"/>
      <x:c r="U439" s="627"/>
      <x:c r="V439" s="627"/>
      <x:c r="W439" s="627"/>
      <x:c r="BN439" s="624"/>
    </x:row>
    <x:row r="440" spans="1:66" x14ac:dyDescent="0.2">
      <x:c r="A440" s="625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S440" s="627"/>
      <x:c r="BN440" s="624"/>
    </x:row>
    <x:row r="441" spans="1:66" x14ac:dyDescent="0.2">
      <x:c r="A441" s="625"/>
      <x:c r="F441" s="627"/>
      <x:c r="G441" s="627"/>
      <x:c r="H441" s="627"/>
      <x:c r="I441" s="627"/>
      <x:c r="J441" s="627"/>
      <x:c r="K441" s="627"/>
      <x:c r="L441" s="627"/>
      <x:c r="M441" s="627"/>
      <x:c r="N441" s="627"/>
      <x:c r="O441" s="627"/>
      <x:c r="P441" s="627"/>
      <x:c r="Q441" s="627"/>
      <x:c r="R441" s="627"/>
      <x:c r="S441" s="627"/>
      <x:c r="BN441" s="624"/>
    </x:row>
    <x:row r="442" spans="1:66" x14ac:dyDescent="0.2">
      <x:c r="A442" s="625"/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S442" s="627"/>
      <x:c r="BN442" s="624"/>
    </x:row>
    <x:row r="443" spans="1:66" x14ac:dyDescent="0.2">
      <x:c r="A443" s="625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S443" s="627"/>
      <x:c r="BN443" s="624"/>
    </x:row>
    <x:row r="444" spans="1:66" x14ac:dyDescent="0.2">
      <x:c r="A444" s="625"/>
      <x:c r="F444" s="627"/>
      <x:c r="G444" s="627"/>
      <x:c r="H444" s="627"/>
      <x:c r="I444" s="627"/>
      <x:c r="J444" s="627"/>
      <x:c r="K444" s="627"/>
      <x:c r="L444" s="627"/>
      <x:c r="M444" s="627"/>
      <x:c r="N444" s="627"/>
      <x:c r="O444" s="627"/>
      <x:c r="P444" s="627"/>
      <x:c r="Q444" s="627"/>
      <x:c r="R444" s="627"/>
      <x:c r="S444" s="627"/>
      <x:c r="BN444" s="624"/>
    </x:row>
    <x:row r="445" spans="1:66" x14ac:dyDescent="0.2">
      <x:c r="A445" s="625"/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S445" s="627"/>
      <x:c r="BN445" s="624"/>
    </x:row>
    <x:row r="446" spans="1:66" x14ac:dyDescent="0.2">
      <x:c r="A446" s="625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S446" s="627"/>
      <x:c r="BN446" s="624"/>
    </x:row>
    <x:row r="447" spans="1:66" x14ac:dyDescent="0.2">
      <x:c r="A447" s="625"/>
      <x:c r="F447" s="627"/>
      <x:c r="G447" s="627"/>
      <x:c r="H447" s="627"/>
      <x:c r="I447" s="627"/>
      <x:c r="J447" s="627"/>
      <x:c r="K447" s="627"/>
      <x:c r="L447" s="627"/>
      <x:c r="M447" s="627"/>
      <x:c r="N447" s="627"/>
      <x:c r="O447" s="627"/>
      <x:c r="P447" s="627"/>
      <x:c r="Q447" s="627"/>
      <x:c r="R447" s="627"/>
      <x:c r="S447" s="627"/>
      <x:c r="BN447" s="624"/>
    </x:row>
    <x:row r="448" spans="1:66" x14ac:dyDescent="0.2">
      <x:c r="A448" s="625"/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S448" s="627"/>
      <x:c r="BN448" s="624"/>
    </x:row>
    <x:row r="449" spans="1:66" x14ac:dyDescent="0.2">
      <x:c r="A449" s="625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S449" s="627"/>
      <x:c r="BN449" s="624"/>
    </x:row>
    <x:row r="450" spans="1:66" x14ac:dyDescent="0.2">
      <x:c r="A450" s="625"/>
      <x:c r="F450" s="627"/>
      <x:c r="G450" s="627"/>
      <x:c r="H450" s="627"/>
      <x:c r="I450" s="627"/>
      <x:c r="J450" s="627"/>
      <x:c r="K450" s="627"/>
      <x:c r="L450" s="627"/>
      <x:c r="M450" s="627"/>
      <x:c r="N450" s="627"/>
      <x:c r="O450" s="627"/>
      <x:c r="P450" s="627"/>
      <x:c r="Q450" s="627"/>
      <x:c r="R450" s="627"/>
      <x:c r="S450" s="627"/>
      <x:c r="BN450" s="624"/>
    </x:row>
    <x:row r="451" spans="1:66" x14ac:dyDescent="0.2">
      <x:c r="A451" s="625"/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S451" s="627"/>
      <x:c r="BN451" s="624"/>
    </x:row>
    <x:row r="452" spans="1:66" x14ac:dyDescent="0.2">
      <x:c r="A452" s="625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S452" s="627"/>
      <x:c r="BN452" s="624"/>
    </x:row>
    <x:row r="453" spans="1:66" x14ac:dyDescent="0.2">
      <x:c r="A453" s="625"/>
      <x:c r="F453" s="627"/>
      <x:c r="G453" s="627"/>
      <x:c r="H453" s="627"/>
      <x:c r="I453" s="627"/>
      <x:c r="J453" s="627"/>
      <x:c r="K453" s="627"/>
      <x:c r="L453" s="627"/>
      <x:c r="M453" s="627"/>
      <x:c r="N453" s="627"/>
      <x:c r="O453" s="627"/>
      <x:c r="P453" s="627"/>
      <x:c r="Q453" s="627"/>
      <x:c r="R453" s="627"/>
      <x:c r="S453" s="627"/>
      <x:c r="BN453" s="624"/>
    </x:row>
    <x:row r="454" spans="1:66" x14ac:dyDescent="0.2">
      <x:c r="A454" s="625"/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S454" s="627"/>
      <x:c r="BN454" s="624"/>
    </x:row>
    <x:row r="455" spans="1:66" x14ac:dyDescent="0.2">
      <x:c r="A455" s="625"/>
      <x:c r="F455" s="627"/>
      <x:c r="G455" s="627"/>
      <x:c r="H455" s="627"/>
      <x:c r="I455" s="627"/>
      <x:c r="J455" s="627"/>
      <x:c r="K455" s="627"/>
      <x:c r="L455" s="627"/>
      <x:c r="M455" s="627"/>
      <x:c r="N455" s="627"/>
      <x:c r="O455" s="627"/>
      <x:c r="P455" s="627"/>
      <x:c r="Q455" s="627"/>
      <x:c r="R455" s="627"/>
      <x:c r="S455" s="627"/>
      <x:c r="BN455" s="624"/>
    </x:row>
    <x:row r="456" spans="1:66" x14ac:dyDescent="0.2">
      <x:c r="C456" s="770" t="s">
        <x:v>2</x:v>
      </x:c>
      <x:c r="D456" s="768" t="s">
        <x:v>132</x:v>
      </x:c>
      <x:c r="E456" s="639" t="s">
        <x:v>70</x:v>
      </x:c>
      <x:c r="F456" s="640">
        <x:f>F404+F430+F366-L366-L404</x:f>
        <x:v>0</x:v>
      </x:c>
      <x:c r="G456" s="640">
        <x:f t="shared" ref="G456:AO456" si="20">G404+G366</x:f>
        <x:v>0</x:v>
      </x:c>
      <x:c r="H456" s="640">
        <x:f t="shared" si="20"/>
        <x:v>0</x:v>
      </x:c>
      <x:c r="I456" s="640">
        <x:f t="shared" si="20"/>
        <x:v>0</x:v>
      </x:c>
      <x:c r="J456" s="640">
        <x:f t="shared" si="20"/>
        <x:v>0</x:v>
      </x:c>
      <x:c r="K456" s="640">
        <x:f t="shared" si="20"/>
        <x:v>0</x:v>
      </x:c>
      <x:c r="L456" s="640">
        <x:f t="shared" si="20"/>
        <x:v>0</x:v>
      </x:c>
      <x:c r="M456" s="640">
        <x:f t="shared" si="20"/>
        <x:v>0</x:v>
      </x:c>
      <x:c r="N456" s="640">
        <x:f t="shared" si="20"/>
        <x:v>0</x:v>
      </x:c>
      <x:c r="O456" s="640">
        <x:f t="shared" si="20"/>
        <x:v>0</x:v>
      </x:c>
      <x:c r="P456" s="640">
        <x:f t="shared" si="20"/>
        <x:v>0</x:v>
      </x:c>
      <x:c r="Q456" s="640">
        <x:f t="shared" si="20"/>
        <x:v>0</x:v>
      </x:c>
      <x:c r="R456" s="640">
        <x:f t="shared" si="20"/>
        <x:v>0</x:v>
      </x:c>
      <x:c r="S456" s="640">
        <x:f t="shared" si="20"/>
        <x:v>0</x:v>
      </x:c>
      <x:c r="T456" s="640">
        <x:f t="shared" si="20"/>
        <x:v>0</x:v>
      </x:c>
      <x:c r="U456" s="640">
        <x:f t="shared" si="20"/>
        <x:v>0</x:v>
      </x:c>
      <x:c r="V456" s="640">
        <x:f t="shared" si="20"/>
        <x:v>0</x:v>
      </x:c>
      <x:c r="W456" s="640">
        <x:f t="shared" si="20"/>
        <x:v>0</x:v>
      </x:c>
      <x:c r="X456" s="640">
        <x:f t="shared" si="20"/>
        <x:v>0</x:v>
      </x:c>
      <x:c r="Y456" s="640">
        <x:f t="shared" si="20"/>
        <x:v>0</x:v>
      </x:c>
      <x:c r="Z456" s="640">
        <x:f t="shared" si="20"/>
        <x:v>0</x:v>
      </x:c>
      <x:c r="AA456" s="640">
        <x:f t="shared" si="20"/>
        <x:v>0</x:v>
      </x:c>
      <x:c r="AB456" s="640">
        <x:f t="shared" si="20"/>
        <x:v>0</x:v>
      </x:c>
      <x:c r="AC456" s="640">
        <x:f t="shared" si="20"/>
        <x:v>0</x:v>
      </x:c>
      <x:c r="AD456" s="640">
        <x:f t="shared" si="20"/>
        <x:v>0</x:v>
      </x:c>
      <x:c r="AE456" s="640">
        <x:f t="shared" si="20"/>
        <x:v>0</x:v>
      </x:c>
      <x:c r="AF456" s="640">
        <x:f t="shared" si="20"/>
        <x:v>0</x:v>
      </x:c>
      <x:c r="AG456" s="640">
        <x:f t="shared" si="20"/>
        <x:v>0</x:v>
      </x:c>
      <x:c r="AH456" s="640">
        <x:f t="shared" si="20"/>
        <x:v>0</x:v>
      </x:c>
      <x:c r="AI456" s="640">
        <x:f t="shared" si="20"/>
        <x:v>0</x:v>
      </x:c>
      <x:c r="AJ456" s="640">
        <x:f t="shared" si="20"/>
        <x:v>0</x:v>
      </x:c>
      <x:c r="AK456" s="640">
        <x:f t="shared" si="20"/>
        <x:v>0</x:v>
      </x:c>
      <x:c r="AL456" s="640">
        <x:f t="shared" si="20"/>
        <x:v>0</x:v>
      </x:c>
      <x:c r="AM456" s="640">
        <x:f t="shared" si="20"/>
        <x:v>0</x:v>
      </x:c>
      <x:c r="AN456" s="640">
        <x:f t="shared" si="20"/>
        <x:v>0</x:v>
      </x:c>
      <x:c r="AO456" s="640">
        <x:f t="shared" si="20"/>
        <x:v>0</x:v>
      </x:c>
      <x:c r="BN456" s="624"/>
    </x:row>
    <x:row r="457" spans="1:66" x14ac:dyDescent="0.2">
      <x:c r="C457" s="770"/>
      <x:c r="D457" s="768"/>
      <x:c r="E457" s="639" t="s">
        <x:v>73</x:v>
      </x:c>
      <x:c r="F457" s="640">
        <x:f>F430</x:f>
        <x:v>0</x:v>
      </x:c>
      <x:c r="G457" s="627"/>
      <x:c r="H457" s="627"/>
      <x:c r="I457" s="627"/>
      <x:c r="J457" s="627"/>
      <x:c r="K457" s="627"/>
      <x:c r="L457" s="627"/>
      <x:c r="M457" s="627"/>
      <x:c r="N457" s="627"/>
      <x:c r="O457" s="627"/>
      <x:c r="P457" s="627"/>
      <x:c r="Q457" s="627"/>
      <x:c r="R457" s="627"/>
      <x:c r="S457" s="627"/>
      <x:c r="BN457" s="624"/>
    </x:row>
    <x:row r="458" spans="1:66" x14ac:dyDescent="0.2">
      <x:c r="C458" s="770"/>
      <x:c r="D458" s="768" t="s">
        <x:v>133</x:v>
      </x:c>
      <x:c r="E458" s="645" t="s">
        <x:v>70</x:v>
      </x:c>
      <x:c r="F458" s="646">
        <x:f>F412+F379-L379</x:f>
        <x:v>0</x:v>
      </x:c>
      <x:c r="G458" s="646">
        <x:f t="shared" ref="G458:AA458" si="21">G379</x:f>
        <x:v>0</x:v>
      </x:c>
      <x:c r="H458" s="646">
        <x:f t="shared" si="21"/>
        <x:v>0</x:v>
      </x:c>
      <x:c r="I458" s="646">
        <x:f t="shared" si="21"/>
        <x:v>0</x:v>
      </x:c>
      <x:c r="J458" s="646">
        <x:f t="shared" si="21"/>
        <x:v>0</x:v>
      </x:c>
      <x:c r="K458" s="646">
        <x:f t="shared" si="21"/>
        <x:v>0</x:v>
      </x:c>
      <x:c r="L458" s="646">
        <x:f t="shared" si="21"/>
        <x:v>0</x:v>
      </x:c>
      <x:c r="M458" s="646">
        <x:f t="shared" si="21"/>
        <x:v>0</x:v>
      </x:c>
      <x:c r="N458" s="646">
        <x:f t="shared" si="21"/>
        <x:v>0</x:v>
      </x:c>
      <x:c r="O458" s="646">
        <x:f t="shared" si="21"/>
        <x:v>0</x:v>
      </x:c>
      <x:c r="P458" s="646">
        <x:f t="shared" si="21"/>
        <x:v>0</x:v>
      </x:c>
      <x:c r="Q458" s="646">
        <x:f t="shared" si="21"/>
        <x:v>0</x:v>
      </x:c>
      <x:c r="R458" s="646">
        <x:f t="shared" si="21"/>
        <x:v>0</x:v>
      </x:c>
      <x:c r="S458" s="646">
        <x:f t="shared" si="21"/>
        <x:v>0</x:v>
      </x:c>
      <x:c r="T458" s="646">
        <x:f t="shared" si="21"/>
        <x:v>0</x:v>
      </x:c>
      <x:c r="U458" s="646">
        <x:f t="shared" si="21"/>
        <x:v>0</x:v>
      </x:c>
      <x:c r="V458" s="646">
        <x:f t="shared" si="21"/>
        <x:v>0</x:v>
      </x:c>
      <x:c r="W458" s="646">
        <x:f t="shared" si="21"/>
        <x:v>0</x:v>
      </x:c>
      <x:c r="X458" s="646">
        <x:f t="shared" si="21"/>
        <x:v>0</x:v>
      </x:c>
      <x:c r="Y458" s="646">
        <x:f t="shared" si="21"/>
        <x:v>0</x:v>
      </x:c>
      <x:c r="Z458" s="646">
        <x:f t="shared" si="21"/>
        <x:v>0</x:v>
      </x:c>
      <x:c r="AA458" s="646">
        <x:f t="shared" si="21"/>
        <x:v>0</x:v>
      </x:c>
      <x:c r="BN458" s="624"/>
    </x:row>
    <x:row r="459" spans="1:66" x14ac:dyDescent="0.2">
      <x:c r="C459" s="770"/>
      <x:c r="D459" s="768"/>
      <x:c r="E459" s="645" t="s">
        <x:v>73</x:v>
      </x:c>
      <x:c r="F459" s="646">
        <x:f>F412</x:f>
        <x:v>0</x:v>
      </x:c>
      <x:c r="G459" s="627"/>
      <x:c r="H459" s="627"/>
      <x:c r="I459" s="627"/>
      <x:c r="J459" s="627"/>
      <x:c r="K459" s="627"/>
      <x:c r="L459" s="627"/>
      <x:c r="M459" s="627"/>
      <x:c r="N459" s="627"/>
      <x:c r="O459" s="627"/>
      <x:c r="P459" s="627"/>
      <x:c r="Q459" s="627"/>
      <x:c r="R459" s="627"/>
      <x:c r="BN459" s="624"/>
    </x:row>
    <x:row r="460" spans="1:66" ht="15" x14ac:dyDescent="0.25">
      <x:c r="A460" s="625"/>
      <x:c r="C460" s="50"/>
      <x:c r="F460" s="627"/>
      <x:c r="G460" s="627"/>
      <x:c r="H460" s="627"/>
      <x:c r="I460" s="627"/>
      <x:c r="J460" s="627"/>
      <x:c r="K460" s="627"/>
      <x:c r="L460" s="627"/>
      <x:c r="M460" s="627"/>
      <x:c r="N460" s="627"/>
      <x:c r="O460" s="627"/>
      <x:c r="P460" s="627"/>
      <x:c r="Q460" s="627"/>
      <x:c r="R460" s="627"/>
      <x:c r="S460" s="627"/>
      <x:c r="BN460" s="624"/>
    </x:row>
    <x:row r="461" spans="1:66" x14ac:dyDescent="0.2">
      <x:c r="C461" s="770" t="s">
        <x:v>160</x:v>
      </x:c>
      <x:c r="D461" s="768" t="s">
        <x:v>132</x:v>
      </x:c>
      <x:c r="E461" s="647" t="s">
        <x:v>70</x:v>
      </x:c>
      <x:c r="F461" s="648">
        <x:f>F422+F393-L393</x:f>
        <x:v>0</x:v>
      </x:c>
      <x:c r="G461" s="648">
        <x:f t="shared" ref="G461:AO461" si="22">G393</x:f>
        <x:v>0</x:v>
      </x:c>
      <x:c r="H461" s="648">
        <x:f t="shared" si="22"/>
        <x:v>0</x:v>
      </x:c>
      <x:c r="I461" s="648">
        <x:f t="shared" si="22"/>
        <x:v>0</x:v>
      </x:c>
      <x:c r="J461" s="648">
        <x:f t="shared" si="22"/>
        <x:v>0</x:v>
      </x:c>
      <x:c r="K461" s="648">
        <x:f t="shared" si="22"/>
        <x:v>0</x:v>
      </x:c>
      <x:c r="L461" s="648">
        <x:f t="shared" si="22"/>
        <x:v>0</x:v>
      </x:c>
      <x:c r="M461" s="648">
        <x:f t="shared" si="22"/>
        <x:v>0</x:v>
      </x:c>
      <x:c r="N461" s="648">
        <x:f t="shared" si="22"/>
        <x:v>0</x:v>
      </x:c>
      <x:c r="O461" s="648">
        <x:f t="shared" si="22"/>
        <x:v>0</x:v>
      </x:c>
      <x:c r="P461" s="648">
        <x:f t="shared" si="22"/>
        <x:v>0</x:v>
      </x:c>
      <x:c r="Q461" s="648">
        <x:f t="shared" si="22"/>
        <x:v>0</x:v>
      </x:c>
      <x:c r="R461" s="648">
        <x:f t="shared" si="22"/>
        <x:v>0</x:v>
      </x:c>
      <x:c r="S461" s="648">
        <x:f t="shared" si="22"/>
        <x:v>0</x:v>
      </x:c>
      <x:c r="T461" s="648">
        <x:f t="shared" si="22"/>
        <x:v>0</x:v>
      </x:c>
      <x:c r="U461" s="648">
        <x:f t="shared" si="22"/>
        <x:v>0</x:v>
      </x:c>
      <x:c r="V461" s="648">
        <x:f t="shared" si="22"/>
        <x:v>0</x:v>
      </x:c>
      <x:c r="W461" s="648">
        <x:f t="shared" si="22"/>
        <x:v>0</x:v>
      </x:c>
      <x:c r="X461" s="648">
        <x:f t="shared" si="22"/>
        <x:v>0</x:v>
      </x:c>
      <x:c r="Y461" s="648">
        <x:f t="shared" si="22"/>
        <x:v>0</x:v>
      </x:c>
      <x:c r="Z461" s="648">
        <x:f t="shared" si="22"/>
        <x:v>0</x:v>
      </x:c>
      <x:c r="AA461" s="648">
        <x:f t="shared" si="22"/>
        <x:v>0</x:v>
      </x:c>
      <x:c r="AB461" s="648">
        <x:f t="shared" si="22"/>
        <x:v>0</x:v>
      </x:c>
      <x:c r="AC461" s="648">
        <x:f t="shared" si="22"/>
        <x:v>0</x:v>
      </x:c>
      <x:c r="AD461" s="648">
        <x:f t="shared" si="22"/>
        <x:v>0</x:v>
      </x:c>
      <x:c r="AE461" s="648">
        <x:f t="shared" si="22"/>
        <x:v>0</x:v>
      </x:c>
      <x:c r="AF461" s="648">
        <x:f t="shared" si="22"/>
        <x:v>0</x:v>
      </x:c>
      <x:c r="AG461" s="648">
        <x:f t="shared" si="22"/>
        <x:v>0</x:v>
      </x:c>
      <x:c r="AH461" s="648">
        <x:f t="shared" si="22"/>
        <x:v>0</x:v>
      </x:c>
      <x:c r="AI461" s="648">
        <x:f t="shared" si="22"/>
        <x:v>0</x:v>
      </x:c>
      <x:c r="AJ461" s="648">
        <x:f t="shared" si="22"/>
        <x:v>0</x:v>
      </x:c>
      <x:c r="AK461" s="648">
        <x:f t="shared" si="22"/>
        <x:v>0</x:v>
      </x:c>
      <x:c r="AL461" s="648">
        <x:f t="shared" si="22"/>
        <x:v>0</x:v>
      </x:c>
      <x:c r="AM461" s="648">
        <x:f t="shared" si="22"/>
        <x:v>0</x:v>
      </x:c>
      <x:c r="AN461" s="648">
        <x:f t="shared" si="22"/>
        <x:v>0</x:v>
      </x:c>
      <x:c r="AO461" s="648">
        <x:f t="shared" si="22"/>
        <x:v>0</x:v>
      </x:c>
      <x:c r="BN461" s="624"/>
    </x:row>
    <x:row r="462" spans="1:66" x14ac:dyDescent="0.2">
      <x:c r="C462" s="770"/>
      <x:c r="D462" s="768"/>
      <x:c r="E462" s="647" t="s">
        <x:v>73</x:v>
      </x:c>
      <x:c r="F462" s="648">
        <x:f>F422</x:f>
        <x:v>0</x:v>
      </x:c>
      <x:c r="G462" s="627"/>
      <x:c r="H462" s="627"/>
      <x:c r="I462" s="627"/>
      <x:c r="J462" s="627"/>
      <x:c r="K462" s="627"/>
      <x:c r="L462" s="627"/>
      <x:c r="M462" s="627"/>
      <x:c r="N462" s="627"/>
      <x:c r="O462" s="627"/>
      <x:c r="P462" s="627"/>
      <x:c r="Q462" s="627"/>
      <x:c r="R462" s="627"/>
      <x:c r="S462" s="627"/>
      <x:c r="BN462" s="624"/>
    </x:row>
    <x:row r="463" spans="1:66" x14ac:dyDescent="0.2">
      <x:c r="C463" s="770"/>
      <x:c r="D463" s="768" t="s">
        <x:v>133</x:v>
      </x:c>
      <x:c r="E463" s="649" t="s">
        <x:v>70</x:v>
      </x:c>
      <x:c r="F463" s="650">
        <x:f>F374-L374</x:f>
        <x:v>0</x:v>
      </x:c>
      <x:c r="G463" s="650">
        <x:f>G374</x:f>
        <x:v>0</x:v>
      </x:c>
      <x:c r="H463" s="650">
        <x:f t="shared" ref="H463:Z463" si="23">H374</x:f>
        <x:v>0</x:v>
      </x:c>
      <x:c r="I463" s="650">
        <x:f t="shared" si="23"/>
        <x:v>0</x:v>
      </x:c>
      <x:c r="J463" s="650">
        <x:f t="shared" si="23"/>
        <x:v>0</x:v>
      </x:c>
      <x:c r="K463" s="650">
        <x:f t="shared" si="23"/>
        <x:v>0</x:v>
      </x:c>
      <x:c r="L463" s="650">
        <x:f t="shared" si="23"/>
        <x:v>0</x:v>
      </x:c>
      <x:c r="M463" s="650">
        <x:f t="shared" si="23"/>
        <x:v>0</x:v>
      </x:c>
      <x:c r="N463" s="650">
        <x:f t="shared" si="23"/>
        <x:v>0</x:v>
      </x:c>
      <x:c r="O463" s="650">
        <x:f t="shared" si="23"/>
        <x:v>0</x:v>
      </x:c>
      <x:c r="P463" s="650">
        <x:f t="shared" si="23"/>
        <x:v>0</x:v>
      </x:c>
      <x:c r="Q463" s="650">
        <x:f t="shared" si="23"/>
        <x:v>0</x:v>
      </x:c>
      <x:c r="R463" s="650">
        <x:f t="shared" si="23"/>
        <x:v>0</x:v>
      </x:c>
      <x:c r="S463" s="650">
        <x:f t="shared" si="23"/>
        <x:v>0</x:v>
      </x:c>
      <x:c r="T463" s="650">
        <x:f t="shared" si="23"/>
        <x:v>0</x:v>
      </x:c>
      <x:c r="U463" s="650">
        <x:f t="shared" si="23"/>
        <x:v>0</x:v>
      </x:c>
      <x:c r="V463" s="650">
        <x:f t="shared" si="23"/>
        <x:v>0</x:v>
      </x:c>
      <x:c r="W463" s="650">
        <x:f t="shared" si="23"/>
        <x:v>0</x:v>
      </x:c>
      <x:c r="X463" s="650">
        <x:f t="shared" si="23"/>
        <x:v>0</x:v>
      </x:c>
      <x:c r="Y463" s="650">
        <x:f t="shared" si="23"/>
        <x:v>0</x:v>
      </x:c>
      <x:c r="Z463" s="650">
        <x:f t="shared" si="23"/>
        <x:v>0</x:v>
      </x:c>
      <x:c r="BN463" s="624"/>
    </x:row>
    <x:row r="464" spans="1:66" x14ac:dyDescent="0.2">
      <x:c r="C464" s="770"/>
      <x:c r="D464" s="768"/>
      <x:c r="E464" s="649" t="s">
        <x:v>73</x:v>
      </x:c>
      <x:c r="F464" s="650">
        <x:v>0</x:v>
      </x:c>
      <x:c r="G464" s="627"/>
      <x:c r="H464" s="627"/>
      <x:c r="I464" s="627"/>
      <x:c r="J464" s="627"/>
      <x:c r="K464" s="627"/>
      <x:c r="L464" s="627"/>
      <x:c r="M464" s="627"/>
      <x:c r="N464" s="627"/>
      <x:c r="O464" s="627"/>
      <x:c r="P464" s="627"/>
      <x:c r="Q464" s="627"/>
      <x:c r="R464" s="627"/>
      <x:c r="BN464" s="624"/>
    </x:row>
    <x:row r="465" spans="1:66" ht="15" x14ac:dyDescent="0.25">
      <x:c r="A465" s="625"/>
      <x:c r="C465" s="50"/>
      <x:c r="F465" s="627"/>
      <x:c r="G465" s="627"/>
      <x:c r="H465" s="627"/>
      <x:c r="I465" s="627"/>
      <x:c r="J465" s="627"/>
      <x:c r="K465" s="627"/>
      <x:c r="L465" s="627"/>
      <x:c r="M465" s="627"/>
      <x:c r="N465" s="627"/>
      <x:c r="O465" s="627"/>
      <x:c r="P465" s="627"/>
      <x:c r="Q465" s="627"/>
      <x:c r="R465" s="627"/>
      <x:c r="S465" s="627"/>
      <x:c r="BN465" s="624"/>
    </x:row>
    <x:row r="466" spans="1:66" x14ac:dyDescent="0.2">
      <x:c r="C466" s="770" t="s">
        <x:v>155</x:v>
      </x:c>
      <x:c r="D466" s="768" t="s">
        <x:v>132</x:v>
      </x:c>
      <x:c r="E466" s="651" t="s">
        <x:v>70</x:v>
      </x:c>
      <x:c r="F466" s="652">
        <x:f>F415+F383+F362-L362-L383</x:f>
        <x:v>0</x:v>
      </x:c>
      <x:c r="G466" s="652">
        <x:f t="shared" ref="G466:Z466" si="24">G383+G362</x:f>
        <x:v>0</x:v>
      </x:c>
      <x:c r="H466" s="652">
        <x:f t="shared" si="24"/>
        <x:v>0</x:v>
      </x:c>
      <x:c r="I466" s="652">
        <x:f t="shared" si="24"/>
        <x:v>0</x:v>
      </x:c>
      <x:c r="J466" s="652">
        <x:f t="shared" si="24"/>
        <x:v>0</x:v>
      </x:c>
      <x:c r="K466" s="652">
        <x:f t="shared" si="24"/>
        <x:v>0</x:v>
      </x:c>
      <x:c r="L466" s="652">
        <x:f t="shared" si="24"/>
        <x:v>0</x:v>
      </x:c>
      <x:c r="M466" s="652">
        <x:f t="shared" si="24"/>
        <x:v>0</x:v>
      </x:c>
      <x:c r="N466" s="652">
        <x:f t="shared" si="24"/>
        <x:v>0</x:v>
      </x:c>
      <x:c r="O466" s="652">
        <x:f t="shared" si="24"/>
        <x:v>0</x:v>
      </x:c>
      <x:c r="P466" s="652">
        <x:f t="shared" si="24"/>
        <x:v>0</x:v>
      </x:c>
      <x:c r="Q466" s="652">
        <x:f t="shared" si="24"/>
        <x:v>0</x:v>
      </x:c>
      <x:c r="R466" s="652">
        <x:f t="shared" si="24"/>
        <x:v>0</x:v>
      </x:c>
      <x:c r="S466" s="652">
        <x:f t="shared" si="24"/>
        <x:v>0</x:v>
      </x:c>
      <x:c r="T466" s="652">
        <x:f t="shared" si="24"/>
        <x:v>0</x:v>
      </x:c>
      <x:c r="U466" s="652">
        <x:f t="shared" si="24"/>
        <x:v>0</x:v>
      </x:c>
      <x:c r="V466" s="652">
        <x:f t="shared" si="24"/>
        <x:v>0</x:v>
      </x:c>
      <x:c r="W466" s="652">
        <x:f t="shared" si="24"/>
        <x:v>0</x:v>
      </x:c>
      <x:c r="X466" s="652">
        <x:f t="shared" si="24"/>
        <x:v>0</x:v>
      </x:c>
      <x:c r="Y466" s="652">
        <x:f t="shared" si="24"/>
        <x:v>0</x:v>
      </x:c>
      <x:c r="Z466" s="652">
        <x:f t="shared" si="24"/>
        <x:v>0</x:v>
      </x:c>
      <x:c r="BN466" s="624"/>
    </x:row>
    <x:row r="467" spans="1:66" x14ac:dyDescent="0.2">
      <x:c r="C467" s="770"/>
      <x:c r="D467" s="768"/>
      <x:c r="E467" s="651" t="s">
        <x:v>73</x:v>
      </x:c>
      <x:c r="F467" s="652">
        <x:f>F415</x:f>
        <x:v>0</x:v>
      </x:c>
      <x:c r="G467" s="627"/>
      <x:c r="H467" s="627"/>
      <x:c r="I467" s="627"/>
      <x:c r="J467" s="627"/>
      <x:c r="K467" s="627"/>
      <x:c r="L467" s="627"/>
      <x:c r="M467" s="627"/>
      <x:c r="N467" s="627"/>
      <x:c r="O467" s="627"/>
      <x:c r="P467" s="627"/>
      <x:c r="Q467" s="627"/>
      <x:c r="R467" s="627"/>
      <x:c r="S467" s="627"/>
      <x:c r="BN467" s="624"/>
    </x:row>
    <x:row r="468" spans="1:66" x14ac:dyDescent="0.2">
      <x:c r="C468" s="770"/>
      <x:c r="D468" s="768" t="s">
        <x:v>133</x:v>
      </x:c>
      <x:c r="E468" s="629" t="s">
        <x:v>70</x:v>
      </x:c>
      <x:c r="F468" s="630">
        <x:f>F408+F371-L371</x:f>
        <x:v>0</x:v>
      </x:c>
      <x:c r="G468" s="630">
        <x:f>G371</x:f>
        <x:v>0</x:v>
      </x:c>
      <x:c r="H468" s="630">
        <x:f t="shared" ref="H468:Z468" si="25">H371</x:f>
        <x:v>0</x:v>
      </x:c>
      <x:c r="I468" s="630">
        <x:f t="shared" si="25"/>
        <x:v>0</x:v>
      </x:c>
      <x:c r="J468" s="630">
        <x:f t="shared" si="25"/>
        <x:v>0</x:v>
      </x:c>
      <x:c r="K468" s="630">
        <x:f t="shared" si="25"/>
        <x:v>0</x:v>
      </x:c>
      <x:c r="L468" s="630">
        <x:f t="shared" si="25"/>
        <x:v>0</x:v>
      </x:c>
      <x:c r="M468" s="630">
        <x:f t="shared" si="25"/>
        <x:v>0</x:v>
      </x:c>
      <x:c r="N468" s="630">
        <x:f t="shared" si="25"/>
        <x:v>0</x:v>
      </x:c>
      <x:c r="O468" s="630">
        <x:f t="shared" si="25"/>
        <x:v>0</x:v>
      </x:c>
      <x:c r="P468" s="630">
        <x:f t="shared" si="25"/>
        <x:v>0</x:v>
      </x:c>
      <x:c r="Q468" s="630">
        <x:f t="shared" si="25"/>
        <x:v>0</x:v>
      </x:c>
      <x:c r="R468" s="630">
        <x:f t="shared" si="25"/>
        <x:v>0</x:v>
      </x:c>
      <x:c r="S468" s="630">
        <x:f t="shared" si="25"/>
        <x:v>0</x:v>
      </x:c>
      <x:c r="T468" s="630">
        <x:f t="shared" si="25"/>
        <x:v>0</x:v>
      </x:c>
      <x:c r="U468" s="630">
        <x:f t="shared" si="25"/>
        <x:v>0</x:v>
      </x:c>
      <x:c r="V468" s="630">
        <x:f t="shared" si="25"/>
        <x:v>0</x:v>
      </x:c>
      <x:c r="W468" s="630">
        <x:f t="shared" si="25"/>
        <x:v>0</x:v>
      </x:c>
      <x:c r="X468" s="630">
        <x:f t="shared" si="25"/>
        <x:v>0</x:v>
      </x:c>
      <x:c r="Y468" s="630">
        <x:f t="shared" si="25"/>
        <x:v>0</x:v>
      </x:c>
      <x:c r="Z468" s="630">
        <x:f t="shared" si="25"/>
        <x:v>0</x:v>
      </x:c>
      <x:c r="BN468" s="624"/>
    </x:row>
    <x:row r="469" spans="1:66" x14ac:dyDescent="0.2">
      <x:c r="C469" s="770"/>
      <x:c r="D469" s="768"/>
      <x:c r="E469" s="629" t="s">
        <x:v>73</x:v>
      </x:c>
      <x:c r="F469" s="630">
        <x:f>F408</x:f>
        <x:v>0</x:v>
      </x:c>
      <x:c r="G469" s="627"/>
      <x:c r="H469" s="627"/>
      <x:c r="I469" s="627"/>
      <x:c r="J469" s="627"/>
      <x:c r="K469" s="627"/>
      <x:c r="L469" s="627"/>
      <x:c r="M469" s="627"/>
      <x:c r="N469" s="627"/>
      <x:c r="O469" s="627"/>
      <x:c r="P469" s="627"/>
      <x:c r="Q469" s="627"/>
      <x:c r="R469" s="627"/>
      <x:c r="BN469" s="624"/>
    </x:row>
    <x:row r="470" spans="1:66" ht="15" x14ac:dyDescent="0.25">
      <x:c r="A470" s="625"/>
      <x:c r="C470" s="50"/>
      <x:c r="F470" s="627"/>
      <x:c r="G470" s="627"/>
      <x:c r="H470" s="627"/>
      <x:c r="I470" s="627"/>
      <x:c r="J470" s="627"/>
      <x:c r="K470" s="627"/>
      <x:c r="L470" s="627"/>
      <x:c r="M470" s="627"/>
      <x:c r="N470" s="627"/>
      <x:c r="O470" s="627"/>
      <x:c r="P470" s="627"/>
      <x:c r="Q470" s="627"/>
      <x:c r="R470" s="627"/>
      <x:c r="S470" s="627"/>
      <x:c r="BN470" s="624"/>
    </x:row>
    <x:row r="471" spans="1:66" x14ac:dyDescent="0.2">
      <x:c r="C471" s="771" t="s">
        <x:v>326</x:v>
      </x:c>
      <x:c r="D471" s="768" t="s">
        <x:v>132</x:v>
      </x:c>
      <x:c r="E471" s="654" t="s">
        <x:v>70</x:v>
      </x:c>
      <x:c r="F471" s="655">
        <x:v>0</x:v>
      </x:c>
      <x:c r="G471" s="655">
        <x:v>0</x:v>
      </x:c>
      <x:c r="H471" s="655">
        <x:v>0</x:v>
      </x:c>
      <x:c r="I471" s="655">
        <x:v>0</x:v>
      </x:c>
      <x:c r="J471" s="655">
        <x:v>0</x:v>
      </x:c>
      <x:c r="K471" s="655">
        <x:v>0</x:v>
      </x:c>
      <x:c r="L471" s="655">
        <x:v>0</x:v>
      </x:c>
      <x:c r="M471" s="655">
        <x:v>0</x:v>
      </x:c>
      <x:c r="N471" s="655">
        <x:v>0</x:v>
      </x:c>
      <x:c r="O471" s="655">
        <x:v>0</x:v>
      </x:c>
      <x:c r="P471" s="655">
        <x:v>0</x:v>
      </x:c>
      <x:c r="Q471" s="655">
        <x:v>0</x:v>
      </x:c>
      <x:c r="R471" s="655">
        <x:v>0</x:v>
      </x:c>
      <x:c r="S471" s="655">
        <x:v>0</x:v>
      </x:c>
      <x:c r="T471" s="655">
        <x:v>0</x:v>
      </x:c>
      <x:c r="U471" s="655">
        <x:v>0</x:v>
      </x:c>
      <x:c r="V471" s="655">
        <x:v>0</x:v>
      </x:c>
      <x:c r="W471" s="655">
        <x:v>0</x:v>
      </x:c>
      <x:c r="X471" s="655">
        <x:v>0</x:v>
      </x:c>
      <x:c r="Y471" s="655">
        <x:v>0</x:v>
      </x:c>
      <x:c r="Z471" s="655">
        <x:v>0</x:v>
      </x:c>
      <x:c r="AA471" s="655">
        <x:v>0</x:v>
      </x:c>
      <x:c r="AB471" s="655">
        <x:v>0</x:v>
      </x:c>
      <x:c r="AC471" s="655">
        <x:v>0</x:v>
      </x:c>
      <x:c r="AD471" s="655">
        <x:v>0</x:v>
      </x:c>
      <x:c r="AE471" s="655">
        <x:v>0</x:v>
      </x:c>
      <x:c r="AF471" s="655">
        <x:v>0</x:v>
      </x:c>
      <x:c r="AG471" s="655">
        <x:v>0</x:v>
      </x:c>
      <x:c r="AH471" s="655">
        <x:v>0</x:v>
      </x:c>
      <x:c r="AI471" s="655">
        <x:v>0</x:v>
      </x:c>
      <x:c r="AJ471" s="655">
        <x:v>0</x:v>
      </x:c>
      <x:c r="AK471" s="655">
        <x:v>0</x:v>
      </x:c>
      <x:c r="AL471" s="655">
        <x:v>0</x:v>
      </x:c>
      <x:c r="AM471" s="655">
        <x:v>0</x:v>
      </x:c>
      <x:c r="AN471" s="655">
        <x:v>0</x:v>
      </x:c>
      <x:c r="AO471" s="655">
        <x:v>0</x:v>
      </x:c>
      <x:c r="BN471" s="624"/>
    </x:row>
    <x:row r="472" spans="1:66" x14ac:dyDescent="0.2">
      <x:c r="C472" s="771"/>
      <x:c r="D472" s="768"/>
      <x:c r="E472" s="654" t="s">
        <x:v>73</x:v>
      </x:c>
      <x:c r="F472" s="655">
        <x:v>0</x:v>
      </x:c>
      <x:c r="G472" s="627"/>
      <x:c r="H472" s="627"/>
      <x:c r="I472" s="627"/>
      <x:c r="J472" s="627"/>
      <x:c r="K472" s="627"/>
      <x:c r="L472" s="627"/>
      <x:c r="M472" s="627"/>
      <x:c r="N472" s="627"/>
      <x:c r="O472" s="627"/>
      <x:c r="P472" s="627"/>
      <x:c r="Q472" s="627"/>
      <x:c r="R472" s="627"/>
      <x:c r="S472" s="627"/>
      <x:c r="BN472" s="624"/>
    </x:row>
    <x:row r="473" spans="1:66" x14ac:dyDescent="0.2">
      <x:c r="C473" s="771"/>
      <x:c r="D473" s="768" t="s">
        <x:v>133</x:v>
      </x:c>
      <x:c r="E473" s="656" t="s">
        <x:v>70</x:v>
      </x:c>
      <x:c r="F473" s="657">
        <x:v>0</x:v>
      </x:c>
      <x:c r="G473" s="657">
        <x:v>0</x:v>
      </x:c>
      <x:c r="H473" s="657">
        <x:v>0</x:v>
      </x:c>
      <x:c r="I473" s="657">
        <x:v>0</x:v>
      </x:c>
      <x:c r="J473" s="657">
        <x:v>0</x:v>
      </x:c>
      <x:c r="K473" s="657">
        <x:v>0</x:v>
      </x:c>
      <x:c r="L473" s="657">
        <x:v>0</x:v>
      </x:c>
      <x:c r="M473" s="657">
        <x:v>0</x:v>
      </x:c>
      <x:c r="N473" s="657">
        <x:v>0</x:v>
      </x:c>
      <x:c r="O473" s="657">
        <x:v>0</x:v>
      </x:c>
      <x:c r="P473" s="657">
        <x:v>0</x:v>
      </x:c>
      <x:c r="Q473" s="657">
        <x:v>0</x:v>
      </x:c>
      <x:c r="R473" s="657">
        <x:v>0</x:v>
      </x:c>
      <x:c r="S473" s="657">
        <x:v>0</x:v>
      </x:c>
      <x:c r="T473" s="657">
        <x:v>0</x:v>
      </x:c>
      <x:c r="U473" s="657">
        <x:v>0</x:v>
      </x:c>
      <x:c r="V473" s="657">
        <x:v>0</x:v>
      </x:c>
      <x:c r="W473" s="657">
        <x:v>0</x:v>
      </x:c>
      <x:c r="X473" s="657">
        <x:v>0</x:v>
      </x:c>
      <x:c r="Y473" s="657">
        <x:v>0</x:v>
      </x:c>
      <x:c r="Z473" s="657">
        <x:v>0</x:v>
      </x:c>
      <x:c r="AA473" s="657">
        <x:v>0</x:v>
      </x:c>
      <x:c r="AB473" s="657">
        <x:v>0</x:v>
      </x:c>
      <x:c r="AC473" s="657">
        <x:v>0</x:v>
      </x:c>
      <x:c r="AD473" s="657">
        <x:v>0</x:v>
      </x:c>
      <x:c r="AE473" s="657">
        <x:v>0</x:v>
      </x:c>
      <x:c r="AF473" s="657">
        <x:v>0</x:v>
      </x:c>
      <x:c r="AG473" s="657">
        <x:v>0</x:v>
      </x:c>
      <x:c r="AH473" s="657">
        <x:v>0</x:v>
      </x:c>
      <x:c r="AI473" s="657">
        <x:v>0</x:v>
      </x:c>
      <x:c r="AJ473" s="657">
        <x:v>0</x:v>
      </x:c>
      <x:c r="AK473" s="657">
        <x:v>0</x:v>
      </x:c>
      <x:c r="AL473" s="657">
        <x:v>0</x:v>
      </x:c>
      <x:c r="AM473" s="657">
        <x:v>0</x:v>
      </x:c>
      <x:c r="AN473" s="657">
        <x:v>0</x:v>
      </x:c>
      <x:c r="AO473" s="657">
        <x:v>0</x:v>
      </x:c>
      <x:c r="BN473" s="624"/>
    </x:row>
    <x:row r="474" spans="1:66" x14ac:dyDescent="0.2">
      <x:c r="C474" s="771"/>
      <x:c r="D474" s="768"/>
      <x:c r="E474" s="656" t="s">
        <x:v>73</x:v>
      </x:c>
      <x:c r="F474" s="657">
        <x:v>0</x:v>
      </x:c>
      <x:c r="G474" s="627"/>
      <x:c r="H474" s="627"/>
      <x:c r="I474" s="627"/>
      <x:c r="J474" s="627"/>
      <x:c r="K474" s="627"/>
      <x:c r="L474" s="627"/>
      <x:c r="M474" s="627"/>
      <x:c r="N474" s="627"/>
      <x:c r="O474" s="627"/>
      <x:c r="P474" s="627"/>
      <x:c r="Q474" s="627"/>
      <x:c r="R474" s="627"/>
      <x:c r="BN474" s="624"/>
    </x:row>
    <x:row r="475" spans="1:66" ht="15" x14ac:dyDescent="0.25">
      <x:c r="A475" s="625"/>
      <x:c r="C475" s="50"/>
      <x:c r="F475" s="627"/>
      <x:c r="G475" s="627"/>
      <x:c r="H475" s="627"/>
      <x:c r="I475" s="627"/>
      <x:c r="J475" s="627"/>
      <x:c r="K475" s="627"/>
      <x:c r="L475" s="627"/>
      <x:c r="M475" s="627"/>
      <x:c r="N475" s="627"/>
      <x:c r="O475" s="627"/>
      <x:c r="P475" s="627"/>
      <x:c r="Q475" s="627"/>
      <x:c r="R475" s="627"/>
      <x:c r="S475" s="627"/>
      <x:c r="BN475" s="624"/>
    </x:row>
    <x:row r="476" spans="1:66" x14ac:dyDescent="0.2">
      <x:c r="C476" s="770" t="s">
        <x:v>119</x:v>
      </x:c>
      <x:c r="D476" s="768" t="s">
        <x:v>132</x:v>
      </x:c>
      <x:c r="E476" s="632" t="s">
        <x:v>70</x:v>
      </x:c>
      <x:c r="F476" s="633">
        <x:f>F429+F403+F365-L365-L403</x:f>
        <x:v>0</x:v>
      </x:c>
      <x:c r="G476" s="633">
        <x:f t="shared" ref="G476:AO476" si="26">G403+G365</x:f>
        <x:v>0</x:v>
      </x:c>
      <x:c r="H476" s="633">
        <x:f t="shared" si="26"/>
        <x:v>0</x:v>
      </x:c>
      <x:c r="I476" s="633">
        <x:f t="shared" si="26"/>
        <x:v>0</x:v>
      </x:c>
      <x:c r="J476" s="633">
        <x:f t="shared" si="26"/>
        <x:v>0</x:v>
      </x:c>
      <x:c r="K476" s="633">
        <x:f t="shared" si="26"/>
        <x:v>0</x:v>
      </x:c>
      <x:c r="L476" s="633">
        <x:f t="shared" si="26"/>
        <x:v>0</x:v>
      </x:c>
      <x:c r="M476" s="633">
        <x:f t="shared" si="26"/>
        <x:v>0</x:v>
      </x:c>
      <x:c r="N476" s="633">
        <x:f t="shared" si="26"/>
        <x:v>0</x:v>
      </x:c>
      <x:c r="O476" s="633">
        <x:f t="shared" si="26"/>
        <x:v>0</x:v>
      </x:c>
      <x:c r="P476" s="633">
        <x:f t="shared" si="26"/>
        <x:v>0</x:v>
      </x:c>
      <x:c r="Q476" s="633">
        <x:f t="shared" si="26"/>
        <x:v>0</x:v>
      </x:c>
      <x:c r="R476" s="633">
        <x:f t="shared" si="26"/>
        <x:v>0</x:v>
      </x:c>
      <x:c r="S476" s="633">
        <x:f t="shared" si="26"/>
        <x:v>0</x:v>
      </x:c>
      <x:c r="T476" s="633">
        <x:f t="shared" si="26"/>
        <x:v>0</x:v>
      </x:c>
      <x:c r="U476" s="633">
        <x:f t="shared" si="26"/>
        <x:v>0</x:v>
      </x:c>
      <x:c r="V476" s="633">
        <x:f t="shared" si="26"/>
        <x:v>0</x:v>
      </x:c>
      <x:c r="W476" s="633">
        <x:f t="shared" si="26"/>
        <x:v>0</x:v>
      </x:c>
      <x:c r="X476" s="633">
        <x:f t="shared" si="26"/>
        <x:v>0</x:v>
      </x:c>
      <x:c r="Y476" s="633">
        <x:f t="shared" si="26"/>
        <x:v>0</x:v>
      </x:c>
      <x:c r="Z476" s="633">
        <x:f t="shared" si="26"/>
        <x:v>0</x:v>
      </x:c>
      <x:c r="AA476" s="633">
        <x:f t="shared" si="26"/>
        <x:v>0</x:v>
      </x:c>
      <x:c r="AB476" s="633">
        <x:f t="shared" si="26"/>
        <x:v>0</x:v>
      </x:c>
      <x:c r="AC476" s="633">
        <x:f t="shared" si="26"/>
        <x:v>0</x:v>
      </x:c>
      <x:c r="AD476" s="633">
        <x:f t="shared" si="26"/>
        <x:v>0</x:v>
      </x:c>
      <x:c r="AE476" s="633">
        <x:f t="shared" si="26"/>
        <x:v>0</x:v>
      </x:c>
      <x:c r="AF476" s="633">
        <x:f t="shared" si="26"/>
        <x:v>0</x:v>
      </x:c>
      <x:c r="AG476" s="633">
        <x:f t="shared" si="26"/>
        <x:v>0</x:v>
      </x:c>
      <x:c r="AH476" s="633">
        <x:f t="shared" si="26"/>
        <x:v>0</x:v>
      </x:c>
      <x:c r="AI476" s="633">
        <x:f t="shared" si="26"/>
        <x:v>0</x:v>
      </x:c>
      <x:c r="AJ476" s="633">
        <x:f t="shared" si="26"/>
        <x:v>0</x:v>
      </x:c>
      <x:c r="AK476" s="633">
        <x:f t="shared" si="26"/>
        <x:v>0</x:v>
      </x:c>
      <x:c r="AL476" s="633">
        <x:f t="shared" si="26"/>
        <x:v>0</x:v>
      </x:c>
      <x:c r="AM476" s="633">
        <x:f t="shared" si="26"/>
        <x:v>0</x:v>
      </x:c>
      <x:c r="AN476" s="633">
        <x:f t="shared" si="26"/>
        <x:v>0</x:v>
      </x:c>
      <x:c r="AO476" s="633">
        <x:f t="shared" si="26"/>
        <x:v>0</x:v>
      </x:c>
      <x:c r="BN476" s="624"/>
    </x:row>
    <x:row r="477" spans="1:66" x14ac:dyDescent="0.2">
      <x:c r="C477" s="770"/>
      <x:c r="D477" s="768"/>
      <x:c r="E477" s="632" t="s">
        <x:v>73</x:v>
      </x:c>
      <x:c r="F477" s="633">
        <x:f>F429</x:f>
        <x:v>0</x:v>
      </x:c>
      <x:c r="G477" s="627"/>
      <x:c r="H477" s="627"/>
      <x:c r="I477" s="627"/>
      <x:c r="J477" s="627"/>
      <x:c r="K477" s="627"/>
      <x:c r="L477" s="627"/>
      <x:c r="M477" s="627"/>
      <x:c r="N477" s="627"/>
      <x:c r="O477" s="627"/>
      <x:c r="P477" s="627"/>
      <x:c r="Q477" s="627"/>
      <x:c r="R477" s="627"/>
      <x:c r="S477" s="627"/>
      <x:c r="BN477" s="624"/>
    </x:row>
    <x:row r="478" spans="1:66" x14ac:dyDescent="0.2">
      <x:c r="C478" s="770"/>
      <x:c r="D478" s="768" t="s">
        <x:v>133</x:v>
      </x:c>
      <x:c r="E478" s="658" t="s">
        <x:v>70</x:v>
      </x:c>
      <x:c r="F478" s="659">
        <x:f>F411+F378-L378</x:f>
        <x:v>0</x:v>
      </x:c>
      <x:c r="G478" s="659">
        <x:f t="shared" ref="G478:Z478" si="27">G378</x:f>
        <x:v>0</x:v>
      </x:c>
      <x:c r="H478" s="659">
        <x:f t="shared" si="27"/>
        <x:v>0</x:v>
      </x:c>
      <x:c r="I478" s="659">
        <x:f t="shared" si="27"/>
        <x:v>0</x:v>
      </x:c>
      <x:c r="J478" s="659">
        <x:f t="shared" si="27"/>
        <x:v>0</x:v>
      </x:c>
      <x:c r="K478" s="659">
        <x:f t="shared" si="27"/>
        <x:v>0</x:v>
      </x:c>
      <x:c r="L478" s="659">
        <x:f t="shared" si="27"/>
        <x:v>0</x:v>
      </x:c>
      <x:c r="M478" s="659">
        <x:f t="shared" si="27"/>
        <x:v>0</x:v>
      </x:c>
      <x:c r="N478" s="659">
        <x:f t="shared" si="27"/>
        <x:v>0</x:v>
      </x:c>
      <x:c r="O478" s="659">
        <x:f t="shared" si="27"/>
        <x:v>0</x:v>
      </x:c>
      <x:c r="P478" s="659">
        <x:f t="shared" si="27"/>
        <x:v>0</x:v>
      </x:c>
      <x:c r="Q478" s="659">
        <x:f t="shared" si="27"/>
        <x:v>0</x:v>
      </x:c>
      <x:c r="R478" s="659">
        <x:f t="shared" si="27"/>
        <x:v>0</x:v>
      </x:c>
      <x:c r="S478" s="659">
        <x:f t="shared" si="27"/>
        <x:v>0</x:v>
      </x:c>
      <x:c r="T478" s="659">
        <x:f t="shared" si="27"/>
        <x:v>0</x:v>
      </x:c>
      <x:c r="U478" s="659">
        <x:f t="shared" si="27"/>
        <x:v>0</x:v>
      </x:c>
      <x:c r="V478" s="659">
        <x:f t="shared" si="27"/>
        <x:v>0</x:v>
      </x:c>
      <x:c r="W478" s="659">
        <x:f t="shared" si="27"/>
        <x:v>0</x:v>
      </x:c>
      <x:c r="X478" s="659">
        <x:f t="shared" si="27"/>
        <x:v>0</x:v>
      </x:c>
      <x:c r="Y478" s="659">
        <x:f t="shared" si="27"/>
        <x:v>0</x:v>
      </x:c>
      <x:c r="Z478" s="659">
        <x:f t="shared" si="27"/>
        <x:v>0</x:v>
      </x:c>
      <x:c r="BN478" s="624"/>
    </x:row>
    <x:row r="479" spans="1:66" x14ac:dyDescent="0.2">
      <x:c r="C479" s="770"/>
      <x:c r="D479" s="768"/>
      <x:c r="E479" s="658" t="s">
        <x:v>73</x:v>
      </x:c>
      <x:c r="F479" s="659">
        <x:f>F411</x:f>
        <x:v>0</x:v>
      </x:c>
      <x:c r="G479" s="627"/>
      <x:c r="H479" s="627"/>
      <x:c r="I479" s="627"/>
      <x:c r="J479" s="627"/>
      <x:c r="K479" s="627"/>
      <x:c r="L479" s="627"/>
      <x:c r="M479" s="627"/>
      <x:c r="N479" s="627"/>
      <x:c r="O479" s="627"/>
      <x:c r="P479" s="627"/>
      <x:c r="Q479" s="627"/>
      <x:c r="R479" s="627"/>
      <x:c r="BN479" s="624"/>
    </x:row>
    <x:row r="480" spans="1:66" ht="15" x14ac:dyDescent="0.25">
      <x:c r="A480" s="625"/>
      <x:c r="C480" s="50"/>
      <x:c r="F480" s="627"/>
      <x:c r="G480" s="627"/>
      <x:c r="H480" s="627"/>
      <x:c r="I480" s="627"/>
      <x:c r="J480" s="627"/>
      <x:c r="K480" s="627"/>
      <x:c r="L480" s="627"/>
      <x:c r="M480" s="627"/>
      <x:c r="N480" s="627"/>
      <x:c r="O480" s="627"/>
      <x:c r="P480" s="627"/>
      <x:c r="Q480" s="627"/>
      <x:c r="R480" s="627"/>
      <x:c r="S480" s="627"/>
      <x:c r="BN480" s="624"/>
    </x:row>
    <x:row r="481" spans="1:66" x14ac:dyDescent="0.2">
      <x:c r="C481" s="769" t="s">
        <x:v>161</x:v>
      </x:c>
      <x:c r="D481" s="768" t="s">
        <x:v>132</x:v>
      </x:c>
      <x:c r="E481" s="661" t="s">
        <x:v>70</x:v>
      </x:c>
      <x:c r="F481" s="662">
        <x:v>0</x:v>
      </x:c>
      <x:c r="G481" s="662">
        <x:v>0</x:v>
      </x:c>
      <x:c r="H481" s="662">
        <x:v>0</x:v>
      </x:c>
      <x:c r="I481" s="662">
        <x:v>0</x:v>
      </x:c>
      <x:c r="J481" s="662">
        <x:v>0</x:v>
      </x:c>
      <x:c r="K481" s="662">
        <x:v>0</x:v>
      </x:c>
      <x:c r="L481" s="662">
        <x:v>0</x:v>
      </x:c>
      <x:c r="M481" s="662">
        <x:v>0</x:v>
      </x:c>
      <x:c r="N481" s="662">
        <x:v>0</x:v>
      </x:c>
      <x:c r="O481" s="662">
        <x:v>0</x:v>
      </x:c>
      <x:c r="P481" s="662">
        <x:v>0</x:v>
      </x:c>
      <x:c r="Q481" s="662">
        <x:v>0</x:v>
      </x:c>
      <x:c r="R481" s="662">
        <x:v>0</x:v>
      </x:c>
      <x:c r="S481" s="662">
        <x:v>0</x:v>
      </x:c>
      <x:c r="T481" s="662">
        <x:v>0</x:v>
      </x:c>
      <x:c r="U481" s="662">
        <x:v>0</x:v>
      </x:c>
      <x:c r="V481" s="662">
        <x:v>0</x:v>
      </x:c>
      <x:c r="W481" s="662">
        <x:v>0</x:v>
      </x:c>
      <x:c r="X481" s="662">
        <x:v>0</x:v>
      </x:c>
      <x:c r="Y481" s="662">
        <x:v>0</x:v>
      </x:c>
      <x:c r="Z481" s="662">
        <x:v>0</x:v>
      </x:c>
      <x:c r="AA481" s="662">
        <x:v>0</x:v>
      </x:c>
      <x:c r="AB481" s="662">
        <x:v>0</x:v>
      </x:c>
      <x:c r="AC481" s="662">
        <x:v>0</x:v>
      </x:c>
      <x:c r="AD481" s="662">
        <x:v>0</x:v>
      </x:c>
      <x:c r="AE481" s="662">
        <x:v>0</x:v>
      </x:c>
      <x:c r="AF481" s="662">
        <x:v>0</x:v>
      </x:c>
      <x:c r="AG481" s="662">
        <x:v>0</x:v>
      </x:c>
      <x:c r="AH481" s="662">
        <x:v>0</x:v>
      </x:c>
      <x:c r="AI481" s="662">
        <x:v>0</x:v>
      </x:c>
      <x:c r="AJ481" s="662">
        <x:v>0</x:v>
      </x:c>
      <x:c r="AK481" s="662">
        <x:v>0</x:v>
      </x:c>
      <x:c r="AL481" s="662">
        <x:v>0</x:v>
      </x:c>
      <x:c r="AM481" s="662">
        <x:v>0</x:v>
      </x:c>
      <x:c r="AN481" s="662">
        <x:v>0</x:v>
      </x:c>
      <x:c r="AO481" s="662">
        <x:v>0</x:v>
      </x:c>
      <x:c r="BN481" s="624"/>
    </x:row>
    <x:row r="482" spans="1:66" x14ac:dyDescent="0.2">
      <x:c r="C482" s="769"/>
      <x:c r="D482" s="768"/>
      <x:c r="E482" s="661" t="s">
        <x:v>73</x:v>
      </x:c>
      <x:c r="F482" s="662">
        <x:v>0</x:v>
      </x:c>
      <x:c r="G482" s="627"/>
      <x:c r="H482" s="627"/>
      <x:c r="I482" s="627"/>
      <x:c r="J482" s="627"/>
      <x:c r="K482" s="627"/>
      <x:c r="L482" s="627"/>
      <x:c r="M482" s="627"/>
      <x:c r="N482" s="627"/>
      <x:c r="O482" s="627"/>
      <x:c r="P482" s="627"/>
      <x:c r="Q482" s="627"/>
      <x:c r="R482" s="627"/>
      <x:c r="S482" s="627"/>
      <x:c r="BN482" s="624"/>
    </x:row>
    <x:row r="483" spans="1:66" x14ac:dyDescent="0.2">
      <x:c r="C483" s="769"/>
      <x:c r="E483" s="663" t="s">
        <x:v>70</x:v>
      </x:c>
      <x:c r="F483" s="664">
        <x:v>0</x:v>
      </x:c>
      <x:c r="G483" s="664">
        <x:v>0</x:v>
      </x:c>
      <x:c r="H483" s="664">
        <x:v>0</x:v>
      </x:c>
      <x:c r="I483" s="664">
        <x:v>0</x:v>
      </x:c>
      <x:c r="J483" s="664">
        <x:v>0</x:v>
      </x:c>
      <x:c r="K483" s="664">
        <x:v>0</x:v>
      </x:c>
      <x:c r="L483" s="664">
        <x:v>0</x:v>
      </x:c>
      <x:c r="M483" s="664">
        <x:v>0</x:v>
      </x:c>
      <x:c r="N483" s="664">
        <x:v>0</x:v>
      </x:c>
      <x:c r="O483" s="664">
        <x:v>0</x:v>
      </x:c>
      <x:c r="P483" s="664">
        <x:v>0</x:v>
      </x:c>
      <x:c r="Q483" s="664">
        <x:v>0</x:v>
      </x:c>
      <x:c r="R483" s="664">
        <x:v>0</x:v>
      </x:c>
      <x:c r="S483" s="664">
        <x:v>0</x:v>
      </x:c>
      <x:c r="T483" s="664">
        <x:v>0</x:v>
      </x:c>
      <x:c r="U483" s="664">
        <x:v>0</x:v>
      </x:c>
      <x:c r="V483" s="664">
        <x:v>0</x:v>
      </x:c>
      <x:c r="W483" s="664">
        <x:v>0</x:v>
      </x:c>
      <x:c r="X483" s="664">
        <x:v>0</x:v>
      </x:c>
      <x:c r="Y483" s="664">
        <x:v>0</x:v>
      </x:c>
      <x:c r="Z483" s="664">
        <x:v>0</x:v>
      </x:c>
      <x:c r="BN483" s="624"/>
    </x:row>
    <x:row r="484" spans="1:66" x14ac:dyDescent="0.2">
      <x:c r="C484" s="769"/>
      <x:c r="D484" s="644" t="s">
        <x:v>132</x:v>
      </x:c>
      <x:c r="E484" s="663" t="s">
        <x:v>73</x:v>
      </x:c>
      <x:c r="F484" s="664">
        <x:v>0</x:v>
      </x:c>
      <x:c r="G484" s="627"/>
      <x:c r="H484" s="627"/>
      <x:c r="I484" s="627"/>
      <x:c r="J484" s="627"/>
      <x:c r="K484" s="627"/>
      <x:c r="L484" s="627"/>
      <x:c r="M484" s="627"/>
      <x:c r="N484" s="627"/>
      <x:c r="O484" s="627"/>
      <x:c r="P484" s="627"/>
      <x:c r="Q484" s="627"/>
      <x:c r="R484" s="627"/>
      <x:c r="BN484" s="624"/>
    </x:row>
    <x:row r="485" spans="1:66" ht="15" x14ac:dyDescent="0.2">
      <x:c r="C485" s="660"/>
      <x:c r="D485" s="644"/>
      <x:c r="E485" s="625"/>
      <x:c r="F485" s="627"/>
      <x:c r="G485" s="627"/>
      <x:c r="H485" s="627"/>
      <x:c r="I485" s="627"/>
      <x:c r="J485" s="627"/>
      <x:c r="K485" s="627"/>
      <x:c r="L485" s="627"/>
      <x:c r="M485" s="627"/>
      <x:c r="N485" s="627"/>
      <x:c r="O485" s="627"/>
      <x:c r="P485" s="627"/>
      <x:c r="Q485" s="627"/>
      <x:c r="R485" s="627"/>
      <x:c r="BN485" s="624"/>
    </x:row>
    <x:row r="486" spans="1:66" x14ac:dyDescent="0.2">
      <x:c r="D486" s="634" t="s">
        <x:v>185</x:v>
      </x:c>
      <x:c r="E486" s="665" t="s">
        <x:v>70</x:v>
      </x:c>
      <x:c r="F486" s="666">
        <x:f t="shared" ref="F486:Z486" si="28">F367</x:f>
        <x:v>0</x:v>
      </x:c>
      <x:c r="G486" s="666">
        <x:f t="shared" si="28"/>
        <x:v>0</x:v>
      </x:c>
      <x:c r="H486" s="666">
        <x:f t="shared" si="28"/>
        <x:v>0</x:v>
      </x:c>
      <x:c r="I486" s="666">
        <x:f t="shared" si="28"/>
        <x:v>0</x:v>
      </x:c>
      <x:c r="J486" s="666">
        <x:f t="shared" si="28"/>
        <x:v>0</x:v>
      </x:c>
      <x:c r="K486" s="666">
        <x:f t="shared" si="28"/>
        <x:v>0</x:v>
      </x:c>
      <x:c r="L486" s="666">
        <x:f t="shared" si="28"/>
        <x:v>0</x:v>
      </x:c>
      <x:c r="M486" s="666">
        <x:f t="shared" si="28"/>
        <x:v>0</x:v>
      </x:c>
      <x:c r="N486" s="666">
        <x:f t="shared" si="28"/>
        <x:v>0</x:v>
      </x:c>
      <x:c r="O486" s="666">
        <x:f t="shared" si="28"/>
        <x:v>0</x:v>
      </x:c>
      <x:c r="P486" s="666">
        <x:f t="shared" si="28"/>
        <x:v>0</x:v>
      </x:c>
      <x:c r="Q486" s="666">
        <x:f t="shared" si="28"/>
        <x:v>0</x:v>
      </x:c>
      <x:c r="R486" s="666">
        <x:f t="shared" si="28"/>
        <x:v>0</x:v>
      </x:c>
      <x:c r="S486" s="666">
        <x:f t="shared" si="28"/>
        <x:v>0</x:v>
      </x:c>
      <x:c r="T486" s="666">
        <x:f t="shared" si="28"/>
        <x:v>0</x:v>
      </x:c>
      <x:c r="U486" s="666">
        <x:f t="shared" si="28"/>
        <x:v>0</x:v>
      </x:c>
      <x:c r="V486" s="666">
        <x:f t="shared" si="28"/>
        <x:v>0</x:v>
      </x:c>
      <x:c r="W486" s="666">
        <x:f t="shared" si="28"/>
        <x:v>0</x:v>
      </x:c>
      <x:c r="X486" s="666">
        <x:f t="shared" si="28"/>
        <x:v>0</x:v>
      </x:c>
      <x:c r="Y486" s="666">
        <x:f t="shared" si="28"/>
        <x:v>0</x:v>
      </x:c>
      <x:c r="Z486" s="666">
        <x:f t="shared" si="28"/>
        <x:v>0</x:v>
      </x:c>
      <x:c r="BN486" s="624"/>
    </x:row>
    <x:row r="487" spans="1:66" ht="15" x14ac:dyDescent="0.2">
      <x:c r="C487" s="660"/>
      <x:c r="D487" s="644"/>
      <x:c r="E487" s="625"/>
      <x:c r="F487" s="627"/>
      <x:c r="G487" s="627"/>
      <x:c r="H487" s="627"/>
      <x:c r="I487" s="627"/>
      <x:c r="J487" s="627"/>
      <x:c r="K487" s="627"/>
      <x:c r="L487" s="627"/>
      <x:c r="M487" s="627"/>
      <x:c r="N487" s="627"/>
      <x:c r="O487" s="627"/>
      <x:c r="P487" s="627"/>
      <x:c r="Q487" s="627"/>
      <x:c r="R487" s="627"/>
      <x:c r="BN487" s="624"/>
    </x:row>
    <x:row r="488" spans="1:66" x14ac:dyDescent="0.2">
      <x:c r="A488" s="624"/>
      <x:c r="B488" s="624"/>
      <x:c r="C488" s="624"/>
      <x:c r="D488" s="624"/>
      <x:c r="E488" s="624"/>
      <x:c r="F488" s="624"/>
      <x:c r="G488" s="624"/>
      <x:c r="H488" s="624"/>
      <x:c r="I488" s="624"/>
      <x:c r="J488" s="624"/>
      <x:c r="K488" s="624"/>
      <x:c r="L488" s="624"/>
      <x:c r="M488" s="624"/>
      <x:c r="N488" s="624"/>
      <x:c r="O488" s="624"/>
      <x:c r="P488" s="624"/>
      <x:c r="Q488" s="624"/>
      <x:c r="R488" s="624"/>
      <x:c r="S488" s="624"/>
      <x:c r="T488" s="624"/>
      <x:c r="U488" s="624"/>
      <x:c r="V488" s="624"/>
      <x:c r="W488" s="624"/>
      <x:c r="X488" s="624"/>
      <x:c r="Y488" s="624"/>
      <x:c r="Z488" s="624"/>
      <x:c r="AA488" s="624"/>
      <x:c r="AB488" s="624"/>
      <x:c r="AC488" s="624"/>
      <x:c r="AD488" s="624"/>
      <x:c r="AE488" s="624"/>
      <x:c r="AF488" s="624"/>
      <x:c r="AG488" s="624"/>
      <x:c r="AH488" s="624"/>
      <x:c r="AI488" s="624"/>
      <x:c r="AJ488" s="624"/>
      <x:c r="AK488" s="624"/>
      <x:c r="AL488" s="624"/>
      <x:c r="AM488" s="624"/>
      <x:c r="AN488" s="624"/>
      <x:c r="AO488" s="624"/>
      <x:c r="AP488" s="624"/>
      <x:c r="AQ488" s="624"/>
      <x:c r="AR488" s="624"/>
      <x:c r="AS488" s="624"/>
      <x:c r="AT488" s="624"/>
      <x:c r="AU488" s="624"/>
      <x:c r="AV488" s="624"/>
      <x:c r="AW488" s="624"/>
      <x:c r="AX488" s="624"/>
      <x:c r="AY488" s="624"/>
      <x:c r="AZ488" s="624"/>
      <x:c r="BA488" s="624"/>
      <x:c r="BB488" s="624"/>
      <x:c r="BC488" s="624"/>
      <x:c r="BD488" s="624"/>
      <x:c r="BE488" s="624"/>
      <x:c r="BF488" s="624"/>
      <x:c r="BG488" s="624"/>
      <x:c r="BH488" s="624"/>
      <x:c r="BI488" s="624"/>
      <x:c r="BJ488" s="624"/>
      <x:c r="BK488" s="624"/>
      <x:c r="BL488" s="624"/>
      <x:c r="BM488" s="624"/>
      <x:c r="BN488" s="624"/>
    </x:row>
    <x:row r="489" spans="1:66" ht="15" x14ac:dyDescent="0.25">
      <x:c r="A489" s="625"/>
      <x:c r="B489" s="50" t="s">
        <x:v>93</x:v>
      </x:c>
      <x:c r="E489" s="627"/>
      <x:c r="F489" s="627"/>
      <x:c r="G489" s="627"/>
      <x:c r="H489" s="627"/>
      <x:c r="I489" s="627"/>
      <x:c r="J489" s="627"/>
      <x:c r="K489" s="627"/>
      <x:c r="L489" s="627"/>
      <x:c r="M489" s="627"/>
      <x:c r="N489" s="627"/>
      <x:c r="O489" s="627"/>
      <x:c r="P489" s="627"/>
      <x:c r="Q489" s="627"/>
      <x:c r="BN489" s="624"/>
    </x:row>
    <x:row r="490" spans="1:66" s="50" customFormat="1" ht="30" x14ac:dyDescent="0.25">
      <x:c r="F490" s="669" t="s">
        <x:v>70</x:v>
      </x:c>
      <x:c r="G490" s="669" t="s">
        <x:v>64</x:v>
      </x:c>
      <x:c r="H490" s="669" t="s">
        <x:v>65</x:v>
      </x:c>
      <x:c r="I490" s="626" t="s">
        <x:v>164</x:v>
      </x:c>
      <x:c r="J490" s="669" t="s">
        <x:v>69</x:v>
      </x:c>
      <x:c r="K490" s="669" t="s">
        <x:v>68</x:v>
      </x:c>
      <x:c r="L490" s="669" t="s">
        <x:v>71</x:v>
      </x:c>
      <x:c r="M490" s="669" t="s">
        <x:v>66</x:v>
      </x:c>
      <x:c r="N490" s="669" t="s">
        <x:v>63</x:v>
      </x:c>
      <x:c r="O490" s="669" t="s">
        <x:v>61</x:v>
      </x:c>
      <x:c r="P490" s="669" t="s">
        <x:v>62</x:v>
      </x:c>
      <x:c r="Q490" s="669" t="s">
        <x:v>67</x:v>
      </x:c>
      <x:c r="R490" s="669" t="s">
        <x:v>77</x:v>
      </x:c>
      <x:c r="S490" s="669" t="s">
        <x:v>80</x:v>
      </x:c>
      <x:c r="T490" s="669" t="s">
        <x:v>135</x:v>
      </x:c>
      <x:c r="U490" s="669" t="s">
        <x:v>223</x:v>
      </x:c>
      <x:c r="V490" s="669" t="s">
        <x:v>223</x:v>
      </x:c>
      <x:c r="W490" s="669" t="s">
        <x:v>172</x:v>
      </x:c>
      <x:c r="X490" s="50" t="s">
        <x:v>222</x:v>
      </x:c>
      <x:c r="Y490" s="669" t="s">
        <x:v>135</x:v>
      </x:c>
      <x:c r="Z490" s="669" t="s">
        <x:v>166</x:v>
      </x:c>
      <x:c r="BN490" s="618"/>
    </x:row>
    <x:row r="491" spans="1:66" x14ac:dyDescent="0.2">
      <x:c r="A491" s="625"/>
      <x:c r="B491" s="625"/>
      <x:c r="C491"/>
      <x:c r="D491"/>
      <x:c r="E491" s="25" t="inlineStr">
        <x:is>
          <x:t>Vlr Servicio</x:t>
        </x:is>
      </x:c>
      <x:c r="F491" s="627" t="n">
        <x:v>-4485.01</x:v>
      </x:c>
      <x:c r="G491" s="627" t="n">
        <x:v>-355.56</x:v>
      </x:c>
      <x:c r="H491" s="627" t="n">
        <x:v>-151.05</x:v>
      </x:c>
      <x:c r="I491" s="627" t="n">
        <x:v>-65.98</x:v>
      </x:c>
      <x:c r="J491" s="627" t="n">
        <x:v>-769.61</x:v>
      </x:c>
      <x:c r="K491" s="627" t="n">
        <x:v>-47.44</x:v>
      </x:c>
      <x:c r="L491" s="627" t="n">
        <x:v>0</x:v>
      </x:c>
      <x:c r="M491" s="627" t="n">
        <x:v>-415.95</x:v>
      </x:c>
      <x:c r="N491" s="627" t="n">
        <x:v>-348.63</x:v>
      </x:c>
      <x:c r="O491" s="627" t="n">
        <x:v>-1274.28</x:v>
      </x:c>
      <x:c r="P491" s="627" t="n">
        <x:v>-979.14</x:v>
      </x:c>
      <x:c r="Q491" s="627" t="n">
        <x:v>-77.37</x:v>
      </x:c>
      <x:c r="R491" s="627" t="n">
        <x:v>0</x:v>
      </x:c>
      <x:c r="S491" s="627" t="n">
        <x:v>0</x:v>
      </x:c>
      <x:c r="T491" s="653" t="n">
        <x:v>0</x:v>
      </x:c>
      <x:c r="U491" s="653">
        <x:v>0</x:v>
      </x:c>
      <x:c r="V491" s="653">
        <x:v>0</x:v>
      </x:c>
      <x:c r="W491" s="653">
        <x:v>0</x:v>
      </x:c>
      <x:c r="X491" s="653">
        <x:v>0</x:v>
      </x:c>
      <x:c r="Y491" s="653">
        <x:v>0</x:v>
      </x:c>
      <x:c r="Z491" s="653" t="n">
        <x:v>0</x:v>
      </x:c>
      <x:c r="BN491" s="624"/>
    </x:row>
    <x:row r="492" spans="1:66" x14ac:dyDescent="0.2">
      <x:c r="A492" s="625"/>
      <x:c r="B492" s="625"/>
      <x:c r="C492"/>
      <x:c r="D492" s="25" t="inlineStr">
        <x:is>
          <x:t>O</x:t>
        </x:is>
      </x:c>
      <x:c r="E492" s="25" t="inlineStr">
        <x:is>
          <x:t>Total</x:t>
        </x:is>
      </x:c>
      <x:c r="F492" s="627" t="n">
        <x:v>-4485.01</x:v>
      </x:c>
      <x:c r="G492" s="627" t="n">
        <x:v>-355.56</x:v>
      </x:c>
      <x:c r="H492" s="627" t="n">
        <x:v>-151.05</x:v>
      </x:c>
      <x:c r="I492" s="627" t="n">
        <x:v>-65.98</x:v>
      </x:c>
      <x:c r="J492" s="627" t="n">
        <x:v>-769.61</x:v>
      </x:c>
      <x:c r="K492" s="627" t="n">
        <x:v>-47.44</x:v>
      </x:c>
      <x:c r="L492" s="627" t="n">
        <x:v>0</x:v>
      </x:c>
      <x:c r="M492" s="627" t="n">
        <x:v>-415.95</x:v>
      </x:c>
      <x:c r="N492" s="627" t="n">
        <x:v>-348.63</x:v>
      </x:c>
      <x:c r="O492" s="627" t="n">
        <x:v>-1274.28</x:v>
      </x:c>
      <x:c r="P492" s="627" t="n">
        <x:v>-979.14</x:v>
      </x:c>
      <x:c r="Q492" s="627" t="n">
        <x:v>-77.37</x:v>
      </x:c>
      <x:c r="R492" s="627" t="n">
        <x:v>0</x:v>
      </x:c>
      <x:c r="S492" s="627" t="n">
        <x:v>0</x:v>
      </x:c>
      <x:c r="T492" s="653" t="n">
        <x:v>0</x:v>
      </x:c>
      <x:c r="U492" s="653">
        <x:v>0</x:v>
      </x:c>
      <x:c r="V492" s="653">
        <x:v>0</x:v>
      </x:c>
      <x:c r="W492" s="653">
        <x:v>0</x:v>
      </x:c>
      <x:c r="X492" s="653">
        <x:v>0</x:v>
      </x:c>
      <x:c r="Y492" s="653">
        <x:v>0</x:v>
      </x:c>
      <x:c r="Z492" s="653" t="n">
        <x:v>0</x:v>
      </x:c>
      <x:c r="BN492" s="624"/>
    </x:row>
    <x:row r="493" spans="1:66" x14ac:dyDescent="0.2">
      <x:c r="A493" s="625"/>
      <x:c r="B493" s="625"/>
      <x:c r="C493" t="inlineStr">
        <x:is>
          <x:t>OCCIDENTE</x:t>
        </x:is>
      </x:c>
      <x:c r="D493" t="inlineStr">
        <x:is>
          <x:t>Total</x:t>
        </x:is>
      </x:c>
      <x:c r="E493" s="25"/>
      <x:c r="F493" s="627" t="n">
        <x:v>-4485.01</x:v>
      </x:c>
      <x:c r="G493" s="627" t="n">
        <x:v>-355.56</x:v>
      </x:c>
      <x:c r="H493" s="627" t="n">
        <x:v>-151.05</x:v>
      </x:c>
      <x:c r="I493" s="627" t="n">
        <x:v>-65.98</x:v>
      </x:c>
      <x:c r="J493" s="627" t="n">
        <x:v>-769.61</x:v>
      </x:c>
      <x:c r="K493" s="627" t="n">
        <x:v>-47.44</x:v>
      </x:c>
      <x:c r="L493" s="627" t="n">
        <x:v>0</x:v>
      </x:c>
      <x:c r="M493" s="627" t="n">
        <x:v>-415.95</x:v>
      </x:c>
      <x:c r="N493" s="627" t="n">
        <x:v>-348.63</x:v>
      </x:c>
      <x:c r="O493" s="627" t="n">
        <x:v>-1274.28</x:v>
      </x:c>
      <x:c r="P493" s="627" t="n">
        <x:v>-979.14</x:v>
      </x:c>
      <x:c r="Q493" s="627" t="n">
        <x:v>-77.37</x:v>
      </x:c>
      <x:c r="R493" s="627" t="n">
        <x:v>0</x:v>
      </x:c>
      <x:c r="S493" s="627" t="n">
        <x:v>0</x:v>
      </x:c>
      <x:c r="T493" s="653" t="n">
        <x:v>0</x:v>
      </x:c>
      <x:c r="U493" s="653">
        <x:v>0</x:v>
      </x:c>
      <x:c r="V493" s="653">
        <x:v>0</x:v>
      </x:c>
      <x:c r="W493" s="653">
        <x:v>0</x:v>
      </x:c>
      <x:c r="X493" s="653">
        <x:v>0</x:v>
      </x:c>
      <x:c r="Y493" s="653">
        <x:v>0</x:v>
      </x:c>
      <x:c r="Z493" s="653" t="n">
        <x:v>0</x:v>
      </x:c>
      <x:c r="BN493" s="624"/>
    </x:row>
    <x:row r="494" spans="1:66" x14ac:dyDescent="0.2">
      <x:c r="A494" s="625"/>
      <x:c r="B494" s="625" t="inlineStr">
        <x:is>
          <x:t>Mes</x:t>
        </x:is>
      </x:c>
      <x:c r="C494" t="inlineStr">
        <x:is>
          <x:t>Total</x:t>
        </x:is>
      </x:c>
      <x:c r="D494"/>
      <x:c r="E494" s="25"/>
      <x:c r="F494" s="627" t="n">
        <x:v>-4485.01</x:v>
      </x:c>
      <x:c r="G494" s="627" t="n">
        <x:v>-355.56</x:v>
      </x:c>
      <x:c r="H494" s="627" t="n">
        <x:v>-151.05</x:v>
      </x:c>
      <x:c r="I494" s="627" t="n">
        <x:v>-65.98</x:v>
      </x:c>
      <x:c r="J494" s="627" t="n">
        <x:v>-769.61</x:v>
      </x:c>
      <x:c r="K494" s="627" t="n">
        <x:v>-47.44</x:v>
      </x:c>
      <x:c r="L494" s="627" t="n">
        <x:v>0</x:v>
      </x:c>
      <x:c r="M494" s="627" t="n">
        <x:v>-415.95</x:v>
      </x:c>
      <x:c r="N494" s="627" t="n">
        <x:v>-348.63</x:v>
      </x:c>
      <x:c r="O494" s="627" t="n">
        <x:v>-1274.28</x:v>
      </x:c>
      <x:c r="P494" s="627" t="n">
        <x:v>-979.14</x:v>
      </x:c>
      <x:c r="Q494" s="627" t="n">
        <x:v>-77.37</x:v>
      </x:c>
      <x:c r="R494" s="627" t="n">
        <x:v>0</x:v>
      </x:c>
      <x:c r="S494" s="627" t="n">
        <x:v>0</x:v>
      </x:c>
      <x:c r="T494" s="653" t="n">
        <x:v>0</x:v>
      </x:c>
      <x:c r="U494" s="653">
        <x:v>0</x:v>
      </x:c>
      <x:c r="V494" s="653">
        <x:v>0</x:v>
      </x:c>
      <x:c r="W494" s="653">
        <x:v>0</x:v>
      </x:c>
      <x:c r="X494" s="653">
        <x:v>0</x:v>
      </x:c>
      <x:c r="Y494" s="653">
        <x:v>0</x:v>
      </x:c>
      <x:c r="Z494" s="653" t="n">
        <x:v>0</x:v>
      </x:c>
      <x:c r="BN494" s="624"/>
    </x:row>
    <x:row r="495" spans="1:66" x14ac:dyDescent="0.2">
      <x:c r="A495" s="625" t="inlineStr">
        <x:is>
          <x:t>AFaseo</x:t>
        </x:is>
      </x:c>
      <x:c r="B495" s="625" t="inlineStr">
        <x:is>
          <x:t>Total</x:t>
        </x:is>
      </x:c>
      <x:c r="C495"/>
      <x:c r="D495" s="25"/>
      <x:c r="E495" s="25"/>
      <x:c r="F495" s="627" t="n">
        <x:v>-4485.01</x:v>
      </x:c>
      <x:c r="G495" s="627" t="n">
        <x:v>-355.56</x:v>
      </x:c>
      <x:c r="H495" s="627" t="n">
        <x:v>-151.05</x:v>
      </x:c>
      <x:c r="I495" s="627" t="n">
        <x:v>-65.98</x:v>
      </x:c>
      <x:c r="J495" s="627" t="n">
        <x:v>-769.61</x:v>
      </x:c>
      <x:c r="K495" s="627" t="n">
        <x:v>-47.44</x:v>
      </x:c>
      <x:c r="L495" s="627" t="n">
        <x:v>0</x:v>
      </x:c>
      <x:c r="M495" s="627" t="n">
        <x:v>-415.95</x:v>
      </x:c>
      <x:c r="N495" s="627" t="n">
        <x:v>-348.63</x:v>
      </x:c>
      <x:c r="O495" s="627" t="n">
        <x:v>-1274.28</x:v>
      </x:c>
      <x:c r="P495" s="627" t="n">
        <x:v>-979.14</x:v>
      </x:c>
      <x:c r="Q495" s="627" t="n">
        <x:v>-77.37</x:v>
      </x:c>
      <x:c r="R495" s="627" t="n">
        <x:v>0</x:v>
      </x:c>
      <x:c r="S495" s="627" t="n">
        <x:v>0</x:v>
      </x:c>
      <x:c r="T495" s="653" t="n">
        <x:v>0</x:v>
      </x:c>
      <x:c r="U495" s="653">
        <x:v>0</x:v>
      </x:c>
      <x:c r="V495" s="653">
        <x:v>0</x:v>
      </x:c>
      <x:c r="W495" s="653">
        <x:v>0</x:v>
      </x:c>
      <x:c r="X495" s="653">
        <x:v>0</x:v>
      </x:c>
      <x:c r="Y495" s="653">
        <x:v>0</x:v>
      </x:c>
      <x:c r="Z495" s="653" t="n">
        <x:v>0</x:v>
      </x:c>
      <x:c r="BN495" s="624"/>
    </x:row>
    <x:row r="496" spans="1:66" x14ac:dyDescent="0.2">
      <x:c r="A496" s="625"/>
      <x:c r="B496" s="625"/>
      <x:c r="C496"/>
      <x:c r="D496"/>
      <x:c r="E496" s="25" t="inlineStr">
        <x:is>
          <x:t>Vlr Servicio</x:t>
        </x:is>
      </x:c>
      <x:c r="F496" s="627" t="n">
        <x:v>666981.74</x:v>
      </x:c>
      <x:c r="G496" s="627" t="n">
        <x:v>34824.03</x:v>
      </x:c>
      <x:c r="H496" s="627" t="n">
        <x:v>19524.64</x:v>
      </x:c>
      <x:c r="I496" s="627" t="n">
        <x:v>10319.91</x:v>
      </x:c>
      <x:c r="J496" s="627" t="n">
        <x:v>150714.18</x:v>
      </x:c>
      <x:c r="K496" s="627" t="n">
        <x:v>5437.4</x:v>
      </x:c>
      <x:c r="L496" s="627" t="n">
        <x:v>0</x:v>
      </x:c>
      <x:c r="M496" s="627" t="n">
        <x:v>47696.14</x:v>
      </x:c>
      <x:c r="N496" s="627" t="n">
        <x:v>46468.7</x:v>
      </x:c>
      <x:c r="O496" s="627" t="n">
        <x:v>238316.38</x:v>
      </x:c>
      <x:c r="P496" s="627" t="n">
        <x:v>104782.64</x:v>
      </x:c>
      <x:c r="Q496" s="627" t="n">
        <x:v>8871.52</x:v>
      </x:c>
      <x:c r="R496" s="627" t="n">
        <x:v>26.2</x:v>
      </x:c>
      <x:c r="S496" s="627" t="n">
        <x:v>0</x:v>
      </x:c>
      <x:c r="T496" s="653" t="n">
        <x:v>0</x:v>
      </x:c>
      <x:c r="U496" s="653">
        <x:v>0</x:v>
      </x:c>
      <x:c r="V496" s="653">
        <x:v>0</x:v>
      </x:c>
      <x:c r="W496" s="653">
        <x:v>0</x:v>
      </x:c>
      <x:c r="X496" s="653">
        <x:v>0</x:v>
      </x:c>
      <x:c r="Y496" s="653">
        <x:v>0</x:v>
      </x:c>
      <x:c r="Z496" s="653" t="n">
        <x:v>0</x:v>
      </x:c>
      <x:c r="BN496" s="624"/>
    </x:row>
    <x:row r="497" spans="1:66" x14ac:dyDescent="0.2">
      <x:c r="A497" s="625"/>
      <x:c r="B497" s="625"/>
      <x:c r="C497"/>
      <x:c r="D497"/>
      <x:c r="E497" s="25" t="inlineStr">
        <x:is>
          <x:t>Vlr Intereses</x:t>
        </x:is>
      </x:c>
      <x:c r="F497" s="627" t="n">
        <x:v>173.2</x:v>
      </x:c>
      <x:c r="G497" s="627" t="n">
        <x:v>10.63</x:v>
      </x:c>
      <x:c r="H497" s="627" t="n">
        <x:v>5.25</x:v>
      </x:c>
      <x:c r="I497" s="627" t="n">
        <x:v>3.13</x:v>
      </x:c>
      <x:c r="J497" s="627" t="n">
        <x:v>24.19</x:v>
      </x:c>
      <x:c r="K497" s="627" t="n">
        <x:v>0.77</x:v>
      </x:c>
      <x:c r="L497" s="627" t="n">
        <x:v>0</x:v>
      </x:c>
      <x:c r="M497" s="627" t="n">
        <x:v>12.55</x:v>
      </x:c>
      <x:c r="N497" s="627" t="n">
        <x:v>13.44</x:v>
      </x:c>
      <x:c r="O497" s="627" t="n">
        <x:v>69.21</x:v>
      </x:c>
      <x:c r="P497" s="627" t="n">
        <x:v>31.69</x:v>
      </x:c>
      <x:c r="Q497" s="627" t="n">
        <x:v>2.34</x:v>
      </x:c>
      <x:c r="R497" s="627" t="n">
        <x:v>0</x:v>
      </x:c>
      <x:c r="S497" s="627" t="n">
        <x:v>0</x:v>
      </x:c>
      <x:c r="T497" s="653" t="n">
        <x:v>0</x:v>
      </x:c>
      <x:c r="U497" s="653">
        <x:v>0</x:v>
      </x:c>
      <x:c r="V497" s="653">
        <x:v>0</x:v>
      </x:c>
      <x:c r="W497" s="653">
        <x:v>0</x:v>
      </x:c>
      <x:c r="X497" s="653">
        <x:v>0</x:v>
      </x:c>
      <x:c r="Y497" s="653">
        <x:v>0</x:v>
      </x:c>
      <x:c r="Z497" s="653" t="n">
        <x:v>0</x:v>
      </x:c>
      <x:c r="BN497" s="624"/>
    </x:row>
    <x:row r="498" spans="1:66" x14ac:dyDescent="0.2">
      <x:c r="A498" s="625"/>
      <x:c r="B498" s="625"/>
      <x:c r="C498"/>
      <x:c r="D498" s="25" t="inlineStr">
        <x:is>
          <x:t>H</x:t>
        </x:is>
      </x:c>
      <x:c r="E498" s="25" t="inlineStr">
        <x:is>
          <x:t>Total</x:t>
        </x:is>
      </x:c>
      <x:c r="F498" s="627" t="n">
        <x:v>667154.94</x:v>
      </x:c>
      <x:c r="G498" s="627" t="n">
        <x:v>34834.66</x:v>
      </x:c>
      <x:c r="H498" s="627" t="n">
        <x:v>19529.89</x:v>
      </x:c>
      <x:c r="I498" s="627" t="n">
        <x:v>10323.04</x:v>
      </x:c>
      <x:c r="J498" s="627" t="n">
        <x:v>150738.37</x:v>
      </x:c>
      <x:c r="K498" s="627" t="n">
        <x:v>5438.17</x:v>
      </x:c>
      <x:c r="L498" s="627" t="n">
        <x:v>0</x:v>
      </x:c>
      <x:c r="M498" s="627" t="n">
        <x:v>47708.69</x:v>
      </x:c>
      <x:c r="N498" s="627" t="n">
        <x:v>46482.14</x:v>
      </x:c>
      <x:c r="O498" s="627" t="n">
        <x:v>238385.59</x:v>
      </x:c>
      <x:c r="P498" s="627" t="n">
        <x:v>104814.33</x:v>
      </x:c>
      <x:c r="Q498" s="627" t="n">
        <x:v>8873.86</x:v>
      </x:c>
      <x:c r="R498" s="627" t="n">
        <x:v>26.2</x:v>
      </x:c>
      <x:c r="S498" s="627" t="n">
        <x:v>0</x:v>
      </x:c>
      <x:c r="T498" s="653" t="n">
        <x:v>0</x:v>
      </x:c>
      <x:c r="U498" s="653">
        <x:v>0</x:v>
      </x:c>
      <x:c r="V498" s="653">
        <x:v>0</x:v>
      </x:c>
      <x:c r="W498" s="653">
        <x:v>0</x:v>
      </x:c>
      <x:c r="X498" s="653">
        <x:v>0</x:v>
      </x:c>
      <x:c r="Y498" s="653">
        <x:v>0</x:v>
      </x:c>
      <x:c r="Z498" s="653" t="n">
        <x:v>0</x:v>
      </x:c>
      <x:c r="BN498" s="624"/>
    </x:row>
    <x:row r="499" spans="1:66" x14ac:dyDescent="0.2">
      <x:c r="A499" s="631"/>
      <x:c r="B499" s="631"/>
      <x:c r="C499" s="632"/>
      <x:c r="D499" s="632"/>
      <x:c r="E499" s="631" t="inlineStr">
        <x:is>
          <x:t>Vlr Servicio</x:t>
        </x:is>
      </x:c>
      <x:c r="F499" s="633" t="n">
        <x:v>138628.06</x:v>
      </x:c>
      <x:c r="G499" s="633" t="n">
        <x:v>7328.08</x:v>
      </x:c>
      <x:c r="H499" s="633" t="n">
        <x:v>4105.92</x:v>
      </x:c>
      <x:c r="I499" s="633" t="n">
        <x:v>2171.64</x:v>
      </x:c>
      <x:c r="J499" s="633" t="n">
        <x:v>31211.82</x:v>
      </x:c>
      <x:c r="K499" s="633" t="n">
        <x:v>1125.9</x:v>
      </x:c>
      <x:c r="L499" s="633" t="n">
        <x:v>0</x:v>
      </x:c>
      <x:c r="M499" s="633" t="n">
        <x:v>9876.24</x:v>
      </x:c>
      <x:c r="N499" s="633" t="n">
        <x:v>9626.13</x:v>
      </x:c>
      <x:c r="O499" s="633" t="n">
        <x:v>49317.06</x:v>
      </x:c>
      <x:c r="P499" s="633" t="n">
        <x:v>22027.54</x:v>
      </x:c>
      <x:c r="Q499" s="633" t="n">
        <x:v>1836.99</x:v>
      </x:c>
      <x:c r="R499" s="633" t="n">
        <x:v>0.74</x:v>
      </x:c>
      <x:c r="S499" s="633" t="n">
        <x:v>0</x:v>
      </x:c>
      <x:c r="T499" s="633" t="n">
        <x:v>0</x:v>
      </x:c>
      <x:c r="U499" s="633">
        <x:v>0</x:v>
      </x:c>
      <x:c r="V499" s="633">
        <x:v>0</x:v>
      </x:c>
      <x:c r="W499" s="633">
        <x:v>0</x:v>
      </x:c>
      <x:c r="X499" s="633">
        <x:v>0</x:v>
      </x:c>
      <x:c r="Y499" s="633">
        <x:v>0</x:v>
      </x:c>
      <x:c r="Z499" s="633" t="n">
        <x:v>0</x:v>
      </x:c>
      <x:c r="AA499" s="631"/>
      <x:c r="AB499" s="631"/>
      <x:c r="AC499" s="631"/>
      <x:c r="AD499" s="631"/>
      <x:c r="AE499" s="631"/>
      <x:c r="AF499" s="631"/>
      <x:c r="AG499" s="631"/>
      <x:c r="AH499" s="631"/>
      <x:c r="AI499" s="631"/>
      <x:c r="AJ499" s="631"/>
      <x:c r="AK499" s="631"/>
      <x:c r="AL499" s="631"/>
      <x:c r="AM499" s="631"/>
      <x:c r="AN499" s="631"/>
      <x:c r="AO499" s="631"/>
      <x:c r="AP499" s="631"/>
      <x:c r="AQ499" s="631"/>
      <x:c r="AR499" s="631"/>
      <x:c r="AS499" s="631"/>
      <x:c r="AT499" s="631"/>
      <x:c r="AU499" s="631"/>
      <x:c r="AV499" s="631"/>
      <x:c r="AW499" s="631"/>
      <x:c r="AX499" s="631"/>
      <x:c r="AY499" s="631"/>
      <x:c r="AZ499" s="631"/>
      <x:c r="BA499" s="631"/>
      <x:c r="BB499" s="631"/>
      <x:c r="BC499" s="631"/>
      <x:c r="BD499" s="631"/>
      <x:c r="BE499" s="631"/>
      <x:c r="BF499" s="631"/>
      <x:c r="BG499" s="631"/>
      <x:c r="BH499" s="631"/>
      <x:c r="BI499" s="631"/>
      <x:c r="BJ499" s="631"/>
      <x:c r="BK499" s="631"/>
      <x:c r="BL499" s="631"/>
      <x:c r="BM499" s="631"/>
      <x:c r="BN499" s="624"/>
    </x:row>
    <x:row r="500" spans="1:66" x14ac:dyDescent="0.2">
      <x:c r="A500" s="635"/>
      <x:c r="B500" s="635"/>
      <x:c r="C500" s="635"/>
      <x:c r="D500" s="635"/>
      <x:c r="E500" s="636" t="inlineStr">
        <x:is>
          <x:t>Vlr Intereses</x:t>
        </x:is>
      </x:c>
      <x:c r="F500" s="637" t="n">
        <x:v>24.87</x:v>
      </x:c>
      <x:c r="G500" s="637" t="n">
        <x:v>1.4</x:v>
      </x:c>
      <x:c r="H500" s="637" t="n">
        <x:v>0.79</x:v>
      </x:c>
      <x:c r="I500" s="637" t="n">
        <x:v>0.41</x:v>
      </x:c>
      <x:c r="J500" s="637" t="n">
        <x:v>5.32</x:v>
      </x:c>
      <x:c r="K500" s="637" t="n">
        <x:v>0.2</x:v>
      </x:c>
      <x:c r="L500" s="637" t="n">
        <x:v>0</x:v>
      </x:c>
      <x:c r="M500" s="637" t="n">
        <x:v>1.76</x:v>
      </x:c>
      <x:c r="N500" s="637" t="n">
        <x:v>1.72</x:v>
      </x:c>
      <x:c r="O500" s="637" t="n">
        <x:v>8.83</x:v>
      </x:c>
      <x:c r="P500" s="637" t="n">
        <x:v>4.11</x:v>
      </x:c>
      <x:c r="Q500" s="637" t="n">
        <x:v>0.33</x:v>
      </x:c>
      <x:c r="R500" s="637" t="n">
        <x:v>0</x:v>
      </x:c>
      <x:c r="S500" s="637" t="n">
        <x:v>0</x:v>
      </x:c>
      <x:c r="T500" s="637" t="n">
        <x:v>0</x:v>
      </x:c>
      <x:c r="U500" s="637">
        <x:v>0</x:v>
      </x:c>
      <x:c r="V500" s="637">
        <x:v>0</x:v>
      </x:c>
      <x:c r="W500" s="637">
        <x:v>0</x:v>
      </x:c>
      <x:c r="X500" s="637">
        <x:v>0</x:v>
      </x:c>
      <x:c r="Y500" s="637">
        <x:v>0</x:v>
      </x:c>
      <x:c r="Z500" s="637" t="n">
        <x:v>0</x:v>
      </x:c>
      <x:c r="AA500" s="635"/>
      <x:c r="AB500" s="635"/>
      <x:c r="AC500" s="635"/>
      <x:c r="AD500" s="635"/>
      <x:c r="AE500" s="635"/>
      <x:c r="AF500" s="635"/>
      <x:c r="AG500" s="635"/>
      <x:c r="AH500" s="635"/>
      <x:c r="AI500" s="635"/>
      <x:c r="AJ500" s="635"/>
      <x:c r="AK500" s="635"/>
      <x:c r="AL500" s="635"/>
      <x:c r="AM500" s="635"/>
      <x:c r="AN500" s="635"/>
      <x:c r="AO500" s="635"/>
      <x:c r="AP500" s="635"/>
      <x:c r="AQ500" s="635"/>
      <x:c r="AR500" s="635"/>
      <x:c r="AS500" s="635"/>
      <x:c r="AT500" s="635"/>
      <x:c r="AU500" s="635"/>
      <x:c r="AV500" s="635"/>
      <x:c r="AW500" s="635"/>
      <x:c r="AX500" s="635"/>
      <x:c r="AY500" s="635"/>
      <x:c r="AZ500" s="635"/>
      <x:c r="BA500" s="635"/>
      <x:c r="BB500" s="635"/>
      <x:c r="BC500" s="635"/>
      <x:c r="BD500" s="635"/>
      <x:c r="BE500" s="635"/>
      <x:c r="BF500" s="635"/>
      <x:c r="BG500" s="635"/>
      <x:c r="BH500" s="635"/>
      <x:c r="BI500" s="635"/>
      <x:c r="BJ500" s="635"/>
      <x:c r="BK500" s="635"/>
      <x:c r="BL500" s="635"/>
      <x:c r="BM500" s="635"/>
      <x:c r="BN500" s="624"/>
    </x:row>
    <x:row r="501" spans="1:66" x14ac:dyDescent="0.2">
      <x:c r="A501"/>
      <x:c r="B501"/>
      <x:c r="C501" s="625"/>
      <x:c r="D501" s="625" t="inlineStr">
        <x:is>
          <x:t>O</x:t>
        </x:is>
      </x:c>
      <x:c r="E501" s="25" t="inlineStr">
        <x:is>
          <x:t>Total</x:t>
        </x:is>
      </x:c>
      <x:c r="F501" s="627" t="n">
        <x:v>138652.93</x:v>
      </x:c>
      <x:c r="G501" s="627" t="n">
        <x:v>7329.48</x:v>
      </x:c>
      <x:c r="H501" s="627" t="n">
        <x:v>4106.71</x:v>
      </x:c>
      <x:c r="I501" s="627" t="n">
        <x:v>2172.05</x:v>
      </x:c>
      <x:c r="J501" s="627" t="n">
        <x:v>31217.14</x:v>
      </x:c>
      <x:c r="K501" s="627" t="n">
        <x:v>1126.1</x:v>
      </x:c>
      <x:c r="L501" s="627" t="n">
        <x:v>0</x:v>
      </x:c>
      <x:c r="M501" s="627" t="n">
        <x:v>9878</x:v>
      </x:c>
      <x:c r="N501" s="627" t="n">
        <x:v>9627.85</x:v>
      </x:c>
      <x:c r="O501" s="627" t="n">
        <x:v>49325.89</x:v>
      </x:c>
      <x:c r="P501" s="627" t="n">
        <x:v>22031.65</x:v>
      </x:c>
      <x:c r="Q501" s="627" t="n">
        <x:v>1837.32</x:v>
      </x:c>
      <x:c r="R501" s="627" t="n">
        <x:v>0.74</x:v>
      </x:c>
      <x:c r="S501" s="627" t="n">
        <x:v>0</x:v>
      </x:c>
      <x:c r="T501" s="653" t="n">
        <x:v>0</x:v>
      </x:c>
      <x:c r="U501" s="653">
        <x:v>0</x:v>
      </x:c>
      <x:c r="V501" s="653">
        <x:v>0</x:v>
      </x:c>
      <x:c r="W501" s="653">
        <x:v>0</x:v>
      </x:c>
      <x:c r="X501" s="653">
        <x:v>0</x:v>
      </x:c>
      <x:c r="Y501" s="653">
        <x:v>0</x:v>
      </x:c>
      <x:c r="Z501" s="653" t="n">
        <x:v>0</x:v>
      </x:c>
      <x:c r="BN501" s="624"/>
    </x:row>
    <x:row r="502" spans="1:66" x14ac:dyDescent="0.2">
      <x:c r="A502"/>
      <x:c r="B502"/>
      <x:c r="C502" s="625"/>
      <x:c r="D502" s="625"/>
      <x:c r="E502" s="25" t="inlineStr">
        <x:is>
          <x:t>Vlr Servicio</x:t>
        </x:is>
      </x:c>
      <x:c r="F502" s="627" t="n">
        <x:v>859724.64</x:v>
      </x:c>
      <x:c r="G502" s="627" t="n">
        <x:v>47230.86</x:v>
      </x:c>
      <x:c r="H502" s="627" t="n">
        <x:v>26534.93</x:v>
      </x:c>
      <x:c r="I502" s="627" t="n">
        <x:v>13952.62</x:v>
      </x:c>
      <x:c r="J502" s="627" t="n">
        <x:v>189819.67</x:v>
      </x:c>
      <x:c r="K502" s="627" t="n">
        <x:v>6799.21</x:v>
      </x:c>
      <x:c r="L502" s="627" t="n">
        <x:v>0</x:v>
      </x:c>
      <x:c r="M502" s="627" t="n">
        <x:v>59641.8</x:v>
      </x:c>
      <x:c r="N502" s="627" t="n">
        <x:v>59100.35</x:v>
      </x:c>
      <x:c r="O502" s="627" t="n">
        <x:v>303870.79</x:v>
      </x:c>
      <x:c r="P502" s="627" t="n">
        <x:v>141650.81</x:v>
      </x:c>
      <x:c r="Q502" s="627" t="n">
        <x:v>11093.44</x:v>
      </x:c>
      <x:c r="R502" s="627" t="n">
        <x:v>30.16</x:v>
      </x:c>
      <x:c r="S502" s="627" t="n">
        <x:v>0</x:v>
      </x:c>
      <x:c r="T502" s="653" t="n">
        <x:v>0</x:v>
      </x:c>
      <x:c r="U502" s="653">
        <x:v>0</x:v>
      </x:c>
      <x:c r="V502" s="653">
        <x:v>0</x:v>
      </x:c>
      <x:c r="W502" s="653">
        <x:v>0</x:v>
      </x:c>
      <x:c r="X502" s="653">
        <x:v>0</x:v>
      </x:c>
      <x:c r="Y502" s="653">
        <x:v>0</x:v>
      </x:c>
      <x:c r="Z502" s="653" t="n">
        <x:v>0</x:v>
      </x:c>
      <x:c r="BN502" s="624"/>
    </x:row>
    <x:row r="503" spans="1:66" x14ac:dyDescent="0.2">
      <x:c r="A503"/>
      <x:c r="B503"/>
      <x:c r="C503"/>
      <x:c r="D503" s="25"/>
      <x:c r="E503" s="625" t="inlineStr">
        <x:is>
          <x:t>Vlr Intereses</x:t>
        </x:is>
      </x:c>
      <x:c r="F503" s="627" t="n">
        <x:v>974.03</x:v>
      </x:c>
      <x:c r="G503" s="627" t="n">
        <x:v>56.49</x:v>
      </x:c>
      <x:c r="H503" s="627" t="n">
        <x:v>31.83</x:v>
      </x:c>
      <x:c r="I503" s="627" t="n">
        <x:v>16.49</x:v>
      </x:c>
      <x:c r="J503" s="627" t="n">
        <x:v>206.55</x:v>
      </x:c>
      <x:c r="K503" s="627" t="n">
        <x:v>7.3</x:v>
      </x:c>
      <x:c r="L503" s="627" t="n">
        <x:v>0</x:v>
      </x:c>
      <x:c r="M503" s="627" t="n">
        <x:v>63.81</x:v>
      </x:c>
      <x:c r="N503" s="627" t="n">
        <x:v>67.2</x:v>
      </x:c>
      <x:c r="O503" s="627" t="n">
        <x:v>346.33</x:v>
      </x:c>
      <x:c r="P503" s="627" t="n">
        <x:v>166.25</x:v>
      </x:c>
      <x:c r="Q503" s="627" t="n">
        <x:v>11.86</x:v>
      </x:c>
      <x:c r="R503" s="627" t="n">
        <x:v>-0.08</x:v>
      </x:c>
      <x:c r="S503" s="627" t="n">
        <x:v>0</x:v>
      </x:c>
      <x:c r="T503" s="653" t="n">
        <x:v>0</x:v>
      </x:c>
      <x:c r="U503" s="653">
        <x:v>0</x:v>
      </x:c>
      <x:c r="V503" s="653">
        <x:v>0</x:v>
      </x:c>
      <x:c r="W503" s="653">
        <x:v>0</x:v>
      </x:c>
      <x:c r="X503" s="653">
        <x:v>0</x:v>
      </x:c>
      <x:c r="Y503" s="653">
        <x:v>0</x:v>
      </x:c>
      <x:c r="Z503" s="653" t="n">
        <x:v>0</x:v>
      </x:c>
      <x:c r="BN503" s="624"/>
    </x:row>
    <x:row r="504" spans="1:66" x14ac:dyDescent="0.2">
      <x:c r="A504" s="628"/>
      <x:c r="B504" s="628"/>
      <x:c r="C504" s="628"/>
      <x:c r="D504" s="628" t="inlineStr">
        <x:is>
          <x:t>T</x:t>
        </x:is>
      </x:c>
      <x:c r="E504" s="629" t="inlineStr">
        <x:is>
          <x:t>Total</x:t>
        </x:is>
      </x:c>
      <x:c r="F504" s="630" t="n">
        <x:v>860698.67</x:v>
      </x:c>
      <x:c r="G504" s="630" t="n">
        <x:v>47287.35</x:v>
      </x:c>
      <x:c r="H504" s="630" t="n">
        <x:v>26566.76</x:v>
      </x:c>
      <x:c r="I504" s="630" t="n">
        <x:v>13969.11</x:v>
      </x:c>
      <x:c r="J504" s="630" t="n">
        <x:v>190026.22</x:v>
      </x:c>
      <x:c r="K504" s="630" t="n">
        <x:v>6806.51</x:v>
      </x:c>
      <x:c r="L504" s="630" t="n">
        <x:v>0</x:v>
      </x:c>
      <x:c r="M504" s="630" t="n">
        <x:v>59705.61</x:v>
      </x:c>
      <x:c r="N504" s="630" t="n">
        <x:v>59167.55</x:v>
      </x:c>
      <x:c r="O504" s="630" t="n">
        <x:v>304217.12</x:v>
      </x:c>
      <x:c r="P504" s="630" t="n">
        <x:v>141817.06</x:v>
      </x:c>
      <x:c r="Q504" s="630" t="n">
        <x:v>11105.3</x:v>
      </x:c>
      <x:c r="R504" s="630" t="n">
        <x:v>30.08</x:v>
      </x:c>
      <x:c r="S504" s="630" t="n">
        <x:v>0</x:v>
      </x:c>
      <x:c r="T504" s="630" t="n">
        <x:v>0</x:v>
      </x:c>
      <x:c r="U504" s="630">
        <x:v>0</x:v>
      </x:c>
      <x:c r="V504" s="630">
        <x:v>0</x:v>
      </x:c>
      <x:c r="W504" s="630">
        <x:v>0</x:v>
      </x:c>
      <x:c r="X504" s="630">
        <x:v>0</x:v>
      </x:c>
      <x:c r="Y504" s="630">
        <x:v>0</x:v>
      </x:c>
      <x:c r="Z504" s="630" t="n">
        <x:v>0</x:v>
      </x:c>
      <x:c r="AA504" s="628"/>
      <x:c r="AB504" s="628"/>
      <x:c r="AC504" s="628"/>
      <x:c r="AD504" s="628"/>
      <x:c r="AE504" s="628"/>
      <x:c r="AF504" s="628"/>
      <x:c r="AG504" s="628"/>
      <x:c r="AH504" s="628"/>
      <x:c r="AI504" s="628"/>
      <x:c r="AJ504" s="628"/>
      <x:c r="AK504" s="628"/>
      <x:c r="AL504" s="628"/>
      <x:c r="AM504" s="628"/>
      <x:c r="AN504" s="628"/>
      <x:c r="AO504" s="628"/>
      <x:c r="AP504" s="628"/>
      <x:c r="AQ504" s="628"/>
      <x:c r="AR504" s="628"/>
      <x:c r="AS504" s="628"/>
      <x:c r="AT504" s="628"/>
      <x:c r="AU504" s="628"/>
      <x:c r="AV504" s="628"/>
      <x:c r="AW504" s="628"/>
      <x:c r="AX504" s="628"/>
      <x:c r="AY504" s="628"/>
      <x:c r="AZ504" s="628"/>
      <x:c r="BA504" s="628"/>
      <x:c r="BB504" s="628"/>
      <x:c r="BC504" s="628"/>
      <x:c r="BD504" s="628"/>
      <x:c r="BE504" s="628"/>
      <x:c r="BF504" s="628"/>
      <x:c r="BG504" s="628"/>
      <x:c r="BH504" s="628"/>
      <x:c r="BI504" s="628"/>
      <x:c r="BJ504" s="628"/>
      <x:c r="BK504" s="628"/>
      <x:c r="BL504" s="628"/>
      <x:c r="BM504" s="628"/>
      <x:c r="BN504" s="624"/>
    </x:row>
    <x:row r="505" spans="1:66" x14ac:dyDescent="0.2">
      <x:c r="A505"/>
      <x:c r="B505"/>
      <x:c r="C505" t="inlineStr">
        <x:is>
          <x:t>OCCIDENTE</x:t>
        </x:is>
      </x:c>
      <x:c r="D505" t="inlineStr">
        <x:is>
          <x:t>Total</x:t>
        </x:is>
      </x:c>
      <x:c r="E505" s="625"/>
      <x:c r="F505" s="627" t="n">
        <x:v>1666506.54</x:v>
      </x:c>
      <x:c r="G505" s="627" t="n">
        <x:v>89451.49</x:v>
      </x:c>
      <x:c r="H505" s="627" t="n">
        <x:v>50203.36</x:v>
      </x:c>
      <x:c r="I505" s="627" t="n">
        <x:v>26464.2</x:v>
      </x:c>
      <x:c r="J505" s="627" t="n">
        <x:v>371981.73</x:v>
      </x:c>
      <x:c r="K505" s="627" t="n">
        <x:v>13370.78</x:v>
      </x:c>
      <x:c r="L505" s="627" t="n">
        <x:v>0</x:v>
      </x:c>
      <x:c r="M505" s="627" t="n">
        <x:v>117292.3</x:v>
      </x:c>
      <x:c r="N505" s="627" t="n">
        <x:v>115277.54</x:v>
      </x:c>
      <x:c r="O505" s="627" t="n">
        <x:v>591928.6</x:v>
      </x:c>
      <x:c r="P505" s="627" t="n">
        <x:v>268663.04</x:v>
      </x:c>
      <x:c r="Q505" s="627" t="n">
        <x:v>21816.48</x:v>
      </x:c>
      <x:c r="R505" s="627" t="n">
        <x:v>57.02</x:v>
      </x:c>
      <x:c r="S505" s="627" t="n">
        <x:v>0</x:v>
      </x:c>
      <x:c r="T505" s="653" t="n">
        <x:v>0</x:v>
      </x:c>
      <x:c r="U505" s="653">
        <x:v>0</x:v>
      </x:c>
      <x:c r="V505" s="653">
        <x:v>0</x:v>
      </x:c>
      <x:c r="W505" s="653">
        <x:v>0</x:v>
      </x:c>
      <x:c r="X505" s="653">
        <x:v>0</x:v>
      </x:c>
      <x:c r="Y505" s="653">
        <x:v>0</x:v>
      </x:c>
      <x:c r="Z505" s="653" t="n">
        <x:v>0</x:v>
      </x:c>
      <x:c r="BN505" s="624"/>
    </x:row>
    <x:row r="506" spans="1:66" x14ac:dyDescent="0.2">
      <x:c r="A506"/>
      <x:c r="B506" t="inlineStr">
        <x:is>
          <x:t>Aplicacion nuevos x reversion</x:t>
        </x:is>
      </x:c>
      <x:c r="C506" t="inlineStr">
        <x:is>
          <x:t>Total</x:t>
        </x:is>
      </x:c>
      <x:c r="D506"/>
      <x:c r="E506" s="625"/>
      <x:c r="F506" s="627" t="n">
        <x:v>1666506.54</x:v>
      </x:c>
      <x:c r="G506" s="627" t="n">
        <x:v>89451.49</x:v>
      </x:c>
      <x:c r="H506" s="627" t="n">
        <x:v>50203.36</x:v>
      </x:c>
      <x:c r="I506" s="627" t="n">
        <x:v>26464.2</x:v>
      </x:c>
      <x:c r="J506" s="627" t="n">
        <x:v>371981.73</x:v>
      </x:c>
      <x:c r="K506" s="627" t="n">
        <x:v>13370.78</x:v>
      </x:c>
      <x:c r="L506" s="627" t="n">
        <x:v>0</x:v>
      </x:c>
      <x:c r="M506" s="627" t="n">
        <x:v>117292.3</x:v>
      </x:c>
      <x:c r="N506" s="627" t="n">
        <x:v>115277.54</x:v>
      </x:c>
      <x:c r="O506" s="627" t="n">
        <x:v>591928.6</x:v>
      </x:c>
      <x:c r="P506" s="627" t="n">
        <x:v>268663.04</x:v>
      </x:c>
      <x:c r="Q506" s="627" t="n">
        <x:v>21816.48</x:v>
      </x:c>
      <x:c r="R506" s="627" t="n">
        <x:v>57.02</x:v>
      </x:c>
      <x:c r="S506" s="627" t="n">
        <x:v>0</x:v>
      </x:c>
      <x:c r="T506" s="653" t="n">
        <x:v>0</x:v>
      </x:c>
      <x:c r="U506" s="653">
        <x:v>0</x:v>
      </x:c>
      <x:c r="V506" s="653">
        <x:v>0</x:v>
      </x:c>
      <x:c r="W506" s="653">
        <x:v>0</x:v>
      </x:c>
      <x:c r="X506" s="653">
        <x:v>0</x:v>
      </x:c>
      <x:c r="Y506" s="653">
        <x:v>0</x:v>
      </x:c>
      <x:c r="Z506" s="653" t="n">
        <x:v>0</x:v>
      </x:c>
      <x:c r="BN506" s="624"/>
    </x:row>
    <x:row r="507" spans="1:66" x14ac:dyDescent="0.2">
      <x:c r="A507"/>
      <x:c r="B507"/>
      <x:c r="C507"/>
      <x:c r="D507" s="25"/>
      <x:c r="E507" s="625" t="inlineStr">
        <x:is>
          <x:t>Vlr Servicio</x:t>
        </x:is>
      </x:c>
      <x:c r="F507" s="627" t="n">
        <x:v>13255784141.63</x:v>
      </x:c>
      <x:c r="G507" s="627" t="n">
        <x:v>687927857.95</x:v>
      </x:c>
      <x:c r="H507" s="627" t="n">
        <x:v>387836233.23</x:v>
      </x:c>
      <x:c r="I507" s="627" t="n">
        <x:v>203896299.5</x:v>
      </x:c>
      <x:c r="J507" s="627" t="n">
        <x:v>2973816389.32</x:v>
      </x:c>
      <x:c r="K507" s="627" t="n">
        <x:v>108079618.07</x:v>
      </x:c>
      <x:c r="L507" s="627" t="n">
        <x:v>8929700</x:v>
      </x:c>
      <x:c r="M507" s="627" t="n">
        <x:v>947751146.82</x:v>
      </x:c>
      <x:c r="N507" s="627" t="n">
        <x:v>918454732.63</x:v>
      </x:c>
      <x:c r="O507" s="627" t="n">
        <x:v>4762546642.12</x:v>
      </x:c>
      <x:c r="P507" s="627" t="n">
        <x:v>2080265361.7</x:v>
      </x:c>
      <x:c r="Q507" s="627" t="n">
        <x:v>176383169.25</x:v>
      </x:c>
      <x:c r="R507" s="627" t="n">
        <x:v>-103008.96</x:v>
      </x:c>
      <x:c r="S507" s="627" t="n">
        <x:v>0</x:v>
      </x:c>
      <x:c r="T507" s="653" t="n">
        <x:v>0</x:v>
      </x:c>
      <x:c r="U507" s="653">
        <x:v>0</x:v>
      </x:c>
      <x:c r="V507" s="653">
        <x:v>0</x:v>
      </x:c>
      <x:c r="W507" s="653">
        <x:v>0</x:v>
      </x:c>
      <x:c r="X507" s="653">
        <x:v>0</x:v>
      </x:c>
      <x:c r="Y507" s="653">
        <x:v>0</x:v>
      </x:c>
      <x:c r="Z507" s="653" t="n">
        <x:v>0</x:v>
      </x:c>
      <x:c r="BN507" s="624"/>
    </x:row>
    <x:row r="508" spans="1:66" x14ac:dyDescent="0.2">
      <x:c r="A508" s="668"/>
      <x:c r="B508" s="668"/>
      <x:c r="C508" s="668"/>
      <x:c r="D508" s="668"/>
      <x:c r="E508" s="661" t="inlineStr">
        <x:is>
          <x:t>Vlr Intereses</x:t>
        </x:is>
      </x:c>
      <x:c r="F508" s="662" t="n">
        <x:v>4558820.76</x:v>
      </x:c>
      <x:c r="G508" s="662" t="n">
        <x:v>305210.49</x:v>
      </x:c>
      <x:c r="H508" s="662" t="n">
        <x:v>163400.69</x:v>
      </x:c>
      <x:c r="I508" s="662" t="n">
        <x:v>86289.08</x:v>
      </x:c>
      <x:c r="J508" s="662" t="n">
        <x:v>912263.18</x:v>
      </x:c>
      <x:c r="K508" s="662" t="n">
        <x:v>35740.44</x:v>
      </x:c>
      <x:c r="L508" s="662" t="n">
        <x:v>9085.51</x:v>
      </x:c>
      <x:c r="M508" s="662" t="n">
        <x:v>312822.94</x:v>
      </x:c>
      <x:c r="N508" s="662" t="n">
        <x:v>293680.57</x:v>
      </x:c>
      <x:c r="O508" s="662" t="n">
        <x:v>1478560.93</x:v>
      </x:c>
      <x:c r="P508" s="662" t="n">
        <x:v>903501.58</x:v>
      </x:c>
      <x:c r="Q508" s="662" t="n">
        <x:v>58264.46</x:v>
      </x:c>
      <x:c r="R508" s="662" t="n">
        <x:v>-5.04</x:v>
      </x:c>
      <x:c r="S508" s="662" t="n">
        <x:v>0.55</x:v>
      </x:c>
      <x:c r="T508" s="673" t="n">
        <x:v>5.38</x:v>
      </x:c>
      <x:c r="U508" s="673">
        <x:v>0</x:v>
      </x:c>
      <x:c r="V508" s="673">
        <x:v>0</x:v>
      </x:c>
      <x:c r="W508" s="673">
        <x:v>0</x:v>
      </x:c>
      <x:c r="X508" s="673">
        <x:v>0</x:v>
      </x:c>
      <x:c r="Y508" s="673">
        <x:v>0</x:v>
      </x:c>
      <x:c r="Z508" s="673" t="n">
        <x:v>0</x:v>
      </x:c>
      <x:c r="AA508" s="668"/>
      <x:c r="AB508" s="668"/>
      <x:c r="AC508" s="668"/>
      <x:c r="AD508" s="668"/>
      <x:c r="AE508" s="668"/>
      <x:c r="AF508" s="668"/>
      <x:c r="AG508" s="668"/>
      <x:c r="AH508" s="668"/>
      <x:c r="AI508" s="668"/>
      <x:c r="AJ508" s="668"/>
      <x:c r="AK508" s="668"/>
      <x:c r="AL508" s="668"/>
      <x:c r="AM508" s="668"/>
      <x:c r="AN508" s="668"/>
      <x:c r="AO508" s="668"/>
      <x:c r="AP508" s="668"/>
      <x:c r="AQ508" s="668"/>
      <x:c r="AR508" s="668"/>
      <x:c r="AS508" s="668"/>
      <x:c r="AT508" s="668"/>
      <x:c r="AU508" s="668"/>
      <x:c r="AV508" s="668"/>
      <x:c r="AW508" s="668"/>
      <x:c r="AX508" s="668"/>
      <x:c r="AY508" s="668"/>
      <x:c r="AZ508" s="668"/>
      <x:c r="BA508" s="668"/>
      <x:c r="BB508" s="668"/>
      <x:c r="BC508" s="668"/>
      <x:c r="BD508" s="668"/>
      <x:c r="BE508" s="668"/>
      <x:c r="BF508" s="668"/>
      <x:c r="BG508" s="668"/>
      <x:c r="BH508" s="668"/>
      <x:c r="BI508" s="668"/>
      <x:c r="BJ508" s="668"/>
      <x:c r="BK508" s="668"/>
      <x:c r="BL508" s="668"/>
      <x:c r="BM508" s="668"/>
      <x:c r="BN508" s="624"/>
    </x:row>
    <x:row r="509" spans="1:66" x14ac:dyDescent="0.2">
      <x:c r="A509"/>
      <x:c r="B509"/>
      <x:c r="C509"/>
      <x:c r="D509" t="inlineStr">
        <x:is>
          <x:t>E</x:t>
        </x:is>
      </x:c>
      <x:c r="E509" s="625" t="inlineStr">
        <x:is>
          <x:t>Total</x:t>
        </x:is>
      </x:c>
      <x:c r="F509" s="627" t="n">
        <x:v>13260342962.39</x:v>
      </x:c>
      <x:c r="G509" s="627" t="n">
        <x:v>688233068.44</x:v>
      </x:c>
      <x:c r="H509" s="627" t="n">
        <x:v>387999633.92</x:v>
      </x:c>
      <x:c r="I509" s="627" t="n">
        <x:v>203982588.58</x:v>
      </x:c>
      <x:c r="J509" s="627" t="n">
        <x:v>2974728652.5</x:v>
      </x:c>
      <x:c r="K509" s="627" t="n">
        <x:v>108115358.51</x:v>
      </x:c>
      <x:c r="L509" s="627" t="n">
        <x:v>8938785.51</x:v>
      </x:c>
      <x:c r="M509" s="627" t="n">
        <x:v>948063969.76</x:v>
      </x:c>
      <x:c r="N509" s="627" t="n">
        <x:v>918748413.2</x:v>
      </x:c>
      <x:c r="O509" s="627" t="n">
        <x:v>4764025203.05</x:v>
      </x:c>
      <x:c r="P509" s="627" t="n">
        <x:v>2081168863.28</x:v>
      </x:c>
      <x:c r="Q509" s="627" t="n">
        <x:v>176441433.71</x:v>
      </x:c>
      <x:c r="R509" s="627" t="n">
        <x:v>-103014</x:v>
      </x:c>
      <x:c r="S509" s="627" t="n">
        <x:v>0.55</x:v>
      </x:c>
      <x:c r="T509" s="653" t="n">
        <x:v>5.38</x:v>
      </x:c>
      <x:c r="U509" s="653">
        <x:v>0</x:v>
      </x:c>
      <x:c r="V509" s="653">
        <x:v>0</x:v>
      </x:c>
      <x:c r="W509" s="653">
        <x:v>0</x:v>
      </x:c>
      <x:c r="X509" s="653">
        <x:v>0</x:v>
      </x:c>
      <x:c r="Y509" s="653">
        <x:v>0</x:v>
      </x:c>
      <x:c r="Z509" s="653" t="n">
        <x:v>0</x:v>
      </x:c>
      <x:c r="BN509" s="624"/>
    </x:row>
    <x:row r="510" spans="1:66" x14ac:dyDescent="0.2">
      <x:c r="A510"/>
      <x:c r="B510"/>
      <x:c r="C510" t="inlineStr">
        <x:is>
          <x:t>ENEL</x:t>
        </x:is>
      </x:c>
      <x:c r="D510" t="inlineStr">
        <x:is>
          <x:t>Total</x:t>
        </x:is>
      </x:c>
      <x:c r="E510" s="625"/>
      <x:c r="F510" s="627" t="n">
        <x:v>13260342962.39</x:v>
      </x:c>
      <x:c r="G510" s="627" t="n">
        <x:v>688233068.44</x:v>
      </x:c>
      <x:c r="H510" s="627" t="n">
        <x:v>387999633.92</x:v>
      </x:c>
      <x:c r="I510" s="627" t="n">
        <x:v>203982588.58</x:v>
      </x:c>
      <x:c r="J510" s="627" t="n">
        <x:v>2974728652.5</x:v>
      </x:c>
      <x:c r="K510" s="627" t="n">
        <x:v>108115358.51</x:v>
      </x:c>
      <x:c r="L510" s="627" t="n">
        <x:v>8938785.51</x:v>
      </x:c>
      <x:c r="M510" s="627" t="n">
        <x:v>948063969.76</x:v>
      </x:c>
      <x:c r="N510" s="627" t="n">
        <x:v>918748413.2</x:v>
      </x:c>
      <x:c r="O510" s="627" t="n">
        <x:v>4764025203.05</x:v>
      </x:c>
      <x:c r="P510" s="627" t="n">
        <x:v>2081168863.28</x:v>
      </x:c>
      <x:c r="Q510" s="627" t="n">
        <x:v>176441433.71</x:v>
      </x:c>
      <x:c r="R510" s="627" t="n">
        <x:v>-103014</x:v>
      </x:c>
      <x:c r="S510" s="627" t="n">
        <x:v>0.55</x:v>
      </x:c>
      <x:c r="T510" s="653" t="n">
        <x:v>5.38</x:v>
      </x:c>
      <x:c r="U510" s="653">
        <x:v>0</x:v>
      </x:c>
      <x:c r="V510" s="653">
        <x:v>0</x:v>
      </x:c>
      <x:c r="W510" s="653">
        <x:v>0</x:v>
      </x:c>
      <x:c r="X510" s="653">
        <x:v>0</x:v>
      </x:c>
      <x:c r="Y510" s="653">
        <x:v>0</x:v>
      </x:c>
      <x:c r="Z510" s="653" t="n">
        <x:v>0</x:v>
      </x:c>
      <x:c r="BN510" s="624"/>
    </x:row>
    <x:row r="511" spans="1:66" x14ac:dyDescent="0.2">
      <x:c r="A511"/>
      <x:c r="B511"/>
      <x:c r="C511"/>
      <x:c r="D511" s="625"/>
      <x:c r="E511" s="625" t="inlineStr">
        <x:is>
          <x:t>Vlr Servicio</x:t>
        </x:is>
      </x:c>
      <x:c r="F511" s="627" t="n">
        <x:v>33381761.62</x:v>
      </x:c>
      <x:c r="G511" s="627" t="n">
        <x:v>1900600.5</x:v>
      </x:c>
      <x:c r="H511" s="627" t="n">
        <x:v>1060075.4</x:v>
      </x:c>
      <x:c r="I511" s="627" t="n">
        <x:v>571106.43</x:v>
      </x:c>
      <x:c r="J511" s="627" t="n">
        <x:v>7482062.73</x:v>
      </x:c>
      <x:c r="K511" s="627" t="n">
        <x:v>261091.53</x:v>
      </x:c>
      <x:c r="L511" s="627" t="n">
        <x:v>0</x:v>
      </x:c>
      <x:c r="M511" s="627" t="n">
        <x:v>2236718.68</x:v>
      </x:c>
      <x:c r="N511" s="627" t="n">
        <x:v>2240261.92</x:v>
      </x:c>
      <x:c r="O511" s="627" t="n">
        <x:v>11562961.56</x:v>
      </x:c>
      <x:c r="P511" s="627" t="n">
        <x:v>5641999.72</x:v>
      </x:c>
      <x:c r="Q511" s="627" t="n">
        <x:v>424763.54</x:v>
      </x:c>
      <x:c r="R511" s="627" t="n">
        <x:v>119.61</x:v>
      </x:c>
      <x:c r="S511" s="627" t="n">
        <x:v>0</x:v>
      </x:c>
      <x:c r="T511" s="653" t="n">
        <x:v>0</x:v>
      </x:c>
      <x:c r="U511" s="653">
        <x:v>0</x:v>
      </x:c>
      <x:c r="V511" s="653">
        <x:v>0</x:v>
      </x:c>
      <x:c r="W511" s="653">
        <x:v>0</x:v>
      </x:c>
      <x:c r="X511" s="653">
        <x:v>0</x:v>
      </x:c>
      <x:c r="Y511" s="653">
        <x:v>0</x:v>
      </x:c>
      <x:c r="Z511" s="653" t="n">
        <x:v>0</x:v>
      </x:c>
      <x:c r="BN511" s="624"/>
    </x:row>
    <x:row r="512" spans="1:66" x14ac:dyDescent="0.2">
      <x:c r="A512"/>
      <x:c r="B512"/>
      <x:c r="C512" s="625"/>
      <x:c r="D512" s="625"/>
      <x:c r="E512" s="25" t="inlineStr">
        <x:is>
          <x:t>Vlr Intereses</x:t>
        </x:is>
      </x:c>
      <x:c r="F512" s="627" t="n">
        <x:v>84123.48</x:v>
      </x:c>
      <x:c r="G512" s="627" t="n">
        <x:v>5035.05</x:v>
      </x:c>
      <x:c r="H512" s="627" t="n">
        <x:v>2705.49</x:v>
      </x:c>
      <x:c r="I512" s="627" t="n">
        <x:v>1487.08</x:v>
      </x:c>
      <x:c r="J512" s="627" t="n">
        <x:v>18901.43</x:v>
      </x:c>
      <x:c r="K512" s="627" t="n">
        <x:v>611.41</x:v>
      </x:c>
      <x:c r="L512" s="627" t="n">
        <x:v>0</x:v>
      </x:c>
      <x:c r="M512" s="627" t="n">
        <x:v>5314.35</x:v>
      </x:c>
      <x:c r="N512" s="627" t="n">
        <x:v>5615.28</x:v>
      </x:c>
      <x:c r="O512" s="627" t="n">
        <x:v>28670.6</x:v>
      </x:c>
      <x:c r="P512" s="627" t="n">
        <x:v>14780.46</x:v>
      </x:c>
      <x:c r="Q512" s="627" t="n">
        <x:v>1002.93</x:v>
      </x:c>
      <x:c r="R512" s="627" t="n">
        <x:v>-0.6</x:v>
      </x:c>
      <x:c r="S512" s="627" t="n">
        <x:v>0</x:v>
      </x:c>
      <x:c r="T512" s="653" t="n">
        <x:v>0</x:v>
      </x:c>
      <x:c r="U512" s="653">
        <x:v>0</x:v>
      </x:c>
      <x:c r="V512" s="653">
        <x:v>0</x:v>
      </x:c>
      <x:c r="W512" s="653">
        <x:v>0</x:v>
      </x:c>
      <x:c r="X512" s="653">
        <x:v>0</x:v>
      </x:c>
      <x:c r="Y512" s="653">
        <x:v>0</x:v>
      </x:c>
      <x:c r="Z512" s="653" t="n">
        <x:v>0</x:v>
      </x:c>
      <x:c r="BN512" s="624"/>
    </x:row>
    <x:row r="513" spans="1:66" x14ac:dyDescent="0.2">
      <x:c r="A513"/>
      <x:c r="B513" s="625"/>
      <x:c r="C513" s="625"/>
      <x:c r="D513" t="inlineStr">
        <x:is>
          <x:t>E</x:t>
        </x:is>
      </x:c>
      <x:c r="E513" s="25" t="inlineStr">
        <x:is>
          <x:t>Total</x:t>
        </x:is>
      </x:c>
      <x:c r="F513" s="627" t="n">
        <x:v>33465885.1</x:v>
      </x:c>
      <x:c r="G513" s="627" t="n">
        <x:v>1905635.55</x:v>
      </x:c>
      <x:c r="H513" s="627" t="n">
        <x:v>1062780.89</x:v>
      </x:c>
      <x:c r="I513" s="627" t="n">
        <x:v>572593.51</x:v>
      </x:c>
      <x:c r="J513" s="627" t="n">
        <x:v>7500964.16</x:v>
      </x:c>
      <x:c r="K513" s="627" t="n">
        <x:v>261702.94</x:v>
      </x:c>
      <x:c r="L513" s="627" t="n">
        <x:v>0</x:v>
      </x:c>
      <x:c r="M513" s="627" t="n">
        <x:v>2242033.03</x:v>
      </x:c>
      <x:c r="N513" s="627" t="n">
        <x:v>2245877.2</x:v>
      </x:c>
      <x:c r="O513" s="627" t="n">
        <x:v>11591632.16</x:v>
      </x:c>
      <x:c r="P513" s="627" t="n">
        <x:v>5656780.18</x:v>
      </x:c>
      <x:c r="Q513" s="627" t="n">
        <x:v>425766.47</x:v>
      </x:c>
      <x:c r="R513" s="627" t="n">
        <x:v>119.01</x:v>
      </x:c>
      <x:c r="S513" s="627" t="n">
        <x:v>0</x:v>
      </x:c>
      <x:c r="T513" s="653" t="n">
        <x:v>0</x:v>
      </x:c>
      <x:c r="U513" s="653">
        <x:v>0</x:v>
      </x:c>
      <x:c r="V513" s="653">
        <x:v>0</x:v>
      </x:c>
      <x:c r="W513" s="653">
        <x:v>0</x:v>
      </x:c>
      <x:c r="X513" s="653">
        <x:v>0</x:v>
      </x:c>
      <x:c r="Y513" s="653">
        <x:v>0</x:v>
      </x:c>
      <x:c r="Z513" s="653" t="n">
        <x:v>0</x:v>
      </x:c>
      <x:c r="BN513" s="624"/>
    </x:row>
    <x:row r="514" spans="1:66" x14ac:dyDescent="0.2">
      <x:c r="A514" s="625"/>
      <x:c r="B514" s="625"/>
      <x:c r="C514" t="inlineStr">
        <x:is>
          <x:t>ENERBIT</x:t>
        </x:is>
      </x:c>
      <x:c r="D514" s="25" t="inlineStr">
        <x:is>
          <x:t>Total</x:t>
        </x:is>
      </x:c>
      <x:c r="E514" s="25"/>
      <x:c r="F514" s="627" t="n">
        <x:v>33465885.1</x:v>
      </x:c>
      <x:c r="G514" s="627" t="n">
        <x:v>1905635.55</x:v>
      </x:c>
      <x:c r="H514" s="627" t="n">
        <x:v>1062780.89</x:v>
      </x:c>
      <x:c r="I514" s="627" t="n">
        <x:v>572593.51</x:v>
      </x:c>
      <x:c r="J514" s="627" t="n">
        <x:v>7500964.16</x:v>
      </x:c>
      <x:c r="K514" s="627" t="n">
        <x:v>261702.94</x:v>
      </x:c>
      <x:c r="L514" s="627" t="n">
        <x:v>0</x:v>
      </x:c>
      <x:c r="M514" s="627" t="n">
        <x:v>2242033.03</x:v>
      </x:c>
      <x:c r="N514" s="627" t="n">
        <x:v>2245877.2</x:v>
      </x:c>
      <x:c r="O514" s="627" t="n">
        <x:v>11591632.16</x:v>
      </x:c>
      <x:c r="P514" s="627" t="n">
        <x:v>5656780.18</x:v>
      </x:c>
      <x:c r="Q514" s="627" t="n">
        <x:v>425766.47</x:v>
      </x:c>
      <x:c r="R514" s="627" t="n">
        <x:v>119.01</x:v>
      </x:c>
      <x:c r="S514" s="627" t="n">
        <x:v>0</x:v>
      </x:c>
      <x:c r="T514" s="653" t="n">
        <x:v>0</x:v>
      </x:c>
      <x:c r="U514" s="653">
        <x:v>0</x:v>
      </x:c>
      <x:c r="V514" s="653">
        <x:v>0</x:v>
      </x:c>
      <x:c r="W514" s="653">
        <x:v>0</x:v>
      </x:c>
      <x:c r="X514" s="653">
        <x:v>0</x:v>
      </x:c>
      <x:c r="Y514" s="653">
        <x:v>0</x:v>
      </x:c>
      <x:c r="Z514" s="653" t="n">
        <x:v>0</x:v>
      </x:c>
      <x:c r="BN514" s="624"/>
    </x:row>
    <x:row r="515" spans="1:66" x14ac:dyDescent="0.2">
      <x:c r="A515"/>
      <x:c r="B515"/>
      <x:c r="C515"/>
      <x:c r="D515"/>
      <x:c r="E515" s="625" t="inlineStr">
        <x:is>
          <x:t>Vlr Servicio</x:t>
        </x:is>
      </x:c>
      <x:c r="F515" s="627" t="n">
        <x:v>25096831.1</x:v>
      </x:c>
      <x:c r="G515" s="627" t="n">
        <x:v>1425248.87</x:v>
      </x:c>
      <x:c r="H515" s="627" t="n">
        <x:v>791821.31</x:v>
      </x:c>
      <x:c r="I515" s="627" t="n">
        <x:v>419726.03</x:v>
      </x:c>
      <x:c r="J515" s="627" t="n">
        <x:v>4022105.97</x:v>
      </x:c>
      <x:c r="K515" s="627" t="n">
        <x:v>162197.22</x:v>
      </x:c>
      <x:c r="L515" s="627" t="n">
        <x:v>0</x:v>
      </x:c>
      <x:c r="M515" s="627" t="n">
        <x:v>1423897.48</x:v>
      </x:c>
      <x:c r="N515" s="627" t="n">
        <x:v>1936716.04</x:v>
      </x:c>
      <x:c r="O515" s="627" t="n">
        <x:v>10379284.19</x:v>
      </x:c>
      <x:c r="P515" s="627" t="n">
        <x:v>4258650.77</x:v>
      </x:c>
      <x:c r="Q515" s="627" t="n">
        <x:v>277635.52</x:v>
      </x:c>
      <x:c r="R515" s="627" t="n">
        <x:v>-452.3</x:v>
      </x:c>
      <x:c r="S515" s="627" t="n">
        <x:v>0</x:v>
      </x:c>
      <x:c r="T515" s="653" t="n">
        <x:v>0</x:v>
      </x:c>
      <x:c r="U515" s="653">
        <x:v>0</x:v>
      </x:c>
      <x:c r="V515" s="653">
        <x:v>0</x:v>
      </x:c>
      <x:c r="W515" s="653">
        <x:v>0</x:v>
      </x:c>
      <x:c r="X515" s="653">
        <x:v>0</x:v>
      </x:c>
      <x:c r="Y515" s="653">
        <x:v>0</x:v>
      </x:c>
      <x:c r="Z515" s="653" t="n">
        <x:v>0</x:v>
      </x:c>
      <x:c r="BN515" s="624"/>
    </x:row>
    <x:row r="516" spans="1:66" x14ac:dyDescent="0.2">
      <x:c r="A516" s="625"/>
      <x:c r="B516" s="625"/>
      <x:c r="C516"/>
      <x:c r="D516"/>
      <x:c r="E516" s="25" t="inlineStr">
        <x:is>
          <x:t>Vlr Intereses</x:t>
        </x:is>
      </x:c>
      <x:c r="F516" s="627" t="n">
        <x:v>811344.88</x:v>
      </x:c>
      <x:c r="G516" s="627" t="n">
        <x:v>54328.54</x:v>
      </x:c>
      <x:c r="H516" s="627" t="n">
        <x:v>25678.89</x:v>
      </x:c>
      <x:c r="I516" s="627" t="n">
        <x:v>12896.29</x:v>
      </x:c>
      <x:c r="J516" s="627" t="n">
        <x:v>154006.04</x:v>
      </x:c>
      <x:c r="K516" s="627" t="n">
        <x:v>6794.36</x:v>
      </x:c>
      <x:c r="L516" s="627" t="n">
        <x:v>0</x:v>
      </x:c>
      <x:c r="M516" s="627" t="n">
        <x:v>59546.72</x:v>
      </x:c>
      <x:c r="N516" s="627" t="n">
        <x:v>60090.46</x:v>
      </x:c>
      <x:c r="O516" s="627" t="n">
        <x:v>267889.17</x:v>
      </x:c>
      <x:c r="P516" s="627" t="n">
        <x:v>158972.74</x:v>
      </x:c>
      <x:c r="Q516" s="627" t="n">
        <x:v>11144.65</x:v>
      </x:c>
      <x:c r="R516" s="627" t="n">
        <x:v>-3.93</x:v>
      </x:c>
      <x:c r="S516" s="627" t="n">
        <x:v>0.16</x:v>
      </x:c>
      <x:c r="T516" s="653" t="n">
        <x:v>0.79</x:v>
      </x:c>
      <x:c r="U516" s="653">
        <x:v>0</x:v>
      </x:c>
      <x:c r="V516" s="653">
        <x:v>0</x:v>
      </x:c>
      <x:c r="W516" s="653">
        <x:v>0</x:v>
      </x:c>
      <x:c r="X516" s="653">
        <x:v>0</x:v>
      </x:c>
      <x:c r="Y516" s="653">
        <x:v>0</x:v>
      </x:c>
      <x:c r="Z516" s="653" t="n">
        <x:v>0</x:v>
      </x:c>
      <x:c r="BN516" s="624"/>
    </x:row>
    <x:row r="517" spans="1:66" x14ac:dyDescent="0.2">
      <x:c r="A517"/>
      <x:c r="B517"/>
      <x:c r="C517"/>
      <x:c r="D517" s="25" t="inlineStr">
        <x:is>
          <x:t>H</x:t>
        </x:is>
      </x:c>
      <x:c r="E517" s="625" t="inlineStr">
        <x:is>
          <x:t>Total</x:t>
        </x:is>
      </x:c>
      <x:c r="F517" s="627" t="n">
        <x:v>25908175.98</x:v>
      </x:c>
      <x:c r="G517" s="627" t="n">
        <x:v>1479577.41</x:v>
      </x:c>
      <x:c r="H517" s="627" t="n">
        <x:v>817500.2</x:v>
      </x:c>
      <x:c r="I517" s="627" t="n">
        <x:v>432622.32</x:v>
      </x:c>
      <x:c r="J517" s="627" t="n">
        <x:v>4176112.01</x:v>
      </x:c>
      <x:c r="K517" s="627" t="n">
        <x:v>168991.58</x:v>
      </x:c>
      <x:c r="L517" s="627" t="n">
        <x:v>0</x:v>
      </x:c>
      <x:c r="M517" s="627" t="n">
        <x:v>1483444.2</x:v>
      </x:c>
      <x:c r="N517" s="627" t="n">
        <x:v>1996806.5</x:v>
      </x:c>
      <x:c r="O517" s="627" t="n">
        <x:v>10647173.36</x:v>
      </x:c>
      <x:c r="P517" s="627" t="n">
        <x:v>4417623.51</x:v>
      </x:c>
      <x:c r="Q517" s="627" t="n">
        <x:v>288780.17</x:v>
      </x:c>
      <x:c r="R517" s="627" t="n">
        <x:v>-456.23</x:v>
      </x:c>
      <x:c r="S517" s="627" t="n">
        <x:v>0.16</x:v>
      </x:c>
      <x:c r="T517" s="653" t="n">
        <x:v>0.79</x:v>
      </x:c>
      <x:c r="U517" s="653">
        <x:v>0</x:v>
      </x:c>
      <x:c r="V517" s="653">
        <x:v>0</x:v>
      </x:c>
      <x:c r="W517" s="653">
        <x:v>0</x:v>
      </x:c>
      <x:c r="X517" s="653">
        <x:v>0</x:v>
      </x:c>
      <x:c r="Y517" s="653">
        <x:v>0</x:v>
      </x:c>
      <x:c r="Z517" s="653" t="n">
        <x:v>0</x:v>
      </x:c>
      <x:c r="BN517" s="624"/>
    </x:row>
    <x:row r="518" spans="1:66" x14ac:dyDescent="0.2">
      <x:c r="A518" s="631"/>
      <x:c r="B518" s="631"/>
      <x:c r="C518" s="632"/>
      <x:c r="D518" s="632"/>
      <x:c r="E518" s="631" t="inlineStr">
        <x:is>
          <x:t>Vlr Servicio</x:t>
        </x:is>
      </x:c>
      <x:c r="F518" s="633" t="n">
        <x:v>34365004.17</x:v>
      </x:c>
      <x:c r="G518" s="633" t="n">
        <x:v>2199925.02</x:v>
      </x:c>
      <x:c r="H518" s="633" t="n">
        <x:v>1144630.48</x:v>
      </x:c>
      <x:c r="I518" s="633" t="n">
        <x:v>603029.86</x:v>
      </x:c>
      <x:c r="J518" s="633" t="n">
        <x:v>4451124.31</x:v>
      </x:c>
      <x:c r="K518" s="633" t="n">
        <x:v>298113.95</x:v>
      </x:c>
      <x:c r="L518" s="633" t="n">
        <x:v>0</x:v>
      </x:c>
      <x:c r="M518" s="633" t="n">
        <x:v>2608725.3</x:v>
      </x:c>
      <x:c r="N518" s="633" t="n">
        <x:v>2656144.59</x:v>
      </x:c>
      <x:c r="O518" s="633" t="n">
        <x:v>13357778.01</x:v>
      </x:c>
      <x:c r="P518" s="633" t="n">
        <x:v>6558253.61</x:v>
      </x:c>
      <x:c r="Q518" s="633" t="n">
        <x:v>487902.45</x:v>
      </x:c>
      <x:c r="R518" s="633" t="n">
        <x:v>-623.41</x:v>
      </x:c>
      <x:c r="S518" s="633" t="n">
        <x:v>0</x:v>
      </x:c>
      <x:c r="T518" s="633" t="n">
        <x:v>0</x:v>
      </x:c>
      <x:c r="U518" s="633">
        <x:v>0</x:v>
      </x:c>
      <x:c r="V518" s="633">
        <x:v>0</x:v>
      </x:c>
      <x:c r="W518" s="633">
        <x:v>0</x:v>
      </x:c>
      <x:c r="X518" s="633">
        <x:v>0</x:v>
      </x:c>
      <x:c r="Y518" s="633">
        <x:v>0</x:v>
      </x:c>
      <x:c r="Z518" s="633" t="n">
        <x:v>0</x:v>
      </x:c>
      <x:c r="AA518" s="631"/>
      <x:c r="AB518" s="631"/>
      <x:c r="AC518" s="631"/>
      <x:c r="AD518" s="631"/>
      <x:c r="AE518" s="631"/>
      <x:c r="AF518" s="631"/>
      <x:c r="AG518" s="631"/>
      <x:c r="AH518" s="631"/>
      <x:c r="AI518" s="631"/>
      <x:c r="AJ518" s="631"/>
      <x:c r="AK518" s="631"/>
      <x:c r="AL518" s="631"/>
      <x:c r="AM518" s="631"/>
      <x:c r="AN518" s="631"/>
      <x:c r="AO518" s="631"/>
      <x:c r="AP518" s="631"/>
      <x:c r="AQ518" s="631"/>
      <x:c r="AR518" s="631"/>
      <x:c r="AS518" s="631"/>
      <x:c r="AT518" s="631"/>
      <x:c r="AU518" s="631"/>
      <x:c r="AV518" s="631"/>
      <x:c r="AW518" s="631"/>
      <x:c r="AX518" s="631"/>
      <x:c r="AY518" s="631"/>
      <x:c r="AZ518" s="631"/>
      <x:c r="BA518" s="631"/>
      <x:c r="BB518" s="631"/>
      <x:c r="BC518" s="631"/>
      <x:c r="BD518" s="631"/>
      <x:c r="BE518" s="631"/>
      <x:c r="BF518" s="631"/>
      <x:c r="BG518" s="631"/>
      <x:c r="BH518" s="631"/>
      <x:c r="BI518" s="631"/>
      <x:c r="BJ518" s="631"/>
      <x:c r="BK518" s="631"/>
      <x:c r="BL518" s="631"/>
      <x:c r="BM518" s="631"/>
      <x:c r="BN518" s="624"/>
    </x:row>
    <x:row r="519" spans="1:66" x14ac:dyDescent="0.2">
      <x:c r="A519" s="638"/>
      <x:c r="B519" s="639"/>
      <x:c r="C519" s="639"/>
      <x:c r="D519" s="638"/>
      <x:c r="E519" s="638" t="inlineStr">
        <x:is>
          <x:t>Vlr Intereses</x:t>
        </x:is>
      </x:c>
      <x:c r="F519" s="640" t="n">
        <x:v>2891406.9</x:v>
      </x:c>
      <x:c r="G519" s="640" t="n">
        <x:v>222856.07</x:v>
      </x:c>
      <x:c r="H519" s="640" t="n">
        <x:v>104956.2</x:v>
      </x:c>
      <x:c r="I519" s="640" t="n">
        <x:v>53676.56</x:v>
      </x:c>
      <x:c r="J519" s="640" t="n">
        <x:v>529773.05</x:v>
      </x:c>
      <x:c r="K519" s="640" t="n">
        <x:v>24791.47</x:v>
      </x:c>
      <x:c r="L519" s="640" t="n">
        <x:v>0</x:v>
      </x:c>
      <x:c r="M519" s="640" t="n">
        <x:v>216275.82</x:v>
      </x:c>
      <x:c r="N519" s="640" t="n">
        <x:v>193832.13</x:v>
      </x:c>
      <x:c r="O519" s="640" t="n">
        <x:v>850960.1</x:v>
      </x:c>
      <x:c r="P519" s="640" t="n">
        <x:v>653864.29</x:v>
      </x:c>
      <x:c r="Q519" s="640" t="n">
        <x:v>40458.46</x:v>
      </x:c>
      <x:c r="R519" s="640" t="n">
        <x:v>-1.29</x:v>
      </x:c>
      <x:c r="S519" s="640" t="n">
        <x:v>-0.01</x:v>
      </x:c>
      <x:c r="T519" s="640" t="n">
        <x:v>1.31</x:v>
      </x:c>
      <x:c r="U519" s="640">
        <x:v>0</x:v>
      </x:c>
      <x:c r="V519" s="640">
        <x:v>0</x:v>
      </x:c>
      <x:c r="W519" s="640">
        <x:v>0</x:v>
      </x:c>
      <x:c r="X519" s="640">
        <x:v>0</x:v>
      </x:c>
      <x:c r="Y519" s="640">
        <x:v>0</x:v>
      </x:c>
      <x:c r="Z519" s="640" t="n">
        <x:v>-37.26</x:v>
      </x:c>
      <x:c r="AA519" s="638"/>
      <x:c r="AB519" s="638"/>
      <x:c r="AC519" s="638"/>
      <x:c r="AD519" s="638"/>
      <x:c r="AE519" s="638"/>
      <x:c r="AF519" s="638"/>
      <x:c r="AG519" s="638"/>
      <x:c r="AH519" s="638"/>
      <x:c r="AI519" s="638"/>
      <x:c r="AJ519" s="638"/>
      <x:c r="AK519" s="638"/>
      <x:c r="AL519" s="638"/>
      <x:c r="AM519" s="638"/>
      <x:c r="AN519" s="638"/>
      <x:c r="AO519" s="638"/>
      <x:c r="AP519" s="638"/>
      <x:c r="AQ519" s="638"/>
      <x:c r="AR519" s="638"/>
      <x:c r="AS519" s="638"/>
      <x:c r="AT519" s="638"/>
      <x:c r="AU519" s="638"/>
      <x:c r="AV519" s="638"/>
      <x:c r="AW519" s="638"/>
      <x:c r="AX519" s="638"/>
      <x:c r="AY519" s="638"/>
      <x:c r="AZ519" s="638"/>
      <x:c r="BA519" s="638"/>
      <x:c r="BB519" s="638"/>
      <x:c r="BC519" s="638"/>
      <x:c r="BD519" s="638"/>
      <x:c r="BE519" s="638"/>
      <x:c r="BF519" s="638"/>
      <x:c r="BG519" s="638"/>
      <x:c r="BH519" s="638"/>
      <x:c r="BI519" s="638"/>
      <x:c r="BJ519" s="638"/>
      <x:c r="BK519" s="638"/>
      <x:c r="BL519" s="638"/>
      <x:c r="BM519" s="638"/>
      <x:c r="BN519" s="624"/>
    </x:row>
    <x:row r="520" spans="1:66" x14ac:dyDescent="0.2">
      <x:c r="A520" s="25"/>
      <x:c r="B520" s="25"/>
      <x:c r="C520"/>
      <x:c r="D520" t="inlineStr">
        <x:is>
          <x:t>O</x:t>
        </x:is>
      </x:c>
      <x:c r="E520" s="625" t="inlineStr">
        <x:is>
          <x:t>Total</x:t>
        </x:is>
      </x:c>
      <x:c r="F520" s="627" t="n">
        <x:v>37256411.07</x:v>
      </x:c>
      <x:c r="G520" s="627" t="n">
        <x:v>2422781.09</x:v>
      </x:c>
      <x:c r="H520" s="627" t="n">
        <x:v>1249586.68</x:v>
      </x:c>
      <x:c r="I520" s="627" t="n">
        <x:v>656706.42</x:v>
      </x:c>
      <x:c r="J520" s="627" t="n">
        <x:v>4980897.36</x:v>
      </x:c>
      <x:c r="K520" s="627" t="n">
        <x:v>322905.42</x:v>
      </x:c>
      <x:c r="L520" s="627" t="n">
        <x:v>0</x:v>
      </x:c>
      <x:c r="M520" s="627" t="n">
        <x:v>2825001.12</x:v>
      </x:c>
      <x:c r="N520" s="627" t="n">
        <x:v>2849976.72</x:v>
      </x:c>
      <x:c r="O520" s="627" t="n">
        <x:v>14208738.11</x:v>
      </x:c>
      <x:c r="P520" s="627" t="n">
        <x:v>7212117.9</x:v>
      </x:c>
      <x:c r="Q520" s="627" t="n">
        <x:v>528360.91</x:v>
      </x:c>
      <x:c r="R520" s="627" t="n">
        <x:v>-624.7</x:v>
      </x:c>
      <x:c r="S520" s="627" t="n">
        <x:v>-0.01</x:v>
      </x:c>
      <x:c r="T520" s="653" t="n">
        <x:v>1.31</x:v>
      </x:c>
      <x:c r="U520" s="653">
        <x:v>0</x:v>
      </x:c>
      <x:c r="V520" s="653">
        <x:v>0</x:v>
      </x:c>
      <x:c r="W520" s="653">
        <x:v>0</x:v>
      </x:c>
      <x:c r="X520" s="653">
        <x:v>0</x:v>
      </x:c>
      <x:c r="Y520" s="653">
        <x:v>0</x:v>
      </x:c>
      <x:c r="Z520" s="653" t="n">
        <x:v>-37.26</x:v>
      </x:c>
      <x:c r="BN520" s="624"/>
    </x:row>
    <x:row r="521" spans="1:66" x14ac:dyDescent="0.2">
      <x:c r="A521"/>
      <x:c r="B521"/>
      <x:c r="C521"/>
      <x:c r="D521"/>
      <x:c r="E521" s="625" t="inlineStr">
        <x:is>
          <x:t>Vlr Servicio</x:t>
        </x:is>
      </x:c>
      <x:c r="F521" s="627" t="n">
        <x:v>181087455.68</x:v>
      </x:c>
      <x:c r="G521" s="627" t="n">
        <x:v>27337307.19</x:v>
      </x:c>
      <x:c r="H521" s="627" t="n">
        <x:v>14979667.26</x:v>
      </x:c>
      <x:c r="I521" s="627" t="n">
        <x:v>7934140.26</x:v>
      </x:c>
      <x:c r="J521" s="627" t="n">
        <x:v>12054153.65</x:v>
      </x:c>
      <x:c r="K521" s="627" t="n">
        <x:v>398857.18</x:v>
      </x:c>
      <x:c r="L521" s="627" t="n">
        <x:v>1379993.45</x:v>
      </x:c>
      <x:c r="M521" s="627" t="n">
        <x:v>3522375.6</x:v>
      </x:c>
      <x:c r="N521" s="627" t="n">
        <x:v>4801079.3</x:v>
      </x:c>
      <x:c r="O521" s="627" t="n">
        <x:v>25599878.55</x:v>
      </x:c>
      <x:c r="P521" s="627" t="n">
        <x:v>82408783.94</x:v>
      </x:c>
      <x:c r="Q521" s="627" t="n">
        <x:v>673031</x:v>
      </x:c>
      <x:c r="R521" s="627" t="n">
        <x:v>-1811.7</x:v>
      </x:c>
      <x:c r="S521" s="627" t="n">
        <x:v>0</x:v>
      </x:c>
      <x:c r="T521" s="653" t="n">
        <x:v>0</x:v>
      </x:c>
      <x:c r="U521" s="653">
        <x:v>0</x:v>
      </x:c>
      <x:c r="V521" s="653">
        <x:v>0</x:v>
      </x:c>
      <x:c r="W521" s="653">
        <x:v>0</x:v>
      </x:c>
      <x:c r="X521" s="653">
        <x:v>0</x:v>
      </x:c>
      <x:c r="Y521" s="653">
        <x:v>0</x:v>
      </x:c>
      <x:c r="Z521" s="653" t="n">
        <x:v>0</x:v>
      </x:c>
      <x:c r="BN521" s="624"/>
    </x:row>
    <x:row r="522" spans="1:66" x14ac:dyDescent="0.2">
      <x:c r="A522"/>
      <x:c r="B522"/>
      <x:c r="C522"/>
      <x:c r="D522" s="25"/>
      <x:c r="E522" s="625" t="inlineStr">
        <x:is>
          <x:t>Vlr Intereses</x:t>
        </x:is>
      </x:c>
      <x:c r="F522" s="627" t="n">
        <x:v>8730783.56</x:v>
      </x:c>
      <x:c r="G522" s="627" t="n">
        <x:v>1669374.17</x:v>
      </x:c>
      <x:c r="H522" s="627" t="n">
        <x:v>770016.19</x:v>
      </x:c>
      <x:c r="I522" s="627" t="n">
        <x:v>421169.91</x:v>
      </x:c>
      <x:c r="J522" s="627" t="n">
        <x:v>273807.68</x:v>
      </x:c>
      <x:c r="K522" s="627" t="n">
        <x:v>8031.95</x:v>
      </x:c>
      <x:c r="L522" s="627" t="n">
        <x:v>0</x:v>
      </x:c>
      <x:c r="M522" s="627" t="n">
        <x:v>71780.37</x:v>
      </x:c>
      <x:c r="N522" s="627" t="n">
        <x:v>90025.35</x:v>
      </x:c>
      <x:c r="O522" s="627" t="n">
        <x:v>454389.02</x:v>
      </x:c>
      <x:c r="P522" s="627" t="n">
        <x:v>4958686.91</x:v>
      </x:c>
      <x:c r="Q522" s="627" t="n">
        <x:v>13500.5</x:v>
      </x:c>
      <x:c r="R522" s="627" t="n">
        <x:v>1.63</x:v>
      </x:c>
      <x:c r="S522" s="627" t="n">
        <x:v>-0.12</x:v>
      </x:c>
      <x:c r="T522" s="653" t="n">
        <x:v>0</x:v>
      </x:c>
      <x:c r="U522" s="653">
        <x:v>0</x:v>
      </x:c>
      <x:c r="V522" s="653">
        <x:v>0</x:v>
      </x:c>
      <x:c r="W522" s="653">
        <x:v>0</x:v>
      </x:c>
      <x:c r="X522" s="653">
        <x:v>0</x:v>
      </x:c>
      <x:c r="Y522" s="653">
        <x:v>0</x:v>
      </x:c>
      <x:c r="Z522" s="653" t="n">
        <x:v>0</x:v>
      </x:c>
      <x:c r="BN522" s="624"/>
    </x:row>
    <x:row r="523" spans="1:66" x14ac:dyDescent="0.2">
      <x:c r="A523"/>
      <x:c r="B523"/>
      <x:c r="C523"/>
      <x:c r="D523" t="inlineStr">
        <x:is>
          <x:t>T</x:t>
        </x:is>
      </x:c>
      <x:c r="E523" s="625" t="inlineStr">
        <x:is>
          <x:t>Total</x:t>
        </x:is>
      </x:c>
      <x:c r="F523" s="627" t="n">
        <x:v>189818239.24</x:v>
      </x:c>
      <x:c r="G523" s="627" t="n">
        <x:v>29006681.36</x:v>
      </x:c>
      <x:c r="H523" s="627" t="n">
        <x:v>15749683.45</x:v>
      </x:c>
      <x:c r="I523" s="627" t="n">
        <x:v>8355310.17</x:v>
      </x:c>
      <x:c r="J523" s="627" t="n">
        <x:v>12327961.33</x:v>
      </x:c>
      <x:c r="K523" s="627" t="n">
        <x:v>406889.13</x:v>
      </x:c>
      <x:c r="L523" s="627" t="n">
        <x:v>1379993.45</x:v>
      </x:c>
      <x:c r="M523" s="627" t="n">
        <x:v>3594155.97</x:v>
      </x:c>
      <x:c r="N523" s="627" t="n">
        <x:v>4891104.65</x:v>
      </x:c>
      <x:c r="O523" s="627" t="n">
        <x:v>26054267.57</x:v>
      </x:c>
      <x:c r="P523" s="627" t="n">
        <x:v>87367470.85</x:v>
      </x:c>
      <x:c r="Q523" s="627" t="n">
        <x:v>686531.5</x:v>
      </x:c>
      <x:c r="R523" s="627" t="n">
        <x:v>-1810.07</x:v>
      </x:c>
      <x:c r="S523" s="627" t="n">
        <x:v>-0.12</x:v>
      </x:c>
      <x:c r="T523" s="653" t="n">
        <x:v>0</x:v>
      </x:c>
      <x:c r="U523" s="653">
        <x:v>0</x:v>
      </x:c>
      <x:c r="V523" s="653">
        <x:v>0</x:v>
      </x:c>
      <x:c r="W523" s="653">
        <x:v>0</x:v>
      </x:c>
      <x:c r="X523" s="653">
        <x:v>0</x:v>
      </x:c>
      <x:c r="Y523" s="653">
        <x:v>0</x:v>
      </x:c>
      <x:c r="Z523" s="653" t="n">
        <x:v>0</x:v>
      </x:c>
      <x:c r="BN523" s="624"/>
    </x:row>
    <x:row r="524" spans="1:66" x14ac:dyDescent="0.2">
      <x:c r="A524"/>
      <x:c r="B524"/>
      <x:c r="C524" t="inlineStr">
        <x:is>
          <x:t>OCCIDENTE</x:t>
        </x:is>
      </x:c>
      <x:c r="D524" s="25" t="inlineStr">
        <x:is>
          <x:t>Total</x:t>
        </x:is>
      </x:c>
      <x:c r="E524" s="625"/>
      <x:c r="F524" s="627" t="n">
        <x:v>252982826.29</x:v>
      </x:c>
      <x:c r="G524" s="627" t="n">
        <x:v>32909039.86</x:v>
      </x:c>
      <x:c r="H524" s="627" t="n">
        <x:v>17816770.33</x:v>
      </x:c>
      <x:c r="I524" s="627" t="n">
        <x:v>9444638.91</x:v>
      </x:c>
      <x:c r="J524" s="627" t="n">
        <x:v>21484970.7</x:v>
      </x:c>
      <x:c r="K524" s="627" t="n">
        <x:v>898786.13</x:v>
      </x:c>
      <x:c r="L524" s="627" t="n">
        <x:v>1379993.45</x:v>
      </x:c>
      <x:c r="M524" s="627" t="n">
        <x:v>7902601.29</x:v>
      </x:c>
      <x:c r="N524" s="627" t="n">
        <x:v>9737887.87</x:v>
      </x:c>
      <x:c r="O524" s="627" t="n">
        <x:v>50910179.04</x:v>
      </x:c>
      <x:c r="P524" s="627" t="n">
        <x:v>98997212.26</x:v>
      </x:c>
      <x:c r="Q524" s="627" t="n">
        <x:v>1503672.58</x:v>
      </x:c>
      <x:c r="R524" s="627" t="n">
        <x:v>-2891</x:v>
      </x:c>
      <x:c r="S524" s="627" t="n">
        <x:v>0.03</x:v>
      </x:c>
      <x:c r="T524" s="653" t="n">
        <x:v>2.1</x:v>
      </x:c>
      <x:c r="U524" s="653">
        <x:v>0</x:v>
      </x:c>
      <x:c r="V524" s="653">
        <x:v>0</x:v>
      </x:c>
      <x:c r="W524" s="653">
        <x:v>0</x:v>
      </x:c>
      <x:c r="X524" s="653">
        <x:v>0</x:v>
      </x:c>
      <x:c r="Y524" s="653">
        <x:v>0</x:v>
      </x:c>
      <x:c r="Z524" s="653" t="n">
        <x:v>-37.26</x:v>
      </x:c>
      <x:c r="BN524" s="624"/>
    </x:row>
    <x:row r="525" spans="1:66" x14ac:dyDescent="0.2">
      <x:c r="A525" s="631"/>
      <x:c r="B525" s="631" t="inlineStr">
        <x:is>
          <x:t>Mes</x:t>
        </x:is>
      </x:c>
      <x:c r="C525" s="632" t="inlineStr">
        <x:is>
          <x:t>Total</x:t>
        </x:is>
      </x:c>
      <x:c r="D525" s="632"/>
      <x:c r="E525" s="631"/>
      <x:c r="F525" s="633" t="n">
        <x:v>13546791673.78</x:v>
      </x:c>
      <x:c r="G525" s="633" t="n">
        <x:v>723047743.85</x:v>
      </x:c>
      <x:c r="H525" s="633" t="n">
        <x:v>406879185.14</x:v>
      </x:c>
      <x:c r="I525" s="633" t="n">
        <x:v>213999821</x:v>
      </x:c>
      <x:c r="J525" s="633" t="n">
        <x:v>3003714587.36</x:v>
      </x:c>
      <x:c r="K525" s="633" t="n">
        <x:v>109275847.58</x:v>
      </x:c>
      <x:c r="L525" s="633" t="n">
        <x:v>10318778.96</x:v>
      </x:c>
      <x:c r="M525" s="633" t="n">
        <x:v>958208604.08</x:v>
      </x:c>
      <x:c r="N525" s="633" t="n">
        <x:v>930732178.27</x:v>
      </x:c>
      <x:c r="O525" s="633" t="n">
        <x:v>4826527014.25</x:v>
      </x:c>
      <x:c r="P525" s="633" t="n">
        <x:v>2185822855.72</x:v>
      </x:c>
      <x:c r="Q525" s="633" t="n">
        <x:v>178370872.76</x:v>
      </x:c>
      <x:c r="R525" s="633" t="n">
        <x:v>-105785.99</x:v>
      </x:c>
      <x:c r="S525" s="633" t="n">
        <x:v>0.58</x:v>
      </x:c>
      <x:c r="T525" s="633" t="n">
        <x:v>7.48</x:v>
      </x:c>
      <x:c r="U525" s="633">
        <x:v>0</x:v>
      </x:c>
      <x:c r="V525" s="633">
        <x:v>0</x:v>
      </x:c>
      <x:c r="W525" s="633">
        <x:v>0</x:v>
      </x:c>
      <x:c r="X525" s="633">
        <x:v>0</x:v>
      </x:c>
      <x:c r="Y525" s="633">
        <x:v>0</x:v>
      </x:c>
      <x:c r="Z525" s="633" t="n">
        <x:v>-37.26</x:v>
      </x:c>
      <x:c r="AA525" s="631"/>
      <x:c r="AB525" s="631"/>
      <x:c r="AC525" s="631"/>
      <x:c r="AD525" s="631"/>
      <x:c r="AE525" s="631"/>
      <x:c r="AF525" s="631"/>
      <x:c r="AG525" s="631"/>
      <x:c r="AH525" s="631"/>
      <x:c r="AI525" s="631"/>
      <x:c r="AJ525" s="631"/>
      <x:c r="AK525" s="631"/>
      <x:c r="AL525" s="631"/>
      <x:c r="AM525" s="631"/>
      <x:c r="AN525" s="631"/>
      <x:c r="AO525" s="631"/>
      <x:c r="AP525" s="631"/>
      <x:c r="AQ525" s="631"/>
      <x:c r="AR525" s="631"/>
      <x:c r="AS525" s="631"/>
      <x:c r="AT525" s="631"/>
      <x:c r="AU525" s="631"/>
      <x:c r="AV525" s="631"/>
      <x:c r="AW525" s="631"/>
      <x:c r="AX525" s="631"/>
      <x:c r="AY525" s="631"/>
      <x:c r="AZ525" s="631"/>
      <x:c r="BA525" s="631"/>
      <x:c r="BB525" s="631"/>
      <x:c r="BC525" s="631"/>
      <x:c r="BD525" s="631"/>
      <x:c r="BE525" s="631"/>
      <x:c r="BF525" s="631"/>
      <x:c r="BG525" s="631"/>
      <x:c r="BH525" s="631"/>
      <x:c r="BI525" s="631"/>
      <x:c r="BJ525" s="631"/>
      <x:c r="BK525" s="631"/>
      <x:c r="BL525" s="631"/>
      <x:c r="BM525" s="631"/>
      <x:c r="BN525" s="624"/>
    </x:row>
    <x:row r="526" spans="1:66" x14ac:dyDescent="0.2">
      <x:c r="A526" s="635" t="inlineStr">
        <x:is>
          <x:t>Componente</x:t>
        </x:is>
      </x:c>
      <x:c r="B526" s="635" t="inlineStr">
        <x:is>
          <x:t>Total</x:t>
        </x:is>
      </x:c>
      <x:c r="C526" s="635"/>
      <x:c r="D526" s="635"/>
      <x:c r="E526" s="636"/>
      <x:c r="F526" s="637" t="n">
        <x:v>13548458180.32</x:v>
      </x:c>
      <x:c r="G526" s="637" t="n">
        <x:v>723137195.34</x:v>
      </x:c>
      <x:c r="H526" s="637" t="n">
        <x:v>406929388.5</x:v>
      </x:c>
      <x:c r="I526" s="637" t="n">
        <x:v>214026285.2</x:v>
      </x:c>
      <x:c r="J526" s="637" t="n">
        <x:v>3004086569.09</x:v>
      </x:c>
      <x:c r="K526" s="637" t="n">
        <x:v>109289218.36</x:v>
      </x:c>
      <x:c r="L526" s="637" t="n">
        <x:v>10318778.96</x:v>
      </x:c>
      <x:c r="M526" s="637" t="n">
        <x:v>958325896.38</x:v>
      </x:c>
      <x:c r="N526" s="637" t="n">
        <x:v>930847455.81</x:v>
      </x:c>
      <x:c r="O526" s="637" t="n">
        <x:v>4827118942.85</x:v>
      </x:c>
      <x:c r="P526" s="637" t="n">
        <x:v>2186091518.76</x:v>
      </x:c>
      <x:c r="Q526" s="637" t="n">
        <x:v>178392689.24</x:v>
      </x:c>
      <x:c r="R526" s="637" t="n">
        <x:v>-105728.97</x:v>
      </x:c>
      <x:c r="S526" s="637" t="n">
        <x:v>0.58</x:v>
      </x:c>
      <x:c r="T526" s="637" t="n">
        <x:v>7.48</x:v>
      </x:c>
      <x:c r="U526" s="637">
        <x:v>0</x:v>
      </x:c>
      <x:c r="V526" s="637">
        <x:v>0</x:v>
      </x:c>
      <x:c r="W526" s="637">
        <x:v>0</x:v>
      </x:c>
      <x:c r="X526" s="637">
        <x:v>0</x:v>
      </x:c>
      <x:c r="Y526" s="637">
        <x:v>0</x:v>
      </x:c>
      <x:c r="Z526" s="637" t="n">
        <x:v>-37.26</x:v>
      </x:c>
      <x:c r="AA526" s="635"/>
      <x:c r="AB526" s="635"/>
      <x:c r="AC526" s="635"/>
      <x:c r="AD526" s="635"/>
      <x:c r="AE526" s="635"/>
      <x:c r="AF526" s="635"/>
      <x:c r="AG526" s="635"/>
      <x:c r="AH526" s="635"/>
      <x:c r="AI526" s="635"/>
      <x:c r="AJ526" s="635"/>
      <x:c r="AK526" s="635"/>
      <x:c r="AL526" s="635"/>
      <x:c r="AM526" s="635"/>
      <x:c r="AN526" s="635"/>
      <x:c r="AO526" s="635"/>
      <x:c r="AP526" s="635"/>
      <x:c r="AQ526" s="635"/>
      <x:c r="AR526" s="635"/>
      <x:c r="AS526" s="635"/>
      <x:c r="AT526" s="635"/>
      <x:c r="AU526" s="635"/>
      <x:c r="AV526" s="635"/>
      <x:c r="AW526" s="635"/>
      <x:c r="AX526" s="635"/>
      <x:c r="AY526" s="635"/>
      <x:c r="AZ526" s="635"/>
      <x:c r="BA526" s="635"/>
      <x:c r="BB526" s="635"/>
      <x:c r="BC526" s="635"/>
      <x:c r="BD526" s="635"/>
      <x:c r="BE526" s="635"/>
      <x:c r="BF526" s="635"/>
      <x:c r="BG526" s="635"/>
      <x:c r="BH526" s="635"/>
      <x:c r="BI526" s="635"/>
      <x:c r="BJ526" s="635"/>
      <x:c r="BK526" s="635"/>
      <x:c r="BL526" s="635"/>
      <x:c r="BM526" s="635"/>
      <x:c r="BN526" s="624"/>
    </x:row>
    <x:row r="527" spans="1:66" x14ac:dyDescent="0.2">
      <x:c r="A527"/>
      <x:c r="B527"/>
      <x:c r="C527"/>
      <x:c r="D527"/>
      <x:c r="E527" s="625" t="inlineStr">
        <x:is>
          <x:t>Subsidio(-)/Contribucion(+)</x:t>
        </x:is>
      </x:c>
      <x:c r="F527" s="627" t="n">
        <x:v>-211354.94</x:v>
      </x:c>
      <x:c r="G527" s="627" t="n">
        <x:v>-10982.4</x:v>
      </x:c>
      <x:c r="H527" s="627" t="n">
        <x:v>-6155.02</x:v>
      </x:c>
      <x:c r="I527" s="627" t="n">
        <x:v>-3254.64</x:v>
      </x:c>
      <x:c r="J527" s="627" t="n">
        <x:v>-47855.73</x:v>
      </x:c>
      <x:c r="K527" s="627" t="n">
        <x:v>-1726.4</x:v>
      </x:c>
      <x:c r="L527" s="627" t="n">
        <x:v>0</x:v>
      </x:c>
      <x:c r="M527" s="627" t="n">
        <x:v>-15143.54</x:v>
      </x:c>
      <x:c r="N527" s="627" t="n">
        <x:v>-14757.59</x:v>
      </x:c>
      <x:c r="O527" s="627" t="n">
        <x:v>-75637.5</x:v>
      </x:c>
      <x:c r="P527" s="627" t="n">
        <x:v>-33025.42</x:v>
      </x:c>
      <x:c r="Q527" s="627" t="n">
        <x:v>-2816.7</x:v>
      </x:c>
      <x:c r="R527" s="627" t="n">
        <x:v>0</x:v>
      </x:c>
      <x:c r="S527" s="627" t="n">
        <x:v>0</x:v>
      </x:c>
      <x:c r="T527" s="653" t="n">
        <x:v>0</x:v>
      </x:c>
      <x:c r="U527" s="653">
        <x:v>0</x:v>
      </x:c>
      <x:c r="V527" s="653">
        <x:v>0</x:v>
      </x:c>
      <x:c r="W527" s="653">
        <x:v>0</x:v>
      </x:c>
      <x:c r="X527" s="653">
        <x:v>0</x:v>
      </x:c>
      <x:c r="Y527" s="653">
        <x:v>0</x:v>
      </x:c>
      <x:c r="Z527" s="653" t="n">
        <x:v>0</x:v>
      </x:c>
      <x:c r="BN527" s="624"/>
    </x:row>
    <x:row r="528" spans="1:66" x14ac:dyDescent="0.2">
      <x:c r="A528"/>
      <x:c r="B528"/>
      <x:c r="C528"/>
      <x:c r="D528" s="25" t="inlineStr">
        <x:is>
          <x:t>H</x:t>
        </x:is>
      </x:c>
      <x:c r="E528" s="625" t="inlineStr">
        <x:is>
          <x:t>Total</x:t>
        </x:is>
      </x:c>
      <x:c r="F528" s="627" t="n">
        <x:v>-211354.94</x:v>
      </x:c>
      <x:c r="G528" s="627" t="n">
        <x:v>-10982.4</x:v>
      </x:c>
      <x:c r="H528" s="627" t="n">
        <x:v>-6155.02</x:v>
      </x:c>
      <x:c r="I528" s="627" t="n">
        <x:v>-3254.64</x:v>
      </x:c>
      <x:c r="J528" s="627" t="n">
        <x:v>-47855.73</x:v>
      </x:c>
      <x:c r="K528" s="627" t="n">
        <x:v>-1726.4</x:v>
      </x:c>
      <x:c r="L528" s="627" t="n">
        <x:v>0</x:v>
      </x:c>
      <x:c r="M528" s="627" t="n">
        <x:v>-15143.54</x:v>
      </x:c>
      <x:c r="N528" s="627" t="n">
        <x:v>-14757.59</x:v>
      </x:c>
      <x:c r="O528" s="627" t="n">
        <x:v>-75637.5</x:v>
      </x:c>
      <x:c r="P528" s="627" t="n">
        <x:v>-33025.42</x:v>
      </x:c>
      <x:c r="Q528" s="627" t="n">
        <x:v>-2816.7</x:v>
      </x:c>
      <x:c r="R528" s="627" t="n">
        <x:v>0</x:v>
      </x:c>
      <x:c r="S528" s="627" t="n">
        <x:v>0</x:v>
      </x:c>
      <x:c r="T528" s="653" t="n">
        <x:v>0</x:v>
      </x:c>
      <x:c r="U528" s="653">
        <x:v>0</x:v>
      </x:c>
      <x:c r="V528" s="653">
        <x:v>0</x:v>
      </x:c>
      <x:c r="W528" s="653">
        <x:v>0</x:v>
      </x:c>
      <x:c r="X528" s="653">
        <x:v>0</x:v>
      </x:c>
      <x:c r="Y528" s="653">
        <x:v>0</x:v>
      </x:c>
      <x:c r="Z528" s="653" t="n">
        <x:v>0</x:v>
      </x:c>
      <x:c r="BN528" s="624"/>
    </x:row>
    <x:row r="529" spans="1:66" x14ac:dyDescent="0.2">
      <x:c r="A529" s="628"/>
      <x:c r="B529" s="628"/>
      <x:c r="C529" s="628"/>
      <x:c r="D529" s="628"/>
      <x:c r="E529" s="629" t="inlineStr">
        <x:is>
          <x:t>Subsidio(-)/Contribucion(+)</x:t>
        </x:is>
      </x:c>
      <x:c r="F529" s="630" t="n">
        <x:v>-32262.93</x:v>
      </x:c>
      <x:c r="G529" s="630" t="n">
        <x:v>-1692.72</x:v>
      </x:c>
      <x:c r="H529" s="630" t="n">
        <x:v>-948.43</x:v>
      </x:c>
      <x:c r="I529" s="630" t="n">
        <x:v>-501.64</x:v>
      </x:c>
      <x:c r="J529" s="630" t="n">
        <x:v>-7282.76</x:v>
      </x:c>
      <x:c r="K529" s="630" t="n">
        <x:v>-262.72</x:v>
      </x:c>
      <x:c r="L529" s="630" t="n">
        <x:v>0</x:v>
      </x:c>
      <x:c r="M529" s="630" t="n">
        <x:v>-2304.45</x:v>
      </x:c>
      <x:c r="N529" s="630" t="n">
        <x:v>-2246.08</x:v>
      </x:c>
      <x:c r="O529" s="630" t="n">
        <x:v>-11507.31</x:v>
      </x:c>
      <x:c r="P529" s="630" t="n">
        <x:v>-5088.19</x:v>
      </x:c>
      <x:c r="Q529" s="630" t="n">
        <x:v>-428.63</x:v>
      </x:c>
      <x:c r="R529" s="630" t="n">
        <x:v>0</x:v>
      </x:c>
      <x:c r="S529" s="630" t="n">
        <x:v>0</x:v>
      </x:c>
      <x:c r="T529" s="630" t="n">
        <x:v>0</x:v>
      </x:c>
      <x:c r="U529" s="630">
        <x:v>0</x:v>
      </x:c>
      <x:c r="V529" s="630">
        <x:v>0</x:v>
      </x:c>
      <x:c r="W529" s="630">
        <x:v>0</x:v>
      </x:c>
      <x:c r="X529" s="630">
        <x:v>0</x:v>
      </x:c>
      <x:c r="Y529" s="630">
        <x:v>0</x:v>
      </x:c>
      <x:c r="Z529" s="630" t="n">
        <x:v>0</x:v>
      </x:c>
      <x:c r="AA529" s="628"/>
      <x:c r="AB529" s="628"/>
      <x:c r="AC529" s="628"/>
      <x:c r="AD529" s="628"/>
      <x:c r="AE529" s="628"/>
      <x:c r="AF529" s="628"/>
      <x:c r="AG529" s="628"/>
      <x:c r="AH529" s="628"/>
      <x:c r="AI529" s="628"/>
      <x:c r="AJ529" s="628"/>
      <x:c r="AK529" s="628"/>
      <x:c r="AL529" s="628"/>
      <x:c r="AM529" s="628"/>
      <x:c r="AN529" s="628"/>
      <x:c r="AO529" s="628"/>
      <x:c r="AP529" s="628"/>
      <x:c r="AQ529" s="628"/>
      <x:c r="AR529" s="628"/>
      <x:c r="AS529" s="628"/>
      <x:c r="AT529" s="628"/>
      <x:c r="AU529" s="628"/>
      <x:c r="AV529" s="628"/>
      <x:c r="AW529" s="628"/>
      <x:c r="AX529" s="628"/>
      <x:c r="AY529" s="628"/>
      <x:c r="AZ529" s="628"/>
      <x:c r="BA529" s="628"/>
      <x:c r="BB529" s="628"/>
      <x:c r="BC529" s="628"/>
      <x:c r="BD529" s="628"/>
      <x:c r="BE529" s="628"/>
      <x:c r="BF529" s="628"/>
      <x:c r="BG529" s="628"/>
      <x:c r="BH529" s="628"/>
      <x:c r="BI529" s="628"/>
      <x:c r="BJ529" s="628"/>
      <x:c r="BK529" s="628"/>
      <x:c r="BL529" s="628"/>
      <x:c r="BM529" s="628"/>
      <x:c r="BN529" s="624"/>
    </x:row>
    <x:row r="530" spans="1:66" x14ac:dyDescent="0.2">
      <x:c r="A530"/>
      <x:c r="B530"/>
      <x:c r="C530"/>
      <x:c r="D530" t="inlineStr">
        <x:is>
          <x:t>O</x:t>
        </x:is>
      </x:c>
      <x:c r="E530" s="625" t="inlineStr">
        <x:is>
          <x:t>Total</x:t>
        </x:is>
      </x:c>
      <x:c r="F530" s="627" t="n">
        <x:v>-32262.93</x:v>
      </x:c>
      <x:c r="G530" s="627" t="n">
        <x:v>-1692.72</x:v>
      </x:c>
      <x:c r="H530" s="627" t="n">
        <x:v>-948.43</x:v>
      </x:c>
      <x:c r="I530" s="627" t="n">
        <x:v>-501.64</x:v>
      </x:c>
      <x:c r="J530" s="627" t="n">
        <x:v>-7282.76</x:v>
      </x:c>
      <x:c r="K530" s="627" t="n">
        <x:v>-262.72</x:v>
      </x:c>
      <x:c r="L530" s="627" t="n">
        <x:v>0</x:v>
      </x:c>
      <x:c r="M530" s="627" t="n">
        <x:v>-2304.45</x:v>
      </x:c>
      <x:c r="N530" s="627" t="n">
        <x:v>-2246.08</x:v>
      </x:c>
      <x:c r="O530" s="627" t="n">
        <x:v>-11507.31</x:v>
      </x:c>
      <x:c r="P530" s="627" t="n">
        <x:v>-5088.19</x:v>
      </x:c>
      <x:c r="Q530" s="627" t="n">
        <x:v>-428.63</x:v>
      </x:c>
      <x:c r="R530" s="627" t="n">
        <x:v>0</x:v>
      </x:c>
      <x:c r="S530" s="627" t="n">
        <x:v>0</x:v>
      </x:c>
      <x:c r="T530" s="653" t="n">
        <x:v>0</x:v>
      </x:c>
      <x:c r="U530" s="653">
        <x:v>0</x:v>
      </x:c>
      <x:c r="V530" s="653">
        <x:v>0</x:v>
      </x:c>
      <x:c r="W530" s="653">
        <x:v>0</x:v>
      </x:c>
      <x:c r="X530" s="653">
        <x:v>0</x:v>
      </x:c>
      <x:c r="Y530" s="653">
        <x:v>0</x:v>
      </x:c>
      <x:c r="Z530" s="653" t="n">
        <x:v>0</x:v>
      </x:c>
      <x:c r="BN530" s="624"/>
    </x:row>
    <x:row r="531" spans="1:66" x14ac:dyDescent="0.2">
      <x:c r="A531"/>
      <x:c r="B531"/>
      <x:c r="C531"/>
      <x:c r="D531" s="25"/>
      <x:c r="E531" s="625" t="inlineStr">
        <x:is>
          <x:t>Subsidio(-)/Contribucion(+)</x:t>
        </x:is>
      </x:c>
      <x:c r="F531" s="627" t="n">
        <x:v>-173078.67</x:v>
      </x:c>
      <x:c r="G531" s="627" t="n">
        <x:v>-8484.78</x:v>
      </x:c>
      <x:c r="H531" s="627" t="n">
        <x:v>-4752.31</x:v>
      </x:c>
      <x:c r="I531" s="627" t="n">
        <x:v>-2507.28</x:v>
      </x:c>
      <x:c r="J531" s="627" t="n">
        <x:v>-39622.8</x:v>
      </x:c>
      <x:c r="K531" s="627" t="n">
        <x:v>-1450.79</x:v>
      </x:c>
      <x:c r="L531" s="627" t="n">
        <x:v>0</x:v>
      </x:c>
      <x:c r="M531" s="627" t="n">
        <x:v>-12725.8</x:v>
      </x:c>
      <x:c r="N531" s="627" t="n">
        <x:v>-12429.48</x:v>
      </x:c>
      <x:c r="O531" s="627" t="n">
        <x:v>-63451.18</x:v>
      </x:c>
      <x:c r="P531" s="627" t="n">
        <x:v>-25287.26</x:v>
      </x:c>
      <x:c r="Q531" s="627" t="n">
        <x:v>-2366.99</x:v>
      </x:c>
      <x:c r="R531" s="627" t="n">
        <x:v>0</x:v>
      </x:c>
      <x:c r="S531" s="627" t="n">
        <x:v>0</x:v>
      </x:c>
      <x:c r="T531" s="653" t="n">
        <x:v>0</x:v>
      </x:c>
      <x:c r="U531" s="653">
        <x:v>0</x:v>
      </x:c>
      <x:c r="V531" s="653">
        <x:v>0</x:v>
      </x:c>
      <x:c r="W531" s="653">
        <x:v>0</x:v>
      </x:c>
      <x:c r="X531" s="653">
        <x:v>0</x:v>
      </x:c>
      <x:c r="Y531" s="653">
        <x:v>0</x:v>
      </x:c>
      <x:c r="Z531" s="653" t="n">
        <x:v>0</x:v>
      </x:c>
      <x:c r="BN531" s="624"/>
    </x:row>
    <x:row r="532" spans="1:66" x14ac:dyDescent="0.2">
      <x:c r="A532" s="668"/>
      <x:c r="B532" s="668"/>
      <x:c r="C532" s="668"/>
      <x:c r="D532" s="668" t="inlineStr">
        <x:is>
          <x:t>T</x:t>
        </x:is>
      </x:c>
      <x:c r="E532" s="661" t="inlineStr">
        <x:is>
          <x:t>Total</x:t>
        </x:is>
      </x:c>
      <x:c r="F532" s="662" t="n">
        <x:v>-173078.67</x:v>
      </x:c>
      <x:c r="G532" s="662" t="n">
        <x:v>-8484.78</x:v>
      </x:c>
      <x:c r="H532" s="662" t="n">
        <x:v>-4752.31</x:v>
      </x:c>
      <x:c r="I532" s="662" t="n">
        <x:v>-2507.28</x:v>
      </x:c>
      <x:c r="J532" s="662" t="n">
        <x:v>-39622.8</x:v>
      </x:c>
      <x:c r="K532" s="662" t="n">
        <x:v>-1450.79</x:v>
      </x:c>
      <x:c r="L532" s="662" t="n">
        <x:v>0</x:v>
      </x:c>
      <x:c r="M532" s="662" t="n">
        <x:v>-12725.8</x:v>
      </x:c>
      <x:c r="N532" s="662" t="n">
        <x:v>-12429.48</x:v>
      </x:c>
      <x:c r="O532" s="662" t="n">
        <x:v>-63451.18</x:v>
      </x:c>
      <x:c r="P532" s="662" t="n">
        <x:v>-25287.26</x:v>
      </x:c>
      <x:c r="Q532" s="662" t="n">
        <x:v>-2366.99</x:v>
      </x:c>
      <x:c r="R532" s="662" t="n">
        <x:v>0</x:v>
      </x:c>
      <x:c r="S532" s="662" t="n">
        <x:v>0</x:v>
      </x:c>
      <x:c r="T532" s="673" t="n">
        <x:v>0</x:v>
      </x:c>
      <x:c r="U532" s="673">
        <x:v>0</x:v>
      </x:c>
      <x:c r="V532" s="673">
        <x:v>0</x:v>
      </x:c>
      <x:c r="W532" s="673">
        <x:v>0</x:v>
      </x:c>
      <x:c r="X532" s="673">
        <x:v>0</x:v>
      </x:c>
      <x:c r="Y532" s="673">
        <x:v>0</x:v>
      </x:c>
      <x:c r="Z532" s="673" t="n">
        <x:v>0</x:v>
      </x:c>
      <x:c r="AA532" s="668"/>
      <x:c r="AB532" s="668"/>
      <x:c r="AC532" s="668"/>
      <x:c r="AD532" s="668"/>
      <x:c r="AE532" s="668"/>
      <x:c r="AF532" s="668"/>
      <x:c r="AG532" s="668"/>
      <x:c r="AH532" s="668"/>
      <x:c r="AI532" s="668"/>
      <x:c r="AJ532" s="668"/>
      <x:c r="AK532" s="668"/>
      <x:c r="AL532" s="668"/>
      <x:c r="AM532" s="668"/>
      <x:c r="AN532" s="668"/>
      <x:c r="AO532" s="668"/>
      <x:c r="AP532" s="668"/>
      <x:c r="AQ532" s="668"/>
      <x:c r="AR532" s="668"/>
      <x:c r="AS532" s="668"/>
      <x:c r="AT532" s="668"/>
      <x:c r="AU532" s="668"/>
      <x:c r="AV532" s="668"/>
      <x:c r="AW532" s="668"/>
      <x:c r="AX532" s="668"/>
      <x:c r="AY532" s="668"/>
      <x:c r="AZ532" s="668"/>
      <x:c r="BA532" s="668"/>
      <x:c r="BB532" s="668"/>
      <x:c r="BC532" s="668"/>
      <x:c r="BD532" s="668"/>
      <x:c r="BE532" s="668"/>
      <x:c r="BF532" s="668"/>
      <x:c r="BG532" s="668"/>
      <x:c r="BH532" s="668"/>
      <x:c r="BI532" s="668"/>
      <x:c r="BJ532" s="668"/>
      <x:c r="BK532" s="668"/>
      <x:c r="BL532" s="668"/>
      <x:c r="BM532" s="668"/>
      <x:c r="BN532" s="624"/>
    </x:row>
    <x:row r="533" spans="1:66" x14ac:dyDescent="0.2">
      <x:c r="A533"/>
      <x:c r="B533"/>
      <x:c r="C533" t="inlineStr">
        <x:is>
          <x:t>OCCIDENTE</x:t>
        </x:is>
      </x:c>
      <x:c r="D533" t="inlineStr">
        <x:is>
          <x:t>Total</x:t>
        </x:is>
      </x:c>
      <x:c r="E533" s="625"/>
      <x:c r="F533" s="627" t="n">
        <x:v>-416696.54</x:v>
      </x:c>
      <x:c r="G533" s="627" t="n">
        <x:v>-21159.9</x:v>
      </x:c>
      <x:c r="H533" s="627" t="n">
        <x:v>-11855.76</x:v>
      </x:c>
      <x:c r="I533" s="627" t="n">
        <x:v>-6263.56</x:v>
      </x:c>
      <x:c r="J533" s="627" t="n">
        <x:v>-94761.29</x:v>
      </x:c>
      <x:c r="K533" s="627" t="n">
        <x:v>-3439.91</x:v>
      </x:c>
      <x:c r="L533" s="627" t="n">
        <x:v>0</x:v>
      </x:c>
      <x:c r="M533" s="627" t="n">
        <x:v>-30173.79</x:v>
      </x:c>
      <x:c r="N533" s="627" t="n">
        <x:v>-29433.15</x:v>
      </x:c>
      <x:c r="O533" s="627" t="n">
        <x:v>-150595.99</x:v>
      </x:c>
      <x:c r="P533" s="627" t="n">
        <x:v>-63400.87</x:v>
      </x:c>
      <x:c r="Q533" s="627" t="n">
        <x:v>-5612.32</x:v>
      </x:c>
      <x:c r="R533" s="627" t="n">
        <x:v>0</x:v>
      </x:c>
      <x:c r="S533" s="627" t="n">
        <x:v>0</x:v>
      </x:c>
      <x:c r="T533" s="653" t="n">
        <x:v>0</x:v>
      </x:c>
      <x:c r="U533" s="653">
        <x:v>0</x:v>
      </x:c>
      <x:c r="V533" s="653">
        <x:v>0</x:v>
      </x:c>
      <x:c r="W533" s="653">
        <x:v>0</x:v>
      </x:c>
      <x:c r="X533" s="653">
        <x:v>0</x:v>
      </x:c>
      <x:c r="Y533" s="653">
        <x:v>0</x:v>
      </x:c>
      <x:c r="Z533" s="653" t="n">
        <x:v>0</x:v>
      </x:c>
      <x:c r="BN533" s="624"/>
    </x:row>
    <x:row r="534" spans="1:66" x14ac:dyDescent="0.2">
      <x:c r="A534"/>
      <x:c r="B534" t="inlineStr">
        <x:is>
          <x:t>Aplicacion nuevos x reversion</x:t>
        </x:is>
      </x:c>
      <x:c r="C534" t="inlineStr">
        <x:is>
          <x:t>Total</x:t>
        </x:is>
      </x:c>
      <x:c r="D534" s="625"/>
      <x:c r="E534" s="625"/>
      <x:c r="F534" s="627" t="n">
        <x:v>-416696.54</x:v>
      </x:c>
      <x:c r="G534" s="627" t="n">
        <x:v>-21159.9</x:v>
      </x:c>
      <x:c r="H534" s="627" t="n">
        <x:v>-11855.76</x:v>
      </x:c>
      <x:c r="I534" s="627" t="n">
        <x:v>-6263.56</x:v>
      </x:c>
      <x:c r="J534" s="627" t="n">
        <x:v>-94761.29</x:v>
      </x:c>
      <x:c r="K534" s="627" t="n">
        <x:v>-3439.91</x:v>
      </x:c>
      <x:c r="L534" s="627" t="n">
        <x:v>0</x:v>
      </x:c>
      <x:c r="M534" s="627" t="n">
        <x:v>-30173.79</x:v>
      </x:c>
      <x:c r="N534" s="627" t="n">
        <x:v>-29433.15</x:v>
      </x:c>
      <x:c r="O534" s="627" t="n">
        <x:v>-150595.99</x:v>
      </x:c>
      <x:c r="P534" s="627" t="n">
        <x:v>-63400.87</x:v>
      </x:c>
      <x:c r="Q534" s="627" t="n">
        <x:v>-5612.32</x:v>
      </x:c>
      <x:c r="R534" s="627" t="n">
        <x:v>0</x:v>
      </x:c>
      <x:c r="S534" s="627" t="n">
        <x:v>0</x:v>
      </x:c>
      <x:c r="T534" s="653" t="n">
        <x:v>0</x:v>
      </x:c>
      <x:c r="U534" s="653">
        <x:v>0</x:v>
      </x:c>
      <x:c r="V534" s="653">
        <x:v>0</x:v>
      </x:c>
      <x:c r="W534" s="653">
        <x:v>0</x:v>
      </x:c>
      <x:c r="X534" s="653">
        <x:v>0</x:v>
      </x:c>
      <x:c r="Y534" s="653">
        <x:v>0</x:v>
      </x:c>
      <x:c r="Z534" s="653" t="n">
        <x:v>0</x:v>
      </x:c>
      <x:c r="BN534" s="624"/>
    </x:row>
    <x:row r="535" spans="1:66" x14ac:dyDescent="0.2">
      <x:c r="A535"/>
      <x:c r="B535"/>
      <x:c r="C535"/>
      <x:c r="D535"/>
      <x:c r="E535" s="625" t="inlineStr">
        <x:is>
          <x:t>Subsidio(-)/Contribucion(+)</x:t>
        </x:is>
      </x:c>
      <x:c r="F535" s="627" t="n">
        <x:v>-1503008743.39</x:v>
      </x:c>
      <x:c r="G535" s="627" t="n">
        <x:v>-51719362.51</x:v>
      </x:c>
      <x:c r="H535" s="627" t="n">
        <x:v>-29217746.4</x:v>
      </x:c>
      <x:c r="I535" s="627" t="n">
        <x:v>-15317788.73</x:v>
      </x:c>
      <x:c r="J535" s="627" t="n">
        <x:v>-377999871.65</x:v>
      </x:c>
      <x:c r="K535" s="627" t="n">
        <x:v>-13619861.1</x:v>
      </x:c>
      <x:c r="L535" s="627" t="n">
        <x:v>0</x:v>
      </x:c>
      <x:c r="M535" s="627" t="n">
        <x:v>-119487553.37</x:v>
      </x:c>
      <x:c r="N535" s="627" t="n">
        <x:v>-116529083.1</x:v>
      </x:c>
      <x:c r="O535" s="627" t="n">
        <x:v>-601164335.61</x:v>
      </x:c>
      <x:c r="P535" s="627" t="n">
        <x:v>-155731761.06</x:v>
      </x:c>
      <x:c r="Q535" s="627" t="n">
        <x:v>-22221379.86</x:v>
      </x:c>
      <x:c r="R535" s="627" t="n">
        <x:v>0</x:v>
      </x:c>
      <x:c r="S535" s="627" t="n">
        <x:v>0</x:v>
      </x:c>
      <x:c r="T535" s="653" t="n">
        <x:v>0</x:v>
      </x:c>
      <x:c r="U535" s="653">
        <x:v>0</x:v>
      </x:c>
      <x:c r="V535" s="653">
        <x:v>0</x:v>
      </x:c>
      <x:c r="W535" s="653">
        <x:v>0</x:v>
      </x:c>
      <x:c r="X535" s="653">
        <x:v>0</x:v>
      </x:c>
      <x:c r="Y535" s="653">
        <x:v>0</x:v>
      </x:c>
      <x:c r="Z535" s="653" t="n">
        <x:v>0</x:v>
      </x:c>
      <x:c r="BN535" s="624"/>
    </x:row>
    <x:row r="536" spans="1:66" x14ac:dyDescent="0.2">
      <x:c r="A536"/>
      <x:c r="B536"/>
      <x:c r="C536"/>
      <x:c r="D536" s="625" t="inlineStr">
        <x:is>
          <x:t>E</x:t>
        </x:is>
      </x:c>
      <x:c r="E536" s="625" t="inlineStr">
        <x:is>
          <x:t>Total</x:t>
        </x:is>
      </x:c>
      <x:c r="F536" s="627" t="n">
        <x:v>-1503008743.39</x:v>
      </x:c>
      <x:c r="G536" s="627" t="n">
        <x:v>-51719362.51</x:v>
      </x:c>
      <x:c r="H536" s="627" t="n">
        <x:v>-29217746.4</x:v>
      </x:c>
      <x:c r="I536" s="627" t="n">
        <x:v>-15317788.73</x:v>
      </x:c>
      <x:c r="J536" s="627" t="n">
        <x:v>-377999871.65</x:v>
      </x:c>
      <x:c r="K536" s="627" t="n">
        <x:v>-13619861.1</x:v>
      </x:c>
      <x:c r="L536" s="627" t="n">
        <x:v>0</x:v>
      </x:c>
      <x:c r="M536" s="627" t="n">
        <x:v>-119487553.37</x:v>
      </x:c>
      <x:c r="N536" s="627" t="n">
        <x:v>-116529083.1</x:v>
      </x:c>
      <x:c r="O536" s="627" t="n">
        <x:v>-601164335.61</x:v>
      </x:c>
      <x:c r="P536" s="627" t="n">
        <x:v>-155731761.06</x:v>
      </x:c>
      <x:c r="Q536" s="627" t="n">
        <x:v>-22221379.86</x:v>
      </x:c>
      <x:c r="R536" s="627" t="n">
        <x:v>0</x:v>
      </x:c>
      <x:c r="S536" s="627" t="n">
        <x:v>0</x:v>
      </x:c>
      <x:c r="T536" s="653" t="n">
        <x:v>0</x:v>
      </x:c>
      <x:c r="U536" s="653">
        <x:v>0</x:v>
      </x:c>
      <x:c r="V536" s="653">
        <x:v>0</x:v>
      </x:c>
      <x:c r="W536" s="653">
        <x:v>0</x:v>
      </x:c>
      <x:c r="X536" s="653">
        <x:v>0</x:v>
      </x:c>
      <x:c r="Y536" s="653">
        <x:v>0</x:v>
      </x:c>
      <x:c r="Z536" s="653" t="n">
        <x:v>0</x:v>
      </x:c>
      <x:c r="BN536" s="624"/>
    </x:row>
    <x:row r="537" spans="1:66" x14ac:dyDescent="0.2">
      <x:c r="A537"/>
      <x:c r="B537"/>
      <x:c r="C537" t="inlineStr">
        <x:is>
          <x:t>ENEL</x:t>
        </x:is>
      </x:c>
      <x:c r="D537" t="inlineStr">
        <x:is>
          <x:t>Total</x:t>
        </x:is>
      </x:c>
      <x:c r="E537" s="625"/>
      <x:c r="F537" s="627" t="n">
        <x:v>-1503008743.39</x:v>
      </x:c>
      <x:c r="G537" s="627" t="n">
        <x:v>-51719362.51</x:v>
      </x:c>
      <x:c r="H537" s="627" t="n">
        <x:v>-29217746.4</x:v>
      </x:c>
      <x:c r="I537" s="627" t="n">
        <x:v>-15317788.73</x:v>
      </x:c>
      <x:c r="J537" s="627" t="n">
        <x:v>-377999871.65</x:v>
      </x:c>
      <x:c r="K537" s="627" t="n">
        <x:v>-13619861.1</x:v>
      </x:c>
      <x:c r="L537" s="627" t="n">
        <x:v>0</x:v>
      </x:c>
      <x:c r="M537" s="627" t="n">
        <x:v>-119487553.37</x:v>
      </x:c>
      <x:c r="N537" s="627" t="n">
        <x:v>-116529083.1</x:v>
      </x:c>
      <x:c r="O537" s="627" t="n">
        <x:v>-601164335.61</x:v>
      </x:c>
      <x:c r="P537" s="627" t="n">
        <x:v>-155731761.06</x:v>
      </x:c>
      <x:c r="Q537" s="627" t="n">
        <x:v>-22221379.86</x:v>
      </x:c>
      <x:c r="R537" s="627" t="n">
        <x:v>0</x:v>
      </x:c>
      <x:c r="S537" s="627" t="n">
        <x:v>0</x:v>
      </x:c>
      <x:c r="T537" s="653" t="n">
        <x:v>0</x:v>
      </x:c>
      <x:c r="U537" s="653">
        <x:v>0</x:v>
      </x:c>
      <x:c r="V537" s="653">
        <x:v>0</x:v>
      </x:c>
      <x:c r="W537" s="653">
        <x:v>0</x:v>
      </x:c>
      <x:c r="X537" s="653">
        <x:v>0</x:v>
      </x:c>
      <x:c r="Y537" s="653">
        <x:v>0</x:v>
      </x:c>
      <x:c r="Z537" s="653" t="n">
        <x:v>0</x:v>
      </x:c>
      <x:c r="BN537" s="624"/>
    </x:row>
    <x:row r="538" spans="1:66" x14ac:dyDescent="0.2">
      <x:c r="A538"/>
      <x:c r="B538"/>
      <x:c r="C538"/>
      <x:c r="D538" s="625"/>
      <x:c r="E538" s="625" t="inlineStr">
        <x:is>
          <x:t>Subsidio(-)/Contribucion(+)</x:t>
        </x:is>
      </x:c>
      <x:c r="F538" s="627" t="n">
        <x:v>-4681675.1</x:v>
      </x:c>
      <x:c r="G538" s="627" t="n">
        <x:v>-244127.96</x:v>
      </x:c>
      <x:c r="H538" s="627" t="n">
        <x:v>-137107.39</x:v>
      </x:c>
      <x:c r="I538" s="627" t="n">
        <x:v>-72125.75</x:v>
      </x:c>
      <x:c r="J538" s="627" t="n">
        <x:v>-1045942.88</x:v>
      </x:c>
      <x:c r="K538" s="627" t="n">
        <x:v>-37750.81</x:v>
      </x:c>
      <x:c r="L538" s="627" t="n">
        <x:v>0</x:v>
      </x:c>
      <x:c r="M538" s="627" t="n">
        <x:v>-331142.81</x:v>
      </x:c>
      <x:c r="N538" s="627" t="n">
        <x:v>-328472.61</x:v>
      </x:c>
      <x:c r="O538" s="627" t="n">
        <x:v>-1689995.8</x:v>
      </x:c>
      <x:c r="P538" s="627" t="n">
        <x:v>-733416.54</x:v>
      </x:c>
      <x:c r="Q538" s="627" t="n">
        <x:v>-61592.55</x:v>
      </x:c>
      <x:c r="R538" s="627" t="n">
        <x:v>0</x:v>
      </x:c>
      <x:c r="S538" s="627" t="n">
        <x:v>0</x:v>
      </x:c>
      <x:c r="T538" s="653" t="n">
        <x:v>0</x:v>
      </x:c>
      <x:c r="U538" s="653">
        <x:v>0</x:v>
      </x:c>
      <x:c r="V538" s="653">
        <x:v>0</x:v>
      </x:c>
      <x:c r="W538" s="653">
        <x:v>0</x:v>
      </x:c>
      <x:c r="X538" s="653">
        <x:v>0</x:v>
      </x:c>
      <x:c r="Y538" s="653">
        <x:v>0</x:v>
      </x:c>
      <x:c r="Z538" s="653" t="n">
        <x:v>0</x:v>
      </x:c>
      <x:c r="BN538" s="624"/>
    </x:row>
    <x:row r="539" spans="1:66" x14ac:dyDescent="0.2">
      <x:c r="A539" s="631"/>
      <x:c r="B539" s="631"/>
      <x:c r="C539" s="632"/>
      <x:c r="D539" s="632" t="inlineStr">
        <x:is>
          <x:t>E</x:t>
        </x:is>
      </x:c>
      <x:c r="E539" s="631" t="inlineStr">
        <x:is>
          <x:t>Total</x:t>
        </x:is>
      </x:c>
      <x:c r="F539" s="633" t="n">
        <x:v>-4681675.1</x:v>
      </x:c>
      <x:c r="G539" s="633" t="n">
        <x:v>-244127.96</x:v>
      </x:c>
      <x:c r="H539" s="633" t="n">
        <x:v>-137107.39</x:v>
      </x:c>
      <x:c r="I539" s="633" t="n">
        <x:v>-72125.75</x:v>
      </x:c>
      <x:c r="J539" s="633" t="n">
        <x:v>-1045942.88</x:v>
      </x:c>
      <x:c r="K539" s="633" t="n">
        <x:v>-37750.81</x:v>
      </x:c>
      <x:c r="L539" s="633" t="n">
        <x:v>0</x:v>
      </x:c>
      <x:c r="M539" s="633" t="n">
        <x:v>-331142.81</x:v>
      </x:c>
      <x:c r="N539" s="633" t="n">
        <x:v>-328472.61</x:v>
      </x:c>
      <x:c r="O539" s="633" t="n">
        <x:v>-1689995.8</x:v>
      </x:c>
      <x:c r="P539" s="633" t="n">
        <x:v>-733416.54</x:v>
      </x:c>
      <x:c r="Q539" s="633" t="n">
        <x:v>-61592.55</x:v>
      </x:c>
      <x:c r="R539" s="633" t="n">
        <x:v>0</x:v>
      </x:c>
      <x:c r="S539" s="633" t="n">
        <x:v>0</x:v>
      </x:c>
      <x:c r="T539" s="633" t="n">
        <x:v>0</x:v>
      </x:c>
      <x:c r="U539" s="633">
        <x:v>0</x:v>
      </x:c>
      <x:c r="V539" s="633">
        <x:v>0</x:v>
      </x:c>
      <x:c r="W539" s="633">
        <x:v>0</x:v>
      </x:c>
      <x:c r="X539" s="633">
        <x:v>0</x:v>
      </x:c>
      <x:c r="Y539" s="633">
        <x:v>0</x:v>
      </x:c>
      <x:c r="Z539" s="633" t="n">
        <x:v>0</x:v>
      </x:c>
      <x:c r="AA539" s="631"/>
      <x:c r="AB539" s="631"/>
      <x:c r="AC539" s="631"/>
      <x:c r="AD539" s="631"/>
      <x:c r="AE539" s="631"/>
      <x:c r="AF539" s="631"/>
      <x:c r="AG539" s="631"/>
      <x:c r="AH539" s="631"/>
      <x:c r="AI539" s="631"/>
      <x:c r="AJ539" s="631"/>
      <x:c r="AK539" s="631"/>
      <x:c r="AL539" s="631"/>
      <x:c r="AM539" s="631"/>
      <x:c r="AN539" s="631"/>
      <x:c r="AO539" s="631"/>
      <x:c r="AP539" s="631"/>
      <x:c r="AQ539" s="631"/>
      <x:c r="AR539" s="631"/>
      <x:c r="AS539" s="631"/>
      <x:c r="AT539" s="631"/>
      <x:c r="AU539" s="631"/>
      <x:c r="AV539" s="631"/>
      <x:c r="AW539" s="631"/>
      <x:c r="AX539" s="631"/>
      <x:c r="AY539" s="631"/>
      <x:c r="AZ539" s="631"/>
      <x:c r="BA539" s="631"/>
      <x:c r="BB539" s="631"/>
      <x:c r="BC539" s="631"/>
      <x:c r="BD539" s="631"/>
      <x:c r="BE539" s="631"/>
      <x:c r="BF539" s="631"/>
      <x:c r="BG539" s="631"/>
      <x:c r="BH539" s="631"/>
      <x:c r="BI539" s="631"/>
      <x:c r="BJ539" s="631"/>
      <x:c r="BK539" s="631"/>
      <x:c r="BL539" s="631"/>
      <x:c r="BM539" s="631"/>
      <x:c r="BN539" s="624"/>
    </x:row>
    <x:row r="540" spans="1:66" x14ac:dyDescent="0.2">
      <x:c r="A540" s="638"/>
      <x:c r="B540" s="639"/>
      <x:c r="C540" s="639" t="inlineStr">
        <x:is>
          <x:t>ENERBIT</x:t>
        </x:is>
      </x:c>
      <x:c r="D540" s="638" t="inlineStr">
        <x:is>
          <x:t>Total</x:t>
        </x:is>
      </x:c>
      <x:c r="E540" s="638"/>
      <x:c r="F540" s="640" t="n">
        <x:v>-4681675.1</x:v>
      </x:c>
      <x:c r="G540" s="640" t="n">
        <x:v>-244127.96</x:v>
      </x:c>
      <x:c r="H540" s="640" t="n">
        <x:v>-137107.39</x:v>
      </x:c>
      <x:c r="I540" s="640" t="n">
        <x:v>-72125.75</x:v>
      </x:c>
      <x:c r="J540" s="640" t="n">
        <x:v>-1045942.88</x:v>
      </x:c>
      <x:c r="K540" s="640" t="n">
        <x:v>-37750.81</x:v>
      </x:c>
      <x:c r="L540" s="640" t="n">
        <x:v>0</x:v>
      </x:c>
      <x:c r="M540" s="640" t="n">
        <x:v>-331142.81</x:v>
      </x:c>
      <x:c r="N540" s="640" t="n">
        <x:v>-328472.61</x:v>
      </x:c>
      <x:c r="O540" s="640" t="n">
        <x:v>-1689995.8</x:v>
      </x:c>
      <x:c r="P540" s="640" t="n">
        <x:v>-733416.54</x:v>
      </x:c>
      <x:c r="Q540" s="640" t="n">
        <x:v>-61592.55</x:v>
      </x:c>
      <x:c r="R540" s="640" t="n">
        <x:v>0</x:v>
      </x:c>
      <x:c r="S540" s="640" t="n">
        <x:v>0</x:v>
      </x:c>
      <x:c r="T540" s="640" t="n">
        <x:v>0</x:v>
      </x:c>
      <x:c r="U540" s="640">
        <x:v>0</x:v>
      </x:c>
      <x:c r="V540" s="640">
        <x:v>0</x:v>
      </x:c>
      <x:c r="W540" s="640">
        <x:v>0</x:v>
      </x:c>
      <x:c r="X540" s="640">
        <x:v>0</x:v>
      </x:c>
      <x:c r="Y540" s="640">
        <x:v>0</x:v>
      </x:c>
      <x:c r="Z540" s="640" t="n">
        <x:v>0</x:v>
      </x:c>
      <x:c r="AA540" s="638"/>
      <x:c r="AB540" s="638"/>
      <x:c r="AC540" s="638"/>
      <x:c r="AD540" s="638"/>
      <x:c r="AE540" s="638"/>
      <x:c r="AF540" s="638"/>
      <x:c r="AG540" s="638"/>
      <x:c r="AH540" s="638"/>
      <x:c r="AI540" s="638"/>
      <x:c r="AJ540" s="638"/>
      <x:c r="AK540" s="638"/>
      <x:c r="AL540" s="638"/>
      <x:c r="AM540" s="638"/>
      <x:c r="AN540" s="638"/>
      <x:c r="AO540" s="638"/>
      <x:c r="AP540" s="638"/>
      <x:c r="AQ540" s="638"/>
      <x:c r="AR540" s="638"/>
      <x:c r="AS540" s="638"/>
      <x:c r="AT540" s="638"/>
      <x:c r="AU540" s="638"/>
      <x:c r="AV540" s="638"/>
      <x:c r="AW540" s="638"/>
      <x:c r="AX540" s="638"/>
      <x:c r="AY540" s="638"/>
      <x:c r="AZ540" s="638"/>
      <x:c r="BA540" s="638"/>
      <x:c r="BB540" s="638"/>
      <x:c r="BC540" s="638"/>
      <x:c r="BD540" s="638"/>
      <x:c r="BE540" s="638"/>
      <x:c r="BF540" s="638"/>
      <x:c r="BG540" s="638"/>
      <x:c r="BH540" s="638"/>
      <x:c r="BI540" s="638"/>
      <x:c r="BJ540" s="638"/>
      <x:c r="BK540" s="638"/>
      <x:c r="BL540" s="638"/>
      <x:c r="BM540" s="638"/>
      <x:c r="BN540" s="624"/>
    </x:row>
    <x:row r="541" spans="1:66" x14ac:dyDescent="0.2">
      <x:c r="A541" s="625"/>
      <x:c r="B541" s="625"/>
      <x:c r="C541"/>
      <x:c r="D541"/>
      <x:c r="E541" t="inlineStr">
        <x:is>
          <x:t>Subsidio(-)/Contribucion(+)</x:t>
        </x:is>
      </x:c>
      <x:c r="F541" s="627" t="n">
        <x:v>976644.02</x:v>
      </x:c>
      <x:c r="G541" s="627" t="n">
        <x:v>269243.52</x:v>
      </x:c>
      <x:c r="H541" s="627" t="n">
        <x:v>147949.37</x:v>
      </x:c>
      <x:c r="I541" s="627" t="n">
        <x:v>77924.34</x:v>
      </x:c>
      <x:c r="J541" s="627" t="n">
        <x:v>31290.4</x:v>
      </x:c>
      <x:c r="K541" s="627" t="n">
        <x:v>-1352.25</x:v>
      </x:c>
      <x:c r="L541" s="627" t="n">
        <x:v>0</x:v>
      </x:c>
      <x:c r="M541" s="627" t="n">
        <x:v>-11868.83</x:v>
      </x:c>
      <x:c r="N541" s="627" t="n">
        <x:v>-44861.08</x:v>
      </x:c>
      <x:c r="O541" s="627" t="n">
        <x:v>-299524.12</x:v>
      </x:c>
      <x:c r="P541" s="627" t="n">
        <x:v>810050.72</x:v>
      </x:c>
      <x:c r="Q541" s="627" t="n">
        <x:v>-2208.05</x:v>
      </x:c>
      <x:c r="R541" s="627" t="n">
        <x:v>0</x:v>
      </x:c>
      <x:c r="S541" s="627" t="n">
        <x:v>0</x:v>
      </x:c>
      <x:c r="T541" s="653" t="n">
        <x:v>0</x:v>
      </x:c>
      <x:c r="U541" s="653">
        <x:v>0</x:v>
      </x:c>
      <x:c r="V541" s="653">
        <x:v>0</x:v>
      </x:c>
      <x:c r="W541" s="653">
        <x:v>0</x:v>
      </x:c>
      <x:c r="X541" s="653">
        <x:v>0</x:v>
      </x:c>
      <x:c r="Y541" s="653">
        <x:v>0</x:v>
      </x:c>
      <x:c r="Z541" s="653" t="n">
        <x:v>0</x:v>
      </x:c>
      <x:c r="BN541" s="624"/>
    </x:row>
    <x:row r="542" spans="1:66" x14ac:dyDescent="0.2">
      <x:c r="A542" s="625"/>
      <x:c r="B542" s="625"/>
      <x:c r="C542"/>
      <x:c r="D542" t="inlineStr">
        <x:is>
          <x:t>H</x:t>
        </x:is>
      </x:c>
      <x:c r="E542" t="inlineStr">
        <x:is>
          <x:t>Total</x:t>
        </x:is>
      </x:c>
      <x:c r="F542" s="627" t="n">
        <x:v>976644.02</x:v>
      </x:c>
      <x:c r="G542" s="627" t="n">
        <x:v>269243.52</x:v>
      </x:c>
      <x:c r="H542" s="627" t="n">
        <x:v>147949.37</x:v>
      </x:c>
      <x:c r="I542" s="627" t="n">
        <x:v>77924.34</x:v>
      </x:c>
      <x:c r="J542" s="627" t="n">
        <x:v>31290.4</x:v>
      </x:c>
      <x:c r="K542" s="627" t="n">
        <x:v>-1352.25</x:v>
      </x:c>
      <x:c r="L542" s="627" t="n">
        <x:v>0</x:v>
      </x:c>
      <x:c r="M542" s="627" t="n">
        <x:v>-11868.83</x:v>
      </x:c>
      <x:c r="N542" s="627" t="n">
        <x:v>-44861.08</x:v>
      </x:c>
      <x:c r="O542" s="627" t="n">
        <x:v>-299524.12</x:v>
      </x:c>
      <x:c r="P542" s="627" t="n">
        <x:v>810050.72</x:v>
      </x:c>
      <x:c r="Q542" s="627" t="n">
        <x:v>-2208.05</x:v>
      </x:c>
      <x:c r="R542" s="627" t="n">
        <x:v>0</x:v>
      </x:c>
      <x:c r="S542" s="627" t="n">
        <x:v>0</x:v>
      </x:c>
      <x:c r="T542" s="653" t="n">
        <x:v>0</x:v>
      </x:c>
      <x:c r="U542" s="653"/>
      <x:c r="V542" s="653"/>
      <x:c r="W542" s="653"/>
      <x:c r="X542" s="653"/>
      <x:c r="Y542" s="653"/>
      <x:c r="Z542" s="653" t="n">
        <x:v>0</x:v>
      </x:c>
      <x:c r="BN542" s="624"/>
    </x:row>
    <x:row r="543" spans="1:66" x14ac:dyDescent="0.2">
      <x:c r="A543" s="625"/>
      <x:c r="B543" s="625"/>
      <x:c r="C543"/>
      <x:c r="D543"/>
      <x:c r="E543" t="inlineStr">
        <x:is>
          <x:t>Subsidio(-)/Contribucion(+)</x:t>
        </x:is>
      </x:c>
      <x:c r="F543" s="627" t="n">
        <x:v>1494214.94</x:v>
      </x:c>
      <x:c r="G543" s="627" t="n">
        <x:v>565976.69</x:v>
      </x:c>
      <x:c r="H543" s="627" t="n">
        <x:v>321267.04</x:v>
      </x:c>
      <x:c r="I543" s="627" t="n">
        <x:v>171735.87</x:v>
      </x:c>
      <x:c r="J543" s="627" t="n">
        <x:v>-338709.32</x:v>
      </x:c>
      <x:c r="K543" s="627" t="n">
        <x:v>-16652.29</x:v>
      </x:c>
      <x:c r="L543" s="627" t="n">
        <x:v>0</x:v>
      </x:c>
      <x:c r="M543" s="627" t="n">
        <x:v>-146879.7</x:v>
      </x:c>
      <x:c r="N543" s="627" t="n">
        <x:v>-135037.35</x:v>
      </x:c>
      <x:c r="O543" s="627" t="n">
        <x:v>-622145.95</x:v>
      </x:c>
      <x:c r="P543" s="627" t="n">
        <x:v>1721854.1</x:v>
      </x:c>
      <x:c r="Q543" s="627" t="n">
        <x:v>-27194.15</x:v>
      </x:c>
      <x:c r="R543" s="627" t="n">
        <x:v>0</x:v>
      </x:c>
      <x:c r="S543" s="627" t="n">
        <x:v>0</x:v>
      </x:c>
      <x:c r="T543" s="653" t="n">
        <x:v>0</x:v>
      </x:c>
      <x:c r="U543" s="653"/>
      <x:c r="V543" s="653"/>
      <x:c r="W543" s="653"/>
      <x:c r="X543" s="653"/>
      <x:c r="Y543" s="653"/>
      <x:c r="Z543" s="653" t="n">
        <x:v>0</x:v>
      </x:c>
      <x:c r="BN543" s="624"/>
    </x:row>
    <x:row r="544" spans="1:66" x14ac:dyDescent="0.2">
      <x:c r="A544" s="625"/>
      <x:c r="B544" s="625"/>
      <x:c r="C544"/>
      <x:c r="D544" t="inlineStr">
        <x:is>
          <x:t>O</x:t>
        </x:is>
      </x:c>
      <x:c r="E544" t="inlineStr">
        <x:is>
          <x:t>Total</x:t>
        </x:is>
      </x:c>
      <x:c r="F544" s="627" t="n">
        <x:v>1494214.94</x:v>
      </x:c>
      <x:c r="G544" s="627" t="n">
        <x:v>565976.69</x:v>
      </x:c>
      <x:c r="H544" s="627" t="n">
        <x:v>321267.04</x:v>
      </x:c>
      <x:c r="I544" s="627" t="n">
        <x:v>171735.87</x:v>
      </x:c>
      <x:c r="J544" s="627" t="n">
        <x:v>-338709.32</x:v>
      </x:c>
      <x:c r="K544" s="627" t="n">
        <x:v>-16652.29</x:v>
      </x:c>
      <x:c r="L544" s="627" t="n">
        <x:v>0</x:v>
      </x:c>
      <x:c r="M544" s="627" t="n">
        <x:v>-146879.7</x:v>
      </x:c>
      <x:c r="N544" s="627" t="n">
        <x:v>-135037.35</x:v>
      </x:c>
      <x:c r="O544" s="627" t="n">
        <x:v>-622145.95</x:v>
      </x:c>
      <x:c r="P544" s="627" t="n">
        <x:v>1721854.1</x:v>
      </x:c>
      <x:c r="Q544" s="627" t="n">
        <x:v>-27194.15</x:v>
      </x:c>
      <x:c r="R544" s="627" t="n">
        <x:v>0</x:v>
      </x:c>
      <x:c r="S544" s="627" t="n">
        <x:v>0</x:v>
      </x:c>
      <x:c r="T544" s="653" t="n">
        <x:v>0</x:v>
      </x:c>
      <x:c r="U544" s="653"/>
      <x:c r="V544" s="653"/>
      <x:c r="W544" s="653"/>
      <x:c r="X544" s="653"/>
      <x:c r="Y544" s="653"/>
      <x:c r="Z544" s="653" t="n">
        <x:v>0</x:v>
      </x:c>
      <x:c r="BN544" s="624"/>
    </x:row>
    <x:row r="545" spans="1:66" x14ac:dyDescent="0.2">
      <x:c r="A545" s="625"/>
      <x:c r="B545" s="625"/>
      <x:c r="C545"/>
      <x:c r="D545"/>
      <x:c r="E545" t="inlineStr">
        <x:is>
          <x:t>Subsidio(-)/Contribucion(+)</x:t>
        </x:is>
      </x:c>
      <x:c r="F545" s="627" t="n">
        <x:v>74209735.76</x:v>
      </x:c>
      <x:c r="G545" s="627" t="n">
        <x:v>14852099.67</x:v>
      </x:c>
      <x:c r="H545" s="627" t="n">
        <x:v>8278176.88</x:v>
      </x:c>
      <x:c r="I545" s="627" t="n">
        <x:v>4451003.36</x:v>
      </x:c>
      <x:c r="J545" s="627" t="n">
        <x:v>930214.95</x:v>
      </x:c>
      <x:c r="K545" s="627" t="n">
        <x:v>10409.77</x:v>
      </x:c>
      <x:c r="L545" s="627" t="n">
        <x:v>0</x:v>
      </x:c>
      <x:c r="M545" s="627" t="n">
        <x:v>86587.63</x:v>
      </x:c>
      <x:c r="N545" s="627" t="n">
        <x:v>144950.07</x:v>
      </x:c>
      <x:c r="O545" s="627" t="n">
        <x:v>720135.72</x:v>
      </x:c>
      <x:c r="P545" s="627" t="n">
        <x:v>44719176.18</x:v>
      </x:c>
      <x:c r="Q545" s="627" t="n">
        <x:v>16981.53</x:v>
      </x:c>
      <x:c r="R545" s="627" t="n">
        <x:v>0</x:v>
      </x:c>
      <x:c r="S545" s="627" t="n">
        <x:v>0</x:v>
      </x:c>
      <x:c r="T545" s="653" t="n">
        <x:v>0</x:v>
      </x:c>
      <x:c r="U545" s="653"/>
      <x:c r="V545" s="653"/>
      <x:c r="W545" s="653"/>
      <x:c r="X545" s="653"/>
      <x:c r="Y545" s="653"/>
      <x:c r="Z545" s="653" t="n">
        <x:v>0</x:v>
      </x:c>
      <x:c r="BN545" s="624"/>
    </x:row>
    <x:row r="546" spans="1:66" x14ac:dyDescent="0.2">
      <x:c r="A546" s="625"/>
      <x:c r="B546" s="625"/>
      <x:c r="C546"/>
      <x:c r="D546" t="inlineStr">
        <x:is>
          <x:t>T</x:t>
        </x:is>
      </x:c>
      <x:c r="E546" t="inlineStr">
        <x:is>
          <x:t>Total</x:t>
        </x:is>
      </x:c>
      <x:c r="F546" s="627" t="n">
        <x:v>74209735.76</x:v>
      </x:c>
      <x:c r="G546" s="627" t="n">
        <x:v>14852099.67</x:v>
      </x:c>
      <x:c r="H546" s="627" t="n">
        <x:v>8278176.88</x:v>
      </x:c>
      <x:c r="I546" s="627" t="n">
        <x:v>4451003.36</x:v>
      </x:c>
      <x:c r="J546" s="627" t="n">
        <x:v>930214.95</x:v>
      </x:c>
      <x:c r="K546" s="627" t="n">
        <x:v>10409.77</x:v>
      </x:c>
      <x:c r="L546" s="627" t="n">
        <x:v>0</x:v>
      </x:c>
      <x:c r="M546" s="627" t="n">
        <x:v>86587.63</x:v>
      </x:c>
      <x:c r="N546" s="627" t="n">
        <x:v>144950.07</x:v>
      </x:c>
      <x:c r="O546" s="627" t="n">
        <x:v>720135.72</x:v>
      </x:c>
      <x:c r="P546" s="627" t="n">
        <x:v>44719176.18</x:v>
      </x:c>
      <x:c r="Q546" s="627" t="n">
        <x:v>16981.53</x:v>
      </x:c>
      <x:c r="R546" s="627" t="n">
        <x:v>0</x:v>
      </x:c>
      <x:c r="S546" s="627" t="n">
        <x:v>0</x:v>
      </x:c>
      <x:c r="T546" s="653" t="n">
        <x:v>0</x:v>
      </x:c>
      <x:c r="U546" s="653"/>
      <x:c r="V546" s="653"/>
      <x:c r="W546" s="653"/>
      <x:c r="X546" s="653"/>
      <x:c r="Y546" s="653"/>
      <x:c r="Z546" s="653" t="n">
        <x:v>0</x:v>
      </x:c>
      <x:c r="BN546" s="624"/>
    </x:row>
    <x:row r="547" spans="1:66" x14ac:dyDescent="0.2">
      <x:c r="A547" s="625"/>
      <x:c r="B547" s="625"/>
      <x:c r="C547" t="inlineStr">
        <x:is>
          <x:t>OCCIDENTE</x:t>
        </x:is>
      </x:c>
      <x:c r="D547" t="inlineStr">
        <x:is>
          <x:t>Total</x:t>
        </x:is>
      </x:c>
      <x:c r="E547"/>
      <x:c r="F547" s="627" t="n">
        <x:v>76680594.72</x:v>
      </x:c>
      <x:c r="G547" s="627" t="n">
        <x:v>15687319.88</x:v>
      </x:c>
      <x:c r="H547" s="627" t="n">
        <x:v>8747393.29</x:v>
      </x:c>
      <x:c r="I547" s="627" t="n">
        <x:v>4700663.57</x:v>
      </x:c>
      <x:c r="J547" s="627" t="n">
        <x:v>622796.03</x:v>
      </x:c>
      <x:c r="K547" s="627" t="n">
        <x:v>-7594.77</x:v>
      </x:c>
      <x:c r="L547" s="627" t="n">
        <x:v>0</x:v>
      </x:c>
      <x:c r="M547" s="627" t="n">
        <x:v>-72160.9</x:v>
      </x:c>
      <x:c r="N547" s="627" t="n">
        <x:v>-34948.36</x:v>
      </x:c>
      <x:c r="O547" s="627" t="n">
        <x:v>-201534.35</x:v>
      </x:c>
      <x:c r="P547" s="627" t="n">
        <x:v>47251081</x:v>
      </x:c>
      <x:c r="Q547" s="627" t="n">
        <x:v>-12420.67</x:v>
      </x:c>
      <x:c r="R547" s="627" t="n">
        <x:v>0</x:v>
      </x:c>
      <x:c r="S547" s="627" t="n">
        <x:v>0</x:v>
      </x:c>
      <x:c r="T547" s="653" t="n">
        <x:v>0</x:v>
      </x:c>
      <x:c r="U547" s="653"/>
      <x:c r="V547" s="653"/>
      <x:c r="W547" s="653"/>
      <x:c r="X547" s="653"/>
      <x:c r="Y547" s="653"/>
      <x:c r="Z547" s="653" t="n">
        <x:v>0</x:v>
      </x:c>
      <x:c r="BN547" s="624"/>
    </x:row>
    <x:row r="548" spans="1:66" x14ac:dyDescent="0.2">
      <x:c r="A548" s="625"/>
      <x:c r="B548" s="625" t="inlineStr">
        <x:is>
          <x:t>Mes</x:t>
        </x:is>
      </x:c>
      <x:c r="C548" t="inlineStr">
        <x:is>
          <x:t>Total</x:t>
        </x:is>
      </x:c>
      <x:c r="D548"/>
      <x:c r="E548"/>
      <x:c r="F548" s="627" t="n">
        <x:v>-1431009823.77</x:v>
      </x:c>
      <x:c r="G548" s="627" t="n">
        <x:v>-36276170.59</x:v>
      </x:c>
      <x:c r="H548" s="627" t="n">
        <x:v>-20607460.5</x:v>
      </x:c>
      <x:c r="I548" s="627" t="n">
        <x:v>-10689250.91</x:v>
      </x:c>
      <x:c r="J548" s="627" t="n">
        <x:v>-378423018.5</x:v>
      </x:c>
      <x:c r="K548" s="627" t="n">
        <x:v>-13665206.68</x:v>
      </x:c>
      <x:c r="L548" s="627" t="n">
        <x:v>0</x:v>
      </x:c>
      <x:c r="M548" s="627" t="n">
        <x:v>-119890857.08</x:v>
      </x:c>
      <x:c r="N548" s="627" t="n">
        <x:v>-116892504.07</x:v>
      </x:c>
      <x:c r="O548" s="627" t="n">
        <x:v>-603055865.76</x:v>
      </x:c>
      <x:c r="P548" s="627" t="n">
        <x:v>-109214096.6</x:v>
      </x:c>
      <x:c r="Q548" s="627" t="n">
        <x:v>-22295393.08</x:v>
      </x:c>
      <x:c r="R548" s="627" t="n">
        <x:v>0</x:v>
      </x:c>
      <x:c r="S548" s="627" t="n">
        <x:v>0</x:v>
      </x:c>
      <x:c r="T548" s="653" t="n">
        <x:v>0</x:v>
      </x:c>
      <x:c r="U548" s="653"/>
      <x:c r="V548" s="653"/>
      <x:c r="W548" s="653"/>
      <x:c r="X548" s="653"/>
      <x:c r="Y548" s="653"/>
      <x:c r="Z548" s="653" t="n">
        <x:v>0</x:v>
      </x:c>
      <x:c r="BN548" s="624"/>
    </x:row>
    <x:row r="549" spans="1:66" x14ac:dyDescent="0.2">
      <x:c r="A549" s="625" t="inlineStr">
        <x:is>
          <x:t>Subs/Cont</x:t>
        </x:is>
      </x:c>
      <x:c r="B549" s="625" t="inlineStr">
        <x:is>
          <x:t>Total</x:t>
        </x:is>
      </x:c>
      <x:c r="C549"/>
      <x:c r="D549"/>
      <x:c r="E549"/>
      <x:c r="F549" s="627" t="n">
        <x:v>-1431426520.31</x:v>
      </x:c>
      <x:c r="G549" s="627" t="n">
        <x:v>-36297330.49</x:v>
      </x:c>
      <x:c r="H549" s="627" t="n">
        <x:v>-20619316.26</x:v>
      </x:c>
      <x:c r="I549" s="627" t="n">
        <x:v>-10695514.47</x:v>
      </x:c>
      <x:c r="J549" s="627" t="n">
        <x:v>-378517779.79</x:v>
      </x:c>
      <x:c r="K549" s="627" t="n">
        <x:v>-13668646.59</x:v>
      </x:c>
      <x:c r="L549" s="627" t="n">
        <x:v>0</x:v>
      </x:c>
      <x:c r="M549" s="627" t="n">
        <x:v>-119921030.87</x:v>
      </x:c>
      <x:c r="N549" s="627" t="n">
        <x:v>-116921937.22</x:v>
      </x:c>
      <x:c r="O549" s="627" t="n">
        <x:v>-603206461.75</x:v>
      </x:c>
      <x:c r="P549" s="627" t="n">
        <x:v>-109277497.47</x:v>
      </x:c>
      <x:c r="Q549" s="627" t="n">
        <x:v>-22301005.4</x:v>
      </x:c>
      <x:c r="R549" s="627" t="n">
        <x:v>0</x:v>
      </x:c>
      <x:c r="S549" s="627" t="n">
        <x:v>0</x:v>
      </x:c>
      <x:c r="T549" s="653" t="n">
        <x:v>0</x:v>
      </x:c>
      <x:c r="U549" s="653"/>
      <x:c r="V549" s="653"/>
      <x:c r="W549" s="653"/>
      <x:c r="X549" s="653"/>
      <x:c r="Y549" s="653"/>
      <x:c r="Z549" s="653" t="n">
        <x:v>0</x:v>
      </x:c>
      <x:c r="BN549" s="624"/>
    </x:row>
    <x:row r="550" spans="1:66" x14ac:dyDescent="0.2">
      <x:c r="A550" s="625" t="inlineStr">
        <x:is>
          <x:t>Total</x:t>
        </x:is>
      </x:c>
      <x:c r="B550"/>
      <x:c r="C550"/>
      <x:c r="D550"/>
      <x:c r="E550"/>
      <x:c r="F550" s="627" t="n">
        <x:v>12117027175</x:v>
      </x:c>
      <x:c r="G550" s="627" t="n">
        <x:v>686839509.29</x:v>
      </x:c>
      <x:c r="H550" s="627" t="n">
        <x:v>386309921.19</x:v>
      </x:c>
      <x:c r="I550" s="627" t="n">
        <x:v>203330704.75</x:v>
      </x:c>
      <x:c r="J550" s="627" t="n">
        <x:v>2625568019.69</x:v>
      </x:c>
      <x:c r="K550" s="627" t="n">
        <x:v>95620524.33</x:v>
      </x:c>
      <x:c r="L550" s="627" t="n">
        <x:v>10318778.96</x:v>
      </x:c>
      <x:c r="M550" s="627" t="n">
        <x:v>838404449.56</x:v>
      </x:c>
      <x:c r="N550" s="627" t="n">
        <x:v>813925169.96</x:v>
      </x:c>
      <x:c r="O550" s="627" t="n">
        <x:v>4223911206.82</x:v>
      </x:c>
      <x:c r="P550" s="627" t="n">
        <x:v>2076813042.15</x:v>
      </x:c>
      <x:c r="Q550" s="627" t="n">
        <x:v>156091606.47</x:v>
      </x:c>
      <x:c r="R550" s="627" t="n">
        <x:v>-105728.97</x:v>
      </x:c>
      <x:c r="S550" s="627" t="n">
        <x:v>0.58</x:v>
      </x:c>
      <x:c r="T550" s="653" t="n">
        <x:v>7.48</x:v>
      </x:c>
      <x:c r="U550" s="653">
        <x:v>0</x:v>
      </x:c>
      <x:c r="V550" s="653">
        <x:v>0</x:v>
      </x:c>
      <x:c r="W550" s="653">
        <x:v>0</x:v>
      </x:c>
      <x:c r="X550" s="653">
        <x:v>0</x:v>
      </x:c>
      <x:c r="Y550" s="653">
        <x:v>0</x:v>
      </x:c>
      <x:c r="Z550" s="653" t="n">
        <x:v>-37.26</x:v>
      </x:c>
      <x:c r="BN550" s="624"/>
    </x:row>
    <x:row r="551" spans="1:66" x14ac:dyDescent="0.2">
      <x:c r="A551" s="625"/>
      <x:c r="F551" s="627"/>
      <x:c r="G551" s="627"/>
      <x:c r="H551" s="627"/>
      <x:c r="I551" s="627"/>
      <x:c r="J551" s="627"/>
      <x:c r="K551" s="627"/>
      <x:c r="L551" s="627"/>
      <x:c r="M551" s="627"/>
      <x:c r="N551" s="627"/>
      <x:c r="O551" s="627"/>
      <x:c r="P551" s="627"/>
      <x:c r="Q551" s="627"/>
      <x:c r="R551" s="627"/>
      <x:c r="S551" s="627"/>
      <x:c r="T551" s="627"/>
      <x:c r="U551" s="627"/>
      <x:c r="V551" s="627"/>
      <x:c r="W551" s="627"/>
      <x:c r="X551" s="653"/>
      <x:c r="BN551" s="624"/>
    </x:row>
    <x:row r="552" spans="1:66" x14ac:dyDescent="0.2">
      <x:c r="A552" s="625"/>
      <x:c r="F552" s="627"/>
      <x:c r="G552" s="627"/>
      <x:c r="H552" s="627"/>
      <x:c r="I552" s="627"/>
      <x:c r="J552" s="627"/>
      <x:c r="K552" s="627"/>
      <x:c r="L552" s="627"/>
      <x:c r="M552" s="627"/>
      <x:c r="N552" s="627"/>
      <x:c r="O552" s="627"/>
      <x:c r="P552" s="627"/>
      <x:c r="Q552" s="627"/>
      <x:c r="R552" s="627"/>
      <x:c r="S552" s="627"/>
      <x:c r="BN552" s="624"/>
    </x:row>
    <x:row r="553" spans="1:66" x14ac:dyDescent="0.2">
      <x:c r="A553" s="625"/>
      <x:c r="F553" s="627"/>
      <x:c r="G553" s="627"/>
      <x:c r="H553" s="627"/>
      <x:c r="I553" s="627"/>
      <x:c r="J553" s="627"/>
      <x:c r="K553" s="627"/>
      <x:c r="L553" s="627"/>
      <x:c r="M553" s="627"/>
      <x:c r="N553" s="627"/>
      <x:c r="O553" s="627"/>
      <x:c r="P553" s="627"/>
      <x:c r="Q553" s="627"/>
      <x:c r="R553" s="627"/>
      <x:c r="S553" s="627"/>
      <x:c r="BN553" s="624"/>
    </x:row>
    <x:row r="554" spans="1:66" x14ac:dyDescent="0.2">
      <x:c r="C554" s="770" t="s">
        <x:v>2</x:v>
      </x:c>
      <x:c r="D554" s="768" t="s">
        <x:v>132</x:v>
      </x:c>
      <x:c r="E554" s="639" t="s">
        <x:v>70</x:v>
      </x:c>
      <x:c r="F554" s="640">
        <x:f>F540+F519-L519</x:f>
        <x:v>0</x:v>
      </x:c>
      <x:c r="G554" s="640">
        <x:f>G519</x:f>
        <x:v>0</x:v>
      </x:c>
      <x:c r="H554" s="640">
        <x:f t="shared" ref="H554:AO554" si="29">H519</x:f>
        <x:v>0</x:v>
      </x:c>
      <x:c r="I554" s="640">
        <x:f t="shared" si="29"/>
        <x:v>0</x:v>
      </x:c>
      <x:c r="J554" s="640">
        <x:f t="shared" si="29"/>
        <x:v>0</x:v>
      </x:c>
      <x:c r="K554" s="640">
        <x:f t="shared" si="29"/>
        <x:v>0</x:v>
      </x:c>
      <x:c r="L554" s="640">
        <x:f t="shared" si="29"/>
        <x:v>0</x:v>
      </x:c>
      <x:c r="M554" s="640">
        <x:f t="shared" si="29"/>
        <x:v>0</x:v>
      </x:c>
      <x:c r="N554" s="640">
        <x:f t="shared" si="29"/>
        <x:v>0</x:v>
      </x:c>
      <x:c r="O554" s="640">
        <x:f t="shared" si="29"/>
        <x:v>0</x:v>
      </x:c>
      <x:c r="P554" s="640">
        <x:f t="shared" si="29"/>
        <x:v>0</x:v>
      </x:c>
      <x:c r="Q554" s="640">
        <x:f t="shared" si="29"/>
        <x:v>0</x:v>
      </x:c>
      <x:c r="R554" s="640">
        <x:f t="shared" si="29"/>
        <x:v>0</x:v>
      </x:c>
      <x:c r="S554" s="640">
        <x:f t="shared" si="29"/>
        <x:v>0</x:v>
      </x:c>
      <x:c r="T554" s="640">
        <x:f t="shared" si="29"/>
        <x:v>0</x:v>
      </x:c>
      <x:c r="U554" s="640">
        <x:f t="shared" si="29"/>
        <x:v>0</x:v>
      </x:c>
      <x:c r="V554" s="640">
        <x:f t="shared" si="29"/>
        <x:v>0</x:v>
      </x:c>
      <x:c r="W554" s="640">
        <x:f t="shared" si="29"/>
        <x:v>0</x:v>
      </x:c>
      <x:c r="X554" s="640">
        <x:f t="shared" si="29"/>
        <x:v>0</x:v>
      </x:c>
      <x:c r="Y554" s="640">
        <x:f t="shared" si="29"/>
        <x:v>0</x:v>
      </x:c>
      <x:c r="Z554" s="640">
        <x:f t="shared" si="29"/>
        <x:v>0</x:v>
      </x:c>
      <x:c r="AA554" s="640">
        <x:f t="shared" si="29"/>
        <x:v>0</x:v>
      </x:c>
      <x:c r="AB554" s="640">
        <x:f t="shared" si="29"/>
        <x:v>0</x:v>
      </x:c>
      <x:c r="AC554" s="640">
        <x:f t="shared" si="29"/>
        <x:v>0</x:v>
      </x:c>
      <x:c r="AD554" s="640">
        <x:f t="shared" si="29"/>
        <x:v>0</x:v>
      </x:c>
      <x:c r="AE554" s="640">
        <x:f t="shared" si="29"/>
        <x:v>0</x:v>
      </x:c>
      <x:c r="AF554" s="640">
        <x:f t="shared" si="29"/>
        <x:v>0</x:v>
      </x:c>
      <x:c r="AG554" s="640">
        <x:f t="shared" si="29"/>
        <x:v>0</x:v>
      </x:c>
      <x:c r="AH554" s="640">
        <x:f t="shared" si="29"/>
        <x:v>0</x:v>
      </x:c>
      <x:c r="AI554" s="640">
        <x:f t="shared" si="29"/>
        <x:v>0</x:v>
      </x:c>
      <x:c r="AJ554" s="640">
        <x:f t="shared" si="29"/>
        <x:v>0</x:v>
      </x:c>
      <x:c r="AK554" s="640">
        <x:f t="shared" si="29"/>
        <x:v>0</x:v>
      </x:c>
      <x:c r="AL554" s="640">
        <x:f t="shared" si="29"/>
        <x:v>0</x:v>
      </x:c>
      <x:c r="AM554" s="640">
        <x:f t="shared" si="29"/>
        <x:v>0</x:v>
      </x:c>
      <x:c r="AN554" s="640">
        <x:f t="shared" si="29"/>
        <x:v>0</x:v>
      </x:c>
      <x:c r="AO554" s="640">
        <x:f t="shared" si="29"/>
        <x:v>0</x:v>
      </x:c>
      <x:c r="BN554" s="624"/>
    </x:row>
    <x:row r="555" spans="1:66" x14ac:dyDescent="0.2">
      <x:c r="C555" s="770"/>
      <x:c r="D555" s="768"/>
      <x:c r="E555" s="639" t="s">
        <x:v>73</x:v>
      </x:c>
      <x:c r="F555" s="640">
        <x:f>F540</x:f>
        <x:v>0</x:v>
      </x:c>
      <x:c r="G555" s="627"/>
      <x:c r="H555" s="627"/>
      <x:c r="I555" s="627"/>
      <x:c r="J555" s="627"/>
      <x:c r="K555" s="627"/>
      <x:c r="L555" s="627"/>
      <x:c r="M555" s="627"/>
      <x:c r="N555" s="627"/>
      <x:c r="O555" s="627"/>
      <x:c r="P555" s="627"/>
      <x:c r="Q555" s="627"/>
      <x:c r="R555" s="627"/>
      <x:c r="S555" s="627"/>
      <x:c r="BN555" s="624"/>
    </x:row>
    <x:row r="556" spans="1:66" x14ac:dyDescent="0.2">
      <x:c r="C556" s="770"/>
      <x:c r="D556" s="768" t="s">
        <x:v>133</x:v>
      </x:c>
      <x:c r="E556" s="645" t="s">
        <x:v>70</x:v>
      </x:c>
      <x:c r="F556" s="646">
        <x:f>F526+F500-L500</x:f>
        <x:v>0</x:v>
      </x:c>
      <x:c r="G556" s="646">
        <x:f>G500</x:f>
        <x:v>0</x:v>
      </x:c>
      <x:c r="H556" s="646">
        <x:f t="shared" ref="H556:AO556" si="30">H500</x:f>
        <x:v>0</x:v>
      </x:c>
      <x:c r="I556" s="646">
        <x:f t="shared" si="30"/>
        <x:v>0</x:v>
      </x:c>
      <x:c r="J556" s="646">
        <x:f t="shared" si="30"/>
        <x:v>0</x:v>
      </x:c>
      <x:c r="K556" s="646">
        <x:f t="shared" si="30"/>
        <x:v>0</x:v>
      </x:c>
      <x:c r="L556" s="646">
        <x:f t="shared" si="30"/>
        <x:v>0</x:v>
      </x:c>
      <x:c r="M556" s="646">
        <x:f t="shared" si="30"/>
        <x:v>0</x:v>
      </x:c>
      <x:c r="N556" s="646">
        <x:f t="shared" si="30"/>
        <x:v>0</x:v>
      </x:c>
      <x:c r="O556" s="646">
        <x:f t="shared" si="30"/>
        <x:v>0</x:v>
      </x:c>
      <x:c r="P556" s="646">
        <x:f t="shared" si="30"/>
        <x:v>0</x:v>
      </x:c>
      <x:c r="Q556" s="646">
        <x:f t="shared" si="30"/>
        <x:v>0</x:v>
      </x:c>
      <x:c r="R556" s="646">
        <x:f t="shared" si="30"/>
        <x:v>0</x:v>
      </x:c>
      <x:c r="S556" s="646">
        <x:f t="shared" si="30"/>
        <x:v>0</x:v>
      </x:c>
      <x:c r="T556" s="646">
        <x:f t="shared" si="30"/>
        <x:v>0</x:v>
      </x:c>
      <x:c r="U556" s="646">
        <x:f t="shared" si="30"/>
        <x:v>0</x:v>
      </x:c>
      <x:c r="V556" s="646">
        <x:f t="shared" si="30"/>
        <x:v>0</x:v>
      </x:c>
      <x:c r="W556" s="646">
        <x:f t="shared" si="30"/>
        <x:v>0</x:v>
      </x:c>
      <x:c r="X556" s="646">
        <x:f t="shared" si="30"/>
        <x:v>0</x:v>
      </x:c>
      <x:c r="Y556" s="646">
        <x:f t="shared" si="30"/>
        <x:v>0</x:v>
      </x:c>
      <x:c r="Z556" s="646">
        <x:f t="shared" si="30"/>
        <x:v>0</x:v>
      </x:c>
      <x:c r="AA556" s="646">
        <x:f t="shared" si="30"/>
        <x:v>0</x:v>
      </x:c>
      <x:c r="AB556" s="646">
        <x:f t="shared" si="30"/>
        <x:v>0</x:v>
      </x:c>
      <x:c r="AC556" s="646">
        <x:f t="shared" si="30"/>
        <x:v>0</x:v>
      </x:c>
      <x:c r="AD556" s="646">
        <x:f t="shared" si="30"/>
        <x:v>0</x:v>
      </x:c>
      <x:c r="AE556" s="646">
        <x:f t="shared" si="30"/>
        <x:v>0</x:v>
      </x:c>
      <x:c r="AF556" s="646">
        <x:f t="shared" si="30"/>
        <x:v>0</x:v>
      </x:c>
      <x:c r="AG556" s="646">
        <x:f t="shared" si="30"/>
        <x:v>0</x:v>
      </x:c>
      <x:c r="AH556" s="646">
        <x:f t="shared" si="30"/>
        <x:v>0</x:v>
      </x:c>
      <x:c r="AI556" s="646">
        <x:f t="shared" si="30"/>
        <x:v>0</x:v>
      </x:c>
      <x:c r="AJ556" s="646">
        <x:f t="shared" si="30"/>
        <x:v>0</x:v>
      </x:c>
      <x:c r="AK556" s="646">
        <x:f t="shared" si="30"/>
        <x:v>0</x:v>
      </x:c>
      <x:c r="AL556" s="646">
        <x:f t="shared" si="30"/>
        <x:v>0</x:v>
      </x:c>
      <x:c r="AM556" s="646">
        <x:f t="shared" si="30"/>
        <x:v>0</x:v>
      </x:c>
      <x:c r="AN556" s="646">
        <x:f t="shared" si="30"/>
        <x:v>0</x:v>
      </x:c>
      <x:c r="AO556" s="646">
        <x:f t="shared" si="30"/>
        <x:v>0</x:v>
      </x:c>
      <x:c r="BN556" s="624"/>
    </x:row>
    <x:row r="557" spans="1:66" x14ac:dyDescent="0.2">
      <x:c r="C557" s="770"/>
      <x:c r="D557" s="768"/>
      <x:c r="E557" s="645" t="s">
        <x:v>73</x:v>
      </x:c>
      <x:c r="F557" s="646">
        <x:f>F526</x:f>
        <x:v>0</x:v>
      </x:c>
      <x:c r="G557" s="627"/>
      <x:c r="H557" s="627"/>
      <x:c r="I557" s="627"/>
      <x:c r="J557" s="627"/>
      <x:c r="K557" s="627"/>
      <x:c r="L557" s="627"/>
      <x:c r="M557" s="627"/>
      <x:c r="N557" s="627"/>
      <x:c r="O557" s="627"/>
      <x:c r="P557" s="627"/>
      <x:c r="Q557" s="627"/>
      <x:c r="R557" s="627"/>
      <x:c r="BN557" s="624"/>
    </x:row>
    <x:row r="558" spans="1:66" ht="15" x14ac:dyDescent="0.25">
      <x:c r="A558" s="625"/>
      <x:c r="C558" s="50"/>
      <x:c r="F558" s="627"/>
      <x:c r="G558" s="627"/>
      <x:c r="H558" s="627"/>
      <x:c r="I558" s="627"/>
      <x:c r="J558" s="627"/>
      <x:c r="K558" s="627"/>
      <x:c r="L558" s="627"/>
      <x:c r="M558" s="627"/>
      <x:c r="N558" s="627"/>
      <x:c r="O558" s="627"/>
      <x:c r="P558" s="627"/>
      <x:c r="Q558" s="627"/>
      <x:c r="R558" s="627"/>
      <x:c r="S558" s="627"/>
      <x:c r="BN558" s="624"/>
    </x:row>
    <x:row r="559" spans="1:66" x14ac:dyDescent="0.2">
      <x:c r="C559" s="770" t="s">
        <x:v>160</x:v>
      </x:c>
      <x:c r="D559" s="768" t="s">
        <x:v>132</x:v>
      </x:c>
      <x:c r="E559" s="647" t="s">
        <x:v>70</x:v>
      </x:c>
      <x:c r="F559" s="648">
        <x:v>0</x:v>
      </x:c>
      <x:c r="G559" s="648">
        <x:v>0</x:v>
      </x:c>
      <x:c r="H559" s="648">
        <x:v>0</x:v>
      </x:c>
      <x:c r="I559" s="648">
        <x:v>0</x:v>
      </x:c>
      <x:c r="J559" s="648">
        <x:v>0</x:v>
      </x:c>
      <x:c r="K559" s="648">
        <x:v>0</x:v>
      </x:c>
      <x:c r="L559" s="648">
        <x:v>0</x:v>
      </x:c>
      <x:c r="M559" s="648">
        <x:v>0</x:v>
      </x:c>
      <x:c r="N559" s="648">
        <x:v>0</x:v>
      </x:c>
      <x:c r="O559" s="648">
        <x:v>0</x:v>
      </x:c>
      <x:c r="P559" s="648">
        <x:v>0</x:v>
      </x:c>
      <x:c r="Q559" s="648">
        <x:v>0</x:v>
      </x:c>
      <x:c r="R559" s="648">
        <x:v>0</x:v>
      </x:c>
      <x:c r="S559" s="648">
        <x:v>0</x:v>
      </x:c>
      <x:c r="T559" s="648">
        <x:v>0</x:v>
      </x:c>
      <x:c r="U559" s="648"/>
      <x:c r="V559" s="648"/>
      <x:c r="W559" s="648"/>
      <x:c r="X559" s="648">
        <x:v>0</x:v>
      </x:c>
      <x:c r="Y559" s="648">
        <x:v>0</x:v>
      </x:c>
      <x:c r="Z559" s="648">
        <x:v>0</x:v>
      </x:c>
      <x:c r="AA559" s="648">
        <x:v>0</x:v>
      </x:c>
      <x:c r="AB559" s="648">
        <x:v>0</x:v>
      </x:c>
      <x:c r="AC559" s="648">
        <x:v>0</x:v>
      </x:c>
      <x:c r="AD559" s="648">
        <x:v>0</x:v>
      </x:c>
      <x:c r="AE559" s="648">
        <x:v>0</x:v>
      </x:c>
      <x:c r="AF559" s="648">
        <x:v>0</x:v>
      </x:c>
      <x:c r="AG559" s="648">
        <x:v>0</x:v>
      </x:c>
      <x:c r="AH559" s="648">
        <x:v>0</x:v>
      </x:c>
      <x:c r="AI559" s="648">
        <x:v>0</x:v>
      </x:c>
      <x:c r="AJ559" s="648">
        <x:v>0</x:v>
      </x:c>
      <x:c r="AK559" s="648">
        <x:v>0</x:v>
      </x:c>
      <x:c r="AL559" s="648">
        <x:v>0</x:v>
      </x:c>
      <x:c r="AM559" s="648">
        <x:v>0</x:v>
      </x:c>
      <x:c r="AN559" s="648">
        <x:v>0</x:v>
      </x:c>
      <x:c r="AO559" s="648">
        <x:v>0</x:v>
      </x:c>
      <x:c r="BN559" s="624"/>
    </x:row>
    <x:row r="560" spans="1:66" x14ac:dyDescent="0.2">
      <x:c r="C560" s="770"/>
      <x:c r="D560" s="768"/>
      <x:c r="E560" s="647" t="s">
        <x:v>73</x:v>
      </x:c>
      <x:c r="F560" s="648">
        <x:v>0</x:v>
      </x:c>
      <x:c r="G560" s="627"/>
      <x:c r="H560" s="627"/>
      <x:c r="I560" s="627"/>
      <x:c r="J560" s="627"/>
      <x:c r="K560" s="627"/>
      <x:c r="L560" s="627"/>
      <x:c r="M560" s="627"/>
      <x:c r="N560" s="627"/>
      <x:c r="O560" s="627"/>
      <x:c r="P560" s="627"/>
      <x:c r="Q560" s="627"/>
      <x:c r="R560" s="627"/>
      <x:c r="S560" s="627"/>
      <x:c r="BN560" s="624"/>
    </x:row>
    <x:row r="561" spans="1:66" x14ac:dyDescent="0.2">
      <x:c r="C561" s="770"/>
      <x:c r="D561" s="768" t="s">
        <x:v>133</x:v>
      </x:c>
      <x:c r="E561" s="649" t="s">
        <x:v>70</x:v>
      </x:c>
      <x:c r="F561" s="650">
        <x:v>0</x:v>
      </x:c>
      <x:c r="G561" s="650">
        <x:v>0</x:v>
      </x:c>
      <x:c r="H561" s="650">
        <x:v>0</x:v>
      </x:c>
      <x:c r="I561" s="650">
        <x:v>0</x:v>
      </x:c>
      <x:c r="J561" s="650">
        <x:v>0</x:v>
      </x:c>
      <x:c r="K561" s="650">
        <x:v>0</x:v>
      </x:c>
      <x:c r="L561" s="650">
        <x:v>0</x:v>
      </x:c>
      <x:c r="M561" s="650">
        <x:v>0</x:v>
      </x:c>
      <x:c r="N561" s="650">
        <x:v>0</x:v>
      </x:c>
      <x:c r="O561" s="650">
        <x:v>0</x:v>
      </x:c>
      <x:c r="P561" s="650">
        <x:v>0</x:v>
      </x:c>
      <x:c r="Q561" s="650">
        <x:v>0</x:v>
      </x:c>
      <x:c r="R561" s="650">
        <x:v>0</x:v>
      </x:c>
      <x:c r="S561" s="650">
        <x:v>0</x:v>
      </x:c>
      <x:c r="T561" s="650">
        <x:v>0</x:v>
      </x:c>
      <x:c r="U561" s="650"/>
      <x:c r="V561" s="650"/>
      <x:c r="W561" s="650"/>
      <x:c r="X561" s="650">
        <x:v>0</x:v>
      </x:c>
      <x:c r="Y561" s="650">
        <x:v>0</x:v>
      </x:c>
      <x:c r="Z561" s="650">
        <x:v>0</x:v>
      </x:c>
      <x:c r="AA561" s="650">
        <x:v>0</x:v>
      </x:c>
      <x:c r="AB561" s="650">
        <x:v>0</x:v>
      </x:c>
      <x:c r="AC561" s="650">
        <x:v>0</x:v>
      </x:c>
      <x:c r="AD561" s="650">
        <x:v>0</x:v>
      </x:c>
      <x:c r="AE561" s="650">
        <x:v>0</x:v>
      </x:c>
      <x:c r="AF561" s="650">
        <x:v>0</x:v>
      </x:c>
      <x:c r="AG561" s="650">
        <x:v>0</x:v>
      </x:c>
      <x:c r="AH561" s="650">
        <x:v>0</x:v>
      </x:c>
      <x:c r="AI561" s="650">
        <x:v>0</x:v>
      </x:c>
      <x:c r="AJ561" s="650">
        <x:v>0</x:v>
      </x:c>
      <x:c r="AK561" s="650">
        <x:v>0</x:v>
      </x:c>
      <x:c r="AL561" s="650">
        <x:v>0</x:v>
      </x:c>
      <x:c r="AM561" s="650">
        <x:v>0</x:v>
      </x:c>
      <x:c r="AN561" s="650">
        <x:v>0</x:v>
      </x:c>
      <x:c r="AO561" s="650">
        <x:v>0</x:v>
      </x:c>
      <x:c r="BN561" s="624"/>
    </x:row>
    <x:row r="562" spans="1:66" x14ac:dyDescent="0.2">
      <x:c r="C562" s="770"/>
      <x:c r="D562" s="768"/>
      <x:c r="E562" s="649" t="s">
        <x:v>73</x:v>
      </x:c>
      <x:c r="F562" s="650">
        <x:v>0</x:v>
      </x:c>
      <x:c r="G562" s="627"/>
      <x:c r="H562" s="627"/>
      <x:c r="I562" s="627"/>
      <x:c r="J562" s="627"/>
      <x:c r="K562" s="627"/>
      <x:c r="L562" s="627"/>
      <x:c r="M562" s="627"/>
      <x:c r="N562" s="627"/>
      <x:c r="O562" s="627"/>
      <x:c r="P562" s="627"/>
      <x:c r="Q562" s="627"/>
      <x:c r="R562" s="627"/>
      <x:c r="BN562" s="624"/>
    </x:row>
    <x:row r="563" spans="1:66" ht="15" x14ac:dyDescent="0.25">
      <x:c r="A563" s="625"/>
      <x:c r="C563" s="50"/>
      <x:c r="F563" s="627"/>
      <x:c r="G563" s="627"/>
      <x:c r="H563" s="627"/>
      <x:c r="I563" s="627"/>
      <x:c r="J563" s="627"/>
      <x:c r="K563" s="627"/>
      <x:c r="L563" s="627"/>
      <x:c r="M563" s="627"/>
      <x:c r="N563" s="627"/>
      <x:c r="O563" s="627"/>
      <x:c r="P563" s="627"/>
      <x:c r="Q563" s="627"/>
      <x:c r="R563" s="627"/>
      <x:c r="S563" s="627"/>
      <x:c r="BN563" s="624"/>
    </x:row>
    <x:row r="564" spans="1:66" x14ac:dyDescent="0.2">
      <x:c r="C564" s="770" t="s">
        <x:v>155</x:v>
      </x:c>
      <x:c r="D564" s="768" t="s">
        <x:v>132</x:v>
      </x:c>
      <x:c r="E564" s="651" t="s">
        <x:v>70</x:v>
      </x:c>
      <x:c r="F564" s="652">
        <x:f>F529+F504-L504</x:f>
        <x:v>0</x:v>
      </x:c>
      <x:c r="G564" s="652">
        <x:f>G504</x:f>
        <x:v>0</x:v>
      </x:c>
      <x:c r="H564" s="652">
        <x:f t="shared" ref="H564:AO564" si="31">H504</x:f>
        <x:v>0</x:v>
      </x:c>
      <x:c r="I564" s="652">
        <x:f t="shared" si="31"/>
        <x:v>0</x:v>
      </x:c>
      <x:c r="J564" s="652">
        <x:f t="shared" si="31"/>
        <x:v>0</x:v>
      </x:c>
      <x:c r="K564" s="652">
        <x:f t="shared" si="31"/>
        <x:v>0</x:v>
      </x:c>
      <x:c r="L564" s="652">
        <x:f t="shared" si="31"/>
        <x:v>0</x:v>
      </x:c>
      <x:c r="M564" s="652">
        <x:f t="shared" si="31"/>
        <x:v>0</x:v>
      </x:c>
      <x:c r="N564" s="652">
        <x:f t="shared" si="31"/>
        <x:v>0</x:v>
      </x:c>
      <x:c r="O564" s="652">
        <x:f t="shared" si="31"/>
        <x:v>0</x:v>
      </x:c>
      <x:c r="P564" s="652">
        <x:f t="shared" si="31"/>
        <x:v>0</x:v>
      </x:c>
      <x:c r="Q564" s="652">
        <x:f t="shared" si="31"/>
        <x:v>0</x:v>
      </x:c>
      <x:c r="R564" s="652">
        <x:f t="shared" si="31"/>
        <x:v>0</x:v>
      </x:c>
      <x:c r="S564" s="652">
        <x:f t="shared" si="31"/>
        <x:v>0</x:v>
      </x:c>
      <x:c r="T564" s="652">
        <x:f t="shared" si="31"/>
        <x:v>0</x:v>
      </x:c>
      <x:c r="U564" s="652">
        <x:f t="shared" si="31"/>
        <x:v>0</x:v>
      </x:c>
      <x:c r="V564" s="652">
        <x:f t="shared" si="31"/>
        <x:v>0</x:v>
      </x:c>
      <x:c r="W564" s="652">
        <x:f t="shared" si="31"/>
        <x:v>0</x:v>
      </x:c>
      <x:c r="X564" s="652">
        <x:f t="shared" si="31"/>
        <x:v>0</x:v>
      </x:c>
      <x:c r="Y564" s="652">
        <x:f t="shared" si="31"/>
        <x:v>0</x:v>
      </x:c>
      <x:c r="Z564" s="652">
        <x:f t="shared" si="31"/>
        <x:v>0</x:v>
      </x:c>
      <x:c r="AA564" s="652">
        <x:f t="shared" si="31"/>
        <x:v>0</x:v>
      </x:c>
      <x:c r="AB564" s="652">
        <x:f t="shared" si="31"/>
        <x:v>0</x:v>
      </x:c>
      <x:c r="AC564" s="652">
        <x:f t="shared" si="31"/>
        <x:v>0</x:v>
      </x:c>
      <x:c r="AD564" s="652">
        <x:f t="shared" si="31"/>
        <x:v>0</x:v>
      </x:c>
      <x:c r="AE564" s="652">
        <x:f t="shared" si="31"/>
        <x:v>0</x:v>
      </x:c>
      <x:c r="AF564" s="652">
        <x:f t="shared" si="31"/>
        <x:v>0</x:v>
      </x:c>
      <x:c r="AG564" s="652">
        <x:f t="shared" si="31"/>
        <x:v>0</x:v>
      </x:c>
      <x:c r="AH564" s="652">
        <x:f t="shared" si="31"/>
        <x:v>0</x:v>
      </x:c>
      <x:c r="AI564" s="652">
        <x:f t="shared" si="31"/>
        <x:v>0</x:v>
      </x:c>
      <x:c r="AJ564" s="652">
        <x:f t="shared" si="31"/>
        <x:v>0</x:v>
      </x:c>
      <x:c r="AK564" s="652">
        <x:f t="shared" si="31"/>
        <x:v>0</x:v>
      </x:c>
      <x:c r="AL564" s="652">
        <x:f t="shared" si="31"/>
        <x:v>0</x:v>
      </x:c>
      <x:c r="AM564" s="652">
        <x:f t="shared" si="31"/>
        <x:v>0</x:v>
      </x:c>
      <x:c r="AN564" s="652">
        <x:f t="shared" si="31"/>
        <x:v>0</x:v>
      </x:c>
      <x:c r="AO564" s="652">
        <x:f t="shared" si="31"/>
        <x:v>0</x:v>
      </x:c>
      <x:c r="BN564" s="624"/>
    </x:row>
    <x:row r="565" spans="1:66" x14ac:dyDescent="0.2">
      <x:c r="C565" s="770"/>
      <x:c r="D565" s="768"/>
      <x:c r="E565" s="651" t="s">
        <x:v>73</x:v>
      </x:c>
      <x:c r="F565" s="652">
        <x:f>F529</x:f>
        <x:v>0</x:v>
      </x:c>
      <x:c r="G565" s="627"/>
      <x:c r="H565" s="627"/>
      <x:c r="I565" s="627"/>
      <x:c r="J565" s="627"/>
      <x:c r="K565" s="627"/>
      <x:c r="L565" s="627"/>
      <x:c r="M565" s="627"/>
      <x:c r="N565" s="627"/>
      <x:c r="O565" s="627"/>
      <x:c r="P565" s="627"/>
      <x:c r="Q565" s="627"/>
      <x:c r="R565" s="627"/>
      <x:c r="S565" s="627"/>
      <x:c r="BN565" s="624"/>
    </x:row>
    <x:row r="566" spans="1:66" x14ac:dyDescent="0.2">
      <x:c r="C566" s="770"/>
      <x:c r="D566" s="768" t="s">
        <x:v>133</x:v>
      </x:c>
      <x:c r="E566" s="656" t="s">
        <x:v>70</x:v>
      </x:c>
      <x:c r="F566" s="657">
        <x:v>0</x:v>
      </x:c>
      <x:c r="G566" s="657">
        <x:v>0</x:v>
      </x:c>
      <x:c r="H566" s="657">
        <x:v>0</x:v>
      </x:c>
      <x:c r="I566" s="657">
        <x:v>0</x:v>
      </x:c>
      <x:c r="J566" s="657">
        <x:v>0</x:v>
      </x:c>
      <x:c r="K566" s="657">
        <x:v>0</x:v>
      </x:c>
      <x:c r="L566" s="657">
        <x:v>0</x:v>
      </x:c>
      <x:c r="M566" s="657">
        <x:v>0</x:v>
      </x:c>
      <x:c r="N566" s="657">
        <x:v>0</x:v>
      </x:c>
      <x:c r="O566" s="657">
        <x:v>0</x:v>
      </x:c>
      <x:c r="P566" s="657">
        <x:v>0</x:v>
      </x:c>
      <x:c r="Q566" s="657">
        <x:v>0</x:v>
      </x:c>
      <x:c r="R566" s="657">
        <x:v>0</x:v>
      </x:c>
      <x:c r="S566" s="657">
        <x:v>0</x:v>
      </x:c>
      <x:c r="T566" s="657">
        <x:v>0</x:v>
      </x:c>
      <x:c r="U566" s="657">
        <x:v>0</x:v>
      </x:c>
      <x:c r="V566" s="657">
        <x:v>0</x:v>
      </x:c>
      <x:c r="W566" s="657">
        <x:v>0</x:v>
      </x:c>
      <x:c r="X566" s="657">
        <x:v>0</x:v>
      </x:c>
      <x:c r="Y566" s="657">
        <x:v>0</x:v>
      </x:c>
      <x:c r="Z566" s="657">
        <x:v>0</x:v>
      </x:c>
      <x:c r="AA566" s="657">
        <x:v>0</x:v>
      </x:c>
      <x:c r="AB566" s="657">
        <x:v>0</x:v>
      </x:c>
      <x:c r="AC566" s="657">
        <x:v>0</x:v>
      </x:c>
      <x:c r="AD566" s="657">
        <x:v>0</x:v>
      </x:c>
      <x:c r="AE566" s="657">
        <x:v>0</x:v>
      </x:c>
      <x:c r="AF566" s="657">
        <x:v>0</x:v>
      </x:c>
      <x:c r="AG566" s="657">
        <x:v>0</x:v>
      </x:c>
      <x:c r="AH566" s="657">
        <x:v>0</x:v>
      </x:c>
      <x:c r="AI566" s="657">
        <x:v>0</x:v>
      </x:c>
      <x:c r="AJ566" s="657">
        <x:v>0</x:v>
      </x:c>
      <x:c r="AK566" s="657">
        <x:v>0</x:v>
      </x:c>
      <x:c r="AL566" s="657">
        <x:v>0</x:v>
      </x:c>
      <x:c r="AM566" s="657">
        <x:v>0</x:v>
      </x:c>
      <x:c r="AN566" s="657">
        <x:v>0</x:v>
      </x:c>
      <x:c r="AO566" s="657">
        <x:v>0</x:v>
      </x:c>
      <x:c r="BN566" s="624"/>
    </x:row>
    <x:row r="567" spans="1:66" x14ac:dyDescent="0.2">
      <x:c r="C567" s="770"/>
      <x:c r="D567" s="768"/>
      <x:c r="E567" s="656" t="s">
        <x:v>73</x:v>
      </x:c>
      <x:c r="F567" s="657">
        <x:v>0</x:v>
      </x:c>
      <x:c r="G567" s="627"/>
      <x:c r="H567" s="627"/>
      <x:c r="I567" s="627"/>
      <x:c r="J567" s="627"/>
      <x:c r="K567" s="627"/>
      <x:c r="L567" s="627"/>
      <x:c r="M567" s="627"/>
      <x:c r="N567" s="627"/>
      <x:c r="O567" s="627"/>
      <x:c r="P567" s="627"/>
      <x:c r="Q567" s="627"/>
      <x:c r="R567" s="627"/>
      <x:c r="BN567" s="624"/>
    </x:row>
    <x:row r="568" spans="1:66" ht="15" x14ac:dyDescent="0.25">
      <x:c r="A568" s="625"/>
      <x:c r="C568" s="50"/>
      <x:c r="F568" s="627"/>
      <x:c r="G568" s="627"/>
      <x:c r="H568" s="627"/>
      <x:c r="I568" s="627"/>
      <x:c r="J568" s="627"/>
      <x:c r="K568" s="627"/>
      <x:c r="L568" s="627"/>
      <x:c r="M568" s="627"/>
      <x:c r="N568" s="627"/>
      <x:c r="O568" s="627"/>
      <x:c r="P568" s="627"/>
      <x:c r="Q568" s="627"/>
      <x:c r="R568" s="627"/>
      <x:c r="S568" s="627"/>
      <x:c r="BN568" s="624"/>
    </x:row>
    <x:row r="569" spans="1:66" x14ac:dyDescent="0.2">
      <x:c r="C569" s="771" t="s">
        <x:v>326</x:v>
      </x:c>
      <x:c r="D569" s="768" t="s">
        <x:v>132</x:v>
      </x:c>
      <x:c r="E569" s="654" t="s">
        <x:v>70</x:v>
      </x:c>
      <x:c r="F569" s="655">
        <x:f>F532+F508-L508</x:f>
        <x:v>0</x:v>
      </x:c>
      <x:c r="G569" s="655">
        <x:f>G508</x:f>
        <x:v>0</x:v>
      </x:c>
      <x:c r="H569" s="655">
        <x:f t="shared" ref="H569:AO569" si="32">H508</x:f>
        <x:v>0</x:v>
      </x:c>
      <x:c r="I569" s="655">
        <x:f t="shared" si="32"/>
        <x:v>0</x:v>
      </x:c>
      <x:c r="J569" s="655">
        <x:f t="shared" si="32"/>
        <x:v>0</x:v>
      </x:c>
      <x:c r="K569" s="655">
        <x:f t="shared" si="32"/>
        <x:v>0</x:v>
      </x:c>
      <x:c r="L569" s="655">
        <x:f>L508</x:f>
        <x:v>0</x:v>
      </x:c>
      <x:c r="M569" s="655">
        <x:f t="shared" si="32"/>
        <x:v>0</x:v>
      </x:c>
      <x:c r="N569" s="655">
        <x:f t="shared" si="32"/>
        <x:v>0</x:v>
      </x:c>
      <x:c r="O569" s="655">
        <x:f t="shared" si="32"/>
        <x:v>0</x:v>
      </x:c>
      <x:c r="P569" s="655">
        <x:f t="shared" si="32"/>
        <x:v>0</x:v>
      </x:c>
      <x:c r="Q569" s="655">
        <x:f t="shared" si="32"/>
        <x:v>0</x:v>
      </x:c>
      <x:c r="R569" s="655">
        <x:f t="shared" si="32"/>
        <x:v>0</x:v>
      </x:c>
      <x:c r="S569" s="655">
        <x:f t="shared" si="32"/>
        <x:v>0</x:v>
      </x:c>
      <x:c r="T569" s="655">
        <x:f t="shared" si="32"/>
        <x:v>0</x:v>
      </x:c>
      <x:c r="U569" s="655">
        <x:f t="shared" si="32"/>
        <x:v>0</x:v>
      </x:c>
      <x:c r="V569" s="655">
        <x:f t="shared" si="32"/>
        <x:v>0</x:v>
      </x:c>
      <x:c r="W569" s="655">
        <x:f t="shared" si="32"/>
        <x:v>0</x:v>
      </x:c>
      <x:c r="X569" s="655">
        <x:f t="shared" si="32"/>
        <x:v>0</x:v>
      </x:c>
      <x:c r="Y569" s="655">
        <x:f t="shared" si="32"/>
        <x:v>0</x:v>
      </x:c>
      <x:c r="Z569" s="655">
        <x:f t="shared" si="32"/>
        <x:v>0</x:v>
      </x:c>
      <x:c r="AA569" s="655">
        <x:f t="shared" si="32"/>
        <x:v>0</x:v>
      </x:c>
      <x:c r="AB569" s="655">
        <x:f t="shared" si="32"/>
        <x:v>0</x:v>
      </x:c>
      <x:c r="AC569" s="655">
        <x:f t="shared" si="32"/>
        <x:v>0</x:v>
      </x:c>
      <x:c r="AD569" s="655">
        <x:f t="shared" si="32"/>
        <x:v>0</x:v>
      </x:c>
      <x:c r="AE569" s="655">
        <x:f t="shared" si="32"/>
        <x:v>0</x:v>
      </x:c>
      <x:c r="AF569" s="655">
        <x:f t="shared" si="32"/>
        <x:v>0</x:v>
      </x:c>
      <x:c r="AG569" s="655">
        <x:f t="shared" si="32"/>
        <x:v>0</x:v>
      </x:c>
      <x:c r="AH569" s="655">
        <x:f t="shared" si="32"/>
        <x:v>0</x:v>
      </x:c>
      <x:c r="AI569" s="655">
        <x:f t="shared" si="32"/>
        <x:v>0</x:v>
      </x:c>
      <x:c r="AJ569" s="655">
        <x:f t="shared" si="32"/>
        <x:v>0</x:v>
      </x:c>
      <x:c r="AK569" s="655">
        <x:f t="shared" si="32"/>
        <x:v>0</x:v>
      </x:c>
      <x:c r="AL569" s="655">
        <x:f t="shared" si="32"/>
        <x:v>0</x:v>
      </x:c>
      <x:c r="AM569" s="655">
        <x:f t="shared" si="32"/>
        <x:v>0</x:v>
      </x:c>
      <x:c r="AN569" s="655">
        <x:f t="shared" si="32"/>
        <x:v>0</x:v>
      </x:c>
      <x:c r="AO569" s="655">
        <x:f t="shared" si="32"/>
        <x:v>0</x:v>
      </x:c>
      <x:c r="BN569" s="624"/>
    </x:row>
    <x:row r="570" spans="1:66" x14ac:dyDescent="0.2">
      <x:c r="C570" s="771"/>
      <x:c r="D570" s="768"/>
      <x:c r="E570" s="654" t="s">
        <x:v>73</x:v>
      </x:c>
      <x:c r="F570" s="655">
        <x:f>F532</x:f>
        <x:v>0</x:v>
      </x:c>
      <x:c r="G570" s="627"/>
      <x:c r="H570" s="627"/>
      <x:c r="I570" s="627"/>
      <x:c r="J570" s="627"/>
      <x:c r="K570" s="627"/>
      <x:c r="L570" s="627"/>
      <x:c r="M570" s="627"/>
      <x:c r="N570" s="627"/>
      <x:c r="O570" s="627"/>
      <x:c r="P570" s="627"/>
      <x:c r="Q570" s="627"/>
      <x:c r="R570" s="627"/>
      <x:c r="S570" s="627"/>
      <x:c r="BN570" s="624"/>
    </x:row>
    <x:row r="571" spans="1:66" x14ac:dyDescent="0.2">
      <x:c r="C571" s="771"/>
      <x:c r="D571" s="768" t="s">
        <x:v>133</x:v>
      </x:c>
      <x:c r="E571" s="656" t="s">
        <x:v>70</x:v>
      </x:c>
      <x:c r="F571" s="657">
        <x:v>0</x:v>
      </x:c>
      <x:c r="G571" s="657">
        <x:v>0</x:v>
      </x:c>
      <x:c r="H571" s="657">
        <x:v>0</x:v>
      </x:c>
      <x:c r="I571" s="657">
        <x:v>0</x:v>
      </x:c>
      <x:c r="J571" s="657">
        <x:v>0</x:v>
      </x:c>
      <x:c r="K571" s="657">
        <x:v>0</x:v>
      </x:c>
      <x:c r="L571" s="657">
        <x:v>0</x:v>
      </x:c>
      <x:c r="M571" s="657">
        <x:v>0</x:v>
      </x:c>
      <x:c r="N571" s="657">
        <x:v>0</x:v>
      </x:c>
      <x:c r="O571" s="657">
        <x:v>0</x:v>
      </x:c>
      <x:c r="P571" s="657">
        <x:v>0</x:v>
      </x:c>
      <x:c r="Q571" s="657">
        <x:v>0</x:v>
      </x:c>
      <x:c r="R571" s="657">
        <x:v>0</x:v>
      </x:c>
      <x:c r="S571" s="657">
        <x:v>0</x:v>
      </x:c>
      <x:c r="T571" s="657">
        <x:v>0</x:v>
      </x:c>
      <x:c r="U571" s="657">
        <x:v>0</x:v>
      </x:c>
      <x:c r="V571" s="657">
        <x:v>0</x:v>
      </x:c>
      <x:c r="W571" s="657">
        <x:v>0</x:v>
      </x:c>
      <x:c r="X571" s="657">
        <x:v>0</x:v>
      </x:c>
      <x:c r="Y571" s="657">
        <x:v>0</x:v>
      </x:c>
      <x:c r="Z571" s="657">
        <x:v>0</x:v>
      </x:c>
      <x:c r="AA571" s="657">
        <x:v>0</x:v>
      </x:c>
      <x:c r="AB571" s="657">
        <x:v>0</x:v>
      </x:c>
      <x:c r="AC571" s="657">
        <x:v>0</x:v>
      </x:c>
      <x:c r="AD571" s="657">
        <x:v>0</x:v>
      </x:c>
      <x:c r="AE571" s="657">
        <x:v>0</x:v>
      </x:c>
      <x:c r="AF571" s="657">
        <x:v>0</x:v>
      </x:c>
      <x:c r="AG571" s="657">
        <x:v>0</x:v>
      </x:c>
      <x:c r="AH571" s="657">
        <x:v>0</x:v>
      </x:c>
      <x:c r="AI571" s="657">
        <x:v>0</x:v>
      </x:c>
      <x:c r="AJ571" s="657">
        <x:v>0</x:v>
      </x:c>
      <x:c r="AK571" s="657">
        <x:v>0</x:v>
      </x:c>
      <x:c r="AL571" s="657">
        <x:v>0</x:v>
      </x:c>
      <x:c r="AM571" s="657">
        <x:v>0</x:v>
      </x:c>
      <x:c r="AN571" s="657">
        <x:v>0</x:v>
      </x:c>
      <x:c r="AO571" s="657">
        <x:v>0</x:v>
      </x:c>
      <x:c r="BN571" s="624"/>
    </x:row>
    <x:row r="572" spans="1:66" x14ac:dyDescent="0.2">
      <x:c r="C572" s="771"/>
      <x:c r="D572" s="768"/>
      <x:c r="E572" s="656" t="s">
        <x:v>73</x:v>
      </x:c>
      <x:c r="F572" s="657">
        <x:v>0</x:v>
      </x:c>
      <x:c r="G572" s="627"/>
      <x:c r="H572" s="627"/>
      <x:c r="I572" s="627"/>
      <x:c r="J572" s="627"/>
      <x:c r="K572" s="627"/>
      <x:c r="L572" s="627"/>
      <x:c r="M572" s="627"/>
      <x:c r="N572" s="627"/>
      <x:c r="O572" s="627"/>
      <x:c r="P572" s="627"/>
      <x:c r="Q572" s="627"/>
      <x:c r="R572" s="627"/>
      <x:c r="BN572" s="624"/>
    </x:row>
    <x:row r="573" spans="1:66" ht="15" x14ac:dyDescent="0.2">
      <x:c r="C573" s="643"/>
      <x:c r="D573" s="644"/>
      <x:c r="E573" s="625"/>
      <x:c r="F573" s="627"/>
      <x:c r="G573" s="627"/>
      <x:c r="H573" s="627"/>
      <x:c r="I573" s="627"/>
      <x:c r="J573" s="627"/>
      <x:c r="K573" s="627"/>
      <x:c r="L573" s="627"/>
      <x:c r="M573" s="627"/>
      <x:c r="N573" s="627"/>
      <x:c r="O573" s="627"/>
      <x:c r="P573" s="627"/>
      <x:c r="Q573" s="627"/>
      <x:c r="R573" s="627"/>
      <x:c r="BN573" s="624"/>
    </x:row>
    <x:row r="574" spans="1:66" x14ac:dyDescent="0.2">
      <x:c r="C574" s="770" t="s">
        <x:v>119</x:v>
      </x:c>
      <x:c r="D574" s="768" t="s">
        <x:v>132</x:v>
      </x:c>
      <x:c r="E574" s="632" t="s">
        <x:v>70</x:v>
      </x:c>
      <x:c r="F574" s="633">
        <x:f>F518+F539-L518</x:f>
        <x:v>0</x:v>
      </x:c>
      <x:c r="G574" s="633">
        <x:f>G518</x:f>
        <x:v>0</x:v>
      </x:c>
      <x:c r="H574" s="633">
        <x:f t="shared" ref="H574:AO574" si="33">H518</x:f>
        <x:v>0</x:v>
      </x:c>
      <x:c r="I574" s="633">
        <x:f t="shared" si="33"/>
        <x:v>0</x:v>
      </x:c>
      <x:c r="J574" s="633">
        <x:f t="shared" si="33"/>
        <x:v>0</x:v>
      </x:c>
      <x:c r="K574" s="633">
        <x:f t="shared" si="33"/>
        <x:v>0</x:v>
      </x:c>
      <x:c r="L574" s="633">
        <x:f t="shared" si="33"/>
        <x:v>0</x:v>
      </x:c>
      <x:c r="M574" s="633">
        <x:f t="shared" si="33"/>
        <x:v>0</x:v>
      </x:c>
      <x:c r="N574" s="633">
        <x:f t="shared" si="33"/>
        <x:v>0</x:v>
      </x:c>
      <x:c r="O574" s="633">
        <x:f t="shared" si="33"/>
        <x:v>0</x:v>
      </x:c>
      <x:c r="P574" s="633">
        <x:f t="shared" si="33"/>
        <x:v>0</x:v>
      </x:c>
      <x:c r="Q574" s="633">
        <x:f t="shared" si="33"/>
        <x:v>0</x:v>
      </x:c>
      <x:c r="R574" s="633">
        <x:f t="shared" si="33"/>
        <x:v>0</x:v>
      </x:c>
      <x:c r="S574" s="633">
        <x:f t="shared" si="33"/>
        <x:v>0</x:v>
      </x:c>
      <x:c r="T574" s="633">
        <x:f t="shared" si="33"/>
        <x:v>0</x:v>
      </x:c>
      <x:c r="U574" s="633">
        <x:f t="shared" si="33"/>
        <x:v>0</x:v>
      </x:c>
      <x:c r="V574" s="633">
        <x:f t="shared" si="33"/>
        <x:v>0</x:v>
      </x:c>
      <x:c r="W574" s="633">
        <x:f t="shared" si="33"/>
        <x:v>0</x:v>
      </x:c>
      <x:c r="X574" s="633">
        <x:f t="shared" si="33"/>
        <x:v>0</x:v>
      </x:c>
      <x:c r="Y574" s="633">
        <x:f t="shared" si="33"/>
        <x:v>0</x:v>
      </x:c>
      <x:c r="Z574" s="633">
        <x:f t="shared" si="33"/>
        <x:v>0</x:v>
      </x:c>
      <x:c r="AA574" s="633">
        <x:f t="shared" si="33"/>
        <x:v>0</x:v>
      </x:c>
      <x:c r="AB574" s="633">
        <x:f t="shared" si="33"/>
        <x:v>0</x:v>
      </x:c>
      <x:c r="AC574" s="633">
        <x:f t="shared" si="33"/>
        <x:v>0</x:v>
      </x:c>
      <x:c r="AD574" s="633">
        <x:f t="shared" si="33"/>
        <x:v>0</x:v>
      </x:c>
      <x:c r="AE574" s="633">
        <x:f t="shared" si="33"/>
        <x:v>0</x:v>
      </x:c>
      <x:c r="AF574" s="633">
        <x:f t="shared" si="33"/>
        <x:v>0</x:v>
      </x:c>
      <x:c r="AG574" s="633">
        <x:f t="shared" si="33"/>
        <x:v>0</x:v>
      </x:c>
      <x:c r="AH574" s="633">
        <x:f t="shared" si="33"/>
        <x:v>0</x:v>
      </x:c>
      <x:c r="AI574" s="633">
        <x:f t="shared" si="33"/>
        <x:v>0</x:v>
      </x:c>
      <x:c r="AJ574" s="633">
        <x:f t="shared" si="33"/>
        <x:v>0</x:v>
      </x:c>
      <x:c r="AK574" s="633">
        <x:f t="shared" si="33"/>
        <x:v>0</x:v>
      </x:c>
      <x:c r="AL574" s="633">
        <x:f t="shared" si="33"/>
        <x:v>0</x:v>
      </x:c>
      <x:c r="AM574" s="633">
        <x:f t="shared" si="33"/>
        <x:v>0</x:v>
      </x:c>
      <x:c r="AN574" s="633">
        <x:f t="shared" si="33"/>
        <x:v>0</x:v>
      </x:c>
      <x:c r="AO574" s="633">
        <x:f t="shared" si="33"/>
        <x:v>0</x:v>
      </x:c>
      <x:c r="BN574" s="624"/>
    </x:row>
    <x:row r="575" spans="1:66" x14ac:dyDescent="0.2">
      <x:c r="C575" s="770"/>
      <x:c r="D575" s="768"/>
      <x:c r="E575" s="632" t="s">
        <x:v>73</x:v>
      </x:c>
      <x:c r="F575" s="633">
        <x:f>F539</x:f>
        <x:v>0</x:v>
      </x:c>
      <x:c r="G575" s="627"/>
      <x:c r="H575" s="627"/>
      <x:c r="I575" s="627"/>
      <x:c r="J575" s="627"/>
      <x:c r="K575" s="627"/>
      <x:c r="L575" s="627"/>
      <x:c r="M575" s="627"/>
      <x:c r="N575" s="627"/>
      <x:c r="O575" s="627"/>
      <x:c r="P575" s="627"/>
      <x:c r="Q575" s="627"/>
      <x:c r="R575" s="627"/>
      <x:c r="S575" s="627"/>
      <x:c r="BN575" s="624"/>
    </x:row>
    <x:row r="576" spans="1:66" x14ac:dyDescent="0.2">
      <x:c r="C576" s="770"/>
      <x:c r="D576" s="768" t="s">
        <x:v>133</x:v>
      </x:c>
      <x:c r="E576" s="658" t="s">
        <x:v>70</x:v>
      </x:c>
      <x:c r="F576" s="659">
        <x:f>F525+F499-L499</x:f>
        <x:v>0</x:v>
      </x:c>
      <x:c r="G576" s="659">
        <x:f>G499</x:f>
        <x:v>0</x:v>
      </x:c>
      <x:c r="H576" s="659">
        <x:f t="shared" ref="H576:AO576" si="34">H499</x:f>
        <x:v>0</x:v>
      </x:c>
      <x:c r="I576" s="659">
        <x:f t="shared" si="34"/>
        <x:v>0</x:v>
      </x:c>
      <x:c r="J576" s="659">
        <x:f t="shared" si="34"/>
        <x:v>0</x:v>
      </x:c>
      <x:c r="K576" s="659">
        <x:f t="shared" si="34"/>
        <x:v>0</x:v>
      </x:c>
      <x:c r="L576" s="659">
        <x:f t="shared" si="34"/>
        <x:v>0</x:v>
      </x:c>
      <x:c r="M576" s="659">
        <x:f t="shared" si="34"/>
        <x:v>0</x:v>
      </x:c>
      <x:c r="N576" s="659">
        <x:f t="shared" si="34"/>
        <x:v>0</x:v>
      </x:c>
      <x:c r="O576" s="659">
        <x:f t="shared" si="34"/>
        <x:v>0</x:v>
      </x:c>
      <x:c r="P576" s="659">
        <x:f t="shared" si="34"/>
        <x:v>0</x:v>
      </x:c>
      <x:c r="Q576" s="659">
        <x:f t="shared" si="34"/>
        <x:v>0</x:v>
      </x:c>
      <x:c r="R576" s="659">
        <x:f t="shared" si="34"/>
        <x:v>0</x:v>
      </x:c>
      <x:c r="S576" s="659">
        <x:f t="shared" si="34"/>
        <x:v>0</x:v>
      </x:c>
      <x:c r="T576" s="659">
        <x:f t="shared" si="34"/>
        <x:v>0</x:v>
      </x:c>
      <x:c r="U576" s="659">
        <x:f t="shared" si="34"/>
        <x:v>0</x:v>
      </x:c>
      <x:c r="V576" s="659">
        <x:f t="shared" si="34"/>
        <x:v>0</x:v>
      </x:c>
      <x:c r="W576" s="659">
        <x:f t="shared" si="34"/>
        <x:v>0</x:v>
      </x:c>
      <x:c r="X576" s="659">
        <x:f t="shared" si="34"/>
        <x:v>0</x:v>
      </x:c>
      <x:c r="Y576" s="659">
        <x:f t="shared" si="34"/>
        <x:v>0</x:v>
      </x:c>
      <x:c r="Z576" s="659">
        <x:f t="shared" si="34"/>
        <x:v>0</x:v>
      </x:c>
      <x:c r="AA576" s="659">
        <x:f t="shared" si="34"/>
        <x:v>0</x:v>
      </x:c>
      <x:c r="AB576" s="659">
        <x:f t="shared" si="34"/>
        <x:v>0</x:v>
      </x:c>
      <x:c r="AC576" s="659">
        <x:f t="shared" si="34"/>
        <x:v>0</x:v>
      </x:c>
      <x:c r="AD576" s="659">
        <x:f t="shared" si="34"/>
        <x:v>0</x:v>
      </x:c>
      <x:c r="AE576" s="659">
        <x:f t="shared" si="34"/>
        <x:v>0</x:v>
      </x:c>
      <x:c r="AF576" s="659">
        <x:f t="shared" si="34"/>
        <x:v>0</x:v>
      </x:c>
      <x:c r="AG576" s="659">
        <x:f t="shared" si="34"/>
        <x:v>0</x:v>
      </x:c>
      <x:c r="AH576" s="659">
        <x:f t="shared" si="34"/>
        <x:v>0</x:v>
      </x:c>
      <x:c r="AI576" s="659">
        <x:f t="shared" si="34"/>
        <x:v>0</x:v>
      </x:c>
      <x:c r="AJ576" s="659">
        <x:f t="shared" si="34"/>
        <x:v>0</x:v>
      </x:c>
      <x:c r="AK576" s="659">
        <x:f t="shared" si="34"/>
        <x:v>0</x:v>
      </x:c>
      <x:c r="AL576" s="659">
        <x:f t="shared" si="34"/>
        <x:v>0</x:v>
      </x:c>
      <x:c r="AM576" s="659">
        <x:f t="shared" si="34"/>
        <x:v>0</x:v>
      </x:c>
      <x:c r="AN576" s="659">
        <x:f t="shared" si="34"/>
        <x:v>0</x:v>
      </x:c>
      <x:c r="AO576" s="659">
        <x:f t="shared" si="34"/>
        <x:v>0</x:v>
      </x:c>
      <x:c r="BN576" s="624"/>
    </x:row>
    <x:row r="577" spans="1:66" x14ac:dyDescent="0.2">
      <x:c r="C577" s="770"/>
      <x:c r="D577" s="768"/>
      <x:c r="E577" s="658" t="s">
        <x:v>73</x:v>
      </x:c>
      <x:c r="F577" s="659">
        <x:f>F525</x:f>
        <x:v>0</x:v>
      </x:c>
      <x:c r="G577" s="627"/>
      <x:c r="H577" s="627"/>
      <x:c r="I577" s="627"/>
      <x:c r="J577" s="627"/>
      <x:c r="K577" s="627"/>
      <x:c r="L577" s="627"/>
      <x:c r="M577" s="627"/>
      <x:c r="N577" s="627"/>
      <x:c r="O577" s="627"/>
      <x:c r="P577" s="627"/>
      <x:c r="Q577" s="627"/>
      <x:c r="R577" s="627"/>
      <x:c r="BN577" s="624"/>
    </x:row>
    <x:row r="578" spans="1:66" ht="15" x14ac:dyDescent="0.25">
      <x:c r="A578" s="625"/>
      <x:c r="C578" s="50"/>
      <x:c r="F578" s="627"/>
      <x:c r="G578" s="627"/>
      <x:c r="H578" s="627"/>
      <x:c r="I578" s="627"/>
      <x:c r="J578" s="627"/>
      <x:c r="K578" s="627"/>
      <x:c r="L578" s="627"/>
      <x:c r="M578" s="627"/>
      <x:c r="N578" s="627"/>
      <x:c r="O578" s="627"/>
      <x:c r="P578" s="627"/>
      <x:c r="Q578" s="627"/>
      <x:c r="R578" s="627"/>
      <x:c r="S578" s="627"/>
      <x:c r="BN578" s="624"/>
    </x:row>
    <x:row r="579" spans="1:66" x14ac:dyDescent="0.2">
      <x:c r="C579" s="769" t="s">
        <x:v>161</x:v>
      </x:c>
      <x:c r="D579" s="768" t="s">
        <x:v>132</x:v>
      </x:c>
      <x:c r="E579" s="661" t="s">
        <x:v>70</x:v>
      </x:c>
      <x:c r="F579" s="662">
        <x:v>0</x:v>
      </x:c>
      <x:c r="G579" s="662">
        <x:v>0</x:v>
      </x:c>
      <x:c r="H579" s="662">
        <x:v>0</x:v>
      </x:c>
      <x:c r="I579" s="662">
        <x:v>0</x:v>
      </x:c>
      <x:c r="J579" s="662">
        <x:v>0</x:v>
      </x:c>
      <x:c r="K579" s="662">
        <x:v>0</x:v>
      </x:c>
      <x:c r="L579" s="662">
        <x:v>0</x:v>
      </x:c>
      <x:c r="M579" s="662">
        <x:v>0</x:v>
      </x:c>
      <x:c r="N579" s="662">
        <x:v>0</x:v>
      </x:c>
      <x:c r="O579" s="662">
        <x:v>0</x:v>
      </x:c>
      <x:c r="P579" s="662">
        <x:v>0</x:v>
      </x:c>
      <x:c r="Q579" s="662">
        <x:v>0</x:v>
      </x:c>
      <x:c r="R579" s="662">
        <x:v>0</x:v>
      </x:c>
      <x:c r="S579" s="662">
        <x:v>0</x:v>
      </x:c>
      <x:c r="T579" s="662">
        <x:v>0</x:v>
      </x:c>
      <x:c r="U579" s="662"/>
      <x:c r="V579" s="662"/>
      <x:c r="W579" s="662"/>
      <x:c r="X579" s="662">
        <x:v>0</x:v>
      </x:c>
      <x:c r="Y579" s="662">
        <x:v>0</x:v>
      </x:c>
      <x:c r="Z579" s="662">
        <x:v>0</x:v>
      </x:c>
      <x:c r="AA579" s="662">
        <x:v>0</x:v>
      </x:c>
      <x:c r="AB579" s="662">
        <x:v>0</x:v>
      </x:c>
      <x:c r="AC579" s="662">
        <x:v>0</x:v>
      </x:c>
      <x:c r="AD579" s="662">
        <x:v>0</x:v>
      </x:c>
      <x:c r="AE579" s="662">
        <x:v>0</x:v>
      </x:c>
      <x:c r="AF579" s="662">
        <x:v>0</x:v>
      </x:c>
      <x:c r="AG579" s="662">
        <x:v>0</x:v>
      </x:c>
      <x:c r="AH579" s="662">
        <x:v>0</x:v>
      </x:c>
      <x:c r="AI579" s="662">
        <x:v>0</x:v>
      </x:c>
      <x:c r="AJ579" s="662">
        <x:v>0</x:v>
      </x:c>
      <x:c r="AK579" s="662">
        <x:v>0</x:v>
      </x:c>
      <x:c r="AL579" s="662">
        <x:v>0</x:v>
      </x:c>
      <x:c r="AM579" s="662">
        <x:v>0</x:v>
      </x:c>
      <x:c r="AN579" s="662">
        <x:v>0</x:v>
      </x:c>
      <x:c r="AO579" s="662">
        <x:v>0</x:v>
      </x:c>
      <x:c r="BN579" s="624"/>
    </x:row>
    <x:row r="580" spans="1:66" x14ac:dyDescent="0.2">
      <x:c r="C580" s="769"/>
      <x:c r="D580" s="768"/>
      <x:c r="E580" s="661" t="s">
        <x:v>73</x:v>
      </x:c>
      <x:c r="F580" s="662">
        <x:v>0</x:v>
      </x:c>
      <x:c r="G580" s="627"/>
      <x:c r="H580" s="627"/>
      <x:c r="I580" s="627"/>
      <x:c r="J580" s="627"/>
      <x:c r="K580" s="627"/>
      <x:c r="L580" s="627"/>
      <x:c r="M580" s="627"/>
      <x:c r="N580" s="627"/>
      <x:c r="O580" s="627"/>
      <x:c r="P580" s="627"/>
      <x:c r="Q580" s="627"/>
      <x:c r="R580" s="627"/>
      <x:c r="S580" s="627"/>
      <x:c r="BN580" s="624"/>
    </x:row>
    <x:row r="581" spans="1:66" x14ac:dyDescent="0.2">
      <x:c r="C581" s="769"/>
      <x:c r="E581" s="663" t="s">
        <x:v>70</x:v>
      </x:c>
      <x:c r="F581" s="664">
        <x:v>0</x:v>
      </x:c>
      <x:c r="G581" s="664">
        <x:v>0</x:v>
      </x:c>
      <x:c r="H581" s="664">
        <x:v>0</x:v>
      </x:c>
      <x:c r="I581" s="664">
        <x:v>0</x:v>
      </x:c>
      <x:c r="J581" s="664">
        <x:v>0</x:v>
      </x:c>
      <x:c r="K581" s="664">
        <x:v>0</x:v>
      </x:c>
      <x:c r="L581" s="664">
        <x:v>0</x:v>
      </x:c>
      <x:c r="M581" s="664">
        <x:v>0</x:v>
      </x:c>
      <x:c r="N581" s="664">
        <x:v>0</x:v>
      </x:c>
      <x:c r="O581" s="664">
        <x:v>0</x:v>
      </x:c>
      <x:c r="P581" s="664">
        <x:v>0</x:v>
      </x:c>
      <x:c r="Q581" s="664">
        <x:v>0</x:v>
      </x:c>
      <x:c r="R581" s="664">
        <x:v>0</x:v>
      </x:c>
      <x:c r="S581" s="664">
        <x:v>0</x:v>
      </x:c>
      <x:c r="T581" s="664">
        <x:v>0</x:v>
      </x:c>
      <x:c r="U581" s="664"/>
      <x:c r="V581" s="664"/>
      <x:c r="W581" s="664"/>
      <x:c r="X581" s="664">
        <x:v>0</x:v>
      </x:c>
      <x:c r="Y581" s="664">
        <x:v>0</x:v>
      </x:c>
      <x:c r="Z581" s="664">
        <x:v>0</x:v>
      </x:c>
      <x:c r="AA581" s="664">
        <x:v>0</x:v>
      </x:c>
      <x:c r="BN581" s="624"/>
    </x:row>
    <x:row r="582" spans="1:66" x14ac:dyDescent="0.2">
      <x:c r="C582" s="769"/>
      <x:c r="D582" s="644" t="s">
        <x:v>132</x:v>
      </x:c>
      <x:c r="E582" s="663" t="s">
        <x:v>73</x:v>
      </x:c>
      <x:c r="F582" s="664">
        <x:v>0</x:v>
      </x:c>
      <x:c r="G582" s="627"/>
      <x:c r="H582" s="627"/>
      <x:c r="I582" s="627"/>
      <x:c r="J582" s="627"/>
      <x:c r="K582" s="627"/>
      <x:c r="L582" s="627"/>
      <x:c r="M582" s="627"/>
      <x:c r="N582" s="627"/>
      <x:c r="O582" s="627"/>
      <x:c r="P582" s="627"/>
      <x:c r="Q582" s="627"/>
      <x:c r="R582" s="627"/>
      <x:c r="BN582" s="624"/>
    </x:row>
    <x:row r="583" spans="1:66" ht="15" x14ac:dyDescent="0.2">
      <x:c r="C583" s="660"/>
      <x:c r="D583" s="644"/>
      <x:c r="E583" s="625"/>
      <x:c r="F583" s="627"/>
      <x:c r="G583" s="627"/>
      <x:c r="H583" s="627"/>
      <x:c r="I583" s="627"/>
      <x:c r="J583" s="627"/>
      <x:c r="K583" s="627"/>
      <x:c r="L583" s="627"/>
      <x:c r="M583" s="627"/>
      <x:c r="N583" s="627"/>
      <x:c r="O583" s="627"/>
      <x:c r="P583" s="627"/>
      <x:c r="Q583" s="627"/>
      <x:c r="R583" s="627"/>
      <x:c r="BN583" s="624"/>
    </x:row>
    <x:row r="584" spans="1:66" x14ac:dyDescent="0.2">
      <x:c r="D584" s="634" t="s">
        <x:v>185</x:v>
      </x:c>
      <x:c r="E584" s="665" t="s">
        <x:v>70</x:v>
      </x:c>
      <x:c r="F584" s="666">
        <x:v>0</x:v>
      </x:c>
      <x:c r="G584" s="666">
        <x:v>0</x:v>
      </x:c>
      <x:c r="H584" s="666">
        <x:v>0</x:v>
      </x:c>
      <x:c r="I584" s="666">
        <x:v>0</x:v>
      </x:c>
      <x:c r="J584" s="666">
        <x:v>0</x:v>
      </x:c>
      <x:c r="K584" s="666">
        <x:v>0</x:v>
      </x:c>
      <x:c r="L584" s="666">
        <x:v>0</x:v>
      </x:c>
      <x:c r="M584" s="666">
        <x:v>0</x:v>
      </x:c>
      <x:c r="N584" s="666">
        <x:v>0</x:v>
      </x:c>
      <x:c r="O584" s="666">
        <x:v>0</x:v>
      </x:c>
      <x:c r="P584" s="666">
        <x:v>0</x:v>
      </x:c>
      <x:c r="Q584" s="666">
        <x:v>0</x:v>
      </x:c>
      <x:c r="R584" s="666">
        <x:v>0</x:v>
      </x:c>
      <x:c r="S584" s="666">
        <x:v>0</x:v>
      </x:c>
      <x:c r="T584" s="666">
        <x:v>0</x:v>
      </x:c>
      <x:c r="U584" s="666">
        <x:v>0</x:v>
      </x:c>
      <x:c r="V584" s="666">
        <x:v>0</x:v>
      </x:c>
      <x:c r="W584" s="666">
        <x:v>0</x:v>
      </x:c>
      <x:c r="X584" s="666">
        <x:v>0</x:v>
      </x:c>
      <x:c r="Y584" s="666">
        <x:v>0</x:v>
      </x:c>
      <x:c r="Z584" s="666">
        <x:v>0</x:v>
      </x:c>
      <x:c r="AA584" s="666">
        <x:v>0</x:v>
      </x:c>
      <x:c r="BN584" s="624"/>
    </x:row>
    <x:row r="585" spans="1:66" ht="15" x14ac:dyDescent="0.2">
      <x:c r="C585" s="660"/>
      <x:c r="D585" s="644"/>
      <x:c r="E585" s="625"/>
      <x:c r="F585" s="627"/>
      <x:c r="G585" s="627"/>
      <x:c r="H585" s="627"/>
      <x:c r="I585" s="627"/>
      <x:c r="J585" s="627"/>
      <x:c r="K585" s="627"/>
      <x:c r="L585" s="627"/>
      <x:c r="M585" s="627"/>
      <x:c r="N585" s="627"/>
      <x:c r="O585" s="627"/>
      <x:c r="P585" s="627"/>
      <x:c r="Q585" s="627"/>
      <x:c r="R585" s="627"/>
      <x:c r="BN585" s="624"/>
    </x:row>
    <x:row r="586" spans="1:66" x14ac:dyDescent="0.2">
      <x:c r="A586" s="624"/>
      <x:c r="B586" s="624"/>
      <x:c r="C586" s="624"/>
      <x:c r="D586" s="624"/>
      <x:c r="E586" s="624"/>
      <x:c r="F586" s="624"/>
      <x:c r="G586" s="624"/>
      <x:c r="H586" s="624"/>
      <x:c r="I586" s="624"/>
      <x:c r="J586" s="624"/>
      <x:c r="K586" s="624"/>
      <x:c r="L586" s="624"/>
      <x:c r="M586" s="624"/>
      <x:c r="N586" s="624"/>
      <x:c r="O586" s="624"/>
      <x:c r="P586" s="624"/>
      <x:c r="Q586" s="624"/>
      <x:c r="R586" s="624"/>
      <x:c r="S586" s="624"/>
      <x:c r="T586" s="624"/>
      <x:c r="U586" s="624"/>
      <x:c r="V586" s="624"/>
      <x:c r="W586" s="624"/>
      <x:c r="X586" s="624"/>
      <x:c r="Y586" s="624"/>
      <x:c r="Z586" s="624"/>
      <x:c r="AA586" s="624"/>
      <x:c r="AB586" s="624"/>
      <x:c r="AC586" s="624"/>
      <x:c r="AD586" s="624"/>
      <x:c r="AE586" s="624"/>
      <x:c r="AF586" s="624"/>
      <x:c r="AG586" s="624"/>
      <x:c r="AH586" s="624"/>
      <x:c r="AI586" s="624"/>
      <x:c r="AJ586" s="624"/>
      <x:c r="AK586" s="624"/>
      <x:c r="AL586" s="624"/>
      <x:c r="AM586" s="624"/>
      <x:c r="AN586" s="624"/>
      <x:c r="AO586" s="624"/>
      <x:c r="AP586" s="624"/>
      <x:c r="AQ586" s="624"/>
      <x:c r="AR586" s="624"/>
      <x:c r="AS586" s="624"/>
      <x:c r="AT586" s="624"/>
      <x:c r="AU586" s="624"/>
      <x:c r="AV586" s="624"/>
      <x:c r="AW586" s="624"/>
      <x:c r="AX586" s="624"/>
      <x:c r="AY586" s="624"/>
      <x:c r="AZ586" s="624"/>
      <x:c r="BA586" s="624"/>
      <x:c r="BB586" s="624"/>
      <x:c r="BC586" s="624"/>
      <x:c r="BD586" s="624"/>
      <x:c r="BE586" s="624"/>
      <x:c r="BF586" s="624"/>
      <x:c r="BG586" s="624"/>
      <x:c r="BH586" s="624"/>
      <x:c r="BI586" s="624"/>
      <x:c r="BJ586" s="624"/>
      <x:c r="BK586" s="624"/>
      <x:c r="BL586" s="624"/>
      <x:c r="BM586" s="624"/>
      <x:c r="BN586" s="624"/>
    </x:row>
  </x:sheetData>
  <x:mergeCells count="87">
    <x:mergeCell ref="D340:D341"/>
    <x:mergeCell ref="D342:D343"/>
    <x:mergeCell ref="C209:C212"/>
    <x:mergeCell ref="D209:D210"/>
    <x:mergeCell ref="D211:D212"/>
    <x:mergeCell ref="C219:C222"/>
    <x:mergeCell ref="D219:D220"/>
    <x:mergeCell ref="C325:C328"/>
    <x:mergeCell ref="D325:D326"/>
    <x:mergeCell ref="D327:D328"/>
    <x:mergeCell ref="C579:C582"/>
    <x:mergeCell ref="C554:C557"/>
    <x:mergeCell ref="D554:D555"/>
    <x:mergeCell ref="D556:D557"/>
    <x:mergeCell ref="C559:C562"/>
    <x:mergeCell ref="D559:D560"/>
    <x:mergeCell ref="D561:D562"/>
    <x:mergeCell ref="C564:C567"/>
    <x:mergeCell ref="D564:D565"/>
    <x:mergeCell ref="D566:D567"/>
    <x:mergeCell ref="C574:C577"/>
    <x:mergeCell ref="D574:D575"/>
    <x:mergeCell ref="D576:D577"/>
    <x:mergeCell ref="D579:D580"/>
    <x:mergeCell ref="C569:C572"/>
    <x:mergeCell ref="D569:D570"/>
    <x:mergeCell ref="D206:D207"/>
    <x:mergeCell ref="D216:D217"/>
    <x:mergeCell ref="C75:C78"/>
    <x:mergeCell ref="D75:D76"/>
    <x:mergeCell ref="D77:D78"/>
    <x:mergeCell ref="C194:C197"/>
    <x:mergeCell ref="D194:D195"/>
    <x:mergeCell ref="D196:D197"/>
    <x:mergeCell ref="C199:C202"/>
    <x:mergeCell ref="D199:D200"/>
    <x:mergeCell ref="D204:D205"/>
    <x:mergeCell ref="C204:C207"/>
    <x:mergeCell ref="C214:C217"/>
    <x:mergeCell ref="D214:D215"/>
    <x:mergeCell ref="D72:D73"/>
    <x:mergeCell ref="C55:C58"/>
    <x:mergeCell ref="C60:C63"/>
    <x:mergeCell ref="D201:D202"/>
    <x:mergeCell ref="C50:C53"/>
    <x:mergeCell ref="D50:D51"/>
    <x:mergeCell ref="D52:D53"/>
    <x:mergeCell ref="C70:C73"/>
    <x:mergeCell ref="D55:D56"/>
    <x:mergeCell ref="D57:D58"/>
    <x:mergeCell ref="D60:D61"/>
    <x:mergeCell ref="D62:D63"/>
    <x:mergeCell ref="D70:D71"/>
    <x:mergeCell ref="C65:C68"/>
    <x:mergeCell ref="D65:D66"/>
    <x:mergeCell ref="D67:D68"/>
    <x:mergeCell ref="C456:C459"/>
    <x:mergeCell ref="D456:D457"/>
    <x:mergeCell ref="D458:D459"/>
    <x:mergeCell ref="C330:C333"/>
    <x:mergeCell ref="D330:D331"/>
    <x:mergeCell ref="D332:D333"/>
    <x:mergeCell ref="C335:C338"/>
    <x:mergeCell ref="D335:D336"/>
    <x:mergeCell ref="D337:D338"/>
    <x:mergeCell ref="C345:C348"/>
    <x:mergeCell ref="D345:D346"/>
    <x:mergeCell ref="D347:D348"/>
    <x:mergeCell ref="C350:C353"/>
    <x:mergeCell ref="D350:D351"/>
    <x:mergeCell ref="D352:D353"/>
    <x:mergeCell ref="C340:C343"/>
    <x:mergeCell ref="D571:D572"/>
    <x:mergeCell ref="C481:C484"/>
    <x:mergeCell ref="C461:C464"/>
    <x:mergeCell ref="D461:D462"/>
    <x:mergeCell ref="D463:D464"/>
    <x:mergeCell ref="C466:C469"/>
    <x:mergeCell ref="D466:D467"/>
    <x:mergeCell ref="D468:D469"/>
    <x:mergeCell ref="C476:C479"/>
    <x:mergeCell ref="D476:D477"/>
    <x:mergeCell ref="D478:D479"/>
    <x:mergeCell ref="D481:D482"/>
    <x:mergeCell ref="C471:C474"/>
    <x:mergeCell ref="D471:D472"/>
    <x:mergeCell ref="D473:D474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55"/>
  <x:sheetViews>
    <x:sheetView zoomScale="89" zoomScaleNormal="89" workbookViewId="0">
      <x:pane ySplit="2" topLeftCell="A3" activePane="bottomLeft" state="frozen"/>
      <x:selection activeCell="A6" sqref="A6"/>
      <x:selection pane="bottomLeft" activeCell="D1" sqref="D1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9.85546875" style="25" bestFit="1" customWidth="1"/>
    <x:col min="3" max="3" width="12.7109375" style="25" bestFit="1" customWidth="1"/>
    <x:col min="4" max="4" width="25.7109375" style="25" bestFit="1" customWidth="1"/>
    <x:col min="5" max="5" width="14.85546875" style="25" bestFit="1" customWidth="1"/>
    <x:col min="6" max="6" width="18.140625" style="25" bestFit="1" customWidth="1"/>
    <x:col min="7" max="7" width="17.85546875" style="25" bestFit="1" customWidth="1"/>
    <x:col min="8" max="8" width="20.140625" style="25" bestFit="1" customWidth="1"/>
    <x:col min="9" max="9" width="18.42578125" style="25" bestFit="1" customWidth="1"/>
    <x:col min="10" max="10" width="19.42578125" style="25" bestFit="1" customWidth="1"/>
    <x:col min="11" max="11" width="11.5703125" style="25" bestFit="1" customWidth="1"/>
    <x:col min="12" max="12" width="18.28515625" style="25" bestFit="1" customWidth="1"/>
    <x:col min="13" max="15" width="18.140625" style="25" bestFit="1" customWidth="1"/>
    <x:col min="16" max="16" width="23.28515625" style="25" bestFit="1" customWidth="1"/>
    <x:col min="17" max="17" width="10.140625" style="25" bestFit="1" customWidth="1"/>
    <x:col min="18" max="18" width="15.85546875" style="25" bestFit="1" customWidth="1"/>
    <x:col min="19" max="19" width="4.85546875" style="25" bestFit="1" customWidth="1"/>
    <x:col min="20" max="25" width="11.5703125" style="25"/>
    <x:col min="26" max="26" width="2.285156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E2" s="669" t="s">
        <x:v>70</x:v>
      </x:c>
      <x:c r="F2" s="669" t="s">
        <x:v>64</x:v>
      </x:c>
      <x:c r="G2" s="669" t="s">
        <x:v>65</x:v>
      </x:c>
      <x:c r="H2" s="674" t="s">
        <x:v>164</x:v>
      </x:c>
      <x:c r="I2" s="669" t="s">
        <x:v>69</x:v>
      </x:c>
      <x:c r="J2" s="669" t="s">
        <x:v>68</x:v>
      </x:c>
      <x:c r="K2" s="669" t="s">
        <x:v>83</x:v>
      </x:c>
      <x:c r="L2" s="669" t="s">
        <x:v>66</x:v>
      </x:c>
      <x:c r="M2" s="669" t="s">
        <x:v>63</x:v>
      </x:c>
      <x:c r="N2" s="669" t="s">
        <x:v>61</x:v>
      </x:c>
      <x:c r="O2" s="669" t="s">
        <x:v>62</x:v>
      </x:c>
      <x:c r="P2" s="669" t="s">
        <x:v>67</x:v>
      </x:c>
      <x:c r="Q2" s="669" t="s">
        <x:v>84</x:v>
      </x:c>
      <x:c r="R2" s="669" t="s">
        <x:v>226</x:v>
      </x:c>
      <x:c r="Z2" s="618"/>
    </x:row>
    <x:row r="3" spans="1:26" x14ac:dyDescent="0.2">
      <x:c r="D3" s="25" t="s">
        <x:v>72</x:v>
      </x:c>
      <x:c r="E3" s="627" t="n">
        <x:v>68638686.24</x:v>
      </x:c>
      <x:c r="F3" s="627" t="n">
        <x:v>3508770.06</x:v>
      </x:c>
      <x:c r="G3" s="627" t="n">
        <x:v>1937288.95</x:v>
      </x:c>
      <x:c r="H3" s="627" t="n">
        <x:v>1197110.4</x:v>
      </x:c>
      <x:c r="I3" s="627" t="n">
        <x:v>11380562.05</x:v>
      </x:c>
      <x:c r="J3" s="627" t="n">
        <x:v>443407.1</x:v>
      </x:c>
      <x:c r="K3" s="627" t="n">
        <x:v>144941.68</x:v>
      </x:c>
      <x:c r="L3" s="627" t="n">
        <x:v>5045467.66</x:v>
      </x:c>
      <x:c r="M3" s="627" t="n">
        <x:v>6828093.87</x:v>
      </x:c>
      <x:c r="N3" s="627" t="n">
        <x:v>27654989.83</x:v>
      </x:c>
      <x:c r="O3" s="627" t="n">
        <x:v>9809312.24</x:v>
      </x:c>
      <x:c r="P3" s="627" t="n">
        <x:v>689599.67</x:v>
      </x:c>
      <x:c r="Q3" s="627" t="n">
        <x:v>-857.27</x:v>
      </x:c>
      <x:c r="R3" s="653" t="n">
        <x:v>0</x:v>
      </x:c>
      <x:c r="Z3" s="624"/>
    </x:row>
    <x:row r="4" spans="1:26" x14ac:dyDescent="0.2">
      <x:c r="D4" s="25" t="s">
        <x:v>81</x:v>
      </x:c>
      <x:c r="E4" s="653" t="n">
        <x:v>3528.82</x:v>
      </x:c>
      <x:c r="F4" s="653" t="n">
        <x:v>170.02</x:v>
      </x:c>
      <x:c r="G4" s="653" t="n">
        <x:v>95.73</x:v>
      </x:c>
      <x:c r="H4" s="653" t="n">
        <x:v>50.84</x:v>
      </x:c>
      <x:c r="I4" s="653" t="n">
        <x:v>743.09</x:v>
      </x:c>
      <x:c r="J4" s="653" t="n">
        <x:v>33.55</x:v>
      </x:c>
      <x:c r="K4" s="653" t="n">
        <x:v>0</x:v>
      </x:c>
      <x:c r="L4" s="653" t="n">
        <x:v>294.89</x:v>
      </x:c>
      <x:c r="M4" s="653" t="n">
        <x:v>285.6</x:v>
      </x:c>
      <x:c r="N4" s="653" t="n">
        <x:v>1334.86</x:v>
      </x:c>
      <x:c r="O4" s="653" t="n">
        <x:v>465.51</x:v>
      </x:c>
      <x:c r="P4" s="653" t="n">
        <x:v>54.68</x:v>
      </x:c>
      <x:c r="Q4" s="653" t="n">
        <x:v>0.05</x:v>
      </x:c>
      <x:c r="R4" s="653" t="n">
        <x:v>0</x:v>
      </x:c>
      <x:c r="Z4" s="624"/>
    </x:row>
    <x:row r="5" spans="1:26" x14ac:dyDescent="0.2">
      <x:c r="C5" s="25" t="s">
        <x:v>156</x:v>
      </x:c>
      <x:c r="D5" s="25" t="s">
        <x:v>70</x:v>
      </x:c>
      <x:c r="E5" s="653" t="n">
        <x:v>68642215.06</x:v>
      </x:c>
      <x:c r="F5" s="653" t="n">
        <x:v>3508940.08</x:v>
      </x:c>
      <x:c r="G5" s="653" t="n">
        <x:v>1937384.68</x:v>
      </x:c>
      <x:c r="H5" s="653" t="n">
        <x:v>1197161.24</x:v>
      </x:c>
      <x:c r="I5" s="653" t="n">
        <x:v>11381305.14</x:v>
      </x:c>
      <x:c r="J5" s="653" t="n">
        <x:v>443440.65</x:v>
      </x:c>
      <x:c r="K5" s="653" t="n">
        <x:v>144941.68</x:v>
      </x:c>
      <x:c r="L5" s="653" t="n">
        <x:v>5045762.55</x:v>
      </x:c>
      <x:c r="M5" s="653" t="n">
        <x:v>6828379.47</x:v>
      </x:c>
      <x:c r="N5" s="653" t="n">
        <x:v>27656324.69</x:v>
      </x:c>
      <x:c r="O5" s="653" t="n">
        <x:v>9809777.75</x:v>
      </x:c>
      <x:c r="P5" s="653" t="n">
        <x:v>689654.35</x:v>
      </x:c>
      <x:c r="Q5" s="653" t="n">
        <x:v>-857.22</x:v>
      </x:c>
      <x:c r="R5" s="653" t="n">
        <x:v>0</x:v>
      </x:c>
      <x:c r="Z5" s="624"/>
    </x:row>
    <x:row r="6" spans="1:26" x14ac:dyDescent="0.2">
      <x:c r="A6" s="628"/>
      <x:c r="B6" s="628" t="s">
        <x:v>155</x:v>
      </x:c>
      <x:c r="C6" s="628" t="s">
        <x:v>70</x:v>
      </x:c>
      <x:c r="D6" s="628"/>
      <x:c r="E6" s="677" t="n">
        <x:v>68642215.06</x:v>
      </x:c>
      <x:c r="F6" s="677" t="n">
        <x:v>3508940.08</x:v>
      </x:c>
      <x:c r="G6" s="677" t="n">
        <x:v>1937384.68</x:v>
      </x:c>
      <x:c r="H6" s="677" t="n">
        <x:v>1197161.24</x:v>
      </x:c>
      <x:c r="I6" s="677" t="n">
        <x:v>11381305.14</x:v>
      </x:c>
      <x:c r="J6" s="677" t="n">
        <x:v>443440.65</x:v>
      </x:c>
      <x:c r="K6" s="677" t="n">
        <x:v>144941.68</x:v>
      </x:c>
      <x:c r="L6" s="677" t="n">
        <x:v>5045762.55</x:v>
      </x:c>
      <x:c r="M6" s="677" t="n">
        <x:v>6828379.47</x:v>
      </x:c>
      <x:c r="N6" s="677" t="n">
        <x:v>27656324.69</x:v>
      </x:c>
      <x:c r="O6" s="677" t="n">
        <x:v>9809777.75</x:v>
      </x:c>
      <x:c r="P6" s="677" t="n">
        <x:v>689654.35</x:v>
      </x:c>
      <x:c r="Q6" s="677" t="n">
        <x:v>-857.22</x:v>
      </x:c>
      <x:c r="R6" s="677" t="n">
        <x:v>0</x:v>
      </x:c>
      <x:c r="S6" s="628"/>
      <x:c r="T6" s="628"/>
      <x:c r="U6" s="628"/>
      <x:c r="V6" s="628"/>
      <x:c r="W6" s="628"/>
      <x:c r="X6" s="628"/>
      <x:c r="Y6" s="628"/>
      <x:c r="Z6" s="624"/>
    </x:row>
    <x:row r="7" spans="1:26" x14ac:dyDescent="0.2">
      <x:c r="D7" s="25" t="s">
        <x:v>72</x:v>
      </x:c>
      <x:c r="E7" s="653" t="n">
        <x:v>5479070.67</x:v>
      </x:c>
      <x:c r="F7" s="653" t="n">
        <x:v>243932.99</x:v>
      </x:c>
      <x:c r="G7" s="653" t="n">
        <x:v>135534</x:v>
      </x:c>
      <x:c r="H7" s="653" t="n">
        <x:v>68532.32</x:v>
      </x:c>
      <x:c r="I7" s="653" t="n">
        <x:v>1313846.94</x:v>
      </x:c>
      <x:c r="J7" s="653" t="n">
        <x:v>46576.22</x:v>
      </x:c>
      <x:c r="K7" s="653" t="n">
        <x:v>0</x:v>
      </x:c>
      <x:c r="L7" s="653" t="n">
        <x:v>417929.46</x:v>
      </x:c>
      <x:c r="M7" s="653" t="n">
        <x:v>436871.77</x:v>
      </x:c>
      <x:c r="N7" s="653" t="n">
        <x:v>2070547.96</x:v>
      </x:c>
      <x:c r="O7" s="653" t="n">
        <x:v>668883.46</x:v>
      </x:c>
      <x:c r="P7" s="653" t="n">
        <x:v>76726.72</x:v>
      </x:c>
      <x:c r="Q7" s="653" t="n">
        <x:v>-311.17</x:v>
      </x:c>
      <x:c r="R7" s="653" t="n">
        <x:v>0</x:v>
      </x:c>
      <x:c r="Z7" s="624"/>
    </x:row>
    <x:row r="8" spans="1:26" x14ac:dyDescent="0.2">
      <x:c r="D8" s="25" t="s">
        <x:v>81</x:v>
      </x:c>
      <x:c r="E8" s="653" t="n">
        <x:v>24.04</x:v>
      </x:c>
      <x:c r="F8" s="653" t="n">
        <x:v>1.51</x:v>
      </x:c>
      <x:c r="G8" s="653" t="n">
        <x:v>0.84</x:v>
      </x:c>
      <x:c r="H8" s="653" t="n">
        <x:v>0.45</x:v>
      </x:c>
      <x:c r="I8" s="653" t="n">
        <x:v>5.71</x:v>
      </x:c>
      <x:c r="J8" s="653" t="n">
        <x:v>0.14</x:v>
      </x:c>
      <x:c r="K8" s="653" t="n">
        <x:v>0</x:v>
      </x:c>
      <x:c r="L8" s="653" t="n">
        <x:v>1.12</x:v>
      </x:c>
      <x:c r="M8" s="653" t="n">
        <x:v>1.78</x:v>
      </x:c>
      <x:c r="N8" s="653" t="n">
        <x:v>8.4</x:v>
      </x:c>
      <x:c r="O8" s="653" t="n">
        <x:v>3.85</x:v>
      </x:c>
      <x:c r="P8" s="653" t="n">
        <x:v>0.24</x:v>
      </x:c>
      <x:c r="Q8" s="653" t="n">
        <x:v>0</x:v>
      </x:c>
      <x:c r="R8" s="653" t="n">
        <x:v>0</x:v>
      </x:c>
      <x:c r="Z8" s="624"/>
    </x:row>
    <x:row r="9" spans="1:26" x14ac:dyDescent="0.2">
      <x:c r="C9" s="25" t="s">
        <x:v>82</x:v>
      </x:c>
      <x:c r="D9" s="25" t="s">
        <x:v>70</x:v>
      </x:c>
      <x:c r="E9" s="653" t="n">
        <x:v>5479094.71</x:v>
      </x:c>
      <x:c r="F9" s="653" t="n">
        <x:v>243934.5</x:v>
      </x:c>
      <x:c r="G9" s="653" t="n">
        <x:v>135534.84</x:v>
      </x:c>
      <x:c r="H9" s="653" t="n">
        <x:v>68532.77</x:v>
      </x:c>
      <x:c r="I9" s="653" t="n">
        <x:v>1313852.65</x:v>
      </x:c>
      <x:c r="J9" s="653" t="n">
        <x:v>46576.36</x:v>
      </x:c>
      <x:c r="K9" s="653" t="n">
        <x:v>0</x:v>
      </x:c>
      <x:c r="L9" s="653" t="n">
        <x:v>417930.58</x:v>
      </x:c>
      <x:c r="M9" s="653" t="n">
        <x:v>436873.55</x:v>
      </x:c>
      <x:c r="N9" s="653" t="n">
        <x:v>2070556.36</x:v>
      </x:c>
      <x:c r="O9" s="653" t="n">
        <x:v>668887.31</x:v>
      </x:c>
      <x:c r="P9" s="653" t="n">
        <x:v>76726.96</x:v>
      </x:c>
      <x:c r="Q9" s="653" t="n">
        <x:v>-311.17</x:v>
      </x:c>
      <x:c r="R9" s="653" t="n">
        <x:v>0</x:v>
      </x:c>
      <x:c r="Z9" s="624"/>
    </x:row>
    <x:row r="10" spans="1:26" x14ac:dyDescent="0.2">
      <x:c r="D10" s="25" t="s">
        <x:v>72</x:v>
      </x:c>
      <x:c r="E10" s="653" t="n">
        <x:v>2699596.44</x:v>
      </x:c>
      <x:c r="F10" s="653" t="n">
        <x:v>95549.78</x:v>
      </x:c>
      <x:c r="G10" s="653" t="n">
        <x:v>53478.14</x:v>
      </x:c>
      <x:c r="H10" s="653" t="n">
        <x:v>29682.43</x:v>
      </x:c>
      <x:c r="I10" s="653" t="n">
        <x:v>366661.73</x:v>
      </x:c>
      <x:c r="J10" s="653" t="n">
        <x:v>13313.03</x:v>
      </x:c>
      <x:c r="K10" s="653" t="n">
        <x:v>0</x:v>
      </x:c>
      <x:c r="L10" s="653" t="n">
        <x:v>130811.46</x:v>
      </x:c>
      <x:c r="M10" s="653" t="n">
        <x:v>240997.61</x:v>
      </x:c>
      <x:c r="N10" s="653" t="n">
        <x:v>1493886.79</x:v>
      </x:c>
      <x:c r="O10" s="653" t="n">
        <x:v>253812.51</x:v>
      </x:c>
      <x:c r="P10" s="653" t="n">
        <x:v>21392.67</x:v>
      </x:c>
      <x:c r="Q10" s="653" t="n">
        <x:v>10.29</x:v>
      </x:c>
      <x:c r="R10" s="653" t="n">
        <x:v>0</x:v>
      </x:c>
      <x:c r="Z10" s="624"/>
    </x:row>
    <x:row r="11" spans="1:26" x14ac:dyDescent="0.2">
      <x:c r="D11" s="25" t="s">
        <x:v>81</x:v>
      </x:c>
      <x:c r="E11" s="653" t="n">
        <x:v>170.73</x:v>
      </x:c>
      <x:c r="F11" s="653" t="n">
        <x:v>2.1</x:v>
      </x:c>
      <x:c r="G11" s="653" t="n">
        <x:v>1.34</x:v>
      </x:c>
      <x:c r="H11" s="653" t="n">
        <x:v>0.69</x:v>
      </x:c>
      <x:c r="I11" s="653" t="n">
        <x:v>38.16</x:v>
      </x:c>
      <x:c r="J11" s="653" t="n">
        <x:v>1.84</x:v>
      </x:c>
      <x:c r="K11" s="653" t="n">
        <x:v>0</x:v>
      </x:c>
      <x:c r="L11" s="653" t="n">
        <x:v>16.16</x:v>
      </x:c>
      <x:c r="M11" s="653" t="n">
        <x:v>20.39</x:v>
      </x:c>
      <x:c r="N11" s="653" t="n">
        <x:v>80.99</x:v>
      </x:c>
      <x:c r="O11" s="653" t="n">
        <x:v>6.05</x:v>
      </x:c>
      <x:c r="P11" s="653" t="n">
        <x:v>3.01</x:v>
      </x:c>
      <x:c r="Q11" s="653" t="n">
        <x:v>0</x:v>
      </x:c>
      <x:c r="R11" s="653" t="n">
        <x:v>0</x:v>
      </x:c>
      <x:c r="Z11" s="624"/>
    </x:row>
    <x:row r="12" spans="1:26" x14ac:dyDescent="0.2">
      <x:c r="C12" s="25" t="s">
        <x:v>86</x:v>
      </x:c>
      <x:c r="D12" s="25" t="s">
        <x:v>70</x:v>
      </x:c>
      <x:c r="E12" s="653" t="n">
        <x:v>2699767.17</x:v>
      </x:c>
      <x:c r="F12" s="653" t="n">
        <x:v>95551.88</x:v>
      </x:c>
      <x:c r="G12" s="653" t="n">
        <x:v>53479.48</x:v>
      </x:c>
      <x:c r="H12" s="653" t="n">
        <x:v>29683.12</x:v>
      </x:c>
      <x:c r="I12" s="653" t="n">
        <x:v>366699.89</x:v>
      </x:c>
      <x:c r="J12" s="653" t="n">
        <x:v>13314.87</x:v>
      </x:c>
      <x:c r="K12" s="653" t="n">
        <x:v>0</x:v>
      </x:c>
      <x:c r="L12" s="653" t="n">
        <x:v>130827.62</x:v>
      </x:c>
      <x:c r="M12" s="653" t="n">
        <x:v>241018</x:v>
      </x:c>
      <x:c r="N12" s="653" t="n">
        <x:v>1493967.78</x:v>
      </x:c>
      <x:c r="O12" s="653" t="n">
        <x:v>253818.56</x:v>
      </x:c>
      <x:c r="P12" s="653" t="n">
        <x:v>21395.68</x:v>
      </x:c>
      <x:c r="Q12" s="653" t="n">
        <x:v>10.29</x:v>
      </x:c>
      <x:c r="R12" s="653" t="n">
        <x:v>0</x:v>
      </x:c>
      <x:c r="Z12" s="624"/>
    </x:row>
    <x:row r="13" spans="1:26" x14ac:dyDescent="0.2">
      <x:c r="D13" s="25" t="s">
        <x:v>72</x:v>
      </x:c>
      <x:c r="E13" s="653" t="n">
        <x:v>16559735.16</x:v>
      </x:c>
      <x:c r="F13" s="653" t="n">
        <x:v>1740094.46</x:v>
      </x:c>
      <x:c r="G13" s="653" t="n">
        <x:v>958303.25</x:v>
      </x:c>
      <x:c r="H13" s="653" t="n">
        <x:v>447836.01</x:v>
      </x:c>
      <x:c r="I13" s="653" t="n">
        <x:v>2709661.22</x:v>
      </x:c>
      <x:c r="J13" s="653" t="n">
        <x:v>85664.82</x:v>
      </x:c>
      <x:c r="K13" s="653" t="n">
        <x:v>0</x:v>
      </x:c>
      <x:c r="L13" s="653" t="n">
        <x:v>781263.06</x:v>
      </x:c>
      <x:c r="M13" s="653" t="n">
        <x:v>852821.92</x:v>
      </x:c>
      <x:c r="N13" s="653" t="n">
        <x:v>4145411.85</x:v>
      </x:c>
      <x:c r="O13" s="653" t="n">
        <x:v>4699990.01</x:v>
      </x:c>
      <x:c r="P13" s="653" t="n">
        <x:v>138915.45</x:v>
      </x:c>
      <x:c r="Q13" s="653" t="n">
        <x:v>-226.89</x:v>
      </x:c>
      <x:c r="R13" s="653" t="n">
        <x:v>0</x:v>
      </x:c>
      <x:c r="Z13" s="624"/>
    </x:row>
    <x:row r="14" spans="1:26" x14ac:dyDescent="0.2">
      <x:c r="D14" s="25" t="s">
        <x:v>81</x:v>
      </x:c>
      <x:c r="E14" s="653" t="n">
        <x:v>97115.22</x:v>
      </x:c>
      <x:c r="F14" s="653" t="n">
        <x:v>1611.55</x:v>
      </x:c>
      <x:c r="G14" s="653" t="n">
        <x:v>741.57</x:v>
      </x:c>
      <x:c r="H14" s="653" t="n">
        <x:v>427.39</x:v>
      </x:c>
      <x:c r="I14" s="653" t="n">
        <x:v>6355.99</x:v>
      </x:c>
      <x:c r="J14" s="653" t="n">
        <x:v>233.02</x:v>
      </x:c>
      <x:c r="K14" s="653" t="n">
        <x:v>0</x:v>
      </x:c>
      <x:c r="L14" s="653" t="n">
        <x:v>2044.02</x:v>
      </x:c>
      <x:c r="M14" s="653" t="n">
        <x:v>1803.07</x:v>
      </x:c>
      <x:c r="N14" s="653" t="n">
        <x:v>8235.95</x:v>
      </x:c>
      <x:c r="O14" s="653" t="n">
        <x:v>4412.45</x:v>
      </x:c>
      <x:c r="P14" s="653" t="n">
        <x:v>380.2</x:v>
      </x:c>
      <x:c r="Q14" s="653" t="n">
        <x:v>70870.01</x:v>
      </x:c>
      <x:c r="R14" s="653" t="n">
        <x:v>0</x:v>
      </x:c>
      <x:c r="Z14" s="624"/>
    </x:row>
    <x:row r="15" spans="1:26" x14ac:dyDescent="0.2">
      <x:c r="C15" s="625" t="s">
        <x:v>87</x:v>
      </x:c>
      <x:c r="D15" s="625" t="s">
        <x:v>70</x:v>
      </x:c>
      <x:c r="E15" s="627" t="n">
        <x:v>16656850.38</x:v>
      </x:c>
      <x:c r="F15" s="627" t="n">
        <x:v>1741706.01</x:v>
      </x:c>
      <x:c r="G15" s="627" t="n">
        <x:v>959044.82</x:v>
      </x:c>
      <x:c r="H15" s="627" t="n">
        <x:v>448263.4</x:v>
      </x:c>
      <x:c r="I15" s="627" t="n">
        <x:v>2716017.21</x:v>
      </x:c>
      <x:c r="J15" s="627" t="n">
        <x:v>85897.84</x:v>
      </x:c>
      <x:c r="K15" s="627" t="n">
        <x:v>0</x:v>
      </x:c>
      <x:c r="L15" s="627" t="n">
        <x:v>783307.08</x:v>
      </x:c>
      <x:c r="M15" s="627" t="n">
        <x:v>854624.99</x:v>
      </x:c>
      <x:c r="N15" s="627" t="n">
        <x:v>4153647.8</x:v>
      </x:c>
      <x:c r="O15" s="627" t="n">
        <x:v>4704402.46</x:v>
      </x:c>
      <x:c r="P15" s="627" t="n">
        <x:v>139295.65</x:v>
      </x:c>
      <x:c r="Q15" s="627" t="n">
        <x:v>70643.12</x:v>
      </x:c>
      <x:c r="R15" s="653" t="n">
        <x:v>0</x:v>
      </x:c>
      <x:c r="Z15" s="624"/>
    </x:row>
    <x:row r="16" spans="1:26" x14ac:dyDescent="0.2">
      <x:c r="A16" s="631"/>
      <x:c r="B16" s="632" t="s">
        <x:v>119</x:v>
      </x:c>
      <x:c r="C16" s="632" t="s">
        <x:v>70</x:v>
      </x:c>
      <x:c r="D16" s="631"/>
      <x:c r="E16" s="633" t="n">
        <x:v>24835712.26</x:v>
      </x:c>
      <x:c r="F16" s="633" t="n">
        <x:v>2081192.39</x:v>
      </x:c>
      <x:c r="G16" s="633" t="n">
        <x:v>1148059.14</x:v>
      </x:c>
      <x:c r="H16" s="633" t="n">
        <x:v>546479.29</x:v>
      </x:c>
      <x:c r="I16" s="633" t="n">
        <x:v>4396569.75</x:v>
      </x:c>
      <x:c r="J16" s="633" t="n">
        <x:v>145789.07</x:v>
      </x:c>
      <x:c r="K16" s="633" t="n">
        <x:v>0</x:v>
      </x:c>
      <x:c r="L16" s="633" t="n">
        <x:v>1332065.28</x:v>
      </x:c>
      <x:c r="M16" s="633" t="n">
        <x:v>1532516.54</x:v>
      </x:c>
      <x:c r="N16" s="633" t="n">
        <x:v>7718171.94</x:v>
      </x:c>
      <x:c r="O16" s="633" t="n">
        <x:v>5627108.33</x:v>
      </x:c>
      <x:c r="P16" s="633" t="n">
        <x:v>237418.29</x:v>
      </x:c>
      <x:c r="Q16" s="633" t="n">
        <x:v>70342.24</x:v>
      </x:c>
      <x:c r="R16" s="678" t="n">
        <x:v>0</x:v>
      </x:c>
      <x:c r="S16" s="631"/>
      <x:c r="T16" s="631"/>
      <x:c r="U16" s="631"/>
      <x:c r="V16" s="631"/>
      <x:c r="W16" s="631"/>
      <x:c r="X16" s="631"/>
      <x:c r="Y16" s="631"/>
      <x:c r="Z16" s="624"/>
    </x:row>
    <x:row r="17" spans="1:26" x14ac:dyDescent="0.2">
      <x:c r="A17" s="639" t="s">
        <x:v>78</x:v>
      </x:c>
      <x:c r="B17" s="639" t="s">
        <x:v>70</x:v>
      </x:c>
      <x:c r="C17" s="638"/>
      <x:c r="D17" s="638"/>
      <x:c r="E17" s="640" t="n">
        <x:v>93477927.32</x:v>
      </x:c>
      <x:c r="F17" s="640" t="n">
        <x:v>5590132.47</x:v>
      </x:c>
      <x:c r="G17" s="640" t="n">
        <x:v>3085443.82</x:v>
      </x:c>
      <x:c r="H17" s="640" t="n">
        <x:v>1743640.53</x:v>
      </x:c>
      <x:c r="I17" s="640" t="n">
        <x:v>15777874.89</x:v>
      </x:c>
      <x:c r="J17" s="640" t="n">
        <x:v>589229.72</x:v>
      </x:c>
      <x:c r="K17" s="640" t="n">
        <x:v>144941.68</x:v>
      </x:c>
      <x:c r="L17" s="640" t="n">
        <x:v>6377827.83</x:v>
      </x:c>
      <x:c r="M17" s="640" t="n">
        <x:v>8360896.01</x:v>
      </x:c>
      <x:c r="N17" s="640" t="n">
        <x:v>35374496.63</x:v>
      </x:c>
      <x:c r="O17" s="640" t="n">
        <x:v>15436886.08</x:v>
      </x:c>
      <x:c r="P17" s="640" t="n">
        <x:v>927072.64</x:v>
      </x:c>
      <x:c r="Q17" s="640" t="n">
        <x:v>69485.02</x:v>
      </x:c>
      <x:c r="R17" s="679" t="n">
        <x:v>0</x:v>
      </x:c>
      <x:c r="S17" s="638"/>
      <x:c r="T17" s="638"/>
      <x:c r="U17" s="638"/>
      <x:c r="V17" s="638"/>
      <x:c r="W17" s="638"/>
      <x:c r="X17" s="638"/>
      <x:c r="Y17" s="638"/>
      <x:c r="Z17" s="624"/>
    </x:row>
    <x:row r="18" spans="1:26" x14ac:dyDescent="0.2">
      <x:c r="D18" s="625" t="s">
        <x:v>73</x:v>
      </x:c>
      <x:c r="E18" s="627" t="n">
        <x:v>-16919807.52</x:v>
      </x:c>
      <x:c r="F18" s="627" t="n">
        <x:v>-6426.91</x:v>
      </x:c>
      <x:c r="G18" s="627" t="n">
        <x:v>-7107.75</x:v>
      </x:c>
      <x:c r="H18" s="627" t="n">
        <x:v>-34767.29</x:v>
      </x:c>
      <x:c r="I18" s="627" t="n">
        <x:v>-4744685.92</x:v>
      </x:c>
      <x:c r="J18" s="627" t="n">
        <x:v>-208801.3</x:v>
      </x:c>
      <x:c r="K18" s="627" t="n">
        <x:v>0</x:v>
      </x:c>
      <x:c r="L18" s="627" t="n">
        <x:v>-1830873.33</x:v>
      </x:c>
      <x:c r="M18" s="627" t="n">
        <x:v>-1718121.47</x:v>
      </x:c>
      <x:c r="N18" s="627" t="n">
        <x:v>-8045333.68</x:v>
      </x:c>
      <x:c r="O18" s="627" t="n">
        <x:v>17277.31</x:v>
      </x:c>
      <x:c r="P18" s="627" t="n">
        <x:v>-340967.18</x:v>
      </x:c>
      <x:c r="Q18" s="627" t="n">
        <x:v>0</x:v>
      </x:c>
      <x:c r="R18" s="653" t="n">
        <x:v>0</x:v>
      </x:c>
      <x:c r="Z18" s="624"/>
    </x:row>
    <x:row r="19" spans="1:26" x14ac:dyDescent="0.2">
      <x:c r="C19" s="625" t="s">
        <x:v>156</x:v>
      </x:c>
      <x:c r="D19" s="625" t="s">
        <x:v>70</x:v>
      </x:c>
      <x:c r="E19" s="627" t="n">
        <x:v>-16919807.52</x:v>
      </x:c>
      <x:c r="F19" s="627" t="n">
        <x:v>-6426.91</x:v>
      </x:c>
      <x:c r="G19" s="627" t="n">
        <x:v>-7107.75</x:v>
      </x:c>
      <x:c r="H19" s="627" t="n">
        <x:v>-34767.29</x:v>
      </x:c>
      <x:c r="I19" s="627" t="n">
        <x:v>-4744685.92</x:v>
      </x:c>
      <x:c r="J19" s="627" t="n">
        <x:v>-208801.3</x:v>
      </x:c>
      <x:c r="K19" s="627" t="n">
        <x:v>0</x:v>
      </x:c>
      <x:c r="L19" s="627" t="n">
        <x:v>-1830873.33</x:v>
      </x:c>
      <x:c r="M19" s="627" t="n">
        <x:v>-1718121.47</x:v>
      </x:c>
      <x:c r="N19" s="627" t="n">
        <x:v>-8045333.68</x:v>
      </x:c>
      <x:c r="O19" s="627" t="n">
        <x:v>17277.31</x:v>
      </x:c>
      <x:c r="P19" s="627" t="n">
        <x:v>-340967.18</x:v>
      </x:c>
      <x:c r="Q19" s="627" t="n">
        <x:v>0</x:v>
      </x:c>
      <x:c r="R19" s="653" t="n">
        <x:v>0</x:v>
      </x:c>
      <x:c r="Z19" s="624"/>
    </x:row>
    <x:row r="20" spans="1:26" x14ac:dyDescent="0.2">
      <x:c r="A20" s="628"/>
      <x:c r="B20" s="628" t="s">
        <x:v>155</x:v>
      </x:c>
      <x:c r="C20" s="628" t="s">
        <x:v>70</x:v>
      </x:c>
      <x:c r="D20" s="628"/>
      <x:c r="E20" s="677" t="n">
        <x:v>-16919807.52</x:v>
      </x:c>
      <x:c r="F20" s="677" t="n">
        <x:v>-6426.91</x:v>
      </x:c>
      <x:c r="G20" s="677" t="n">
        <x:v>-7107.75</x:v>
      </x:c>
      <x:c r="H20" s="677" t="n">
        <x:v>-34767.29</x:v>
      </x:c>
      <x:c r="I20" s="677" t="n">
        <x:v>-4744685.92</x:v>
      </x:c>
      <x:c r="J20" s="677" t="n">
        <x:v>-208801.3</x:v>
      </x:c>
      <x:c r="K20" s="677" t="n">
        <x:v>0</x:v>
      </x:c>
      <x:c r="L20" s="677" t="n">
        <x:v>-1830873.33</x:v>
      </x:c>
      <x:c r="M20" s="677" t="n">
        <x:v>-1718121.47</x:v>
      </x:c>
      <x:c r="N20" s="677" t="n">
        <x:v>-8045333.68</x:v>
      </x:c>
      <x:c r="O20" s="677" t="n">
        <x:v>17277.31</x:v>
      </x:c>
      <x:c r="P20" s="677" t="n">
        <x:v>-340967.18</x:v>
      </x:c>
      <x:c r="Q20" s="677" t="n">
        <x:v>0</x:v>
      </x:c>
      <x:c r="R20" s="677" t="n">
        <x:v>0</x:v>
      </x:c>
      <x:c r="S20" s="628"/>
      <x:c r="T20" s="628"/>
      <x:c r="U20" s="628"/>
      <x:c r="V20" s="628"/>
      <x:c r="W20" s="628"/>
      <x:c r="X20" s="628"/>
      <x:c r="Y20" s="628"/>
      <x:c r="Z20" s="624"/>
    </x:row>
    <x:row r="21" spans="1:26" x14ac:dyDescent="0.2">
      <x:c r="D21" s="625" t="s">
        <x:v>73</x:v>
      </x:c>
      <x:c r="E21" s="627" t="n">
        <x:v>-1356390.25</x:v>
      </x:c>
      <x:c r="F21" s="627" t="n">
        <x:v>-51804.26</x:v>
      </x:c>
      <x:c r="G21" s="627" t="n">
        <x:v>-28844.43</x:v>
      </x:c>
      <x:c r="H21" s="627" t="n">
        <x:v>-17259.48</x:v>
      </x:c>
      <x:c r="I21" s="627" t="n">
        <x:v>-345570.32</x:v>
      </x:c>
      <x:c r="J21" s="627" t="n">
        <x:v>-14236.76</x:v>
      </x:c>
      <x:c r="K21" s="627" t="n">
        <x:v>0</x:v>
      </x:c>
      <x:c r="L21" s="627" t="n">
        <x:v>-122635.53</x:v>
      </x:c>
      <x:c r="M21" s="627" t="n">
        <x:v>-108695.22</x:v>
      </x:c>
      <x:c r="N21" s="627" t="n">
        <x:v>-510206.19</x:v>
      </x:c>
      <x:c r="O21" s="627" t="n">
        <x:v>-133910.1</x:v>
      </x:c>
      <x:c r="P21" s="627" t="n">
        <x:v>-23227.96</x:v>
      </x:c>
      <x:c r="Q21" s="627" t="n">
        <x:v>0</x:v>
      </x:c>
      <x:c r="R21" s="653" t="n">
        <x:v>0</x:v>
      </x:c>
      <x:c r="Z21" s="624"/>
    </x:row>
    <x:row r="22" spans="1:26" x14ac:dyDescent="0.2">
      <x:c r="C22" s="625" t="s">
        <x:v>82</x:v>
      </x:c>
      <x:c r="D22" s="625" t="s">
        <x:v>70</x:v>
      </x:c>
      <x:c r="E22" s="627" t="n">
        <x:v>-1356390.25</x:v>
      </x:c>
      <x:c r="F22" s="627" t="n">
        <x:v>-51804.26</x:v>
      </x:c>
      <x:c r="G22" s="627" t="n">
        <x:v>-28844.43</x:v>
      </x:c>
      <x:c r="H22" s="627" t="n">
        <x:v>-17259.48</x:v>
      </x:c>
      <x:c r="I22" s="627" t="n">
        <x:v>-345570.32</x:v>
      </x:c>
      <x:c r="J22" s="627" t="n">
        <x:v>-14236.76</x:v>
      </x:c>
      <x:c r="K22" s="627" t="n">
        <x:v>0</x:v>
      </x:c>
      <x:c r="L22" s="627" t="n">
        <x:v>-122635.53</x:v>
      </x:c>
      <x:c r="M22" s="627" t="n">
        <x:v>-108695.22</x:v>
      </x:c>
      <x:c r="N22" s="627" t="n">
        <x:v>-510206.19</x:v>
      </x:c>
      <x:c r="O22" s="627" t="n">
        <x:v>-133910.1</x:v>
      </x:c>
      <x:c r="P22" s="627" t="n">
        <x:v>-23227.96</x:v>
      </x:c>
      <x:c r="Q22" s="627" t="n">
        <x:v>0</x:v>
      </x:c>
      <x:c r="R22" s="653" t="n">
        <x:v>0</x:v>
      </x:c>
      <x:c r="Z22" s="624"/>
    </x:row>
    <x:row r="23" spans="1:26" x14ac:dyDescent="0.2">
      <x:c r="D23" s="625" t="s">
        <x:v>73</x:v>
      </x:c>
      <x:c r="E23" s="627" t="n">
        <x:v>61917.71</x:v>
      </x:c>
      <x:c r="F23" s="627" t="n">
        <x:v>13174.66</x:v>
      </x:c>
      <x:c r="G23" s="627" t="n">
        <x:v>7205.8</x:v>
      </x:c>
      <x:c r="H23" s="627" t="n">
        <x:v>3797.3</x:v>
      </x:c>
      <x:c r="I23" s="627" t="n">
        <x:v>-12047.96</x:v>
      </x:c>
      <x:c r="J23" s="627" t="n">
        <x:v>-622.88</x:v>
      </x:c>
      <x:c r="K23" s="627" t="n">
        <x:v>0</x:v>
      </x:c>
      <x:c r="L23" s="627" t="n">
        <x:v>-5223.01</x:v>
      </x:c>
      <x:c r="M23" s="627" t="n">
        <x:v>2354.17</x:v>
      </x:c>
      <x:c r="N23" s="627" t="n">
        <x:v>15672.26</x:v>
      </x:c>
      <x:c r="O23" s="627" t="n">
        <x:v>38623.8</x:v>
      </x:c>
      <x:c r="P23" s="627" t="n">
        <x:v>-1016.43</x:v>
      </x:c>
      <x:c r="Q23" s="627" t="n">
        <x:v>0</x:v>
      </x:c>
      <x:c r="R23" s="653" t="n">
        <x:v>0</x:v>
      </x:c>
      <x:c r="Z23" s="624"/>
    </x:row>
    <x:row r="24" spans="1:26" x14ac:dyDescent="0.2">
      <x:c r="C24" s="625" t="s">
        <x:v>86</x:v>
      </x:c>
      <x:c r="D24" s="625" t="s">
        <x:v>70</x:v>
      </x:c>
      <x:c r="E24" s="627" t="n">
        <x:v>61917.71</x:v>
      </x:c>
      <x:c r="F24" s="627" t="n">
        <x:v>13174.66</x:v>
      </x:c>
      <x:c r="G24" s="627" t="n">
        <x:v>7205.8</x:v>
      </x:c>
      <x:c r="H24" s="627" t="n">
        <x:v>3797.3</x:v>
      </x:c>
      <x:c r="I24" s="627" t="n">
        <x:v>-12047.96</x:v>
      </x:c>
      <x:c r="J24" s="627" t="n">
        <x:v>-622.88</x:v>
      </x:c>
      <x:c r="K24" s="627" t="n">
        <x:v>0</x:v>
      </x:c>
      <x:c r="L24" s="627" t="n">
        <x:v>-5223.01</x:v>
      </x:c>
      <x:c r="M24" s="627" t="n">
        <x:v>2354.17</x:v>
      </x:c>
      <x:c r="N24" s="627" t="n">
        <x:v>15672.26</x:v>
      </x:c>
      <x:c r="O24" s="627" t="n">
        <x:v>38623.8</x:v>
      </x:c>
      <x:c r="P24" s="627" t="n">
        <x:v>-1016.43</x:v>
      </x:c>
      <x:c r="Q24" s="627" t="n">
        <x:v>0</x:v>
      </x:c>
      <x:c r="R24" s="653" t="n">
        <x:v>0</x:v>
      </x:c>
      <x:c r="Z24" s="624"/>
    </x:row>
    <x:row r="25" spans="1:26" x14ac:dyDescent="0.2">
      <x:c r="D25" s="625" t="s">
        <x:v>73</x:v>
      </x:c>
      <x:c r="E25" s="627" t="n">
        <x:v>4242196.61</x:v>
      </x:c>
      <x:c r="F25" s="627" t="n">
        <x:v>775349.09</x:v>
      </x:c>
      <x:c r="G25" s="627" t="n">
        <x:v>387936.56</x:v>
      </x:c>
      <x:c r="H25" s="627" t="n">
        <x:v>236215.92</x:v>
      </x:c>
      <x:c r="I25" s="627" t="n">
        <x:v>186954.68</x:v>
      </x:c>
      <x:c r="J25" s="627" t="n">
        <x:v>2849.95</x:v>
      </x:c>
      <x:c r="K25" s="627" t="n">
        <x:v>0</x:v>
      </x:c>
      <x:c r="L25" s="627" t="n">
        <x:v>32697.31</x:v>
      </x:c>
      <x:c r="M25" s="627" t="n">
        <x:v>67381.58</x:v>
      </x:c>
      <x:c r="N25" s="627" t="n">
        <x:v>316544.44</x:v>
      </x:c>
      <x:c r="O25" s="627" t="n">
        <x:v>2231313.3</x:v>
      </x:c>
      <x:c r="P25" s="627" t="n">
        <x:v>4953.78</x:v>
      </x:c>
      <x:c r="Q25" s="627" t="n">
        <x:v>0</x:v>
      </x:c>
      <x:c r="R25" s="653" t="n">
        <x:v>0</x:v>
      </x:c>
      <x:c r="Z25" s="624"/>
    </x:row>
    <x:row r="26" spans="1:26" x14ac:dyDescent="0.2">
      <x:c r="C26" s="625" t="s">
        <x:v>87</x:v>
      </x:c>
      <x:c r="D26" s="625" t="s">
        <x:v>70</x:v>
      </x:c>
      <x:c r="E26" s="627" t="n">
        <x:v>4242196.61</x:v>
      </x:c>
      <x:c r="F26" s="627" t="n">
        <x:v>775349.09</x:v>
      </x:c>
      <x:c r="G26" s="627" t="n">
        <x:v>387936.56</x:v>
      </x:c>
      <x:c r="H26" s="627" t="n">
        <x:v>236215.92</x:v>
      </x:c>
      <x:c r="I26" s="627" t="n">
        <x:v>186954.68</x:v>
      </x:c>
      <x:c r="J26" s="627" t="n">
        <x:v>2849.95</x:v>
      </x:c>
      <x:c r="K26" s="627" t="n">
        <x:v>0</x:v>
      </x:c>
      <x:c r="L26" s="627" t="n">
        <x:v>32697.31</x:v>
      </x:c>
      <x:c r="M26" s="627" t="n">
        <x:v>67381.58</x:v>
      </x:c>
      <x:c r="N26" s="627" t="n">
        <x:v>316544.44</x:v>
      </x:c>
      <x:c r="O26" s="627" t="n">
        <x:v>2231313.3</x:v>
      </x:c>
      <x:c r="P26" s="627" t="n">
        <x:v>4953.78</x:v>
      </x:c>
      <x:c r="Q26" s="627" t="n">
        <x:v>0</x:v>
      </x:c>
      <x:c r="R26" s="653" t="n">
        <x:v>0</x:v>
      </x:c>
      <x:c r="Z26" s="624"/>
    </x:row>
    <x:row r="27" spans="1:26" x14ac:dyDescent="0.2">
      <x:c r="A27" s="631"/>
      <x:c r="B27" s="632" t="s">
        <x:v>119</x:v>
      </x:c>
      <x:c r="C27" s="632" t="s">
        <x:v>70</x:v>
      </x:c>
      <x:c r="D27" s="631"/>
      <x:c r="E27" s="633" t="n">
        <x:v>2947724.07</x:v>
      </x:c>
      <x:c r="F27" s="633" t="n">
        <x:v>736719.49</x:v>
      </x:c>
      <x:c r="G27" s="633" t="n">
        <x:v>366297.93</x:v>
      </x:c>
      <x:c r="H27" s="633" t="n">
        <x:v>222753.74</x:v>
      </x:c>
      <x:c r="I27" s="633" t="n">
        <x:v>-170663.6</x:v>
      </x:c>
      <x:c r="J27" s="633" t="n">
        <x:v>-12009.69</x:v>
      </x:c>
      <x:c r="K27" s="633" t="n">
        <x:v>0</x:v>
      </x:c>
      <x:c r="L27" s="633" t="n">
        <x:v>-95161.23</x:v>
      </x:c>
      <x:c r="M27" s="633" t="n">
        <x:v>-38959.47</x:v>
      </x:c>
      <x:c r="N27" s="633" t="n">
        <x:v>-177989.49</x:v>
      </x:c>
      <x:c r="O27" s="633" t="n">
        <x:v>2136027</x:v>
      </x:c>
      <x:c r="P27" s="633" t="n">
        <x:v>-19290.61</x:v>
      </x:c>
      <x:c r="Q27" s="633" t="n">
        <x:v>0</x:v>
      </x:c>
      <x:c r="R27" s="678" t="n">
        <x:v>0</x:v>
      </x:c>
      <x:c r="S27" s="631"/>
      <x:c r="T27" s="631"/>
      <x:c r="U27" s="631"/>
      <x:c r="V27" s="631"/>
      <x:c r="W27" s="631"/>
      <x:c r="X27" s="631"/>
      <x:c r="Y27" s="631"/>
      <x:c r="Z27" s="624"/>
    </x:row>
    <x:row r="28" spans="1:26" x14ac:dyDescent="0.2">
      <x:c r="A28" s="639" t="s">
        <x:v>79</x:v>
      </x:c>
      <x:c r="B28" s="639" t="s">
        <x:v>70</x:v>
      </x:c>
      <x:c r="C28" s="638"/>
      <x:c r="D28" s="638"/>
      <x:c r="E28" s="640" t="n">
        <x:v>-13972083.45</x:v>
      </x:c>
      <x:c r="F28" s="640" t="n">
        <x:v>730292.58</x:v>
      </x:c>
      <x:c r="G28" s="640" t="n">
        <x:v>359190.18</x:v>
      </x:c>
      <x:c r="H28" s="640" t="n">
        <x:v>187986.45</x:v>
      </x:c>
      <x:c r="I28" s="640" t="n">
        <x:v>-4915349.52</x:v>
      </x:c>
      <x:c r="J28" s="640" t="n">
        <x:v>-220810.99</x:v>
      </x:c>
      <x:c r="K28" s="640" t="n">
        <x:v>0</x:v>
      </x:c>
      <x:c r="L28" s="640" t="n">
        <x:v>-1926034.56</x:v>
      </x:c>
      <x:c r="M28" s="640" t="n">
        <x:v>-1757080.94</x:v>
      </x:c>
      <x:c r="N28" s="640" t="n">
        <x:v>-8223323.17</x:v>
      </x:c>
      <x:c r="O28" s="640" t="n">
        <x:v>2153304.31</x:v>
      </x:c>
      <x:c r="P28" s="640" t="n">
        <x:v>-360257.79</x:v>
      </x:c>
      <x:c r="Q28" s="640" t="n">
        <x:v>0</x:v>
      </x:c>
      <x:c r="R28" s="679" t="n">
        <x:v>0</x:v>
      </x:c>
      <x:c r="S28" s="638"/>
      <x:c r="T28" s="638"/>
      <x:c r="U28" s="638"/>
      <x:c r="V28" s="638"/>
      <x:c r="W28" s="638"/>
      <x:c r="X28" s="638"/>
      <x:c r="Y28" s="638"/>
      <x:c r="Z28" s="624"/>
    </x:row>
    <x:row r="29" spans="1:26" x14ac:dyDescent="0.2">
      <x:c r="A29" s="625" t="s">
        <x:v>70</x:v>
      </x:c>
      <x:c r="E29" s="627" t="n">
        <x:v>79505843.87</x:v>
      </x:c>
      <x:c r="F29" s="627" t="n">
        <x:v>6320425.05</x:v>
      </x:c>
      <x:c r="G29" s="627" t="n">
        <x:v>3444634</x:v>
      </x:c>
      <x:c r="H29" s="627" t="n">
        <x:v>1931626.98</x:v>
      </x:c>
      <x:c r="I29" s="627" t="n">
        <x:v>10862525.37</x:v>
      </x:c>
      <x:c r="J29" s="627" t="n">
        <x:v>368418.73</x:v>
      </x:c>
      <x:c r="K29" s="627" t="n">
        <x:v>144941.68</x:v>
      </x:c>
      <x:c r="L29" s="627" t="n">
        <x:v>4451793.27</x:v>
      </x:c>
      <x:c r="M29" s="627" t="n">
        <x:v>6603815.07</x:v>
      </x:c>
      <x:c r="N29" s="627" t="n">
        <x:v>27151173.46</x:v>
      </x:c>
      <x:c r="O29" s="627" t="n">
        <x:v>17590190.39</x:v>
      </x:c>
      <x:c r="P29" s="627" t="n">
        <x:v>566814.85</x:v>
      </x:c>
      <x:c r="Q29" s="627" t="n">
        <x:v>69485.02</x:v>
      </x:c>
      <x:c r="R29" s="680" t="n">
        <x:v>0</x:v>
      </x:c>
      <x:c r="Z29" s="624"/>
    </x:row>
    <x:row r="30" spans="1:26" x14ac:dyDescent="0.2">
      <x:c r="A30" s="625"/>
      <x:c r="E30" s="627"/>
      <x:c r="F30" s="627"/>
      <x:c r="G30" s="627"/>
      <x:c r="H30" s="627"/>
      <x:c r="I30" s="627"/>
      <x:c r="J30" s="627"/>
      <x:c r="K30" s="627"/>
      <x:c r="L30" s="627"/>
      <x:c r="M30" s="627"/>
      <x:c r="N30" s="627"/>
      <x:c r="O30" s="627"/>
      <x:c r="P30" s="627"/>
      <x:c r="Q30" s="627"/>
      <x:c r="Z30" s="624"/>
    </x:row>
    <x:row r="31" spans="1:26" x14ac:dyDescent="0.2">
      <x:c r="A31" s="625"/>
      <x:c r="E31" s="627"/>
      <x:c r="F31" s="627"/>
      <x:c r="G31" s="627"/>
      <x:c r="H31" s="627"/>
      <x:c r="I31" s="627"/>
      <x:c r="J31" s="627"/>
      <x:c r="K31" s="627"/>
      <x:c r="L31" s="627"/>
      <x:c r="M31" s="627"/>
      <x:c r="N31" s="627"/>
      <x:c r="O31" s="627"/>
      <x:c r="P31" s="627"/>
      <x:c r="Q31" s="627"/>
      <x:c r="Z31" s="624"/>
    </x:row>
    <x:row r="32" spans="1:26" x14ac:dyDescent="0.2">
      <x:c r="A32" s="625"/>
      <x:c r="E32" s="627"/>
      <x:c r="F32" s="627"/>
      <x:c r="G32" s="627"/>
      <x:c r="H32" s="627"/>
      <x:c r="I32" s="627"/>
      <x:c r="J32" s="627"/>
      <x:c r="K32" s="627"/>
      <x:c r="L32" s="627"/>
      <x:c r="M32" s="627"/>
      <x:c r="N32" s="627"/>
      <x:c r="O32" s="627"/>
      <x:c r="P32" s="627"/>
      <x:c r="Q32" s="627"/>
      <x:c r="Z32" s="624"/>
    </x:row>
    <x:row r="33" spans="1:26" x14ac:dyDescent="0.2">
      <x:c r="A33" s="625"/>
      <x:c r="E33" s="627"/>
      <x:c r="F33" s="627"/>
      <x:c r="G33" s="627"/>
      <x:c r="H33" s="627"/>
      <x:c r="I33" s="627"/>
      <x:c r="J33" s="627"/>
      <x:c r="K33" s="627"/>
      <x:c r="L33" s="627"/>
      <x:c r="M33" s="627"/>
      <x:c r="N33" s="627"/>
      <x:c r="O33" s="627"/>
      <x:c r="P33" s="627"/>
      <x:c r="Q33" s="627"/>
      <x:c r="Z33" s="624"/>
    </x:row>
    <x:row r="34" spans="1:26" x14ac:dyDescent="0.2">
      <x:c r="A34" s="625"/>
      <x:c r="E34" s="627"/>
      <x:c r="F34" s="627"/>
      <x:c r="G34" s="627"/>
      <x:c r="H34" s="627"/>
      <x:c r="I34" s="627"/>
      <x:c r="J34" s="627"/>
      <x:c r="K34" s="627"/>
      <x:c r="L34" s="627"/>
      <x:c r="M34" s="627"/>
      <x:c r="N34" s="627"/>
      <x:c r="O34" s="627"/>
      <x:c r="P34" s="627"/>
      <x:c r="Q34" s="627"/>
      <x:c r="Z34" s="624"/>
    </x:row>
    <x:row r="35" spans="1:26" x14ac:dyDescent="0.2">
      <x:c r="A35" s="625"/>
      <x:c r="E35" s="627"/>
      <x:c r="F35" s="627"/>
      <x:c r="G35" s="627"/>
      <x:c r="H35" s="627"/>
      <x:c r="I35" s="627"/>
      <x:c r="J35" s="627"/>
      <x:c r="K35" s="627"/>
      <x:c r="L35" s="627"/>
      <x:c r="M35" s="627"/>
      <x:c r="N35" s="627"/>
      <x:c r="O35" s="627"/>
      <x:c r="P35" s="627"/>
      <x:c r="Q35" s="627"/>
      <x:c r="Z35" s="624"/>
    </x:row>
    <x:row r="36" spans="1:26" x14ac:dyDescent="0.2">
      <x:c r="A36" s="625"/>
      <x:c r="E36" s="627"/>
      <x:c r="F36" s="627"/>
      <x:c r="G36" s="627"/>
      <x:c r="H36" s="627"/>
      <x:c r="I36" s="627"/>
      <x:c r="J36" s="627"/>
      <x:c r="K36" s="627"/>
      <x:c r="L36" s="627"/>
      <x:c r="M36" s="627"/>
      <x:c r="N36" s="627"/>
      <x:c r="O36" s="627"/>
      <x:c r="P36" s="627"/>
      <x:c r="Q36" s="627"/>
      <x:c r="Z36" s="624"/>
    </x:row>
    <x:row r="37" spans="1:26" x14ac:dyDescent="0.2">
      <x:c r="A37" s="625"/>
      <x:c r="E37" s="627"/>
      <x:c r="F37" s="627"/>
      <x:c r="G37" s="627"/>
      <x:c r="H37" s="627"/>
      <x:c r="I37" s="627"/>
      <x:c r="J37" s="627"/>
      <x:c r="K37" s="627"/>
      <x:c r="L37" s="627"/>
      <x:c r="M37" s="627"/>
      <x:c r="N37" s="627"/>
      <x:c r="O37" s="627"/>
      <x:c r="P37" s="627"/>
      <x:c r="Q37" s="627"/>
      <x:c r="Z37" s="624"/>
    </x:row>
    <x:row r="38" spans="1:26" x14ac:dyDescent="0.2">
      <x:c r="A38" s="625"/>
      <x:c r="E38" s="627"/>
      <x:c r="F38" s="627"/>
      <x:c r="G38" s="627"/>
      <x:c r="H38" s="627"/>
      <x:c r="I38" s="627"/>
      <x:c r="J38" s="627"/>
      <x:c r="K38" s="627"/>
      <x:c r="L38" s="627"/>
      <x:c r="M38" s="627"/>
      <x:c r="N38" s="627"/>
      <x:c r="O38" s="627"/>
      <x:c r="P38" s="627"/>
      <x:c r="Q38" s="627"/>
      <x:c r="Z38" s="624"/>
    </x:row>
    <x:row r="39" spans="1:26" x14ac:dyDescent="0.2">
      <x:c r="A39" s="625"/>
      <x:c r="E39" s="627"/>
      <x:c r="F39" s="627"/>
      <x:c r="G39" s="627"/>
      <x:c r="H39" s="627"/>
      <x:c r="I39" s="627"/>
      <x:c r="J39" s="627"/>
      <x:c r="K39" s="627"/>
      <x:c r="L39" s="627"/>
      <x:c r="M39" s="627"/>
      <x:c r="N39" s="627"/>
      <x:c r="O39" s="627"/>
      <x:c r="P39" s="627"/>
      <x:c r="Q39" s="627"/>
      <x:c r="Z39" s="624"/>
    </x:row>
    <x:row r="40" spans="1:26" x14ac:dyDescent="0.2">
      <x:c r="A40" s="625"/>
      <x:c r="E40" s="627"/>
      <x:c r="F40" s="627"/>
      <x:c r="G40" s="627"/>
      <x:c r="H40" s="627"/>
      <x:c r="I40" s="627"/>
      <x:c r="J40" s="627"/>
      <x:c r="K40" s="627"/>
      <x:c r="L40" s="627"/>
      <x:c r="M40" s="627"/>
      <x:c r="N40" s="627"/>
      <x:c r="O40" s="627"/>
      <x:c r="P40" s="627"/>
      <x:c r="Q40" s="627"/>
      <x:c r="Z40" s="624"/>
    </x:row>
    <x:row r="41" spans="1:26" x14ac:dyDescent="0.2">
      <x:c r="A41" s="625"/>
      <x:c r="E41" s="627"/>
      <x:c r="F41" s="627"/>
      <x:c r="G41" s="627"/>
      <x:c r="H41" s="627"/>
      <x:c r="I41" s="627"/>
      <x:c r="J41" s="627"/>
      <x:c r="K41" s="627"/>
      <x:c r="L41" s="627"/>
      <x:c r="M41" s="627"/>
      <x:c r="N41" s="627"/>
      <x:c r="O41" s="627"/>
      <x:c r="P41" s="627"/>
      <x:c r="Q41" s="627"/>
      <x:c r="Z41" s="624"/>
    </x:row>
    <x:row r="42" spans="1:26" x14ac:dyDescent="0.2">
      <x:c r="A42" s="625"/>
      <x:c r="E42" s="627"/>
      <x:c r="F42" s="627"/>
      <x:c r="G42" s="627"/>
      <x:c r="H42" s="627"/>
      <x:c r="I42" s="627"/>
      <x:c r="J42" s="627"/>
      <x:c r="K42" s="627"/>
      <x:c r="L42" s="627"/>
      <x:c r="M42" s="627"/>
      <x:c r="N42" s="627"/>
      <x:c r="O42" s="627"/>
      <x:c r="P42" s="627"/>
      <x:c r="Q42" s="627"/>
      <x:c r="Z42" s="624"/>
    </x:row>
    <x:row r="43" spans="1:26" x14ac:dyDescent="0.2">
      <x:c r="B43" s="770" t="s">
        <x:v>2</x:v>
      </x:c>
      <x:c r="C43" s="768" t="s">
        <x:v>132</x:v>
      </x:c>
      <x:c r="D43" s="639" t="s">
        <x:v>70</x:v>
      </x:c>
      <x:c r="E43" s="640">
        <x:f>E17+E28-K17</x:f>
        <x:v>0</x:v>
      </x:c>
      <x:c r="F43" s="640">
        <x:f>F17</x:f>
        <x:v>0</x:v>
      </x:c>
      <x:c r="G43" s="640">
        <x:f t="shared" ref="G43:S43" si="0">G17</x:f>
        <x:v>0</x:v>
      </x:c>
      <x:c r="H43" s="640">
        <x:f t="shared" si="0"/>
        <x:v>0</x:v>
      </x:c>
      <x:c r="I43" s="640">
        <x:f t="shared" si="0"/>
        <x:v>0</x:v>
      </x:c>
      <x:c r="J43" s="640">
        <x:f t="shared" si="0"/>
        <x:v>0</x:v>
      </x:c>
      <x:c r="K43" s="640">
        <x:f t="shared" si="0"/>
        <x:v>0</x:v>
      </x:c>
      <x:c r="L43" s="640">
        <x:f t="shared" si="0"/>
        <x:v>0</x:v>
      </x:c>
      <x:c r="M43" s="640">
        <x:f t="shared" si="0"/>
        <x:v>0</x:v>
      </x:c>
      <x:c r="N43" s="640">
        <x:f t="shared" si="0"/>
        <x:v>0</x:v>
      </x:c>
      <x:c r="O43" s="640">
        <x:f t="shared" si="0"/>
        <x:v>0</x:v>
      </x:c>
      <x:c r="P43" s="640">
        <x:f t="shared" si="0"/>
        <x:v>0</x:v>
      </x:c>
      <x:c r="Q43" s="640">
        <x:f t="shared" si="0"/>
        <x:v>0</x:v>
      </x:c>
      <x:c r="R43" s="640">
        <x:f t="shared" si="0"/>
        <x:v>0</x:v>
      </x:c>
      <x:c r="S43" s="640">
        <x:f t="shared" si="0"/>
        <x:v>0</x:v>
      </x:c>
      <x:c r="Z43" s="624"/>
    </x:row>
    <x:row r="44" spans="1:26" x14ac:dyDescent="0.2">
      <x:c r="B44" s="770"/>
      <x:c r="C44" s="768"/>
      <x:c r="D44" s="639" t="s">
        <x:v>73</x:v>
      </x:c>
      <x:c r="E44" s="640">
        <x:f>E28</x:f>
        <x:v>0</x:v>
      </x:c>
      <x:c r="F44" s="627"/>
      <x:c r="G44" s="627"/>
      <x:c r="H44" s="627"/>
      <x:c r="I44" s="627"/>
      <x:c r="J44" s="627"/>
      <x:c r="K44" s="627"/>
      <x:c r="L44" s="627"/>
      <x:c r="M44" s="627"/>
      <x:c r="N44" s="627"/>
      <x:c r="O44" s="627"/>
      <x:c r="P44" s="627"/>
      <x:c r="Q44" s="627"/>
      <x:c r="R44" s="627"/>
      <x:c r="S44" s="627"/>
      <x:c r="Z44" s="624"/>
    </x:row>
    <x:row r="45" spans="1:26" ht="15" x14ac:dyDescent="0.25">
      <x:c r="A45" s="625"/>
      <x:c r="B45" s="50"/>
      <x:c r="E45" s="627"/>
      <x:c r="F45" s="627"/>
      <x:c r="G45" s="627"/>
      <x:c r="H45" s="627"/>
      <x:c r="I45" s="627"/>
      <x:c r="J45" s="627"/>
      <x:c r="K45" s="627"/>
      <x:c r="L45" s="627"/>
      <x:c r="M45" s="627"/>
      <x:c r="N45" s="627"/>
      <x:c r="O45" s="627"/>
      <x:c r="P45" s="627"/>
      <x:c r="Q45" s="627"/>
      <x:c r="R45" s="627"/>
      <x:c r="S45" s="627"/>
      <x:c r="Z45" s="624"/>
    </x:row>
    <x:row r="46" spans="1:26" x14ac:dyDescent="0.2">
      <x:c r="B46" s="770" t="s">
        <x:v>160</x:v>
      </x:c>
      <x:c r="C46" s="768" t="s">
        <x:v>132</x:v>
      </x:c>
      <x:c r="D46" s="647" t="s">
        <x:v>70</x:v>
      </x:c>
      <x:c r="E46" s="648">
        <x:v>0</x:v>
      </x:c>
      <x:c r="F46" s="648">
        <x:v>0</x:v>
      </x:c>
      <x:c r="G46" s="648">
        <x:v>0</x:v>
      </x:c>
      <x:c r="H46" s="648">
        <x:v>0</x:v>
      </x:c>
      <x:c r="I46" s="648">
        <x:v>0</x:v>
      </x:c>
      <x:c r="J46" s="648">
        <x:v>0</x:v>
      </x:c>
      <x:c r="K46" s="648">
        <x:v>0</x:v>
      </x:c>
      <x:c r="L46" s="648">
        <x:v>0</x:v>
      </x:c>
      <x:c r="M46" s="648">
        <x:v>0</x:v>
      </x:c>
      <x:c r="N46" s="648">
        <x:v>0</x:v>
      </x:c>
      <x:c r="O46" s="648">
        <x:v>0</x:v>
      </x:c>
      <x:c r="P46" s="648">
        <x:v>0</x:v>
      </x:c>
      <x:c r="Q46" s="648">
        <x:v>0</x:v>
      </x:c>
      <x:c r="R46" s="648">
        <x:v>0</x:v>
      </x:c>
      <x:c r="S46" s="648">
        <x:v>0</x:v>
      </x:c>
      <x:c r="Z46" s="624"/>
    </x:row>
    <x:row r="47" spans="1:26" x14ac:dyDescent="0.2">
      <x:c r="B47" s="770"/>
      <x:c r="C47" s="768"/>
      <x:c r="D47" s="647" t="s">
        <x:v>73</x:v>
      </x:c>
      <x:c r="E47" s="648">
        <x:v>0</x:v>
      </x:c>
      <x:c r="F47" s="627"/>
      <x:c r="G47" s="627"/>
      <x:c r="H47" s="627"/>
      <x:c r="I47" s="627"/>
      <x:c r="J47" s="627"/>
      <x:c r="K47" s="627"/>
      <x:c r="L47" s="627"/>
      <x:c r="M47" s="627"/>
      <x:c r="N47" s="627"/>
      <x:c r="O47" s="627"/>
      <x:c r="P47" s="627"/>
      <x:c r="Q47" s="627"/>
      <x:c r="R47" s="627"/>
      <x:c r="S47" s="627"/>
      <x:c r="Z47" s="624"/>
    </x:row>
    <x:row r="48" spans="1:26" ht="15" x14ac:dyDescent="0.25">
      <x:c r="A48" s="625"/>
      <x:c r="B48" s="50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P48" s="627"/>
      <x:c r="Q48" s="627"/>
      <x:c r="R48" s="627"/>
      <x:c r="S48" s="627"/>
      <x:c r="Z48" s="624"/>
    </x:row>
    <x:row r="49" spans="1:26" x14ac:dyDescent="0.2">
      <x:c r="B49" s="770" t="s">
        <x:v>155</x:v>
      </x:c>
      <x:c r="C49" s="768" t="s">
        <x:v>132</x:v>
      </x:c>
      <x:c r="D49" s="651" t="s">
        <x:v>70</x:v>
      </x:c>
      <x:c r="E49" s="652">
        <x:f>E20+E6-K6</x:f>
        <x:v>0</x:v>
      </x:c>
      <x:c r="F49" s="652">
        <x:f>F6</x:f>
        <x:v>0</x:v>
      </x:c>
      <x:c r="G49" s="652">
        <x:f t="shared" ref="G49:S49" si="1">G6</x:f>
        <x:v>0</x:v>
      </x:c>
      <x:c r="H49" s="652">
        <x:f t="shared" si="1"/>
        <x:v>0</x:v>
      </x:c>
      <x:c r="I49" s="652">
        <x:f t="shared" si="1"/>
        <x:v>0</x:v>
      </x:c>
      <x:c r="J49" s="652">
        <x:f t="shared" si="1"/>
        <x:v>0</x:v>
      </x:c>
      <x:c r="K49" s="652">
        <x:f t="shared" si="1"/>
        <x:v>0</x:v>
      </x:c>
      <x:c r="L49" s="652">
        <x:f t="shared" si="1"/>
        <x:v>0</x:v>
      </x:c>
      <x:c r="M49" s="652">
        <x:f t="shared" si="1"/>
        <x:v>0</x:v>
      </x:c>
      <x:c r="N49" s="652">
        <x:f t="shared" si="1"/>
        <x:v>0</x:v>
      </x:c>
      <x:c r="O49" s="652">
        <x:f t="shared" si="1"/>
        <x:v>0</x:v>
      </x:c>
      <x:c r="P49" s="652">
        <x:f t="shared" si="1"/>
        <x:v>0</x:v>
      </x:c>
      <x:c r="Q49" s="652">
        <x:f t="shared" si="1"/>
        <x:v>0</x:v>
      </x:c>
      <x:c r="R49" s="652">
        <x:f t="shared" si="1"/>
        <x:v>0</x:v>
      </x:c>
      <x:c r="S49" s="652">
        <x:f t="shared" si="1"/>
        <x:v>0</x:v>
      </x:c>
      <x:c r="Z49" s="624"/>
    </x:row>
    <x:row r="50" spans="1:26" x14ac:dyDescent="0.2">
      <x:c r="B50" s="770"/>
      <x:c r="C50" s="768"/>
      <x:c r="D50" s="651" t="s">
        <x:v>73</x:v>
      </x:c>
      <x:c r="E50" s="652">
        <x:f>E20</x:f>
        <x:v>0</x:v>
      </x:c>
      <x:c r="F50" s="627"/>
      <x:c r="G50" s="627"/>
      <x:c r="H50" s="627"/>
      <x:c r="I50" s="627"/>
      <x:c r="J50" s="627"/>
      <x:c r="K50" s="627"/>
      <x:c r="L50" s="627"/>
      <x:c r="M50" s="627"/>
      <x:c r="N50" s="627"/>
      <x:c r="O50" s="627"/>
      <x:c r="P50" s="627"/>
      <x:c r="Q50" s="627"/>
      <x:c r="R50" s="627"/>
      <x:c r="S50" s="627"/>
      <x:c r="Z50" s="624"/>
    </x:row>
    <x:row r="51" spans="1:26" ht="15" x14ac:dyDescent="0.25">
      <x:c r="A51" s="625"/>
      <x:c r="B51" s="50"/>
      <x:c r="E51" s="627"/>
      <x:c r="F51" s="627"/>
      <x:c r="G51" s="627"/>
      <x:c r="H51" s="627"/>
      <x:c r="I51" s="627"/>
      <x:c r="J51" s="627"/>
      <x:c r="K51" s="627"/>
      <x:c r="L51" s="627"/>
      <x:c r="M51" s="627"/>
      <x:c r="N51" s="627"/>
      <x:c r="O51" s="627"/>
      <x:c r="P51" s="627"/>
      <x:c r="Q51" s="627"/>
      <x:c r="R51" s="627"/>
      <x:c r="S51" s="627"/>
      <x:c r="Z51" s="624"/>
    </x:row>
    <x:row r="52" spans="1:26" x14ac:dyDescent="0.2">
      <x:c r="B52" s="771" t="s">
        <x:v>326</x:v>
      </x:c>
      <x:c r="C52" s="768" t="s">
        <x:v>132</x:v>
      </x:c>
      <x:c r="D52" s="654" t="s">
        <x:v>70</x:v>
      </x:c>
      <x:c r="E52" s="655">
        <x:v>0</x:v>
      </x:c>
      <x:c r="F52" s="655">
        <x:v>0</x:v>
      </x:c>
      <x:c r="G52" s="655">
        <x:v>0</x:v>
      </x:c>
      <x:c r="H52" s="655">
        <x:v>0</x:v>
      </x:c>
      <x:c r="I52" s="655">
        <x:v>0</x:v>
      </x:c>
      <x:c r="J52" s="655">
        <x:v>0</x:v>
      </x:c>
      <x:c r="K52" s="655">
        <x:v>0</x:v>
      </x:c>
      <x:c r="L52" s="655">
        <x:v>0</x:v>
      </x:c>
      <x:c r="M52" s="655">
        <x:v>0</x:v>
      </x:c>
      <x:c r="N52" s="655">
        <x:v>0</x:v>
      </x:c>
      <x:c r="O52" s="655">
        <x:v>0</x:v>
      </x:c>
      <x:c r="P52" s="655">
        <x:v>0</x:v>
      </x:c>
      <x:c r="Q52" s="655">
        <x:v>0</x:v>
      </x:c>
      <x:c r="R52" s="655">
        <x:v>0</x:v>
      </x:c>
      <x:c r="Z52" s="624"/>
    </x:row>
    <x:row r="53" spans="1:26" x14ac:dyDescent="0.2">
      <x:c r="B53" s="771"/>
      <x:c r="C53" s="768"/>
      <x:c r="D53" s="654" t="s">
        <x:v>73</x:v>
      </x:c>
      <x:c r="E53" s="655">
        <x:v>0</x:v>
      </x:c>
      <x:c r="F53" s="627"/>
      <x:c r="G53" s="627"/>
      <x:c r="H53" s="627"/>
      <x:c r="I53" s="627"/>
      <x:c r="J53" s="627"/>
      <x:c r="K53" s="627"/>
      <x:c r="L53" s="627"/>
      <x:c r="M53" s="627"/>
      <x:c r="N53" s="627"/>
      <x:c r="O53" s="627"/>
      <x:c r="P53" s="627"/>
      <x:c r="Q53" s="627"/>
      <x:c r="R53" s="627"/>
      <x:c r="Z53" s="624"/>
    </x:row>
    <x:row r="54" spans="1:26" ht="15" x14ac:dyDescent="0.25">
      <x:c r="A54" s="625"/>
      <x:c r="B54" s="50"/>
      <x:c r="E54" s="627"/>
      <x:c r="F54" s="627"/>
      <x:c r="G54" s="627"/>
      <x:c r="H54" s="627"/>
      <x:c r="I54" s="627"/>
      <x:c r="J54" s="627"/>
      <x:c r="K54" s="627"/>
      <x:c r="L54" s="627"/>
      <x:c r="M54" s="627"/>
      <x:c r="N54" s="627"/>
      <x:c r="O54" s="627"/>
      <x:c r="P54" s="627"/>
      <x:c r="Q54" s="627"/>
      <x:c r="R54" s="627"/>
      <x:c r="S54" s="627"/>
      <x:c r="Z54" s="624"/>
    </x:row>
    <x:row r="55" spans="1:26" x14ac:dyDescent="0.2">
      <x:c r="B55" s="770" t="s">
        <x:v>119</x:v>
      </x:c>
      <x:c r="C55" s="768" t="s">
        <x:v>132</x:v>
      </x:c>
      <x:c r="D55" s="632" t="s">
        <x:v>70</x:v>
      </x:c>
      <x:c r="E55" s="633">
        <x:f>E16+E27-K16</x:f>
        <x:v>0</x:v>
      </x:c>
      <x:c r="F55" s="633">
        <x:f>F16</x:f>
        <x:v>0</x:v>
      </x:c>
      <x:c r="G55" s="633">
        <x:f t="shared" ref="G55:S55" si="2">G16</x:f>
        <x:v>0</x:v>
      </x:c>
      <x:c r="H55" s="633">
        <x:f t="shared" si="2"/>
        <x:v>0</x:v>
      </x:c>
      <x:c r="I55" s="633">
        <x:f t="shared" si="2"/>
        <x:v>0</x:v>
      </x:c>
      <x:c r="J55" s="633">
        <x:f t="shared" si="2"/>
        <x:v>0</x:v>
      </x:c>
      <x:c r="K55" s="633">
        <x:f t="shared" si="2"/>
        <x:v>0</x:v>
      </x:c>
      <x:c r="L55" s="633">
        <x:f t="shared" si="2"/>
        <x:v>0</x:v>
      </x:c>
      <x:c r="M55" s="633">
        <x:f t="shared" si="2"/>
        <x:v>0</x:v>
      </x:c>
      <x:c r="N55" s="633">
        <x:f t="shared" si="2"/>
        <x:v>0</x:v>
      </x:c>
      <x:c r="O55" s="633">
        <x:f t="shared" si="2"/>
        <x:v>0</x:v>
      </x:c>
      <x:c r="P55" s="633">
        <x:f t="shared" si="2"/>
        <x:v>0</x:v>
      </x:c>
      <x:c r="Q55" s="633">
        <x:f t="shared" si="2"/>
        <x:v>0</x:v>
      </x:c>
      <x:c r="R55" s="633">
        <x:f t="shared" si="2"/>
        <x:v>0</x:v>
      </x:c>
      <x:c r="S55" s="633">
        <x:f t="shared" si="2"/>
        <x:v>0</x:v>
      </x:c>
      <x:c r="Z55" s="624"/>
    </x:row>
    <x:row r="56" spans="1:26" x14ac:dyDescent="0.2">
      <x:c r="B56" s="770"/>
      <x:c r="C56" s="768"/>
      <x:c r="D56" s="632" t="s">
        <x:v>73</x:v>
      </x:c>
      <x:c r="E56" s="633">
        <x:f>E27</x:f>
        <x:v>0</x:v>
      </x:c>
      <x:c r="F56" s="627"/>
      <x:c r="G56" s="627"/>
      <x:c r="H56" s="627"/>
      <x:c r="I56" s="627"/>
      <x:c r="J56" s="627"/>
      <x:c r="K56" s="627"/>
      <x:c r="L56" s="627"/>
      <x:c r="M56" s="627"/>
      <x:c r="N56" s="627"/>
      <x:c r="O56" s="627"/>
      <x:c r="P56" s="627"/>
      <x:c r="Q56" s="627"/>
      <x:c r="R56" s="627"/>
      <x:c r="S56" s="627"/>
      <x:c r="Z56" s="624"/>
    </x:row>
    <x:row r="57" spans="1:26" ht="15" x14ac:dyDescent="0.25">
      <x:c r="A57" s="625"/>
      <x:c r="B57" s="50"/>
      <x:c r="E57" s="627"/>
      <x:c r="F57" s="627"/>
      <x:c r="G57" s="627"/>
      <x:c r="H57" s="627"/>
      <x:c r="I57" s="627"/>
      <x:c r="J57" s="627"/>
      <x:c r="K57" s="627"/>
      <x:c r="L57" s="627"/>
      <x:c r="M57" s="627"/>
      <x:c r="N57" s="627"/>
      <x:c r="O57" s="627"/>
      <x:c r="P57" s="627"/>
      <x:c r="Q57" s="627"/>
      <x:c r="R57" s="627"/>
      <x:c r="S57" s="627"/>
      <x:c r="Z57" s="624"/>
    </x:row>
    <x:row r="58" spans="1:26" x14ac:dyDescent="0.2">
      <x:c r="B58" s="769" t="s">
        <x:v>161</x:v>
      </x:c>
      <x:c r="C58" s="768" t="s">
        <x:v>132</x:v>
      </x:c>
      <x:c r="D58" s="661" t="s">
        <x:v>70</x:v>
      </x:c>
      <x:c r="E58" s="662">
        <x:v>0</x:v>
      </x:c>
      <x:c r="F58" s="662">
        <x:v>0</x:v>
      </x:c>
      <x:c r="G58" s="662">
        <x:v>0</x:v>
      </x:c>
      <x:c r="H58" s="662">
        <x:v>0</x:v>
      </x:c>
      <x:c r="I58" s="662">
        <x:v>0</x:v>
      </x:c>
      <x:c r="J58" s="662">
        <x:v>0</x:v>
      </x:c>
      <x:c r="K58" s="662">
        <x:v>0</x:v>
      </x:c>
      <x:c r="L58" s="662">
        <x:v>0</x:v>
      </x:c>
      <x:c r="M58" s="662">
        <x:v>0</x:v>
      </x:c>
      <x:c r="N58" s="662">
        <x:v>0</x:v>
      </x:c>
      <x:c r="O58" s="662">
        <x:v>0</x:v>
      </x:c>
      <x:c r="P58" s="662">
        <x:v>0</x:v>
      </x:c>
      <x:c r="Q58" s="662">
        <x:v>0</x:v>
      </x:c>
      <x:c r="R58" s="662">
        <x:v>0</x:v>
      </x:c>
      <x:c r="S58" s="662">
        <x:v>0</x:v>
      </x:c>
      <x:c r="Z58" s="624"/>
    </x:row>
    <x:row r="59" spans="1:26" x14ac:dyDescent="0.2">
      <x:c r="B59" s="769"/>
      <x:c r="C59" s="768"/>
      <x:c r="D59" s="661" t="s">
        <x:v>73</x:v>
      </x:c>
      <x:c r="E59" s="662">
        <x:v>0</x:v>
      </x:c>
      <x:c r="F59" s="627"/>
      <x:c r="G59" s="627"/>
      <x:c r="H59" s="627"/>
      <x:c r="I59" s="627"/>
      <x:c r="J59" s="627"/>
      <x:c r="K59" s="627"/>
      <x:c r="L59" s="627"/>
      <x:c r="M59" s="627"/>
      <x:c r="N59" s="627"/>
      <x:c r="O59" s="627"/>
      <x:c r="P59" s="627"/>
      <x:c r="Q59" s="627"/>
      <x:c r="R59" s="627"/>
      <x:c r="Z59" s="624"/>
    </x:row>
    <x:row r="60" spans="1:26" x14ac:dyDescent="0.2">
      <x:c r="A60" s="624"/>
      <x:c r="B60" s="624"/>
      <x:c r="C60" s="624"/>
      <x:c r="D60" s="624"/>
      <x:c r="E60" s="624"/>
      <x:c r="F60" s="624"/>
      <x:c r="G60" s="624"/>
      <x:c r="H60" s="624"/>
      <x:c r="I60" s="624"/>
      <x:c r="J60" s="624"/>
      <x:c r="K60" s="624"/>
      <x:c r="L60" s="624"/>
      <x:c r="M60" s="624"/>
      <x:c r="N60" s="624"/>
      <x:c r="O60" s="624"/>
      <x:c r="P60" s="624"/>
      <x:c r="Q60" s="624"/>
      <x:c r="R60" s="624"/>
      <x:c r="S60" s="624"/>
      <x:c r="T60" s="624"/>
      <x:c r="U60" s="624"/>
      <x:c r="V60" s="624"/>
      <x:c r="W60" s="624"/>
      <x:c r="X60" s="624"/>
      <x:c r="Y60" s="624"/>
      <x:c r="Z60" s="624"/>
    </x:row>
    <x:row r="61" spans="1:26" ht="15" x14ac:dyDescent="0.25">
      <x:c r="B61" s="676" t="s">
        <x:v>75</x:v>
      </x:c>
      <x:c r="Z61" s="624"/>
    </x:row>
    <x:row r="62" spans="1:26" s="50" customFormat="1" ht="15" x14ac:dyDescent="0.25">
      <x:c r="E62" s="669" t="s">
        <x:v>70</x:v>
      </x:c>
      <x:c r="F62" s="669" t="s">
        <x:v>64</x:v>
      </x:c>
      <x:c r="G62" s="669" t="s">
        <x:v>65</x:v>
      </x:c>
      <x:c r="H62" s="674" t="s">
        <x:v>164</x:v>
      </x:c>
      <x:c r="I62" s="669" t="s">
        <x:v>69</x:v>
      </x:c>
      <x:c r="J62" s="669" t="s">
        <x:v>68</x:v>
      </x:c>
      <x:c r="K62" s="669" t="s">
        <x:v>83</x:v>
      </x:c>
      <x:c r="L62" s="669" t="s">
        <x:v>66</x:v>
      </x:c>
      <x:c r="M62" s="669" t="s">
        <x:v>63</x:v>
      </x:c>
      <x:c r="N62" s="669" t="s">
        <x:v>61</x:v>
      </x:c>
      <x:c r="O62" s="669" t="s">
        <x:v>62</x:v>
      </x:c>
      <x:c r="P62" s="669" t="s">
        <x:v>67</x:v>
      </x:c>
      <x:c r="Q62" s="669" t="s">
        <x:v>84</x:v>
      </x:c>
      <x:c r="R62" s="669" t="s">
        <x:v>226</x:v>
      </x:c>
      <x:c r="Z62" s="618"/>
    </x:row>
    <x:row r="63" spans="1:26" x14ac:dyDescent="0.2">
      <x:c r="D63" s="625" t="s">
        <x:v>72</x:v>
      </x:c>
      <x:c r="E63" s="627" t="n">
        <x:v>51343920.24</x:v>
      </x:c>
      <x:c r="F63" s="627" t="n">
        <x:v>2602110</x:v>
      </x:c>
      <x:c r="G63" s="627" t="n">
        <x:v>1429988.76</x:v>
      </x:c>
      <x:c r="H63" s="627" t="n">
        <x:v>515936.95</x:v>
      </x:c>
      <x:c r="I63" s="627" t="n">
        <x:v>13400417.12</x:v>
      </x:c>
      <x:c r="J63" s="627" t="n">
        <x:v>521328</x:v>
      </x:c>
      <x:c r="K63" s="627" t="n">
        <x:v>28554.96</x:v>
      </x:c>
      <x:c r="L63" s="627" t="n">
        <x:v>4092012.47</x:v>
      </x:c>
      <x:c r="M63" s="627" t="n">
        <x:v>4006644.8</x:v>
      </x:c>
      <x:c r="N63" s="627" t="n">
        <x:v>14502764.2</x:v>
      </x:c>
      <x:c r="O63" s="627" t="n">
        <x:v>9664419.15</x:v>
      </x:c>
      <x:c r="P63" s="627" t="n">
        <x:v>579615.45</x:v>
      </x:c>
      <x:c r="Q63" s="627" t="n">
        <x:v>128.38</x:v>
      </x:c>
      <x:c r="R63" s="653" t="n">
        <x:v>0</x:v>
      </x:c>
      <x:c r="Z63" s="624"/>
    </x:row>
    <x:row r="64" spans="1:26" x14ac:dyDescent="0.2">
      <x:c r="D64" s="625" t="s">
        <x:v>81</x:v>
      </x:c>
      <x:c r="E64" s="627" t="n">
        <x:v>47786.6</x:v>
      </x:c>
      <x:c r="F64" s="627" t="n">
        <x:v>3922.53</x:v>
      </x:c>
      <x:c r="G64" s="627" t="n">
        <x:v>2121.07</x:v>
      </x:c>
      <x:c r="H64" s="627" t="n">
        <x:v>1145.18</x:v>
      </x:c>
      <x:c r="I64" s="627" t="n">
        <x:v>10319.58</x:v>
      </x:c>
      <x:c r="J64" s="627" t="n">
        <x:v>371.38</x:v>
      </x:c>
      <x:c r="K64" s="627" t="n">
        <x:v>0</x:v>
      </x:c>
      <x:c r="L64" s="627" t="n">
        <x:v>3208.8</x:v>
      </x:c>
      <x:c r="M64" s="627" t="n">
        <x:v>3232.38</x:v>
      </x:c>
      <x:c r="N64" s="627" t="n">
        <x:v>15260.76</x:v>
      </x:c>
      <x:c r="O64" s="627" t="n">
        <x:v>7598.97</x:v>
      </x:c>
      <x:c r="P64" s="627" t="n">
        <x:v>605.77</x:v>
      </x:c>
      <x:c r="Q64" s="627" t="n">
        <x:v>0.18</x:v>
      </x:c>
      <x:c r="R64" s="653" t="n">
        <x:v>0</x:v>
      </x:c>
      <x:c r="Z64" s="624"/>
    </x:row>
    <x:row r="65" spans="1:26" x14ac:dyDescent="0.2">
      <x:c r="C65" s="25" t="s">
        <x:v>156</x:v>
      </x:c>
      <x:c r="D65" s="625" t="s">
        <x:v>70</x:v>
      </x:c>
      <x:c r="E65" s="627" t="n">
        <x:v>51391706.84</x:v>
      </x:c>
      <x:c r="F65" s="627" t="n">
        <x:v>2606032.53</x:v>
      </x:c>
      <x:c r="G65" s="627" t="n">
        <x:v>1432109.83</x:v>
      </x:c>
      <x:c r="H65" s="627" t="n">
        <x:v>517082.13</x:v>
      </x:c>
      <x:c r="I65" s="627" t="n">
        <x:v>13410736.7</x:v>
      </x:c>
      <x:c r="J65" s="627" t="n">
        <x:v>521699.38</x:v>
      </x:c>
      <x:c r="K65" s="627" t="n">
        <x:v>28554.96</x:v>
      </x:c>
      <x:c r="L65" s="627" t="n">
        <x:v>4095221.27</x:v>
      </x:c>
      <x:c r="M65" s="627" t="n">
        <x:v>4009877.18</x:v>
      </x:c>
      <x:c r="N65" s="627" t="n">
        <x:v>14518024.96</x:v>
      </x:c>
      <x:c r="O65" s="627" t="n">
        <x:v>9672018.12</x:v>
      </x:c>
      <x:c r="P65" s="627" t="n">
        <x:v>580221.22</x:v>
      </x:c>
      <x:c r="Q65" s="627" t="n">
        <x:v>128.56</x:v>
      </x:c>
      <x:c r="R65" s="653" t="n">
        <x:v>0</x:v>
      </x:c>
      <x:c r="Z65" s="624"/>
    </x:row>
    <x:row r="66" spans="1:26" x14ac:dyDescent="0.2">
      <x:c r="A66" s="628"/>
      <x:c r="B66" s="628" t="s">
        <x:v>155</x:v>
      </x:c>
      <x:c r="C66" s="628" t="s">
        <x:v>70</x:v>
      </x:c>
      <x:c r="D66" s="628"/>
      <x:c r="E66" s="677" t="n">
        <x:v>51391706.84</x:v>
      </x:c>
      <x:c r="F66" s="677" t="n">
        <x:v>2606032.53</x:v>
      </x:c>
      <x:c r="G66" s="677" t="n">
        <x:v>1432109.83</x:v>
      </x:c>
      <x:c r="H66" s="677" t="n">
        <x:v>517082.13</x:v>
      </x:c>
      <x:c r="I66" s="677" t="n">
        <x:v>13410736.7</x:v>
      </x:c>
      <x:c r="J66" s="677" t="n">
        <x:v>521699.38</x:v>
      </x:c>
      <x:c r="K66" s="677" t="n">
        <x:v>28554.96</x:v>
      </x:c>
      <x:c r="L66" s="677" t="n">
        <x:v>4095221.27</x:v>
      </x:c>
      <x:c r="M66" s="677" t="n">
        <x:v>4009877.18</x:v>
      </x:c>
      <x:c r="N66" s="677" t="n">
        <x:v>14518024.96</x:v>
      </x:c>
      <x:c r="O66" s="677" t="n">
        <x:v>9672018.12</x:v>
      </x:c>
      <x:c r="P66" s="677" t="n">
        <x:v>580221.22</x:v>
      </x:c>
      <x:c r="Q66" s="677" t="n">
        <x:v>128.56</x:v>
      </x:c>
      <x:c r="R66" s="677" t="n">
        <x:v>0</x:v>
      </x:c>
      <x:c r="S66" s="628"/>
      <x:c r="T66" s="628"/>
      <x:c r="U66" s="628"/>
      <x:c r="V66" s="628"/>
      <x:c r="W66" s="628"/>
      <x:c r="X66" s="628"/>
      <x:c r="Y66" s="628"/>
      <x:c r="Z66" s="624"/>
    </x:row>
    <x:row r="67" spans="1:26" x14ac:dyDescent="0.2">
      <x:c r="D67" s="625" t="s">
        <x:v>72</x:v>
      </x:c>
      <x:c r="E67" s="627" t="n">
        <x:v>6840138.12</x:v>
      </x:c>
      <x:c r="F67" s="627" t="n">
        <x:v>454112</x:v>
      </x:c>
      <x:c r="G67" s="627" t="n">
        <x:v>245161.57</x:v>
      </x:c>
      <x:c r="H67" s="627" t="n">
        <x:v>117090.1</x:v>
      </x:c>
      <x:c r="I67" s="627" t="n">
        <x:v>1872723.91</x:v>
      </x:c>
      <x:c r="J67" s="627" t="n">
        <x:v>60005.28</x:v>
      </x:c>
      <x:c r="K67" s="627" t="n">
        <x:v>0</x:v>
      </x:c>
      <x:c r="L67" s="627" t="n">
        <x:v>508018.52</x:v>
      </x:c>
      <x:c r="M67" s="627" t="n">
        <x:v>552024.64</x:v>
      </x:c>
      <x:c r="N67" s="627" t="n">
        <x:v>2050457.28</x:v>
      </x:c>
      <x:c r="O67" s="627" t="n">
        <x:v>910258.22</x:v>
      </x:c>
      <x:c r="P67" s="627" t="n">
        <x:v>70256.97</x:v>
      </x:c>
      <x:c r="Q67" s="627" t="n">
        <x:v>29.63</x:v>
      </x:c>
      <x:c r="R67" s="653" t="n">
        <x:v>0</x:v>
      </x:c>
      <x:c r="Z67" s="624"/>
    </x:row>
    <x:row r="68" spans="1:26" x14ac:dyDescent="0.2">
      <x:c r="D68" s="625" t="s">
        <x:v>81</x:v>
      </x:c>
      <x:c r="E68" s="627" t="n">
        <x:v>709.39</x:v>
      </x:c>
      <x:c r="F68" s="627" t="n">
        <x:v>68.6</x:v>
      </x:c>
      <x:c r="G68" s="627" t="n">
        <x:v>38.73</x:v>
      </x:c>
      <x:c r="H68" s="627" t="n">
        <x:v>20.33</x:v>
      </x:c>
      <x:c r="I68" s="627" t="n">
        <x:v>148.28</x:v>
      </x:c>
      <x:c r="J68" s="627" t="n">
        <x:v>4.93</x:v>
      </x:c>
      <x:c r="K68" s="627" t="n">
        <x:v>0</x:v>
      </x:c>
      <x:c r="L68" s="627" t="n">
        <x:v>43.25</x:v>
      </x:c>
      <x:c r="M68" s="627" t="n">
        <x:v>42.04</x:v>
      </x:c>
      <x:c r="N68" s="627" t="n">
        <x:v>199.02</x:v>
      </x:c>
      <x:c r="O68" s="627" t="n">
        <x:v>136.2</x:v>
      </x:c>
      <x:c r="P68" s="627" t="n">
        <x:v>8.04</x:v>
      </x:c>
      <x:c r="Q68" s="627" t="n">
        <x:v>-0.03</x:v>
      </x:c>
      <x:c r="R68" s="653" t="n">
        <x:v>0</x:v>
      </x:c>
      <x:c r="Z68" s="624"/>
    </x:row>
    <x:row r="69" spans="1:26" x14ac:dyDescent="0.2">
      <x:c r="C69" s="25" t="s">
        <x:v>115</x:v>
      </x:c>
      <x:c r="D69" s="625" t="s">
        <x:v>70</x:v>
      </x:c>
      <x:c r="E69" s="627" t="n">
        <x:v>6840847.51</x:v>
      </x:c>
      <x:c r="F69" s="627" t="n">
        <x:v>454180.6</x:v>
      </x:c>
      <x:c r="G69" s="627" t="n">
        <x:v>245200.3</x:v>
      </x:c>
      <x:c r="H69" s="627" t="n">
        <x:v>117110.43</x:v>
      </x:c>
      <x:c r="I69" s="627" t="n">
        <x:v>1872872.19</x:v>
      </x:c>
      <x:c r="J69" s="627" t="n">
        <x:v>60010.21</x:v>
      </x:c>
      <x:c r="K69" s="627" t="n">
        <x:v>0</x:v>
      </x:c>
      <x:c r="L69" s="627" t="n">
        <x:v>508061.77</x:v>
      </x:c>
      <x:c r="M69" s="627" t="n">
        <x:v>552066.68</x:v>
      </x:c>
      <x:c r="N69" s="627" t="n">
        <x:v>2050656.3</x:v>
      </x:c>
      <x:c r="O69" s="627" t="n">
        <x:v>910394.42</x:v>
      </x:c>
      <x:c r="P69" s="627" t="n">
        <x:v>70265.01</x:v>
      </x:c>
      <x:c r="Q69" s="627" t="n">
        <x:v>29.6</x:v>
      </x:c>
      <x:c r="R69" s="653" t="n">
        <x:v>0</x:v>
      </x:c>
      <x:c r="Z69" s="624"/>
    </x:row>
    <x:row r="70" spans="1:26" x14ac:dyDescent="0.2">
      <x:c r="D70" s="625" t="s">
        <x:v>72</x:v>
      </x:c>
      <x:c r="E70" s="627" t="n">
        <x:v>673112.23</x:v>
      </x:c>
      <x:c r="F70" s="627" t="n">
        <x:v>32650.05</x:v>
      </x:c>
      <x:c r="G70" s="627" t="n">
        <x:v>17891.02</x:v>
      </x:c>
      <x:c r="H70" s="627" t="n">
        <x:v>9047.72</x:v>
      </x:c>
      <x:c r="I70" s="627" t="n">
        <x:v>167209.89</x:v>
      </x:c>
      <x:c r="J70" s="627" t="n">
        <x:v>5398.62</x:v>
      </x:c>
      <x:c r="K70" s="627" t="n">
        <x:v>0</x:v>
      </x:c>
      <x:c r="L70" s="627" t="n">
        <x:v>55941.8</x:v>
      </x:c>
      <x:c r="M70" s="627" t="n">
        <x:v>60888.8</x:v>
      </x:c>
      <x:c r="N70" s="627" t="n">
        <x:v>234687.16</x:v>
      </x:c>
      <x:c r="O70" s="627" t="n">
        <x:v>81377.99</x:v>
      </x:c>
      <x:c r="P70" s="627" t="n">
        <x:v>8018.16</x:v>
      </x:c>
      <x:c r="Q70" s="627" t="n">
        <x:v>1.02</x:v>
      </x:c>
      <x:c r="R70" s="653" t="n">
        <x:v>0</x:v>
      </x:c>
      <x:c r="Z70" s="624"/>
    </x:row>
    <x:row r="71" spans="1:26" x14ac:dyDescent="0.2">
      <x:c r="C71" s="625"/>
      <x:c r="D71" s="625" t="s">
        <x:v>81</x:v>
      </x:c>
      <x:c r="E71" s="627">
        <x:v>0</x:v>
      </x:c>
      <x:c r="F71" s="627">
        <x:v>0</x:v>
      </x:c>
      <x:c r="G71" s="627">
        <x:v>0</x:v>
      </x:c>
      <x:c r="H71" s="627">
        <x:v>0</x:v>
      </x:c>
      <x:c r="I71" s="627">
        <x:v>0</x:v>
      </x:c>
      <x:c r="J71" s="627">
        <x:v>0</x:v>
      </x:c>
      <x:c r="K71" s="627">
        <x:v>0</x:v>
      </x:c>
      <x:c r="L71" s="627">
        <x:v>0</x:v>
      </x:c>
      <x:c r="M71" s="627">
        <x:v>0</x:v>
      </x:c>
      <x:c r="N71" s="627">
        <x:v>0</x:v>
      </x:c>
      <x:c r="O71" s="627">
        <x:v>0</x:v>
      </x:c>
      <x:c r="P71" s="627">
        <x:v>0</x:v>
      </x:c>
      <x:c r="Q71" s="627">
        <x:v>0</x:v>
      </x:c>
      <x:c r="R71" s="653">
        <x:v>0</x:v>
      </x:c>
      <x:c r="Z71" s="624"/>
    </x:row>
    <x:row r="72" spans="1:26" x14ac:dyDescent="0.2">
      <x:c r="C72" s="625" t="s">
        <x:v>116</x:v>
      </x:c>
      <x:c r="D72" s="625" t="s">
        <x:v>70</x:v>
      </x:c>
      <x:c r="E72" s="627" t="n">
        <x:v>673112.23</x:v>
      </x:c>
      <x:c r="F72" s="627" t="n">
        <x:v>32650.05</x:v>
      </x:c>
      <x:c r="G72" s="627" t="n">
        <x:v>17891.02</x:v>
      </x:c>
      <x:c r="H72" s="627" t="n">
        <x:v>9047.72</x:v>
      </x:c>
      <x:c r="I72" s="627" t="n">
        <x:v>167209.89</x:v>
      </x:c>
      <x:c r="J72" s="627" t="n">
        <x:v>5398.62</x:v>
      </x:c>
      <x:c r="K72" s="627" t="n">
        <x:v>0</x:v>
      </x:c>
      <x:c r="L72" s="627" t="n">
        <x:v>55941.8</x:v>
      </x:c>
      <x:c r="M72" s="627" t="n">
        <x:v>60888.8</x:v>
      </x:c>
      <x:c r="N72" s="627" t="n">
        <x:v>234687.16</x:v>
      </x:c>
      <x:c r="O72" s="627" t="n">
        <x:v>81377.99</x:v>
      </x:c>
      <x:c r="P72" s="627" t="n">
        <x:v>8018.16</x:v>
      </x:c>
      <x:c r="Q72" s="627" t="n">
        <x:v>1.02</x:v>
      </x:c>
      <x:c r="R72" s="653" t="n">
        <x:v>0</x:v>
      </x:c>
      <x:c r="Z72" s="624"/>
    </x:row>
    <x:row r="73" spans="1:26" x14ac:dyDescent="0.2">
      <x:c r="C73" s="625"/>
      <x:c r="D73" s="625" t="s">
        <x:v>72</x:v>
      </x:c>
      <x:c r="E73" s="627" t="n">
        <x:v>20435056.81</x:v>
      </x:c>
      <x:c r="F73" s="627" t="n">
        <x:v>1240239.71</x:v>
      </x:c>
      <x:c r="G73" s="627" t="n">
        <x:v>689953.48</x:v>
      </x:c>
      <x:c r="H73" s="627" t="n">
        <x:v>216277.61</x:v>
      </x:c>
      <x:c r="I73" s="627" t="n">
        <x:v>5859087.44</x:v>
      </x:c>
      <x:c r="J73" s="627" t="n">
        <x:v>195777.3</x:v>
      </x:c>
      <x:c r="K73" s="627" t="n">
        <x:v>0</x:v>
      </x:c>
      <x:c r="L73" s="627" t="n">
        <x:v>1695471.12</x:v>
      </x:c>
      <x:c r="M73" s="627" t="n">
        <x:v>1662718.69</x:v>
      </x:c>
      <x:c r="N73" s="627" t="n">
        <x:v>6214722.98</x:v>
      </x:c>
      <x:c r="O73" s="627" t="n">
        <x:v>2429272.63</x:v>
      </x:c>
      <x:c r="P73" s="627" t="n">
        <x:v>231590.8</x:v>
      </x:c>
      <x:c r="Q73" s="627" t="n">
        <x:v>-54.95</x:v>
      </x:c>
      <x:c r="R73" s="653" t="n">
        <x:v>0</x:v>
      </x:c>
      <x:c r="Z73" s="624"/>
    </x:row>
    <x:row r="74" spans="1:26" x14ac:dyDescent="0.2">
      <x:c r="C74" s="625"/>
      <x:c r="D74" s="625" t="s">
        <x:v>81</x:v>
      </x:c>
      <x:c r="E74" s="627" t="n">
        <x:v>702.71</x:v>
      </x:c>
      <x:c r="F74" s="627" t="n">
        <x:v>34.64</x:v>
      </x:c>
      <x:c r="G74" s="627" t="n">
        <x:v>19.29</x:v>
      </x:c>
      <x:c r="H74" s="627" t="n">
        <x:v>10.35</x:v>
      </x:c>
      <x:c r="I74" s="627" t="n">
        <x:v>188.6</x:v>
      </x:c>
      <x:c r="J74" s="627" t="n">
        <x:v>5.12</x:v>
      </x:c>
      <x:c r="K74" s="627" t="n">
        <x:v>0</x:v>
      </x:c>
      <x:c r="L74" s="627" t="n">
        <x:v>44.89</x:v>
      </x:c>
      <x:c r="M74" s="627" t="n">
        <x:v>57.5</x:v>
      </x:c>
      <x:c r="N74" s="627" t="n">
        <x:v>264.51</x:v>
      </x:c>
      <x:c r="O74" s="627" t="n">
        <x:v>69.3</x:v>
      </x:c>
      <x:c r="P74" s="627" t="n">
        <x:v>8.36</x:v>
      </x:c>
      <x:c r="Q74" s="627" t="n">
        <x:v>0.15</x:v>
      </x:c>
      <x:c r="R74" s="653" t="n">
        <x:v>0</x:v>
      </x:c>
      <x:c r="Z74" s="624"/>
    </x:row>
    <x:row r="75" spans="1:26" x14ac:dyDescent="0.2">
      <x:c r="C75" s="625" t="s">
        <x:v>118</x:v>
      </x:c>
      <x:c r="D75" s="625" t="s">
        <x:v>70</x:v>
      </x:c>
      <x:c r="E75" s="627" t="n">
        <x:v>20435759.52</x:v>
      </x:c>
      <x:c r="F75" s="627" t="n">
        <x:v>1240274.35</x:v>
      </x:c>
      <x:c r="G75" s="627" t="n">
        <x:v>689972.77</x:v>
      </x:c>
      <x:c r="H75" s="627" t="n">
        <x:v>216287.96</x:v>
      </x:c>
      <x:c r="I75" s="627" t="n">
        <x:v>5859276.04</x:v>
      </x:c>
      <x:c r="J75" s="627" t="n">
        <x:v>195782.42</x:v>
      </x:c>
      <x:c r="K75" s="627" t="n">
        <x:v>0</x:v>
      </x:c>
      <x:c r="L75" s="627" t="n">
        <x:v>1695516.01</x:v>
      </x:c>
      <x:c r="M75" s="627" t="n">
        <x:v>1662776.19</x:v>
      </x:c>
      <x:c r="N75" s="627" t="n">
        <x:v>6214987.49</x:v>
      </x:c>
      <x:c r="O75" s="627" t="n">
        <x:v>2429341.93</x:v>
      </x:c>
      <x:c r="P75" s="627" t="n">
        <x:v>231599.16</x:v>
      </x:c>
      <x:c r="Q75" s="627" t="n">
        <x:v>-54.8</x:v>
      </x:c>
      <x:c r="R75" s="653" t="n">
        <x:v>0</x:v>
      </x:c>
      <x:c r="Z75" s="624"/>
    </x:row>
    <x:row r="76" spans="1:26" x14ac:dyDescent="0.2">
      <x:c r="C76" s="625"/>
      <x:c r="D76" s="625" t="s">
        <x:v>72</x:v>
      </x:c>
      <x:c r="E76" s="627" t="n">
        <x:v>81263.29</x:v>
      </x:c>
      <x:c r="F76" s="627" t="n">
        <x:v>8070.53</x:v>
      </x:c>
      <x:c r="G76" s="627" t="n">
        <x:v>4576.92</x:v>
      </x:c>
      <x:c r="H76" s="627" t="n">
        <x:v>2482.05</x:v>
      </x:c>
      <x:c r="I76" s="627" t="n">
        <x:v>15776.58</x:v>
      </x:c>
      <x:c r="J76" s="627" t="n">
        <x:v>568.04</x:v>
      </x:c>
      <x:c r="K76" s="627" t="n">
        <x:v>0</x:v>
      </x:c>
      <x:c r="L76" s="627" t="n">
        <x:v>4982.79</x:v>
      </x:c>
      <x:c r="M76" s="627" t="n">
        <x:v>4911.41</x:v>
      </x:c>
      <x:c r="N76" s="627" t="n">
        <x:v>22701.82</x:v>
      </x:c>
      <x:c r="O76" s="627" t="n">
        <x:v>16262.61</x:v>
      </x:c>
      <x:c r="P76" s="627" t="n">
        <x:v>926.79</x:v>
      </x:c>
      <x:c r="Q76" s="627" t="n">
        <x:v>3.75</x:v>
      </x:c>
      <x:c r="R76" s="653" t="n">
        <x:v>0</x:v>
      </x:c>
      <x:c r="Z76" s="624"/>
    </x:row>
    <x:row r="77" spans="1:26" x14ac:dyDescent="0.2">
      <x:c r="C77" s="625" t="s">
        <x:v>332</x:v>
      </x:c>
      <x:c r="D77" s="625" t="s">
        <x:v>70</x:v>
      </x:c>
      <x:c r="E77" s="627" t="n">
        <x:v>81263.29</x:v>
      </x:c>
      <x:c r="F77" s="627" t="n">
        <x:v>8070.53</x:v>
      </x:c>
      <x:c r="G77" s="627" t="n">
        <x:v>4576.92</x:v>
      </x:c>
      <x:c r="H77" s="627" t="n">
        <x:v>2482.05</x:v>
      </x:c>
      <x:c r="I77" s="627" t="n">
        <x:v>15776.58</x:v>
      </x:c>
      <x:c r="J77" s="627" t="n">
        <x:v>568.04</x:v>
      </x:c>
      <x:c r="K77" s="627" t="n">
        <x:v>0</x:v>
      </x:c>
      <x:c r="L77" s="627" t="n">
        <x:v>4982.79</x:v>
      </x:c>
      <x:c r="M77" s="627" t="n">
        <x:v>4911.41</x:v>
      </x:c>
      <x:c r="N77" s="627" t="n">
        <x:v>22701.82</x:v>
      </x:c>
      <x:c r="O77" s="627" t="n">
        <x:v>16262.61</x:v>
      </x:c>
      <x:c r="P77" s="627" t="n">
        <x:v>926.79</x:v>
      </x:c>
      <x:c r="Q77" s="627" t="n">
        <x:v>3.75</x:v>
      </x:c>
      <x:c r="R77" s="653" t="n">
        <x:v>0</x:v>
      </x:c>
      <x:c r="Z77" s="624"/>
    </x:row>
    <x:row r="78" spans="1:26" x14ac:dyDescent="0.2">
      <x:c r="A78" s="667"/>
      <x:c r="B78" s="667" t="s">
        <x:v>120</x:v>
      </x:c>
      <x:c r="C78" s="667" t="s">
        <x:v>70</x:v>
      </x:c>
      <x:c r="D78" s="667"/>
      <x:c r="E78" s="672" t="n">
        <x:v>28030982.55</x:v>
      </x:c>
      <x:c r="F78" s="672" t="n">
        <x:v>1735175.53</x:v>
      </x:c>
      <x:c r="G78" s="672" t="n">
        <x:v>957641.01</x:v>
      </x:c>
      <x:c r="H78" s="672" t="n">
        <x:v>344928.16</x:v>
      </x:c>
      <x:c r="I78" s="672" t="n">
        <x:v>7915134.7</x:v>
      </x:c>
      <x:c r="J78" s="672" t="n">
        <x:v>261759.29</x:v>
      </x:c>
      <x:c r="K78" s="672" t="n">
        <x:v>0</x:v>
      </x:c>
      <x:c r="L78" s="672" t="n">
        <x:v>2264502.37</x:v>
      </x:c>
      <x:c r="M78" s="672" t="n">
        <x:v>2280643.08</x:v>
      </x:c>
      <x:c r="N78" s="672" t="n">
        <x:v>8523032.77</x:v>
      </x:c>
      <x:c r="O78" s="672" t="n">
        <x:v>3437376.95</x:v>
      </x:c>
      <x:c r="P78" s="672" t="n">
        <x:v>310809.12</x:v>
      </x:c>
      <x:c r="Q78" s="672" t="n">
        <x:v>-20.43</x:v>
      </x:c>
      <x:c r="R78" s="672" t="n">
        <x:v>0</x:v>
      </x:c>
      <x:c r="S78" s="667"/>
      <x:c r="T78" s="667"/>
      <x:c r="U78" s="667"/>
      <x:c r="V78" s="667"/>
      <x:c r="W78" s="667"/>
      <x:c r="X78" s="667"/>
      <x:c r="Y78" s="667"/>
      <x:c r="Z78" s="624"/>
    </x:row>
    <x:row r="79" spans="1:26" x14ac:dyDescent="0.2">
      <x:c r="D79" s="25" t="s">
        <x:v>72</x:v>
      </x:c>
      <x:c r="E79" s="653" t="n">
        <x:v>17110679.04</x:v>
      </x:c>
      <x:c r="F79" s="653" t="n">
        <x:v>1114965.11</x:v>
      </x:c>
      <x:c r="G79" s="653" t="n">
        <x:v>643217.02</x:v>
      </x:c>
      <x:c r="H79" s="653" t="n">
        <x:v>278759.27</x:v>
      </x:c>
      <x:c r="I79" s="653" t="n">
        <x:v>4743645.52</x:v>
      </x:c>
      <x:c r="J79" s="653" t="n">
        <x:v>124686.84</x:v>
      </x:c>
      <x:c r="K79" s="653" t="n">
        <x:v>0</x:v>
      </x:c>
      <x:c r="L79" s="653" t="n">
        <x:v>1039349.21</x:v>
      </x:c>
      <x:c r="M79" s="653" t="n">
        <x:v>1361869.33</x:v>
      </x:c>
      <x:c r="N79" s="653" t="n">
        <x:v>5411757.25</x:v>
      </x:c>
      <x:c r="O79" s="653" t="n">
        <x:v>2250306.15</x:v>
      </x:c>
      <x:c r="P79" s="653" t="n">
        <x:v>142101.98</x:v>
      </x:c>
      <x:c r="Q79" s="653" t="n">
        <x:v>21.36</x:v>
      </x:c>
      <x:c r="R79" s="653" t="n">
        <x:v>0</x:v>
      </x:c>
      <x:c r="Z79" s="624"/>
    </x:row>
    <x:row r="80" spans="1:26" x14ac:dyDescent="0.2">
      <x:c r="D80" s="25" t="s">
        <x:v>81</x:v>
      </x:c>
      <x:c r="E80" s="653" t="n">
        <x:v>5496.87</x:v>
      </x:c>
      <x:c r="F80" s="653" t="n">
        <x:v>560.72</x:v>
      </x:c>
      <x:c r="G80" s="653" t="n">
        <x:v>294.57</x:v>
      </x:c>
      <x:c r="H80" s="653" t="n">
        <x:v>160.58</x:v>
      </x:c>
      <x:c r="I80" s="653" t="n">
        <x:v>1113.88</x:v>
      </x:c>
      <x:c r="J80" s="653" t="n">
        <x:v>33.65</x:v>
      </x:c>
      <x:c r="K80" s="653" t="n">
        <x:v>0</x:v>
      </x:c>
      <x:c r="L80" s="653" t="n">
        <x:v>294.88</x:v>
      </x:c>
      <x:c r="M80" s="653" t="n">
        <x:v>330.22</x:v>
      </x:c>
      <x:c r="N80" s="653" t="n">
        <x:v>1524.41</x:v>
      </x:c>
      <x:c r="O80" s="653" t="n">
        <x:v>1129.12</x:v>
      </x:c>
      <x:c r="P80" s="653" t="n">
        <x:v>54.86</x:v>
      </x:c>
      <x:c r="Q80" s="653" t="n">
        <x:v>-0.02</x:v>
      </x:c>
      <x:c r="R80" s="653" t="n">
        <x:v>0</x:v>
      </x:c>
      <x:c r="Z80" s="624"/>
    </x:row>
    <x:row r="81" spans="1:26" x14ac:dyDescent="0.2">
      <x:c r="C81" s="25" t="s">
        <x:v>82</x:v>
      </x:c>
      <x:c r="D81" s="25" t="s">
        <x:v>70</x:v>
      </x:c>
      <x:c r="E81" s="653" t="n">
        <x:v>17116175.91</x:v>
      </x:c>
      <x:c r="F81" s="653" t="n">
        <x:v>1115525.83</x:v>
      </x:c>
      <x:c r="G81" s="653" t="n">
        <x:v>643511.59</x:v>
      </x:c>
      <x:c r="H81" s="653" t="n">
        <x:v>278919.85</x:v>
      </x:c>
      <x:c r="I81" s="653" t="n">
        <x:v>4744759.4</x:v>
      </x:c>
      <x:c r="J81" s="653" t="n">
        <x:v>124720.49</x:v>
      </x:c>
      <x:c r="K81" s="653" t="n">
        <x:v>0</x:v>
      </x:c>
      <x:c r="L81" s="653" t="n">
        <x:v>1039644.09</x:v>
      </x:c>
      <x:c r="M81" s="653" t="n">
        <x:v>1362199.55</x:v>
      </x:c>
      <x:c r="N81" s="653" t="n">
        <x:v>5413281.66</x:v>
      </x:c>
      <x:c r="O81" s="653" t="n">
        <x:v>2251435.27</x:v>
      </x:c>
      <x:c r="P81" s="653" t="n">
        <x:v>142156.84</x:v>
      </x:c>
      <x:c r="Q81" s="653" t="n">
        <x:v>21.34</x:v>
      </x:c>
      <x:c r="R81" s="653" t="n">
        <x:v>0</x:v>
      </x:c>
      <x:c r="Z81" s="624"/>
    </x:row>
    <x:row r="82" spans="1:26" x14ac:dyDescent="0.2">
      <x:c r="D82" s="25" t="s">
        <x:v>72</x:v>
      </x:c>
      <x:c r="E82" s="653" t="n">
        <x:v>32351570.86</x:v>
      </x:c>
      <x:c r="F82" s="653" t="n">
        <x:v>2802163.53</x:v>
      </x:c>
      <x:c r="G82" s="653" t="n">
        <x:v>1486957.55</x:v>
      </x:c>
      <x:c r="H82" s="653" t="n">
        <x:v>716604.05</x:v>
      </x:c>
      <x:c r="I82" s="653" t="n">
        <x:v>7418941.53</x:v>
      </x:c>
      <x:c r="J82" s="653" t="n">
        <x:v>232182.66</x:v>
      </x:c>
      <x:c r="K82" s="653" t="n">
        <x:v>0</x:v>
      </x:c>
      <x:c r="L82" s="653" t="n">
        <x:v>2029167.74</x:v>
      </x:c>
      <x:c r="M82" s="653" t="n">
        <x:v>2313955.29</x:v>
      </x:c>
      <x:c r="N82" s="653" t="n">
        <x:v>9378853.3</x:v>
      </x:c>
      <x:c r="O82" s="653" t="n">
        <x:v>5650384.97</x:v>
      </x:c>
      <x:c r="P82" s="653" t="n">
        <x:v>322358.31</x:v>
      </x:c>
      <x:c r="Q82" s="653" t="n">
        <x:v>1.93</x:v>
      </x:c>
      <x:c r="R82" s="653" t="n">
        <x:v>0</x:v>
      </x:c>
      <x:c r="Z82" s="624"/>
    </x:row>
    <x:row r="83" spans="1:26" x14ac:dyDescent="0.2">
      <x:c r="D83" s="25" t="s">
        <x:v>81</x:v>
      </x:c>
      <x:c r="E83" s="653" t="n">
        <x:v>565319.19</x:v>
      </x:c>
      <x:c r="F83" s="653" t="n">
        <x:v>88502.96</x:v>
      </x:c>
      <x:c r="G83" s="653" t="n">
        <x:v>46189.73</x:v>
      </x:c>
      <x:c r="H83" s="653" t="n">
        <x:v>14629.19</x:v>
      </x:c>
      <x:c r="I83" s="653" t="n">
        <x:v>80560.75</x:v>
      </x:c>
      <x:c r="J83" s="653" t="n">
        <x:v>2874.33</x:v>
      </x:c>
      <x:c r="K83" s="653" t="n">
        <x:v>0</x:v>
      </x:c>
      <x:c r="L83" s="653" t="n">
        <x:v>25174.27</x:v>
      </x:c>
      <x:c r="M83" s="653" t="n">
        <x:v>31831.15</x:v>
      </x:c>
      <x:c r="N83" s="653" t="n">
        <x:v>106543.83</x:v>
      </x:c>
      <x:c r="O83" s="653" t="n">
        <x:v>164313.7</x:v>
      </x:c>
      <x:c r="P83" s="653" t="n">
        <x:v>4695.18</x:v>
      </x:c>
      <x:c r="Q83" s="653" t="n">
        <x:v>4.1</x:v>
      </x:c>
      <x:c r="R83" s="653" t="n">
        <x:v>0</x:v>
      </x:c>
      <x:c r="Z83" s="624"/>
    </x:row>
    <x:row r="84" spans="1:26" x14ac:dyDescent="0.2">
      <x:c r="C84" s="25" t="s">
        <x:v>86</x:v>
      </x:c>
      <x:c r="D84" s="25" t="s">
        <x:v>70</x:v>
      </x:c>
      <x:c r="E84" s="653" t="n">
        <x:v>32916890.05</x:v>
      </x:c>
      <x:c r="F84" s="653" t="n">
        <x:v>2890666.49</x:v>
      </x:c>
      <x:c r="G84" s="653" t="n">
        <x:v>1533147.28</x:v>
      </x:c>
      <x:c r="H84" s="653" t="n">
        <x:v>731233.24</x:v>
      </x:c>
      <x:c r="I84" s="653" t="n">
        <x:v>7499502.28</x:v>
      </x:c>
      <x:c r="J84" s="653" t="n">
        <x:v>235056.99</x:v>
      </x:c>
      <x:c r="K84" s="653" t="n">
        <x:v>0</x:v>
      </x:c>
      <x:c r="L84" s="653" t="n">
        <x:v>2054342.01</x:v>
      </x:c>
      <x:c r="M84" s="653" t="n">
        <x:v>2345786.44</x:v>
      </x:c>
      <x:c r="N84" s="653" t="n">
        <x:v>9485397.13</x:v>
      </x:c>
      <x:c r="O84" s="653" t="n">
        <x:v>5814698.67</x:v>
      </x:c>
      <x:c r="P84" s="653" t="n">
        <x:v>327053.49</x:v>
      </x:c>
      <x:c r="Q84" s="653" t="n">
        <x:v>6.03</x:v>
      </x:c>
      <x:c r="R84" s="653" t="n">
        <x:v>0</x:v>
      </x:c>
      <x:c r="Z84" s="624"/>
    </x:row>
    <x:row r="85" spans="1:26" x14ac:dyDescent="0.2">
      <x:c r="D85" s="25" t="s">
        <x:v>72</x:v>
      </x:c>
      <x:c r="E85" s="653" t="n">
        <x:v>53826317.65</x:v>
      </x:c>
      <x:c r="F85" s="653" t="n">
        <x:v>9840743.71</x:v>
      </x:c>
      <x:c r="G85" s="653" t="n">
        <x:v>5329739.66</x:v>
      </x:c>
      <x:c r="H85" s="653" t="n">
        <x:v>2938001.13</x:v>
      </x:c>
      <x:c r="I85" s="653" t="n">
        <x:v>4729695.14</x:v>
      </x:c>
      <x:c r="J85" s="653" t="n">
        <x:v>121866.12</x:v>
      </x:c>
      <x:c r="K85" s="653" t="n">
        <x:v>0</x:v>
      </x:c>
      <x:c r="L85" s="653" t="n">
        <x:v>1109113.64</x:v>
      </x:c>
      <x:c r="M85" s="653" t="n">
        <x:v>1550787.71</x:v>
      </x:c>
      <x:c r="N85" s="653" t="n">
        <x:v>6188221.05</x:v>
      </x:c>
      <x:c r="O85" s="653" t="n">
        <x:v>21862537.89</x:v>
      </x:c>
      <x:c r="P85" s="653" t="n">
        <x:v>155603.12</x:v>
      </x:c>
      <x:c r="Q85" s="653" t="n">
        <x:v>8.48</x:v>
      </x:c>
      <x:c r="R85" s="653" t="n">
        <x:v>0</x:v>
      </x:c>
      <x:c r="Z85" s="624"/>
    </x:row>
    <x:row r="86" spans="1:26" x14ac:dyDescent="0.2">
      <x:c r="D86" s="25" t="s">
        <x:v>81</x:v>
      </x:c>
      <x:c r="E86" s="653" t="n">
        <x:v>40047.6</x:v>
      </x:c>
      <x:c r="F86" s="653" t="n">
        <x:v>9707.52</x:v>
      </x:c>
      <x:c r="G86" s="653" t="n">
        <x:v>5489.99</x:v>
      </x:c>
      <x:c r="H86" s="653" t="n">
        <x:v>2917.7</x:v>
      </x:c>
      <x:c r="I86" s="653" t="n">
        <x:v>710.14</x:v>
      </x:c>
      <x:c r="J86" s="653" t="n">
        <x:v>28.8</x:v>
      </x:c>
      <x:c r="K86" s="653" t="n">
        <x:v>0</x:v>
      </x:c>
      <x:c r="L86" s="653" t="n">
        <x:v>249.94</x:v>
      </x:c>
      <x:c r="M86" s="653" t="n">
        <x:v>255.78</x:v>
      </x:c>
      <x:c r="N86" s="653" t="n">
        <x:v>1213.95</x:v>
      </x:c>
      <x:c r="O86" s="653" t="n">
        <x:v>19426.94</x:v>
      </x:c>
      <x:c r="P86" s="653" t="n">
        <x:v>46.91</x:v>
      </x:c>
      <x:c r="Q86" s="653" t="n">
        <x:v>-0.07</x:v>
      </x:c>
      <x:c r="R86" s="653" t="n">
        <x:v>0</x:v>
      </x:c>
      <x:c r="Z86" s="624"/>
    </x:row>
    <x:row r="87" spans="1:26" x14ac:dyDescent="0.2">
      <x:c r="C87" s="625" t="s">
        <x:v>87</x:v>
      </x:c>
      <x:c r="D87" s="625" t="s">
        <x:v>70</x:v>
      </x:c>
      <x:c r="E87" s="627" t="n">
        <x:v>53866365.25</x:v>
      </x:c>
      <x:c r="F87" s="627" t="n">
        <x:v>9850451.23</x:v>
      </x:c>
      <x:c r="G87" s="627" t="n">
        <x:v>5335229.65</x:v>
      </x:c>
      <x:c r="H87" s="627" t="n">
        <x:v>2940918.83</x:v>
      </x:c>
      <x:c r="I87" s="627" t="n">
        <x:v>4730405.28</x:v>
      </x:c>
      <x:c r="J87" s="627" t="n">
        <x:v>121894.92</x:v>
      </x:c>
      <x:c r="K87" s="627" t="n">
        <x:v>0</x:v>
      </x:c>
      <x:c r="L87" s="627" t="n">
        <x:v>1109363.58</x:v>
      </x:c>
      <x:c r="M87" s="627" t="n">
        <x:v>1551043.49</x:v>
      </x:c>
      <x:c r="N87" s="627" t="n">
        <x:v>6189435</x:v>
      </x:c>
      <x:c r="O87" s="627" t="n">
        <x:v>21881964.83</x:v>
      </x:c>
      <x:c r="P87" s="627" t="n">
        <x:v>155650.03</x:v>
      </x:c>
      <x:c r="Q87" s="627" t="n">
        <x:v>8.41</x:v>
      </x:c>
      <x:c r="R87" s="653" t="n">
        <x:v>0</x:v>
      </x:c>
      <x:c r="Z87" s="624"/>
    </x:row>
    <x:row r="88" spans="1:26" x14ac:dyDescent="0.2">
      <x:c r="A88" s="631"/>
      <x:c r="B88" s="632" t="s">
        <x:v>119</x:v>
      </x:c>
      <x:c r="C88" s="632" t="s">
        <x:v>70</x:v>
      </x:c>
      <x:c r="D88" s="631"/>
      <x:c r="E88" s="633" t="n">
        <x:v>103899431.21</x:v>
      </x:c>
      <x:c r="F88" s="633" t="n">
        <x:v>13856643.55</x:v>
      </x:c>
      <x:c r="G88" s="633" t="n">
        <x:v>7511888.52</x:v>
      </x:c>
      <x:c r="H88" s="633" t="n">
        <x:v>3951071.92</x:v>
      </x:c>
      <x:c r="I88" s="633" t="n">
        <x:v>16974666.96</x:v>
      </x:c>
      <x:c r="J88" s="633" t="n">
        <x:v>481672.4</x:v>
      </x:c>
      <x:c r="K88" s="633" t="n">
        <x:v>0</x:v>
      </x:c>
      <x:c r="L88" s="633" t="n">
        <x:v>4203349.68</x:v>
      </x:c>
      <x:c r="M88" s="633" t="n">
        <x:v>5259029.48</x:v>
      </x:c>
      <x:c r="N88" s="633" t="n">
        <x:v>21088113.79</x:v>
      </x:c>
      <x:c r="O88" s="633" t="n">
        <x:v>29948098.77</x:v>
      </x:c>
      <x:c r="P88" s="633" t="n">
        <x:v>624860.36</x:v>
      </x:c>
      <x:c r="Q88" s="633" t="n">
        <x:v>35.78</x:v>
      </x:c>
      <x:c r="R88" s="678" t="n">
        <x:v>0</x:v>
      </x:c>
      <x:c r="S88" s="631"/>
      <x:c r="T88" s="631"/>
      <x:c r="U88" s="631"/>
      <x:c r="V88" s="631"/>
      <x:c r="W88" s="631"/>
      <x:c r="X88" s="631"/>
      <x:c r="Y88" s="631"/>
      <x:c r="Z88" s="624"/>
    </x:row>
    <x:row r="89" spans="1:26" x14ac:dyDescent="0.2">
      <x:c r="A89" s="639" t="s">
        <x:v>78</x:v>
      </x:c>
      <x:c r="B89" s="639" t="s">
        <x:v>70</x:v>
      </x:c>
      <x:c r="C89" s="638"/>
      <x:c r="D89" s="638"/>
      <x:c r="E89" s="640" t="n">
        <x:v>183322120.6</x:v>
      </x:c>
      <x:c r="F89" s="640" t="n">
        <x:v>18197851.61</x:v>
      </x:c>
      <x:c r="G89" s="640" t="n">
        <x:v>9901639.36</x:v>
      </x:c>
      <x:c r="H89" s="640" t="n">
        <x:v>4813082.21</x:v>
      </x:c>
      <x:c r="I89" s="640" t="n">
        <x:v>38300538.36</x:v>
      </x:c>
      <x:c r="J89" s="640" t="n">
        <x:v>1265131.07</x:v>
      </x:c>
      <x:c r="K89" s="640" t="n">
        <x:v>28554.96</x:v>
      </x:c>
      <x:c r="L89" s="640" t="n">
        <x:v>10563073.32</x:v>
      </x:c>
      <x:c r="M89" s="640" t="n">
        <x:v>11549549.74</x:v>
      </x:c>
      <x:c r="N89" s="640" t="n">
        <x:v>44129171.52</x:v>
      </x:c>
      <x:c r="O89" s="640" t="n">
        <x:v>43057493.84</x:v>
      </x:c>
      <x:c r="P89" s="640" t="n">
        <x:v>1515890.7</x:v>
      </x:c>
      <x:c r="Q89" s="640" t="n">
        <x:v>143.91</x:v>
      </x:c>
      <x:c r="R89" s="679" t="n">
        <x:v>0</x:v>
      </x:c>
      <x:c r="S89" s="638"/>
      <x:c r="T89" s="638"/>
      <x:c r="U89" s="638"/>
      <x:c r="V89" s="638"/>
      <x:c r="W89" s="638"/>
      <x:c r="X89" s="638"/>
      <x:c r="Y89" s="638"/>
      <x:c r="Z89" s="624"/>
    </x:row>
    <x:row r="90" spans="1:26" x14ac:dyDescent="0.2">
      <x:c r="C90" s="625"/>
      <x:c r="D90" s="625" t="s">
        <x:v>73</x:v>
      </x:c>
      <x:c r="E90" s="627" t="n">
        <x:v>-18164297.27</x:v>
      </x:c>
      <x:c r="F90" s="627" t="n">
        <x:v>-693265.31</x:v>
      </x:c>
      <x:c r="G90" s="627" t="n">
        <x:v>-389013.13</x:v>
      </x:c>
      <x:c r="H90" s="627" t="n">
        <x:v>-209776.64</x:v>
      </x:c>
      <x:c r="I90" s="627" t="n">
        <x:v>-4971553.04</x:v>
      </x:c>
      <x:c r="J90" s="627" t="n">
        <x:v>-176925.19</x:v>
      </x:c>
      <x:c r="K90" s="627" t="n">
        <x:v>0</x:v>
      </x:c>
      <x:c r="L90" s="627" t="n">
        <x:v>-1541962.2</x:v>
      </x:c>
      <x:c r="M90" s="627" t="n">
        <x:v>-1497870.49</x:v>
      </x:c>
      <x:c r="N90" s="627" t="n">
        <x:v>-7051526.59</x:v>
      </x:c>
      <x:c r="O90" s="627" t="n">
        <x:v>-1344264.52</x:v>
      </x:c>
      <x:c r="P90" s="627" t="n">
        <x:v>-288140.16</x:v>
      </x:c>
      <x:c r="Q90" s="627" t="n">
        <x:v>0</x:v>
      </x:c>
      <x:c r="R90" s="653" t="n">
        <x:v>0</x:v>
      </x:c>
      <x:c r="Z90" s="624"/>
    </x:row>
    <x:row r="91" spans="1:26" x14ac:dyDescent="0.2">
      <x:c r="C91" s="625" t="s">
        <x:v>156</x:v>
      </x:c>
      <x:c r="D91" s="625" t="s">
        <x:v>70</x:v>
      </x:c>
      <x:c r="E91" s="627" t="n">
        <x:v>-18164297.27</x:v>
      </x:c>
      <x:c r="F91" s="627" t="n">
        <x:v>-693265.31</x:v>
      </x:c>
      <x:c r="G91" s="627" t="n">
        <x:v>-389013.13</x:v>
      </x:c>
      <x:c r="H91" s="627" t="n">
        <x:v>-209776.64</x:v>
      </x:c>
      <x:c r="I91" s="627" t="n">
        <x:v>-4971553.04</x:v>
      </x:c>
      <x:c r="J91" s="627" t="n">
        <x:v>-176925.19</x:v>
      </x:c>
      <x:c r="K91" s="627" t="n">
        <x:v>0</x:v>
      </x:c>
      <x:c r="L91" s="627" t="n">
        <x:v>-1541962.2</x:v>
      </x:c>
      <x:c r="M91" s="627" t="n">
        <x:v>-1497870.49</x:v>
      </x:c>
      <x:c r="N91" s="627" t="n">
        <x:v>-7051526.59</x:v>
      </x:c>
      <x:c r="O91" s="627" t="n">
        <x:v>-1344264.52</x:v>
      </x:c>
      <x:c r="P91" s="627" t="n">
        <x:v>-288140.16</x:v>
      </x:c>
      <x:c r="Q91" s="627" t="n">
        <x:v>0</x:v>
      </x:c>
      <x:c r="R91" s="653" t="n">
        <x:v>0</x:v>
      </x:c>
      <x:c r="Z91" s="624"/>
    </x:row>
    <x:row r="92" spans="1:26" x14ac:dyDescent="0.2">
      <x:c r="A92" s="628"/>
      <x:c r="B92" s="628" t="s">
        <x:v>155</x:v>
      </x:c>
      <x:c r="C92" s="628" t="s">
        <x:v>70</x:v>
      </x:c>
      <x:c r="D92" s="628"/>
      <x:c r="E92" s="677" t="n">
        <x:v>-18164297.27</x:v>
      </x:c>
      <x:c r="F92" s="677" t="n">
        <x:v>-693265.31</x:v>
      </x:c>
      <x:c r="G92" s="677" t="n">
        <x:v>-389013.13</x:v>
      </x:c>
      <x:c r="H92" s="677" t="n">
        <x:v>-209776.64</x:v>
      </x:c>
      <x:c r="I92" s="677" t="n">
        <x:v>-4971553.04</x:v>
      </x:c>
      <x:c r="J92" s="677" t="n">
        <x:v>-176925.19</x:v>
      </x:c>
      <x:c r="K92" s="677" t="n">
        <x:v>0</x:v>
      </x:c>
      <x:c r="L92" s="677" t="n">
        <x:v>-1541962.2</x:v>
      </x:c>
      <x:c r="M92" s="677" t="n">
        <x:v>-1497870.49</x:v>
      </x:c>
      <x:c r="N92" s="677" t="n">
        <x:v>-7051526.59</x:v>
      </x:c>
      <x:c r="O92" s="677" t="n">
        <x:v>-1344264.52</x:v>
      </x:c>
      <x:c r="P92" s="677" t="n">
        <x:v>-288140.16</x:v>
      </x:c>
      <x:c r="Q92" s="677" t="n">
        <x:v>0</x:v>
      </x:c>
      <x:c r="R92" s="677" t="n">
        <x:v>0</x:v>
      </x:c>
      <x:c r="S92" s="628"/>
      <x:c r="T92" s="628"/>
      <x:c r="U92" s="628"/>
      <x:c r="V92" s="628"/>
      <x:c r="W92" s="628"/>
      <x:c r="X92" s="628"/>
      <x:c r="Y92" s="628"/>
      <x:c r="Z92" s="624"/>
    </x:row>
    <x:row r="93" spans="1:26" x14ac:dyDescent="0.2">
      <x:c r="C93" s="625"/>
      <x:c r="D93" s="625" t="s">
        <x:v>73</x:v>
      </x:c>
      <x:c r="E93" s="627" t="n">
        <x:v>-1980469.88</x:v>
      </x:c>
      <x:c r="F93" s="627" t="n">
        <x:v>-76573.37</x:v>
      </x:c>
      <x:c r="G93" s="627" t="n">
        <x:v>-43012.32</x:v>
      </x:c>
      <x:c r="H93" s="627" t="n">
        <x:v>-23132.33</x:v>
      </x:c>
      <x:c r="I93" s="627" t="n">
        <x:v>-578166.06</x:v>
      </x:c>
      <x:c r="J93" s="627" t="n">
        <x:v>-15167.61</x:v>
      </x:c>
      <x:c r="K93" s="627" t="n">
        <x:v>0</x:v>
      </x:c>
      <x:c r="L93" s="627" t="n">
        <x:v>-150753.13</x:v>
      </x:c>
      <x:c r="M93" s="627" t="n">
        <x:v>-170817.35</x:v>
      </x:c>
      <x:c r="N93" s="627" t="n">
        <x:v>-748635.28</x:v>
      </x:c>
      <x:c r="O93" s="627" t="n">
        <x:v>-149465.37</x:v>
      </x:c>
      <x:c r="P93" s="627" t="n">
        <x:v>-24747.06</x:v>
      </x:c>
      <x:c r="Q93" s="627" t="n">
        <x:v>0</x:v>
      </x:c>
      <x:c r="R93" s="653" t="n">
        <x:v>0</x:v>
      </x:c>
      <x:c r="Z93" s="624"/>
    </x:row>
    <x:row r="94" spans="1:26" x14ac:dyDescent="0.2">
      <x:c r="C94" s="625" t="s">
        <x:v>115</x:v>
      </x:c>
      <x:c r="D94" s="625" t="s">
        <x:v>70</x:v>
      </x:c>
      <x:c r="E94" s="627" t="n">
        <x:v>-1980469.88</x:v>
      </x:c>
      <x:c r="F94" s="627" t="n">
        <x:v>-76573.37</x:v>
      </x:c>
      <x:c r="G94" s="627" t="n">
        <x:v>-43012.32</x:v>
      </x:c>
      <x:c r="H94" s="627" t="n">
        <x:v>-23132.33</x:v>
      </x:c>
      <x:c r="I94" s="627" t="n">
        <x:v>-578166.06</x:v>
      </x:c>
      <x:c r="J94" s="627" t="n">
        <x:v>-15167.61</x:v>
      </x:c>
      <x:c r="K94" s="627" t="n">
        <x:v>0</x:v>
      </x:c>
      <x:c r="L94" s="627" t="n">
        <x:v>-150753.13</x:v>
      </x:c>
      <x:c r="M94" s="627" t="n">
        <x:v>-170817.35</x:v>
      </x:c>
      <x:c r="N94" s="627" t="n">
        <x:v>-748635.28</x:v>
      </x:c>
      <x:c r="O94" s="627" t="n">
        <x:v>-149465.37</x:v>
      </x:c>
      <x:c r="P94" s="627" t="n">
        <x:v>-24747.06</x:v>
      </x:c>
      <x:c r="Q94" s="627" t="n">
        <x:v>0</x:v>
      </x:c>
      <x:c r="R94" s="653" t="n">
        <x:v>0</x:v>
      </x:c>
      <x:c r="Z94" s="624"/>
    </x:row>
    <x:row r="95" spans="1:26" x14ac:dyDescent="0.2">
      <x:c r="C95" s="625"/>
      <x:c r="D95" s="625" t="s">
        <x:v>73</x:v>
      </x:c>
      <x:c r="E95" s="627" t="n">
        <x:v>-241632.93</x:v>
      </x:c>
      <x:c r="F95" s="627" t="n">
        <x:v>-9797.62</x:v>
      </x:c>
      <x:c r="G95" s="627" t="n">
        <x:v>-5505.85</x:v>
      </x:c>
      <x:c r="H95" s="627" t="n">
        <x:v>-2902.58</x:v>
      </x:c>
      <x:c r="I95" s="627" t="n">
        <x:v>-68225.73</x:v>
      </x:c>
      <x:c r="J95" s="627" t="n">
        <x:v>-2234.25</x:v>
      </x:c>
      <x:c r="K95" s="627" t="n">
        <x:v>0</x:v>
      </x:c>
      <x:c r="L95" s="627" t="n">
        <x:v>-19598.29</x:v>
      </x:c>
      <x:c r="M95" s="627" t="n">
        <x:v>-19781.05</x:v>
      </x:c>
      <x:c r="N95" s="627" t="n">
        <x:v>-90737.12</x:v>
      </x:c>
      <x:c r="O95" s="627" t="n">
        <x:v>-19205.14</x:v>
      </x:c>
      <x:c r="P95" s="627" t="n">
        <x:v>-3645.3</x:v>
      </x:c>
      <x:c r="Q95" s="627" t="n">
        <x:v>0</x:v>
      </x:c>
      <x:c r="R95" s="653" t="n">
        <x:v>0</x:v>
      </x:c>
      <x:c r="Z95" s="624"/>
    </x:row>
    <x:row r="96" spans="1:26" x14ac:dyDescent="0.2">
      <x:c r="C96" s="625" t="s">
        <x:v>116</x:v>
      </x:c>
      <x:c r="D96" s="625" t="s">
        <x:v>70</x:v>
      </x:c>
      <x:c r="E96" s="627" t="n">
        <x:v>-241632.93</x:v>
      </x:c>
      <x:c r="F96" s="627" t="n">
        <x:v>-9797.62</x:v>
      </x:c>
      <x:c r="G96" s="627" t="n">
        <x:v>-5505.85</x:v>
      </x:c>
      <x:c r="H96" s="627" t="n">
        <x:v>-2902.58</x:v>
      </x:c>
      <x:c r="I96" s="627" t="n">
        <x:v>-68225.73</x:v>
      </x:c>
      <x:c r="J96" s="627" t="n">
        <x:v>-2234.25</x:v>
      </x:c>
      <x:c r="K96" s="627" t="n">
        <x:v>0</x:v>
      </x:c>
      <x:c r="L96" s="627" t="n">
        <x:v>-19598.29</x:v>
      </x:c>
      <x:c r="M96" s="627" t="n">
        <x:v>-19781.05</x:v>
      </x:c>
      <x:c r="N96" s="627" t="n">
        <x:v>-90737.12</x:v>
      </x:c>
      <x:c r="O96" s="627" t="n">
        <x:v>-19205.14</x:v>
      </x:c>
      <x:c r="P96" s="627" t="n">
        <x:v>-3645.3</x:v>
      </x:c>
      <x:c r="Q96" s="627" t="n">
        <x:v>0</x:v>
      </x:c>
      <x:c r="R96" s="653" t="n">
        <x:v>0</x:v>
      </x:c>
      <x:c r="Z96" s="624"/>
    </x:row>
    <x:row r="97" spans="1:26" x14ac:dyDescent="0.2">
      <x:c r="C97" s="625"/>
      <x:c r="D97" s="625" t="s">
        <x:v>73</x:v>
      </x:c>
      <x:c r="E97" s="627" t="n">
        <x:v>-7912371.11</x:v>
      </x:c>
      <x:c r="F97" s="627" t="n">
        <x:v>-321556.94</x:v>
      </x:c>
      <x:c r="G97" s="627" t="n">
        <x:v>-184379.29</x:v>
      </x:c>
      <x:c r="H97" s="627" t="n">
        <x:v>-97803.02</x:v>
      </x:c>
      <x:c r="I97" s="627" t="n">
        <x:v>-2235433.13</x:v>
      </x:c>
      <x:c r="J97" s="627" t="n">
        <x:v>-73085.65</x:v>
      </x:c>
      <x:c r="K97" s="627" t="n">
        <x:v>0</x:v>
      </x:c>
      <x:c r="L97" s="627" t="n">
        <x:v>-636486.21</x:v>
      </x:c>
      <x:c r="M97" s="627" t="n">
        <x:v>-640153.78</x:v>
      </x:c>
      <x:c r="N97" s="627" t="n">
        <x:v>-3002675.53</x:v>
      </x:c>
      <x:c r="O97" s="627" t="n">
        <x:v>-602120.33</x:v>
      </x:c>
      <x:c r="P97" s="627" t="n">
        <x:v>-118677.23</x:v>
      </x:c>
      <x:c r="Q97" s="627" t="n">
        <x:v>0</x:v>
      </x:c>
      <x:c r="R97" s="653" t="n">
        <x:v>0</x:v>
      </x:c>
      <x:c r="Z97" s="624"/>
    </x:row>
    <x:row r="98" spans="1:26" x14ac:dyDescent="0.2">
      <x:c r="C98" s="625" t="s">
        <x:v>118</x:v>
      </x:c>
      <x:c r="D98" s="625" t="s">
        <x:v>70</x:v>
      </x:c>
      <x:c r="E98" s="627" t="n">
        <x:v>-7912371.11</x:v>
      </x:c>
      <x:c r="F98" s="627" t="n">
        <x:v>-321556.94</x:v>
      </x:c>
      <x:c r="G98" s="627" t="n">
        <x:v>-184379.29</x:v>
      </x:c>
      <x:c r="H98" s="627" t="n">
        <x:v>-97803.02</x:v>
      </x:c>
      <x:c r="I98" s="627" t="n">
        <x:v>-2235433.13</x:v>
      </x:c>
      <x:c r="J98" s="627" t="n">
        <x:v>-73085.65</x:v>
      </x:c>
      <x:c r="K98" s="627" t="n">
        <x:v>0</x:v>
      </x:c>
      <x:c r="L98" s="627" t="n">
        <x:v>-636486.21</x:v>
      </x:c>
      <x:c r="M98" s="627" t="n">
        <x:v>-640153.78</x:v>
      </x:c>
      <x:c r="N98" s="627" t="n">
        <x:v>-3002675.53</x:v>
      </x:c>
      <x:c r="O98" s="627" t="n">
        <x:v>-602120.33</x:v>
      </x:c>
      <x:c r="P98" s="627" t="n">
        <x:v>-118677.23</x:v>
      </x:c>
      <x:c r="Q98" s="627" t="n">
        <x:v>0</x:v>
      </x:c>
      <x:c r="R98" s="653" t="n">
        <x:v>0</x:v>
      </x:c>
      <x:c r="Z98" s="624"/>
    </x:row>
    <x:row r="99" spans="1:26" x14ac:dyDescent="0.2">
      <x:c r="A99" s="667"/>
      <x:c r="B99" s="667" t="s">
        <x:v>120</x:v>
      </x:c>
      <x:c r="C99" s="667" t="s">
        <x:v>70</x:v>
      </x:c>
      <x:c r="D99" s="667"/>
      <x:c r="E99" s="672" t="n">
        <x:v>-10127754.08</x:v>
      </x:c>
      <x:c r="F99" s="672" t="n">
        <x:v>-407927.93</x:v>
      </x:c>
      <x:c r="G99" s="672" t="n">
        <x:v>-232897.46</x:v>
      </x:c>
      <x:c r="H99" s="672" t="n">
        <x:v>-123837.93</x:v>
      </x:c>
      <x:c r="I99" s="672" t="n">
        <x:v>-2881824.92</x:v>
      </x:c>
      <x:c r="J99" s="672" t="n">
        <x:v>-90306.21</x:v>
      </x:c>
      <x:c r="K99" s="672" t="n">
        <x:v>0</x:v>
      </x:c>
      <x:c r="L99" s="672" t="n">
        <x:v>-806837.63</x:v>
      </x:c>
      <x:c r="M99" s="672" t="n">
        <x:v>-830752.18</x:v>
      </x:c>
      <x:c r="N99" s="672" t="n">
        <x:v>-3835805.18</x:v>
      </x:c>
      <x:c r="O99" s="672" t="n">
        <x:v>-770790.84</x:v>
      </x:c>
      <x:c r="P99" s="672" t="n">
        <x:v>-146773.8</x:v>
      </x:c>
      <x:c r="Q99" s="672" t="n">
        <x:v>0</x:v>
      </x:c>
      <x:c r="R99" s="672" t="n">
        <x:v>0</x:v>
      </x:c>
      <x:c r="S99" s="667"/>
      <x:c r="T99" s="667"/>
      <x:c r="U99" s="667"/>
      <x:c r="V99" s="667"/>
      <x:c r="W99" s="667"/>
      <x:c r="X99" s="667"/>
      <x:c r="Y99" s="667"/>
      <x:c r="Z99" s="624"/>
    </x:row>
    <x:row r="100" spans="1:26" x14ac:dyDescent="0.2">
      <x:c r="D100" s="625" t="s">
        <x:v>73</x:v>
      </x:c>
      <x:c r="E100" s="627" t="n">
        <x:v>-3182911.67</x:v>
      </x:c>
      <x:c r="F100" s="627" t="n">
        <x:v>-139157.84</x:v>
      </x:c>
      <x:c r="G100" s="627" t="n">
        <x:v>-86072.83</x:v>
      </x:c>
      <x:c r="H100" s="627" t="n">
        <x:v>-50455.48</x:v>
      </x:c>
      <x:c r="I100" s="627" t="n">
        <x:v>-1005938.26</x:v>
      </x:c>
      <x:c r="J100" s="627" t="n">
        <x:v>-25590.57</x:v>
      </x:c>
      <x:c r="K100" s="627" t="n">
        <x:v>0</x:v>
      </x:c>
      <x:c r="L100" s="627" t="n">
        <x:v>-206580.44</x:v>
      </x:c>
      <x:c r="M100" s="627" t="n">
        <x:v>-276320.95</x:v>
      </x:c>
      <x:c r="N100" s="627" t="n">
        <x:v>-1228793.59</x:v>
      </x:c>
      <x:c r="O100" s="627" t="n">
        <x:v>-123045.53</x:v>
      </x:c>
      <x:c r="P100" s="627" t="n">
        <x:v>-40956.18</x:v>
      </x:c>
      <x:c r="Q100" s="627" t="n">
        <x:v>0</x:v>
      </x:c>
      <x:c r="R100" s="653" t="n">
        <x:v>0</x:v>
      </x:c>
      <x:c r="Z100" s="624"/>
    </x:row>
    <x:row r="101" spans="1:26" x14ac:dyDescent="0.2">
      <x:c r="C101" s="25" t="s">
        <x:v>82</x:v>
      </x:c>
      <x:c r="D101" s="625" t="s">
        <x:v>70</x:v>
      </x:c>
      <x:c r="E101" s="627" t="n">
        <x:v>-3182911.67</x:v>
      </x:c>
      <x:c r="F101" s="627" t="n">
        <x:v>-139157.84</x:v>
      </x:c>
      <x:c r="G101" s="627" t="n">
        <x:v>-86072.83</x:v>
      </x:c>
      <x:c r="H101" s="627" t="n">
        <x:v>-50455.48</x:v>
      </x:c>
      <x:c r="I101" s="627" t="n">
        <x:v>-1005938.26</x:v>
      </x:c>
      <x:c r="J101" s="627" t="n">
        <x:v>-25590.57</x:v>
      </x:c>
      <x:c r="K101" s="627" t="n">
        <x:v>0</x:v>
      </x:c>
      <x:c r="L101" s="627" t="n">
        <x:v>-206580.44</x:v>
      </x:c>
      <x:c r="M101" s="627" t="n">
        <x:v>-276320.95</x:v>
      </x:c>
      <x:c r="N101" s="627" t="n">
        <x:v>-1228793.59</x:v>
      </x:c>
      <x:c r="O101" s="627" t="n">
        <x:v>-123045.53</x:v>
      </x:c>
      <x:c r="P101" s="627" t="n">
        <x:v>-40956.18</x:v>
      </x:c>
      <x:c r="Q101" s="627" t="n">
        <x:v>0</x:v>
      </x:c>
      <x:c r="R101" s="653" t="n">
        <x:v>0</x:v>
      </x:c>
      <x:c r="Z101" s="624"/>
    </x:row>
    <x:row r="102" spans="1:26" x14ac:dyDescent="0.2">
      <x:c r="D102" s="625" t="s">
        <x:v>73</x:v>
      </x:c>
      <x:c r="E102" s="627" t="n">
        <x:v>-4176689.77</x:v>
      </x:c>
      <x:c r="F102" s="627" t="n">
        <x:v>451770.66</x:v>
      </x:c>
      <x:c r="G102" s="627" t="n">
        <x:v>48673.05</x:v>
      </x:c>
      <x:c r="H102" s="627" t="n">
        <x:v>72202.01</x:v>
      </x:c>
      <x:c r="I102" s="627" t="n">
        <x:v>-1893477.11</x:v>
      </x:c>
      <x:c r="J102" s="627" t="n">
        <x:v>-59581.05</x:v>
      </x:c>
      <x:c r="K102" s="627" t="n">
        <x:v>0</x:v>
      </x:c>
      <x:c r="L102" s="627" t="n">
        <x:v>-518650.72</x:v>
      </x:c>
      <x:c r="M102" s="627" t="n">
        <x:v>-601656.88</x:v>
      </x:c>
      <x:c r="N102" s="627" t="n">
        <x:v>-2836991.94</x:v>
      </x:c>
      <x:c r="O102" s="627" t="n">
        <x:v>1257256.04</x:v>
      </x:c>
      <x:c r="P102" s="627" t="n">
        <x:v>-96233.83</x:v>
      </x:c>
      <x:c r="Q102" s="627" t="n">
        <x:v>0</x:v>
      </x:c>
      <x:c r="R102" s="653" t="n">
        <x:v>0</x:v>
      </x:c>
      <x:c r="Z102" s="624"/>
    </x:row>
    <x:row r="103" spans="1:26" x14ac:dyDescent="0.2">
      <x:c r="C103" s="25" t="s">
        <x:v>86</x:v>
      </x:c>
      <x:c r="D103" s="625" t="s">
        <x:v>70</x:v>
      </x:c>
      <x:c r="E103" s="627" t="n">
        <x:v>-4176689.77</x:v>
      </x:c>
      <x:c r="F103" s="627" t="n">
        <x:v>451770.66</x:v>
      </x:c>
      <x:c r="G103" s="627" t="n">
        <x:v>48673.05</x:v>
      </x:c>
      <x:c r="H103" s="627" t="n">
        <x:v>72202.01</x:v>
      </x:c>
      <x:c r="I103" s="627" t="n">
        <x:v>-1893477.11</x:v>
      </x:c>
      <x:c r="J103" s="627" t="n">
        <x:v>-59581.05</x:v>
      </x:c>
      <x:c r="K103" s="627" t="n">
        <x:v>0</x:v>
      </x:c>
      <x:c r="L103" s="627" t="n">
        <x:v>-518650.72</x:v>
      </x:c>
      <x:c r="M103" s="627" t="n">
        <x:v>-601656.88</x:v>
      </x:c>
      <x:c r="N103" s="627" t="n">
        <x:v>-2836991.94</x:v>
      </x:c>
      <x:c r="O103" s="627" t="n">
        <x:v>1257256.04</x:v>
      </x:c>
      <x:c r="P103" s="627" t="n">
        <x:v>-96233.83</x:v>
      </x:c>
      <x:c r="Q103" s="627" t="n">
        <x:v>0</x:v>
      </x:c>
      <x:c r="R103" s="653" t="n">
        <x:v>0</x:v>
      </x:c>
      <x:c r="Z103" s="624"/>
    </x:row>
    <x:row r="104" spans="1:26" x14ac:dyDescent="0.2">
      <x:c r="D104" s="625" t="s">
        <x:v>73</x:v>
      </x:c>
      <x:c r="E104" s="627" t="n">
        <x:v>522999.54</x:v>
      </x:c>
      <x:c r="F104" s="627" t="n">
        <x:v>54236.07</x:v>
      </x:c>
      <x:c r="G104" s="627" t="n">
        <x:v>-13360.86</x:v>
      </x:c>
      <x:c r="H104" s="627" t="n">
        <x:v>-8558.53</x:v>
      </x:c>
      <x:c r="I104" s="627" t="n">
        <x:v>-495268.04</x:v>
      </x:c>
      <x:c r="J104" s="627" t="n">
        <x:v>-11654.1</x:v>
      </x:c>
      <x:c r="K104" s="627" t="n">
        <x:v>0</x:v>
      </x:c>
      <x:c r="L104" s="627" t="n">
        <x:v>-52422.98</x:v>
      </x:c>
      <x:c r="M104" s="627" t="n">
        <x:v>-98595.04</x:v>
      </x:c>
      <x:c r="N104" s="627" t="n">
        <x:v>-410478.9</x:v>
      </x:c>
      <x:c r="O104" s="627" t="n">
        <x:v>1577530.55</x:v>
      </x:c>
      <x:c r="P104" s="627" t="n">
        <x:v>-18428.63</x:v>
      </x:c>
      <x:c r="Q104" s="627" t="n">
        <x:v>0</x:v>
      </x:c>
      <x:c r="R104" s="653" t="n">
        <x:v>0</x:v>
      </x:c>
      <x:c r="Z104" s="624"/>
    </x:row>
    <x:row r="105" spans="1:26" x14ac:dyDescent="0.2">
      <x:c r="C105" s="25" t="s">
        <x:v>87</x:v>
      </x:c>
      <x:c r="D105" s="625" t="s">
        <x:v>70</x:v>
      </x:c>
      <x:c r="E105" s="627" t="n">
        <x:v>522999.54</x:v>
      </x:c>
      <x:c r="F105" s="627" t="n">
        <x:v>54236.07</x:v>
      </x:c>
      <x:c r="G105" s="627" t="n">
        <x:v>-13360.86</x:v>
      </x:c>
      <x:c r="H105" s="627" t="n">
        <x:v>-8558.53</x:v>
      </x:c>
      <x:c r="I105" s="627" t="n">
        <x:v>-495268.04</x:v>
      </x:c>
      <x:c r="J105" s="627" t="n">
        <x:v>-11654.1</x:v>
      </x:c>
      <x:c r="K105" s="627" t="n">
        <x:v>0</x:v>
      </x:c>
      <x:c r="L105" s="627" t="n">
        <x:v>-52422.98</x:v>
      </x:c>
      <x:c r="M105" s="627" t="n">
        <x:v>-98595.04</x:v>
      </x:c>
      <x:c r="N105" s="627" t="n">
        <x:v>-410478.9</x:v>
      </x:c>
      <x:c r="O105" s="627" t="n">
        <x:v>1577530.55</x:v>
      </x:c>
      <x:c r="P105" s="627" t="n">
        <x:v>-18428.63</x:v>
      </x:c>
      <x:c r="Q105" s="627" t="n">
        <x:v>0</x:v>
      </x:c>
      <x:c r="R105" s="653" t="n">
        <x:v>0</x:v>
      </x:c>
      <x:c r="Z105" s="624"/>
    </x:row>
    <x:row r="106" spans="1:26" x14ac:dyDescent="0.2">
      <x:c r="A106" s="631"/>
      <x:c r="B106" s="632" t="s">
        <x:v>119</x:v>
      </x:c>
      <x:c r="C106" s="632" t="s">
        <x:v>70</x:v>
      </x:c>
      <x:c r="D106" s="631"/>
      <x:c r="E106" s="633" t="n">
        <x:v>-6836601.9</x:v>
      </x:c>
      <x:c r="F106" s="633" t="n">
        <x:v>366848.89</x:v>
      </x:c>
      <x:c r="G106" s="633" t="n">
        <x:v>-50760.64</x:v>
      </x:c>
      <x:c r="H106" s="633" t="n">
        <x:v>13188</x:v>
      </x:c>
      <x:c r="I106" s="633" t="n">
        <x:v>-3394683.41</x:v>
      </x:c>
      <x:c r="J106" s="633" t="n">
        <x:v>-96825.72</x:v>
      </x:c>
      <x:c r="K106" s="633" t="n">
        <x:v>0</x:v>
      </x:c>
      <x:c r="L106" s="633" t="n">
        <x:v>-777654.14</x:v>
      </x:c>
      <x:c r="M106" s="633" t="n">
        <x:v>-976572.87</x:v>
      </x:c>
      <x:c r="N106" s="633" t="n">
        <x:v>-4476264.43</x:v>
      </x:c>
      <x:c r="O106" s="633" t="n">
        <x:v>2711741.06</x:v>
      </x:c>
      <x:c r="P106" s="633" t="n">
        <x:v>-155618.64</x:v>
      </x:c>
      <x:c r="Q106" s="633" t="n">
        <x:v>0</x:v>
      </x:c>
      <x:c r="R106" s="678" t="n">
        <x:v>0</x:v>
      </x:c>
      <x:c r="S106" s="631"/>
      <x:c r="T106" s="631"/>
      <x:c r="U106" s="631"/>
      <x:c r="V106" s="631"/>
      <x:c r="W106" s="631"/>
      <x:c r="X106" s="631"/>
      <x:c r="Y106" s="631"/>
      <x:c r="Z106" s="624"/>
    </x:row>
    <x:row r="107" spans="1:26" x14ac:dyDescent="0.2">
      <x:c r="A107" s="639" t="s">
        <x:v>79</x:v>
      </x:c>
      <x:c r="B107" s="639" t="s">
        <x:v>70</x:v>
      </x:c>
      <x:c r="C107" s="638"/>
      <x:c r="D107" s="638"/>
      <x:c r="E107" s="640" t="n">
        <x:v>-35128653.25</x:v>
      </x:c>
      <x:c r="F107" s="640" t="n">
        <x:v>-734344.35</x:v>
      </x:c>
      <x:c r="G107" s="640" t="n">
        <x:v>-672671.23</x:v>
      </x:c>
      <x:c r="H107" s="640" t="n">
        <x:v>-320426.57</x:v>
      </x:c>
      <x:c r="I107" s="640" t="n">
        <x:v>-11248061.37</x:v>
      </x:c>
      <x:c r="J107" s="640" t="n">
        <x:v>-364057.12</x:v>
      </x:c>
      <x:c r="K107" s="640" t="n">
        <x:v>0</x:v>
      </x:c>
      <x:c r="L107" s="640" t="n">
        <x:v>-3126453.97</x:v>
      </x:c>
      <x:c r="M107" s="640" t="n">
        <x:v>-3305195.54</x:v>
      </x:c>
      <x:c r="N107" s="640" t="n">
        <x:v>-15363596.2</x:v>
      </x:c>
      <x:c r="O107" s="640" t="n">
        <x:v>596685.7</x:v>
      </x:c>
      <x:c r="P107" s="640" t="n">
        <x:v>-590532.6</x:v>
      </x:c>
      <x:c r="Q107" s="640" t="n">
        <x:v>0</x:v>
      </x:c>
      <x:c r="R107" s="679" t="n">
        <x:v>0</x:v>
      </x:c>
      <x:c r="S107" s="638"/>
      <x:c r="T107" s="638"/>
      <x:c r="U107" s="638"/>
      <x:c r="V107" s="638"/>
      <x:c r="W107" s="638"/>
      <x:c r="X107" s="638"/>
      <x:c r="Y107" s="638"/>
      <x:c r="Z107" s="624"/>
    </x:row>
    <x:row r="108" spans="1:26" x14ac:dyDescent="0.2">
      <x:c r="A108" s="625" t="s">
        <x:v>70</x:v>
      </x:c>
      <x:c r="E108" s="627" t="n">
        <x:v>148193467.35</x:v>
      </x:c>
      <x:c r="F108" s="627" t="n">
        <x:v>17463507.26</x:v>
      </x:c>
      <x:c r="G108" s="627" t="n">
        <x:v>9228968.13</x:v>
      </x:c>
      <x:c r="H108" s="627" t="n">
        <x:v>4492655.64</x:v>
      </x:c>
      <x:c r="I108" s="627" t="n">
        <x:v>27052476.99</x:v>
      </x:c>
      <x:c r="J108" s="627" t="n">
        <x:v>901073.95</x:v>
      </x:c>
      <x:c r="K108" s="627" t="n">
        <x:v>28554.96</x:v>
      </x:c>
      <x:c r="L108" s="627" t="n">
        <x:v>7436619.35</x:v>
      </x:c>
      <x:c r="M108" s="627" t="n">
        <x:v>8244354.2</x:v>
      </x:c>
      <x:c r="N108" s="627" t="n">
        <x:v>28765575.32</x:v>
      </x:c>
      <x:c r="O108" s="627" t="n">
        <x:v>43654179.54</x:v>
      </x:c>
      <x:c r="P108" s="627" t="n">
        <x:v>925358.1</x:v>
      </x:c>
      <x:c r="Q108" s="627" t="n">
        <x:v>143.91</x:v>
      </x:c>
      <x:c r="R108" s="653" t="n">
        <x:v>0</x:v>
      </x:c>
      <x:c r="Z108" s="624"/>
    </x:row>
    <x:row r="109" spans="1:26" x14ac:dyDescent="0.2">
      <x:c r="A109" s="625"/>
      <x:c r="E109" s="627"/>
      <x:c r="F109" s="627"/>
      <x:c r="G109" s="627"/>
      <x:c r="H109" s="627"/>
      <x:c r="I109" s="627"/>
      <x:c r="J109" s="627"/>
      <x:c r="K109" s="627"/>
      <x:c r="L109" s="627"/>
      <x:c r="M109" s="627"/>
      <x:c r="N109" s="627"/>
      <x:c r="O109" s="627"/>
      <x:c r="P109" s="627"/>
      <x:c r="Q109" s="627"/>
      <x:c r="R109" s="627"/>
      <x:c r="S109" s="627"/>
      <x:c r="Z109" s="624"/>
    </x:row>
    <x:row r="110" spans="1:26" x14ac:dyDescent="0.2">
      <x:c r="A110" s="625"/>
      <x:c r="E110" s="627"/>
      <x:c r="F110" s="627"/>
      <x:c r="G110" s="627"/>
      <x:c r="H110" s="627"/>
      <x:c r="I110" s="627"/>
      <x:c r="J110" s="627"/>
      <x:c r="K110" s="627"/>
      <x:c r="L110" s="627"/>
      <x:c r="M110" s="627"/>
      <x:c r="N110" s="627"/>
      <x:c r="O110" s="627"/>
      <x:c r="P110" s="627"/>
      <x:c r="Q110" s="627"/>
      <x:c r="R110" s="627"/>
      <x:c r="S110" s="627"/>
      <x:c r="Z110" s="624"/>
    </x:row>
    <x:row r="111" spans="1:26" x14ac:dyDescent="0.2">
      <x:c r="A111" s="625"/>
      <x:c r="E111" s="627"/>
      <x:c r="F111" s="627"/>
      <x:c r="G111" s="627"/>
      <x:c r="H111" s="627"/>
      <x:c r="I111" s="627"/>
      <x:c r="J111" s="627"/>
      <x:c r="K111" s="627"/>
      <x:c r="L111" s="627"/>
      <x:c r="M111" s="627"/>
      <x:c r="N111" s="627"/>
      <x:c r="O111" s="627"/>
      <x:c r="P111" s="627"/>
      <x:c r="Q111" s="627"/>
      <x:c r="R111" s="627"/>
      <x:c r="S111" s="627"/>
      <x:c r="Z111" s="624"/>
    </x:row>
    <x:row r="112" spans="1:26" x14ac:dyDescent="0.2">
      <x:c r="A112" s="625"/>
      <x:c r="E112" s="627"/>
      <x:c r="F112" s="627"/>
      <x:c r="G112" s="627"/>
      <x:c r="H112" s="627"/>
      <x:c r="I112" s="627"/>
      <x:c r="J112" s="627"/>
      <x:c r="K112" s="627"/>
      <x:c r="L112" s="627"/>
      <x:c r="M112" s="627"/>
      <x:c r="N112" s="627"/>
      <x:c r="O112" s="627"/>
      <x:c r="P112" s="627"/>
      <x:c r="Q112" s="627"/>
      <x:c r="R112" s="627"/>
      <x:c r="S112" s="627"/>
      <x:c r="Z112" s="624"/>
    </x:row>
    <x:row r="113" spans="1:26" x14ac:dyDescent="0.2">
      <x:c r="A113" s="625"/>
      <x:c r="E113" s="627"/>
      <x:c r="F113" s="627"/>
      <x:c r="G113" s="627"/>
      <x:c r="H113" s="627"/>
      <x:c r="I113" s="627"/>
      <x:c r="J113" s="627"/>
      <x:c r="K113" s="627"/>
      <x:c r="L113" s="627"/>
      <x:c r="M113" s="627"/>
      <x:c r="N113" s="627"/>
      <x:c r="O113" s="627"/>
      <x:c r="P113" s="627"/>
      <x:c r="Q113" s="627"/>
      <x:c r="R113" s="627"/>
      <x:c r="S113" s="627"/>
      <x:c r="Z113" s="624"/>
    </x:row>
    <x:row r="114" spans="1:26" x14ac:dyDescent="0.2">
      <x:c r="A114" s="625"/>
      <x:c r="E114" s="627"/>
      <x:c r="F114" s="627"/>
      <x:c r="G114" s="627"/>
      <x:c r="H114" s="627"/>
      <x:c r="I114" s="627"/>
      <x:c r="J114" s="627"/>
      <x:c r="K114" s="627"/>
      <x:c r="L114" s="627"/>
      <x:c r="M114" s="627"/>
      <x:c r="N114" s="627"/>
      <x:c r="O114" s="627"/>
      <x:c r="P114" s="627"/>
      <x:c r="Q114" s="627"/>
      <x:c r="R114" s="627"/>
      <x:c r="S114" s="627"/>
      <x:c r="Z114" s="624"/>
    </x:row>
    <x:row r="115" spans="1:26" x14ac:dyDescent="0.2">
      <x:c r="A115" s="625"/>
      <x:c r="E115" s="627"/>
      <x:c r="F115" s="627"/>
      <x:c r="G115" s="627"/>
      <x:c r="H115" s="627"/>
      <x:c r="I115" s="627"/>
      <x:c r="J115" s="627"/>
      <x:c r="K115" s="627"/>
      <x:c r="L115" s="627"/>
      <x:c r="M115" s="627"/>
      <x:c r="N115" s="627"/>
      <x:c r="O115" s="627"/>
      <x:c r="P115" s="627"/>
      <x:c r="Q115" s="627"/>
      <x:c r="R115" s="627"/>
      <x:c r="S115" s="627"/>
      <x:c r="Z115" s="624"/>
    </x:row>
    <x:row r="116" spans="1:26" x14ac:dyDescent="0.2">
      <x:c r="A116" s="625"/>
      <x:c r="E116" s="627"/>
      <x:c r="F116" s="627"/>
      <x:c r="G116" s="627"/>
      <x:c r="H116" s="627"/>
      <x:c r="I116" s="627"/>
      <x:c r="J116" s="627"/>
      <x:c r="K116" s="627"/>
      <x:c r="L116" s="627"/>
      <x:c r="M116" s="627"/>
      <x:c r="N116" s="627"/>
      <x:c r="O116" s="627"/>
      <x:c r="P116" s="627"/>
      <x:c r="Q116" s="627"/>
      <x:c r="R116" s="627"/>
      <x:c r="S116" s="627"/>
      <x:c r="Z116" s="624"/>
    </x:row>
    <x:row r="117" spans="1:26" x14ac:dyDescent="0.2">
      <x:c r="A117" s="625"/>
      <x:c r="E117" s="627"/>
      <x:c r="F117" s="627"/>
      <x:c r="G117" s="627"/>
      <x:c r="H117" s="627"/>
      <x:c r="I117" s="627"/>
      <x:c r="J117" s="627"/>
      <x:c r="K117" s="627"/>
      <x:c r="L117" s="627"/>
      <x:c r="M117" s="627"/>
      <x:c r="N117" s="627"/>
      <x:c r="O117" s="627"/>
      <x:c r="P117" s="627"/>
      <x:c r="Q117" s="627"/>
      <x:c r="R117" s="627"/>
      <x:c r="S117" s="627"/>
      <x:c r="Z117" s="624"/>
    </x:row>
    <x:row r="118" spans="1:26" x14ac:dyDescent="0.2">
      <x:c r="A118" s="625"/>
      <x:c r="E118" s="627"/>
      <x:c r="F118" s="627"/>
      <x:c r="G118" s="627"/>
      <x:c r="H118" s="627"/>
      <x:c r="I118" s="627"/>
      <x:c r="J118" s="627"/>
      <x:c r="K118" s="627"/>
      <x:c r="L118" s="627"/>
      <x:c r="M118" s="627"/>
      <x:c r="N118" s="627"/>
      <x:c r="O118" s="627"/>
      <x:c r="P118" s="627"/>
      <x:c r="Q118" s="627"/>
      <x:c r="R118" s="627"/>
      <x:c r="S118" s="627"/>
      <x:c r="Z118" s="624"/>
    </x:row>
    <x:row r="119" spans="1:26" x14ac:dyDescent="0.2">
      <x:c r="A119" s="625"/>
      <x:c r="E119" s="627"/>
      <x:c r="F119" s="627"/>
      <x:c r="G119" s="627"/>
      <x:c r="H119" s="627"/>
      <x:c r="I119" s="627"/>
      <x:c r="J119" s="627"/>
      <x:c r="K119" s="627"/>
      <x:c r="L119" s="627"/>
      <x:c r="M119" s="627"/>
      <x:c r="N119" s="627"/>
      <x:c r="O119" s="627"/>
      <x:c r="P119" s="627"/>
      <x:c r="Q119" s="627"/>
      <x:c r="R119" s="627"/>
      <x:c r="S119" s="627"/>
      <x:c r="Z119" s="624"/>
    </x:row>
    <x:row r="120" spans="1:26" x14ac:dyDescent="0.2">
      <x:c r="A120" s="625"/>
      <x:c r="E120" s="627"/>
      <x:c r="F120" s="627"/>
      <x:c r="G120" s="627"/>
      <x:c r="H120" s="627"/>
      <x:c r="I120" s="627"/>
      <x:c r="J120" s="627"/>
      <x:c r="K120" s="627"/>
      <x:c r="L120" s="627"/>
      <x:c r="M120" s="627"/>
      <x:c r="N120" s="627"/>
      <x:c r="O120" s="627"/>
      <x:c r="P120" s="627"/>
      <x:c r="Q120" s="627"/>
      <x:c r="R120" s="627"/>
      <x:c r="S120" s="627"/>
      <x:c r="Z120" s="624"/>
    </x:row>
    <x:row r="121" spans="1:26" x14ac:dyDescent="0.2">
      <x:c r="A121" s="625"/>
      <x:c r="E121" s="627"/>
      <x:c r="F121" s="627"/>
      <x:c r="G121" s="627"/>
      <x:c r="H121" s="627"/>
      <x:c r="I121" s="627"/>
      <x:c r="J121" s="627"/>
      <x:c r="K121" s="627"/>
      <x:c r="L121" s="627"/>
      <x:c r="M121" s="627"/>
      <x:c r="N121" s="627"/>
      <x:c r="O121" s="627"/>
      <x:c r="P121" s="627"/>
      <x:c r="Q121" s="627"/>
      <x:c r="R121" s="627"/>
      <x:c r="S121" s="627"/>
      <x:c r="Z121" s="624"/>
    </x:row>
    <x:row r="122" spans="1:26" x14ac:dyDescent="0.2">
      <x:c r="A122" s="625"/>
      <x:c r="E122" s="627"/>
      <x:c r="F122" s="627"/>
      <x:c r="G122" s="627"/>
      <x:c r="H122" s="627"/>
      <x:c r="I122" s="627"/>
      <x:c r="J122" s="627"/>
      <x:c r="K122" s="627"/>
      <x:c r="L122" s="627"/>
      <x:c r="M122" s="627"/>
      <x:c r="N122" s="627"/>
      <x:c r="O122" s="627"/>
      <x:c r="P122" s="627"/>
      <x:c r="Q122" s="627"/>
      <x:c r="R122" s="627"/>
      <x:c r="S122" s="627"/>
      <x:c r="Z122" s="624"/>
    </x:row>
    <x:row r="123" spans="1:26" x14ac:dyDescent="0.2">
      <x:c r="A123" s="625"/>
      <x:c r="E123" s="627"/>
      <x:c r="F123" s="627"/>
      <x:c r="G123" s="627"/>
      <x:c r="H123" s="627"/>
      <x:c r="I123" s="627"/>
      <x:c r="J123" s="627"/>
      <x:c r="K123" s="627"/>
      <x:c r="L123" s="627"/>
      <x:c r="M123" s="627"/>
      <x:c r="N123" s="627"/>
      <x:c r="O123" s="627"/>
      <x:c r="P123" s="627"/>
      <x:c r="Q123" s="627"/>
      <x:c r="R123" s="627"/>
      <x:c r="S123" s="627"/>
      <x:c r="Z123" s="624"/>
    </x:row>
    <x:row r="124" spans="1:26" x14ac:dyDescent="0.2">
      <x:c r="A124" s="625"/>
      <x:c r="E124" s="627"/>
      <x:c r="F124" s="627"/>
      <x:c r="G124" s="627"/>
      <x:c r="H124" s="627"/>
      <x:c r="I124" s="627"/>
      <x:c r="J124" s="627"/>
      <x:c r="K124" s="627"/>
      <x:c r="L124" s="627"/>
      <x:c r="M124" s="627"/>
      <x:c r="N124" s="627"/>
      <x:c r="O124" s="627"/>
      <x:c r="P124" s="627"/>
      <x:c r="Q124" s="627"/>
      <x:c r="R124" s="627"/>
      <x:c r="S124" s="627"/>
      <x:c r="Z124" s="624"/>
    </x:row>
    <x:row r="125" spans="1:26" x14ac:dyDescent="0.2">
      <x:c r="A125" s="625"/>
      <x:c r="E125" s="627"/>
      <x:c r="F125" s="627"/>
      <x:c r="G125" s="627"/>
      <x:c r="H125" s="627"/>
      <x:c r="I125" s="627"/>
      <x:c r="J125" s="627"/>
      <x:c r="K125" s="627"/>
      <x:c r="L125" s="627"/>
      <x:c r="M125" s="627"/>
      <x:c r="N125" s="627"/>
      <x:c r="O125" s="627"/>
      <x:c r="P125" s="627"/>
      <x:c r="Q125" s="627"/>
      <x:c r="R125" s="627"/>
      <x:c r="S125" s="627"/>
      <x:c r="Z125" s="624"/>
    </x:row>
    <x:row r="126" spans="1:26" x14ac:dyDescent="0.2">
      <x:c r="A126" s="625"/>
      <x:c r="E126" s="627"/>
      <x:c r="F126" s="627"/>
      <x:c r="G126" s="627"/>
      <x:c r="H126" s="627"/>
      <x:c r="I126" s="627"/>
      <x:c r="J126" s="627"/>
      <x:c r="K126" s="627"/>
      <x:c r="L126" s="627"/>
      <x:c r="M126" s="627"/>
      <x:c r="N126" s="627"/>
      <x:c r="O126" s="627"/>
      <x:c r="P126" s="627"/>
      <x:c r="Q126" s="627"/>
      <x:c r="R126" s="627"/>
      <x:c r="S126" s="627"/>
      <x:c r="Z126" s="624"/>
    </x:row>
    <x:row r="127" spans="1:26" x14ac:dyDescent="0.2">
      <x:c r="A127" s="625"/>
      <x:c r="E127" s="627"/>
      <x:c r="F127" s="627"/>
      <x:c r="G127" s="627"/>
      <x:c r="H127" s="627"/>
      <x:c r="I127" s="627"/>
      <x:c r="J127" s="627"/>
      <x:c r="K127" s="627"/>
      <x:c r="L127" s="627"/>
      <x:c r="M127" s="627"/>
      <x:c r="N127" s="627"/>
      <x:c r="O127" s="627"/>
      <x:c r="P127" s="627"/>
      <x:c r="Q127" s="627"/>
      <x:c r="R127" s="627"/>
      <x:c r="S127" s="627"/>
      <x:c r="Z127" s="624"/>
    </x:row>
    <x:row r="128" spans="1:26" x14ac:dyDescent="0.2">
      <x:c r="A128" s="625"/>
      <x:c r="E128" s="627"/>
      <x:c r="F128" s="627"/>
      <x:c r="G128" s="627"/>
      <x:c r="H128" s="627"/>
      <x:c r="I128" s="627"/>
      <x:c r="J128" s="627"/>
      <x:c r="K128" s="627"/>
      <x:c r="L128" s="627"/>
      <x:c r="M128" s="627"/>
      <x:c r="N128" s="627"/>
      <x:c r="O128" s="627"/>
      <x:c r="P128" s="627"/>
      <x:c r="Q128" s="627"/>
      <x:c r="R128" s="627"/>
      <x:c r="S128" s="627"/>
      <x:c r="Z128" s="624"/>
    </x:row>
    <x:row r="129" spans="1:26" x14ac:dyDescent="0.2">
      <x:c r="A129" s="625"/>
      <x:c r="E129" s="627"/>
      <x:c r="F129" s="627"/>
      <x:c r="G129" s="627"/>
      <x:c r="H129" s="627"/>
      <x:c r="I129" s="627"/>
      <x:c r="J129" s="627"/>
      <x:c r="K129" s="627"/>
      <x:c r="L129" s="627"/>
      <x:c r="M129" s="627"/>
      <x:c r="N129" s="627"/>
      <x:c r="O129" s="627"/>
      <x:c r="P129" s="627"/>
      <x:c r="Q129" s="627"/>
      <x:c r="R129" s="627"/>
      <x:c r="S129" s="627"/>
      <x:c r="Z129" s="624"/>
    </x:row>
    <x:row r="130" spans="1:26" x14ac:dyDescent="0.2">
      <x:c r="A130" s="625"/>
      <x:c r="E130" s="627"/>
      <x:c r="F130" s="627"/>
      <x:c r="G130" s="627"/>
      <x:c r="H130" s="627"/>
      <x:c r="I130" s="627"/>
      <x:c r="J130" s="627"/>
      <x:c r="K130" s="627"/>
      <x:c r="L130" s="627"/>
      <x:c r="M130" s="627"/>
      <x:c r="N130" s="627"/>
      <x:c r="O130" s="627"/>
      <x:c r="P130" s="627"/>
      <x:c r="Q130" s="627"/>
      <x:c r="R130" s="627"/>
      <x:c r="S130" s="627"/>
      <x:c r="Z130" s="624"/>
    </x:row>
    <x:row r="131" spans="1:26" x14ac:dyDescent="0.2">
      <x:c r="A131" s="625"/>
      <x:c r="E131" s="627"/>
      <x:c r="F131" s="627"/>
      <x:c r="G131" s="627"/>
      <x:c r="H131" s="627"/>
      <x:c r="I131" s="627"/>
      <x:c r="J131" s="627"/>
      <x:c r="K131" s="627"/>
      <x:c r="L131" s="627"/>
      <x:c r="M131" s="627"/>
      <x:c r="N131" s="627"/>
      <x:c r="O131" s="627"/>
      <x:c r="P131" s="627"/>
      <x:c r="Q131" s="627"/>
      <x:c r="R131" s="627"/>
      <x:c r="S131" s="627"/>
      <x:c r="Z131" s="624"/>
    </x:row>
    <x:row r="132" spans="1:26" x14ac:dyDescent="0.2">
      <x:c r="A132" s="625"/>
      <x:c r="E132" s="627"/>
      <x:c r="F132" s="627"/>
      <x:c r="G132" s="627"/>
      <x:c r="H132" s="627"/>
      <x:c r="I132" s="627"/>
      <x:c r="J132" s="627"/>
      <x:c r="K132" s="627"/>
      <x:c r="L132" s="627"/>
      <x:c r="M132" s="627"/>
      <x:c r="N132" s="627"/>
      <x:c r="O132" s="627"/>
      <x:c r="P132" s="627"/>
      <x:c r="Q132" s="627"/>
      <x:c r="R132" s="627"/>
      <x:c r="S132" s="627"/>
      <x:c r="Z132" s="624"/>
    </x:row>
    <x:row r="133" spans="1:26" x14ac:dyDescent="0.2">
      <x:c r="A133" s="625"/>
      <x:c r="E133" s="627"/>
      <x:c r="F133" s="627"/>
      <x:c r="G133" s="627"/>
      <x:c r="H133" s="627"/>
      <x:c r="I133" s="627"/>
      <x:c r="J133" s="627"/>
      <x:c r="K133" s="627"/>
      <x:c r="L133" s="627"/>
      <x:c r="M133" s="627"/>
      <x:c r="N133" s="627"/>
      <x:c r="O133" s="627"/>
      <x:c r="P133" s="627"/>
      <x:c r="Q133" s="627"/>
      <x:c r="R133" s="627"/>
      <x:c r="S133" s="627"/>
      <x:c r="Z133" s="624"/>
    </x:row>
    <x:row r="134" spans="1:26" x14ac:dyDescent="0.2">
      <x:c r="A134" s="625"/>
      <x:c r="E134" s="627"/>
      <x:c r="F134" s="627"/>
      <x:c r="G134" s="627"/>
      <x:c r="H134" s="627"/>
      <x:c r="I134" s="627"/>
      <x:c r="J134" s="627"/>
      <x:c r="K134" s="627"/>
      <x:c r="L134" s="627"/>
      <x:c r="M134" s="627"/>
      <x:c r="N134" s="627"/>
      <x:c r="O134" s="627"/>
      <x:c r="P134" s="627"/>
      <x:c r="Q134" s="627"/>
      <x:c r="R134" s="627"/>
      <x:c r="S134" s="627"/>
      <x:c r="Z134" s="624"/>
    </x:row>
    <x:row r="135" spans="1:26" x14ac:dyDescent="0.2">
      <x:c r="A135" s="625"/>
      <x:c r="E135" s="627"/>
      <x:c r="F135" s="627"/>
      <x:c r="G135" s="627"/>
      <x:c r="H135" s="627"/>
      <x:c r="I135" s="627"/>
      <x:c r="J135" s="627"/>
      <x:c r="K135" s="627"/>
      <x:c r="L135" s="627"/>
      <x:c r="M135" s="627"/>
      <x:c r="N135" s="627"/>
      <x:c r="O135" s="627"/>
      <x:c r="P135" s="627"/>
      <x:c r="Q135" s="627"/>
      <x:c r="R135" s="627"/>
      <x:c r="S135" s="627"/>
      <x:c r="Z135" s="624"/>
    </x:row>
    <x:row r="136" spans="1:26" x14ac:dyDescent="0.2">
      <x:c r="A136" s="625"/>
      <x:c r="E136" s="627"/>
      <x:c r="F136" s="627"/>
      <x:c r="G136" s="627"/>
      <x:c r="H136" s="627"/>
      <x:c r="I136" s="627"/>
      <x:c r="J136" s="627"/>
      <x:c r="K136" s="627"/>
      <x:c r="L136" s="627"/>
      <x:c r="M136" s="627"/>
      <x:c r="N136" s="627"/>
      <x:c r="O136" s="627"/>
      <x:c r="P136" s="627"/>
      <x:c r="Q136" s="627"/>
      <x:c r="R136" s="627"/>
      <x:c r="S136" s="627"/>
      <x:c r="Z136" s="624"/>
    </x:row>
    <x:row r="137" spans="1:26" x14ac:dyDescent="0.2">
      <x:c r="A137" s="625"/>
      <x:c r="E137" s="627"/>
      <x:c r="F137" s="627"/>
      <x:c r="G137" s="627"/>
      <x:c r="H137" s="627"/>
      <x:c r="I137" s="627"/>
      <x:c r="J137" s="627"/>
      <x:c r="K137" s="627"/>
      <x:c r="L137" s="627"/>
      <x:c r="M137" s="627"/>
      <x:c r="N137" s="627"/>
      <x:c r="O137" s="627"/>
      <x:c r="P137" s="627"/>
      <x:c r="Q137" s="627"/>
      <x:c r="R137" s="627"/>
      <x:c r="S137" s="627"/>
      <x:c r="Z137" s="624"/>
    </x:row>
    <x:row r="138" spans="1:26" x14ac:dyDescent="0.2">
      <x:c r="A138" s="625"/>
      <x:c r="E138" s="627"/>
      <x:c r="F138" s="627"/>
      <x:c r="G138" s="627"/>
      <x:c r="H138" s="627"/>
      <x:c r="I138" s="627"/>
      <x:c r="J138" s="627"/>
      <x:c r="K138" s="627"/>
      <x:c r="L138" s="627"/>
      <x:c r="M138" s="627"/>
      <x:c r="N138" s="627"/>
      <x:c r="O138" s="627"/>
      <x:c r="P138" s="627"/>
      <x:c r="Q138" s="627"/>
      <x:c r="R138" s="627"/>
      <x:c r="S138" s="627"/>
      <x:c r="Z138" s="624"/>
    </x:row>
    <x:row r="139" spans="1:26" x14ac:dyDescent="0.2">
      <x:c r="B139" s="770" t="s">
        <x:v>2</x:v>
      </x:c>
      <x:c r="C139" s="768" t="s">
        <x:v>132</x:v>
      </x:c>
      <x:c r="D139" s="639" t="s">
        <x:v>70</x:v>
      </x:c>
      <x:c r="E139" s="640">
        <x:f>E89+E107-K89</x:f>
        <x:v>0</x:v>
      </x:c>
      <x:c r="F139" s="640">
        <x:f t="shared" ref="F139:R139" si="3">F89</x:f>
        <x:v>0</x:v>
      </x:c>
      <x:c r="G139" s="640">
        <x:f t="shared" si="3"/>
        <x:v>0</x:v>
      </x:c>
      <x:c r="H139" s="640">
        <x:f t="shared" si="3"/>
        <x:v>0</x:v>
      </x:c>
      <x:c r="I139" s="640">
        <x:f t="shared" si="3"/>
        <x:v>0</x:v>
      </x:c>
      <x:c r="J139" s="640">
        <x:f t="shared" si="3"/>
        <x:v>0</x:v>
      </x:c>
      <x:c r="K139" s="640">
        <x:f t="shared" si="3"/>
        <x:v>0</x:v>
      </x:c>
      <x:c r="L139" s="640">
        <x:f t="shared" si="3"/>
        <x:v>0</x:v>
      </x:c>
      <x:c r="M139" s="640">
        <x:f t="shared" si="3"/>
        <x:v>0</x:v>
      </x:c>
      <x:c r="N139" s="640">
        <x:f t="shared" si="3"/>
        <x:v>0</x:v>
      </x:c>
      <x:c r="O139" s="640">
        <x:f t="shared" si="3"/>
        <x:v>0</x:v>
      </x:c>
      <x:c r="P139" s="640">
        <x:f t="shared" si="3"/>
        <x:v>0</x:v>
      </x:c>
      <x:c r="Q139" s="640">
        <x:f t="shared" si="3"/>
        <x:v>0</x:v>
      </x:c>
      <x:c r="R139" s="640">
        <x:f t="shared" si="3"/>
        <x:v>0</x:v>
      </x:c>
      <x:c r="Z139" s="624"/>
    </x:row>
    <x:row r="140" spans="1:26" x14ac:dyDescent="0.2">
      <x:c r="B140" s="770"/>
      <x:c r="C140" s="768"/>
      <x:c r="D140" s="639" t="s">
        <x:v>73</x:v>
      </x:c>
      <x:c r="E140" s="640">
        <x:f>E107</x:f>
        <x:v>0</x:v>
      </x:c>
      <x:c r="F140" s="627"/>
      <x:c r="G140" s="627"/>
      <x:c r="H140" s="627"/>
      <x:c r="I140" s="627"/>
      <x:c r="J140" s="627"/>
      <x:c r="K140" s="627"/>
      <x:c r="L140" s="627"/>
      <x:c r="M140" s="627"/>
      <x:c r="N140" s="627"/>
      <x:c r="O140" s="627"/>
      <x:c r="P140" s="627"/>
      <x:c r="Q140" s="627"/>
      <x:c r="R140" s="627"/>
      <x:c r="Z140" s="624"/>
    </x:row>
    <x:row r="141" spans="1:26" ht="15" x14ac:dyDescent="0.25">
      <x:c r="A141" s="625"/>
      <x:c r="B141" s="50"/>
      <x:c r="E141" s="627"/>
      <x:c r="F141" s="627"/>
      <x:c r="G141" s="627"/>
      <x:c r="H141" s="627"/>
      <x:c r="I141" s="627"/>
      <x:c r="J141" s="627"/>
      <x:c r="K141" s="627"/>
      <x:c r="L141" s="627"/>
      <x:c r="M141" s="627"/>
      <x:c r="N141" s="627"/>
      <x:c r="O141" s="627"/>
      <x:c r="P141" s="627"/>
      <x:c r="Q141" s="627"/>
      <x:c r="R141" s="627"/>
      <x:c r="Z141" s="624"/>
    </x:row>
    <x:row r="142" spans="1:26" x14ac:dyDescent="0.2">
      <x:c r="B142" s="770" t="s">
        <x:v>160</x:v>
      </x:c>
      <x:c r="C142" s="768" t="s">
        <x:v>132</x:v>
      </x:c>
      <x:c r="D142" s="647" t="s">
        <x:v>70</x:v>
      </x:c>
      <x:c r="E142" s="648">
        <x:f>E99+E78-K78</x:f>
        <x:v>0</x:v>
      </x:c>
      <x:c r="F142" s="648">
        <x:f t="shared" ref="F142:R142" si="4">F78</x:f>
        <x:v>0</x:v>
      </x:c>
      <x:c r="G142" s="648">
        <x:f t="shared" si="4"/>
        <x:v>0</x:v>
      </x:c>
      <x:c r="H142" s="648">
        <x:f t="shared" si="4"/>
        <x:v>0</x:v>
      </x:c>
      <x:c r="I142" s="648">
        <x:f t="shared" si="4"/>
        <x:v>0</x:v>
      </x:c>
      <x:c r="J142" s="648">
        <x:f t="shared" si="4"/>
        <x:v>0</x:v>
      </x:c>
      <x:c r="K142" s="648">
        <x:f t="shared" si="4"/>
        <x:v>0</x:v>
      </x:c>
      <x:c r="L142" s="648">
        <x:f t="shared" si="4"/>
        <x:v>0</x:v>
      </x:c>
      <x:c r="M142" s="648">
        <x:f t="shared" si="4"/>
        <x:v>0</x:v>
      </x:c>
      <x:c r="N142" s="648">
        <x:f t="shared" si="4"/>
        <x:v>0</x:v>
      </x:c>
      <x:c r="O142" s="648">
        <x:f t="shared" si="4"/>
        <x:v>0</x:v>
      </x:c>
      <x:c r="P142" s="648">
        <x:f t="shared" si="4"/>
        <x:v>0</x:v>
      </x:c>
      <x:c r="Q142" s="648">
        <x:f t="shared" si="4"/>
        <x:v>0</x:v>
      </x:c>
      <x:c r="R142" s="648">
        <x:f t="shared" si="4"/>
        <x:v>0</x:v>
      </x:c>
      <x:c r="Z142" s="624"/>
    </x:row>
    <x:row r="143" spans="1:26" x14ac:dyDescent="0.2">
      <x:c r="B143" s="770"/>
      <x:c r="C143" s="768"/>
      <x:c r="D143" s="647" t="s">
        <x:v>73</x:v>
      </x:c>
      <x:c r="E143" s="648">
        <x:f>E99</x:f>
        <x:v>0</x:v>
      </x:c>
      <x:c r="F143" s="627"/>
      <x:c r="G143" s="627"/>
      <x:c r="H143" s="627"/>
      <x:c r="I143" s="627"/>
      <x:c r="J143" s="627"/>
      <x:c r="K143" s="627"/>
      <x:c r="L143" s="627"/>
      <x:c r="M143" s="627"/>
      <x:c r="N143" s="627"/>
      <x:c r="O143" s="627"/>
      <x:c r="P143" s="627"/>
      <x:c r="Q143" s="627"/>
      <x:c r="R143" s="627"/>
      <x:c r="Z143" s="624"/>
    </x:row>
    <x:row r="144" spans="1:26" ht="15" x14ac:dyDescent="0.25">
      <x:c r="A144" s="625"/>
      <x:c r="B144" s="50"/>
      <x:c r="E144" s="627"/>
      <x:c r="F144" s="627"/>
      <x:c r="G144" s="627"/>
      <x:c r="H144" s="627"/>
      <x:c r="I144" s="627"/>
      <x:c r="J144" s="627"/>
      <x:c r="K144" s="627"/>
      <x:c r="L144" s="627"/>
      <x:c r="M144" s="627"/>
      <x:c r="N144" s="627"/>
      <x:c r="O144" s="627"/>
      <x:c r="P144" s="627"/>
      <x:c r="Q144" s="627"/>
      <x:c r="R144" s="627"/>
      <x:c r="Z144" s="624"/>
    </x:row>
    <x:row r="145" spans="1:26" x14ac:dyDescent="0.2">
      <x:c r="B145" s="770" t="s">
        <x:v>155</x:v>
      </x:c>
      <x:c r="C145" s="768" t="s">
        <x:v>132</x:v>
      </x:c>
      <x:c r="D145" s="651" t="s">
        <x:v>70</x:v>
      </x:c>
      <x:c r="E145" s="652">
        <x:f>E92+E66-K66</x:f>
        <x:v>0</x:v>
      </x:c>
      <x:c r="F145" s="652">
        <x:f t="shared" ref="F145:R145" si="5">F66</x:f>
        <x:v>0</x:v>
      </x:c>
      <x:c r="G145" s="652">
        <x:f t="shared" si="5"/>
        <x:v>0</x:v>
      </x:c>
      <x:c r="H145" s="652">
        <x:f t="shared" si="5"/>
        <x:v>0</x:v>
      </x:c>
      <x:c r="I145" s="652">
        <x:f t="shared" si="5"/>
        <x:v>0</x:v>
      </x:c>
      <x:c r="J145" s="652">
        <x:f t="shared" si="5"/>
        <x:v>0</x:v>
      </x:c>
      <x:c r="K145" s="652">
        <x:f t="shared" si="5"/>
        <x:v>0</x:v>
      </x:c>
      <x:c r="L145" s="652">
        <x:f t="shared" si="5"/>
        <x:v>0</x:v>
      </x:c>
      <x:c r="M145" s="652">
        <x:f t="shared" si="5"/>
        <x:v>0</x:v>
      </x:c>
      <x:c r="N145" s="652">
        <x:f t="shared" si="5"/>
        <x:v>0</x:v>
      </x:c>
      <x:c r="O145" s="652">
        <x:f t="shared" si="5"/>
        <x:v>0</x:v>
      </x:c>
      <x:c r="P145" s="652">
        <x:f t="shared" si="5"/>
        <x:v>0</x:v>
      </x:c>
      <x:c r="Q145" s="652">
        <x:f t="shared" si="5"/>
        <x:v>0</x:v>
      </x:c>
      <x:c r="R145" s="652">
        <x:f t="shared" si="5"/>
        <x:v>0</x:v>
      </x:c>
      <x:c r="Z145" s="624"/>
    </x:row>
    <x:row r="146" spans="1:26" x14ac:dyDescent="0.2">
      <x:c r="B146" s="770"/>
      <x:c r="C146" s="768"/>
      <x:c r="D146" s="651" t="s">
        <x:v>73</x:v>
      </x:c>
      <x:c r="E146" s="652">
        <x:f>E92</x:f>
        <x:v>0</x:v>
      </x:c>
      <x:c r="F146" s="627"/>
      <x:c r="G146" s="627"/>
      <x:c r="H146" s="627"/>
      <x:c r="I146" s="627"/>
      <x:c r="J146" s="627"/>
      <x:c r="K146" s="627"/>
      <x:c r="L146" s="627"/>
      <x:c r="M146" s="627"/>
      <x:c r="N146" s="627"/>
      <x:c r="O146" s="627"/>
      <x:c r="P146" s="627"/>
      <x:c r="Q146" s="627"/>
      <x:c r="R146" s="627"/>
      <x:c r="Z146" s="624"/>
    </x:row>
    <x:row r="147" spans="1:26" ht="15" x14ac:dyDescent="0.25">
      <x:c r="A147" s="625"/>
      <x:c r="B147" s="50"/>
      <x:c r="E147" s="627"/>
      <x:c r="F147" s="627"/>
      <x:c r="G147" s="627"/>
      <x:c r="H147" s="627"/>
      <x:c r="I147" s="627"/>
      <x:c r="J147" s="627"/>
      <x:c r="K147" s="627"/>
      <x:c r="L147" s="627"/>
      <x:c r="M147" s="627"/>
      <x:c r="N147" s="627"/>
      <x:c r="O147" s="627"/>
      <x:c r="P147" s="627"/>
      <x:c r="Q147" s="627"/>
      <x:c r="R147" s="627"/>
      <x:c r="Z147" s="624"/>
    </x:row>
    <x:row r="148" spans="1:26" x14ac:dyDescent="0.2">
      <x:c r="B148" s="771" t="s">
        <x:v>326</x:v>
      </x:c>
      <x:c r="C148" s="768" t="s">
        <x:v>132</x:v>
      </x:c>
      <x:c r="D148" s="654" t="s">
        <x:v>70</x:v>
      </x:c>
      <x:c r="E148" s="655">
        <x:v>0</x:v>
      </x:c>
      <x:c r="F148" s="655">
        <x:v>0</x:v>
      </x:c>
      <x:c r="G148" s="655">
        <x:v>0</x:v>
      </x:c>
      <x:c r="H148" s="655">
        <x:v>0</x:v>
      </x:c>
      <x:c r="I148" s="655">
        <x:v>0</x:v>
      </x:c>
      <x:c r="J148" s="655">
        <x:v>0</x:v>
      </x:c>
      <x:c r="K148" s="655">
        <x:v>0</x:v>
      </x:c>
      <x:c r="L148" s="655">
        <x:v>0</x:v>
      </x:c>
      <x:c r="M148" s="655">
        <x:v>0</x:v>
      </x:c>
      <x:c r="N148" s="655">
        <x:v>0</x:v>
      </x:c>
      <x:c r="O148" s="655">
        <x:v>0</x:v>
      </x:c>
      <x:c r="P148" s="655">
        <x:v>0</x:v>
      </x:c>
      <x:c r="Q148" s="655">
        <x:v>0</x:v>
      </x:c>
      <x:c r="R148" s="655">
        <x:v>0</x:v>
      </x:c>
      <x:c r="Z148" s="624"/>
    </x:row>
    <x:row r="149" spans="1:26" x14ac:dyDescent="0.2">
      <x:c r="B149" s="771"/>
      <x:c r="C149" s="768"/>
      <x:c r="D149" s="654" t="s">
        <x:v>73</x:v>
      </x:c>
      <x:c r="E149" s="655">
        <x:v>0</x:v>
      </x:c>
      <x:c r="F149" s="627"/>
      <x:c r="G149" s="627"/>
      <x:c r="H149" s="627"/>
      <x:c r="I149" s="627"/>
      <x:c r="J149" s="627"/>
      <x:c r="K149" s="627"/>
      <x:c r="L149" s="627"/>
      <x:c r="M149" s="627"/>
      <x:c r="N149" s="627"/>
      <x:c r="O149" s="627"/>
      <x:c r="P149" s="627"/>
      <x:c r="Q149" s="627"/>
      <x:c r="R149" s="627"/>
      <x:c r="Z149" s="624"/>
    </x:row>
    <x:row r="150" spans="1:26" ht="15" x14ac:dyDescent="0.25">
      <x:c r="A150" s="625"/>
      <x:c r="B150" s="50"/>
      <x:c r="E150" s="627"/>
      <x:c r="F150" s="627"/>
      <x:c r="G150" s="627"/>
      <x:c r="H150" s="627"/>
      <x:c r="I150" s="627"/>
      <x:c r="J150" s="627"/>
      <x:c r="K150" s="627"/>
      <x:c r="L150" s="627"/>
      <x:c r="M150" s="627"/>
      <x:c r="N150" s="627"/>
      <x:c r="O150" s="627"/>
      <x:c r="P150" s="627"/>
      <x:c r="Q150" s="627"/>
      <x:c r="R150" s="627"/>
      <x:c r="Z150" s="624"/>
    </x:row>
    <x:row r="151" spans="1:26" x14ac:dyDescent="0.2">
      <x:c r="B151" s="770" t="s">
        <x:v>119</x:v>
      </x:c>
      <x:c r="C151" s="768" t="s">
        <x:v>132</x:v>
      </x:c>
      <x:c r="D151" s="632" t="s">
        <x:v>70</x:v>
      </x:c>
      <x:c r="E151" s="633">
        <x:f>E88+E106-K88</x:f>
        <x:v>0</x:v>
      </x:c>
      <x:c r="F151" s="633">
        <x:f t="shared" ref="F151:R151" si="6">F88</x:f>
        <x:v>0</x:v>
      </x:c>
      <x:c r="G151" s="633">
        <x:f t="shared" si="6"/>
        <x:v>0</x:v>
      </x:c>
      <x:c r="H151" s="633">
        <x:f t="shared" si="6"/>
        <x:v>0</x:v>
      </x:c>
      <x:c r="I151" s="633">
        <x:f t="shared" si="6"/>
        <x:v>0</x:v>
      </x:c>
      <x:c r="J151" s="633">
        <x:f t="shared" si="6"/>
        <x:v>0</x:v>
      </x:c>
      <x:c r="K151" s="633">
        <x:f t="shared" si="6"/>
        <x:v>0</x:v>
      </x:c>
      <x:c r="L151" s="633">
        <x:f t="shared" si="6"/>
        <x:v>0</x:v>
      </x:c>
      <x:c r="M151" s="633">
        <x:f t="shared" si="6"/>
        <x:v>0</x:v>
      </x:c>
      <x:c r="N151" s="633">
        <x:f t="shared" si="6"/>
        <x:v>0</x:v>
      </x:c>
      <x:c r="O151" s="633">
        <x:f t="shared" si="6"/>
        <x:v>0</x:v>
      </x:c>
      <x:c r="P151" s="633">
        <x:f t="shared" si="6"/>
        <x:v>0</x:v>
      </x:c>
      <x:c r="Q151" s="633">
        <x:f t="shared" si="6"/>
        <x:v>0</x:v>
      </x:c>
      <x:c r="R151" s="633">
        <x:f t="shared" si="6"/>
        <x:v>0</x:v>
      </x:c>
      <x:c r="Z151" s="624"/>
    </x:row>
    <x:row r="152" spans="1:26" x14ac:dyDescent="0.2">
      <x:c r="B152" s="770"/>
      <x:c r="C152" s="768"/>
      <x:c r="D152" s="632" t="s">
        <x:v>73</x:v>
      </x:c>
      <x:c r="E152" s="633">
        <x:f>E106</x:f>
        <x:v>0</x:v>
      </x:c>
      <x:c r="F152" s="627"/>
      <x:c r="G152" s="627"/>
      <x:c r="H152" s="627"/>
      <x:c r="I152" s="627"/>
      <x:c r="J152" s="627"/>
      <x:c r="K152" s="627"/>
      <x:c r="L152" s="627"/>
      <x:c r="M152" s="627"/>
      <x:c r="N152" s="627"/>
      <x:c r="O152" s="627"/>
      <x:c r="P152" s="627"/>
      <x:c r="Q152" s="627"/>
      <x:c r="R152" s="627"/>
      <x:c r="Z152" s="624"/>
    </x:row>
    <x:row r="153" spans="1:26" ht="15" x14ac:dyDescent="0.25">
      <x:c r="A153" s="625"/>
      <x:c r="B153" s="50"/>
      <x:c r="E153" s="627"/>
      <x:c r="F153" s="627"/>
      <x:c r="G153" s="627"/>
      <x:c r="H153" s="627"/>
      <x:c r="I153" s="627"/>
      <x:c r="J153" s="627"/>
      <x:c r="K153" s="627"/>
      <x:c r="L153" s="627"/>
      <x:c r="M153" s="627"/>
      <x:c r="N153" s="627"/>
      <x:c r="O153" s="627"/>
      <x:c r="P153" s="627"/>
      <x:c r="Q153" s="627"/>
      <x:c r="R153" s="627"/>
      <x:c r="Z153" s="624"/>
    </x:row>
    <x:row r="154" spans="1:26" x14ac:dyDescent="0.2">
      <x:c r="B154" s="769" t="s">
        <x:v>161</x:v>
      </x:c>
      <x:c r="C154" s="768" t="s">
        <x:v>132</x:v>
      </x:c>
      <x:c r="D154" s="661" t="s">
        <x:v>70</x:v>
      </x:c>
      <x:c r="E154" s="662">
        <x:v>0</x:v>
      </x:c>
      <x:c r="F154" s="662">
        <x:v>0</x:v>
      </x:c>
      <x:c r="G154" s="662">
        <x:v>0</x:v>
      </x:c>
      <x:c r="H154" s="662">
        <x:v>0</x:v>
      </x:c>
      <x:c r="I154" s="662">
        <x:v>0</x:v>
      </x:c>
      <x:c r="J154" s="662">
        <x:v>0</x:v>
      </x:c>
      <x:c r="K154" s="662">
        <x:v>0</x:v>
      </x:c>
      <x:c r="L154" s="662">
        <x:v>0</x:v>
      </x:c>
      <x:c r="M154" s="662">
        <x:v>0</x:v>
      </x:c>
      <x:c r="N154" s="662">
        <x:v>0</x:v>
      </x:c>
      <x:c r="O154" s="662">
        <x:v>0</x:v>
      </x:c>
      <x:c r="P154" s="662">
        <x:v>0</x:v>
      </x:c>
      <x:c r="Q154" s="662">
        <x:v>0</x:v>
      </x:c>
      <x:c r="R154" s="662">
        <x:v>0</x:v>
      </x:c>
      <x:c r="Z154" s="624"/>
    </x:row>
    <x:row r="155" spans="1:26" x14ac:dyDescent="0.2">
      <x:c r="B155" s="769"/>
      <x:c r="C155" s="768"/>
      <x:c r="D155" s="661" t="s">
        <x:v>73</x:v>
      </x:c>
      <x:c r="E155" s="662">
        <x:v>0</x:v>
      </x:c>
      <x:c r="F155" s="627"/>
      <x:c r="G155" s="627"/>
      <x:c r="H155" s="627"/>
      <x:c r="I155" s="627"/>
      <x:c r="J155" s="627"/>
      <x:c r="K155" s="627"/>
      <x:c r="L155" s="627"/>
      <x:c r="M155" s="627"/>
      <x:c r="N155" s="627"/>
      <x:c r="O155" s="627"/>
      <x:c r="P155" s="627"/>
      <x:c r="Q155" s="627"/>
      <x:c r="R155" s="627"/>
      <x:c r="Z155" s="624"/>
    </x:row>
    <x:row r="156" spans="1:26" x14ac:dyDescent="0.2">
      <x:c r="A156" s="624"/>
      <x:c r="B156" s="624"/>
      <x:c r="C156" s="624"/>
      <x:c r="D156" s="624"/>
      <x:c r="E156" s="624"/>
      <x:c r="F156" s="624"/>
      <x:c r="G156" s="624"/>
      <x:c r="H156" s="624"/>
      <x:c r="I156" s="624"/>
      <x:c r="J156" s="624"/>
      <x:c r="K156" s="624"/>
      <x:c r="L156" s="624"/>
      <x:c r="M156" s="624"/>
      <x:c r="N156" s="624"/>
      <x:c r="O156" s="624"/>
      <x:c r="P156" s="624"/>
      <x:c r="Q156" s="624"/>
      <x:c r="R156" s="624"/>
      <x:c r="S156" s="624"/>
      <x:c r="T156" s="624"/>
      <x:c r="U156" s="624"/>
      <x:c r="V156" s="624"/>
      <x:c r="W156" s="624"/>
      <x:c r="X156" s="624"/>
      <x:c r="Y156" s="624"/>
      <x:c r="Z156" s="624"/>
    </x:row>
    <x:row r="157" spans="1:26" ht="15" x14ac:dyDescent="0.25">
      <x:c r="B157" s="676" t="s">
        <x:v>76</x:v>
      </x:c>
      <x:c r="Z157" s="624"/>
    </x:row>
    <x:row r="158" spans="1:26" s="50" customFormat="1" ht="15" x14ac:dyDescent="0.25">
      <x:c r="E158" s="669" t="s">
        <x:v>70</x:v>
      </x:c>
      <x:c r="F158" s="669" t="s">
        <x:v>64</x:v>
      </x:c>
      <x:c r="G158" s="669" t="s">
        <x:v>65</x:v>
      </x:c>
      <x:c r="H158" s="674" t="s">
        <x:v>164</x:v>
      </x:c>
      <x:c r="I158" s="669" t="s">
        <x:v>69</x:v>
      </x:c>
      <x:c r="J158" s="669" t="s">
        <x:v>68</x:v>
      </x:c>
      <x:c r="K158" s="669" t="s">
        <x:v>83</x:v>
      </x:c>
      <x:c r="L158" s="669" t="s">
        <x:v>66</x:v>
      </x:c>
      <x:c r="M158" s="669" t="s">
        <x:v>63</x:v>
      </x:c>
      <x:c r="N158" s="669" t="s">
        <x:v>61</x:v>
      </x:c>
      <x:c r="O158" s="669" t="s">
        <x:v>62</x:v>
      </x:c>
      <x:c r="P158" s="669" t="s">
        <x:v>67</x:v>
      </x:c>
      <x:c r="Q158" s="669" t="s">
        <x:v>84</x:v>
      </x:c>
      <x:c r="R158" s="669" t="s">
        <x:v>226</x:v>
      </x:c>
      <x:c r="Z158" s="618"/>
    </x:row>
    <x:row r="159" spans="1:26" x14ac:dyDescent="0.2">
      <x:c r="D159" s="625" t="s">
        <x:v>72</x:v>
      </x:c>
      <x:c r="E159" s="627" t="n">
        <x:v>71689.77</x:v>
      </x:c>
      <x:c r="F159" s="627" t="n">
        <x:v>9519.44</x:v>
      </x:c>
      <x:c r="G159" s="627" t="n">
        <x:v>5317.82</x:v>
      </x:c>
      <x:c r="H159" s="627" t="n">
        <x:v>2821.02</x:v>
      </x:c>
      <x:c r="I159" s="627" t="n">
        <x:v>10477.14</x:v>
      </x:c>
      <x:c r="J159" s="627" t="n">
        <x:v>248.4</x:v>
      </x:c>
      <x:c r="K159" s="627" t="n">
        <x:v>0</x:v>
      </x:c>
      <x:c r="L159" s="627" t="n">
        <x:v>2178.96</x:v>
      </x:c>
      <x:c r="M159" s="627" t="n">
        <x:v>3183.54</x:v>
      </x:c>
      <x:c r="N159" s="627" t="n">
        <x:v>14966.57</x:v>
      </x:c>
      <x:c r="O159" s="627" t="n">
        <x:v>22571.59</x:v>
      </x:c>
      <x:c r="P159" s="627" t="n">
        <x:v>405.29</x:v>
      </x:c>
      <x:c r="Q159" s="627" t="n">
        <x:v>0</x:v>
      </x:c>
      <x:c r="R159" s="653" t="n">
        <x:v>0</x:v>
      </x:c>
      <x:c r="Z159" s="624"/>
    </x:row>
    <x:row r="160" spans="1:26" x14ac:dyDescent="0.2">
      <x:c r="C160" s="25" t="s">
        <x:v>333</x:v>
      </x:c>
      <x:c r="D160" s="625" t="s">
        <x:v>70</x:v>
      </x:c>
      <x:c r="E160" s="627" t="n">
        <x:v>71689.77</x:v>
      </x:c>
      <x:c r="F160" s="627" t="n">
        <x:v>9519.44</x:v>
      </x:c>
      <x:c r="G160" s="627" t="n">
        <x:v>5317.82</x:v>
      </x:c>
      <x:c r="H160" s="627" t="n">
        <x:v>2821.02</x:v>
      </x:c>
      <x:c r="I160" s="627" t="n">
        <x:v>10477.14</x:v>
      </x:c>
      <x:c r="J160" s="627" t="n">
        <x:v>248.4</x:v>
      </x:c>
      <x:c r="K160" s="627" t="n">
        <x:v>0</x:v>
      </x:c>
      <x:c r="L160" s="627" t="n">
        <x:v>2178.96</x:v>
      </x:c>
      <x:c r="M160" s="627" t="n">
        <x:v>3183.54</x:v>
      </x:c>
      <x:c r="N160" s="627" t="n">
        <x:v>14966.57</x:v>
      </x:c>
      <x:c r="O160" s="627" t="n">
        <x:v>22571.59</x:v>
      </x:c>
      <x:c r="P160" s="627" t="n">
        <x:v>405.29</x:v>
      </x:c>
      <x:c r="Q160" s="627" t="n">
        <x:v>0</x:v>
      </x:c>
      <x:c r="R160" s="653" t="n">
        <x:v>0</x:v>
      </x:c>
      <x:c r="Z160" s="624"/>
    </x:row>
    <x:row r="161" spans="1:26" x14ac:dyDescent="0.2">
      <x:c r="A161" s="668"/>
      <x:c r="B161" s="668" t="s">
        <x:v>85</x:v>
      </x:c>
      <x:c r="C161" s="668" t="s">
        <x:v>70</x:v>
      </x:c>
      <x:c r="D161" s="661"/>
      <x:c r="E161" s="662" t="n">
        <x:v>71689.77</x:v>
      </x:c>
      <x:c r="F161" s="662" t="n">
        <x:v>9519.44</x:v>
      </x:c>
      <x:c r="G161" s="662" t="n">
        <x:v>5317.82</x:v>
      </x:c>
      <x:c r="H161" s="662" t="n">
        <x:v>2821.02</x:v>
      </x:c>
      <x:c r="I161" s="662" t="n">
        <x:v>10477.14</x:v>
      </x:c>
      <x:c r="J161" s="662" t="n">
        <x:v>248.4</x:v>
      </x:c>
      <x:c r="K161" s="662" t="n">
        <x:v>0</x:v>
      </x:c>
      <x:c r="L161" s="662" t="n">
        <x:v>2178.96</x:v>
      </x:c>
      <x:c r="M161" s="662" t="n">
        <x:v>3183.54</x:v>
      </x:c>
      <x:c r="N161" s="662" t="n">
        <x:v>14966.57</x:v>
      </x:c>
      <x:c r="O161" s="662" t="n">
        <x:v>22571.59</x:v>
      </x:c>
      <x:c r="P161" s="662" t="n">
        <x:v>405.29</x:v>
      </x:c>
      <x:c r="Q161" s="662" t="n">
        <x:v>0</x:v>
      </x:c>
      <x:c r="R161" s="673" t="n">
        <x:v>0</x:v>
      </x:c>
      <x:c r="S161" s="668"/>
      <x:c r="T161" s="668"/>
      <x:c r="U161" s="668"/>
      <x:c r="V161" s="668"/>
      <x:c r="W161" s="668"/>
      <x:c r="X161" s="668"/>
      <x:c r="Y161" s="668"/>
      <x:c r="Z161" s="624"/>
    </x:row>
    <x:row r="162" spans="1:26" x14ac:dyDescent="0.2">
      <x:c r="D162" s="25" t="s">
        <x:v>72</x:v>
      </x:c>
      <x:c r="E162" s="653" t="n">
        <x:v>20780327.05</x:v>
      </x:c>
      <x:c r="F162" s="653" t="n">
        <x:v>1047974.97</x:v>
      </x:c>
      <x:c r="G162" s="653" t="n">
        <x:v>587808.66</x:v>
      </x:c>
      <x:c r="H162" s="653" t="n">
        <x:v>307631.5</x:v>
      </x:c>
      <x:c r="I162" s="653" t="n">
        <x:v>5279450.36</x:v>
      </x:c>
      <x:c r="J162" s="653" t="n">
        <x:v>214847.64</x:v>
      </x:c>
      <x:c r="K162" s="653" t="n">
        <x:v>36736.31</x:v>
      </x:c>
      <x:c r="L162" s="653" t="n">
        <x:v>1562524.53</x:v>
      </x:c>
      <x:c r="M162" s="653" t="n">
        <x:v>1515836.66</x:v>
      </x:c>
      <x:c r="N162" s="653" t="n">
        <x:v>7491037.1</x:v>
      </x:c>
      <x:c r="O162" s="653" t="n">
        <x:v>2467881.7</x:v>
      </x:c>
      <x:c r="P162" s="653" t="n">
        <x:v>268589.75</x:v>
      </x:c>
      <x:c r="Q162" s="653" t="n">
        <x:v>7.87</x:v>
      </x:c>
      <x:c r="R162" s="653" t="n">
        <x:v>0</x:v>
      </x:c>
      <x:c r="Z162" s="624"/>
    </x:row>
    <x:row r="163" spans="1:26" x14ac:dyDescent="0.2">
      <x:c r="D163" s="25" t="s">
        <x:v>81</x:v>
      </x:c>
      <x:c r="E163" s="653" t="n">
        <x:v>115525.6</x:v>
      </x:c>
      <x:c r="F163" s="653" t="n">
        <x:v>5946.51</x:v>
      </x:c>
      <x:c r="G163" s="653" t="n">
        <x:v>3104.08</x:v>
      </x:c>
      <x:c r="H163" s="653" t="n">
        <x:v>1702.32</x:v>
      </x:c>
      <x:c r="I163" s="653" t="n">
        <x:v>30148.49</x:v>
      </x:c>
      <x:c r="J163" s="653" t="n">
        <x:v>1047.66</x:v>
      </x:c>
      <x:c r="K163" s="653" t="n">
        <x:v>0</x:v>
      </x:c>
      <x:c r="L163" s="653" t="n">
        <x:v>9297.12</x:v>
      </x:c>
      <x:c r="M163" s="653" t="n">
        <x:v>8569.54</x:v>
      </x:c>
      <x:c r="N163" s="653" t="n">
        <x:v>40091.17</x:v>
      </x:c>
      <x:c r="O163" s="653" t="n">
        <x:v>13885.15</x:v>
      </x:c>
      <x:c r="P163" s="653" t="n">
        <x:v>1732.95</x:v>
      </x:c>
      <x:c r="Q163" s="653" t="n">
        <x:v>0.61</x:v>
      </x:c>
      <x:c r="R163" s="653" t="n">
        <x:v>0</x:v>
      </x:c>
      <x:c r="Z163" s="624"/>
    </x:row>
    <x:row r="164" spans="1:26" x14ac:dyDescent="0.2">
      <x:c r="C164" s="25" t="s">
        <x:v>156</x:v>
      </x:c>
      <x:c r="D164" s="625" t="s">
        <x:v>70</x:v>
      </x:c>
      <x:c r="E164" s="627" t="n">
        <x:v>20895852.65</x:v>
      </x:c>
      <x:c r="F164" s="627" t="n">
        <x:v>1053921.48</x:v>
      </x:c>
      <x:c r="G164" s="627" t="n">
        <x:v>590912.74</x:v>
      </x:c>
      <x:c r="H164" s="627" t="n">
        <x:v>309333.82</x:v>
      </x:c>
      <x:c r="I164" s="627" t="n">
        <x:v>5309598.85</x:v>
      </x:c>
      <x:c r="J164" s="627" t="n">
        <x:v>215895.3</x:v>
      </x:c>
      <x:c r="K164" s="627" t="n">
        <x:v>36736.31</x:v>
      </x:c>
      <x:c r="L164" s="627" t="n">
        <x:v>1571821.65</x:v>
      </x:c>
      <x:c r="M164" s="627" t="n">
        <x:v>1524406.2</x:v>
      </x:c>
      <x:c r="N164" s="627" t="n">
        <x:v>7531128.27</x:v>
      </x:c>
      <x:c r="O164" s="627" t="n">
        <x:v>2481766.85</x:v>
      </x:c>
      <x:c r="P164" s="627" t="n">
        <x:v>270322.7</x:v>
      </x:c>
      <x:c r="Q164" s="627" t="n">
        <x:v>8.48</x:v>
      </x:c>
      <x:c r="R164" s="653" t="n">
        <x:v>0</x:v>
      </x:c>
      <x:c r="Z164" s="624"/>
    </x:row>
    <x:row r="165" spans="1:26" x14ac:dyDescent="0.2">
      <x:c r="A165" s="628"/>
      <x:c r="B165" s="628" t="s">
        <x:v>155</x:v>
      </x:c>
      <x:c r="C165" s="628" t="s">
        <x:v>70</x:v>
      </x:c>
      <x:c r="D165" s="628"/>
      <x:c r="E165" s="677" t="n">
        <x:v>20895852.65</x:v>
      </x:c>
      <x:c r="F165" s="677" t="n">
        <x:v>1053921.48</x:v>
      </x:c>
      <x:c r="G165" s="677" t="n">
        <x:v>590912.74</x:v>
      </x:c>
      <x:c r="H165" s="677" t="n">
        <x:v>309333.82</x:v>
      </x:c>
      <x:c r="I165" s="677" t="n">
        <x:v>5309598.85</x:v>
      </x:c>
      <x:c r="J165" s="677" t="n">
        <x:v>215895.3</x:v>
      </x:c>
      <x:c r="K165" s="677" t="n">
        <x:v>36736.31</x:v>
      </x:c>
      <x:c r="L165" s="677" t="n">
        <x:v>1571821.65</x:v>
      </x:c>
      <x:c r="M165" s="677" t="n">
        <x:v>1524406.2</x:v>
      </x:c>
      <x:c r="N165" s="677" t="n">
        <x:v>7531128.27</x:v>
      </x:c>
      <x:c r="O165" s="677" t="n">
        <x:v>2481766.85</x:v>
      </x:c>
      <x:c r="P165" s="677" t="n">
        <x:v>270322.7</x:v>
      </x:c>
      <x:c r="Q165" s="677" t="n">
        <x:v>8.48</x:v>
      </x:c>
      <x:c r="R165" s="677" t="n">
        <x:v>0</x:v>
      </x:c>
      <x:c r="S165" s="628"/>
      <x:c r="T165" s="628"/>
      <x:c r="U165" s="628"/>
      <x:c r="V165" s="628"/>
      <x:c r="W165" s="628"/>
      <x:c r="X165" s="628"/>
      <x:c r="Y165" s="628"/>
      <x:c r="Z165" s="624"/>
    </x:row>
    <x:row r="166" spans="1:26" x14ac:dyDescent="0.2">
      <x:c r="D166" s="25" t="s">
        <x:v>72</x:v>
      </x:c>
      <x:c r="E166" s="653" t="n">
        <x:v>2141936.39</x:v>
      </x:c>
      <x:c r="F166" s="653" t="n">
        <x:v>107760.84</x:v>
      </x:c>
      <x:c r="G166" s="653" t="n">
        <x:v>61054.54</x:v>
      </x:c>
      <x:c r="H166" s="653" t="n">
        <x:v>32102.62</x:v>
      </x:c>
      <x:c r="I166" s="653" t="n">
        <x:v>544505.66</x:v>
      </x:c>
      <x:c r="J166" s="653" t="n">
        <x:v>13898.97</x:v>
      </x:c>
      <x:c r="K166" s="653" t="n">
        <x:v>0</x:v>
      </x:c>
      <x:c r="L166" s="653" t="n">
        <x:v>130215.59</x:v>
      </x:c>
      <x:c r="M166" s="653" t="n">
        <x:v>187164.88</x:v>
      </x:c>
      <x:c r="N166" s="653" t="n">
        <x:v>774211.74</x:v>
      </x:c>
      <x:c r="O166" s="653" t="n">
        <x:v>269185.05</x:v>
      </x:c>
      <x:c r="P166" s="653" t="n">
        <x:v>21866.99</x:v>
      </x:c>
      <x:c r="Q166" s="653" t="n">
        <x:v>-30.49</x:v>
      </x:c>
      <x:c r="R166" s="653" t="n">
        <x:v>0</x:v>
      </x:c>
      <x:c r="Z166" s="624"/>
    </x:row>
    <x:row r="167" spans="1:26" x14ac:dyDescent="0.2">
      <x:c r="D167" s="25" t="s">
        <x:v>81</x:v>
      </x:c>
      <x:c r="E167" s="653" t="n">
        <x:v>221.62</x:v>
      </x:c>
      <x:c r="F167" s="653" t="n">
        <x:v>10.01</x:v>
      </x:c>
      <x:c r="G167" s="653" t="n">
        <x:v>5.62</x:v>
      </x:c>
      <x:c r="H167" s="653" t="n">
        <x:v>2.96</x:v>
      </x:c>
      <x:c r="I167" s="653" t="n">
        <x:v>57.44</x:v>
      </x:c>
      <x:c r="J167" s="653" t="n">
        <x:v>1.91</x:v>
      </x:c>
      <x:c r="K167" s="653" t="n">
        <x:v>0</x:v>
      </x:c>
      <x:c r="L167" s="653" t="n">
        <x:v>16.75</x:v>
      </x:c>
      <x:c r="M167" s="653" t="n">
        <x:v>17.53</x:v>
      </x:c>
      <x:c r="N167" s="653" t="n">
        <x:v>82.77</x:v>
      </x:c>
      <x:c r="O167" s="653" t="n">
        <x:v>23.51</x:v>
      </x:c>
      <x:c r="P167" s="653" t="n">
        <x:v>3.11</x:v>
      </x:c>
      <x:c r="Q167" s="653" t="n">
        <x:v>0.01</x:v>
      </x:c>
      <x:c r="R167" s="653" t="n">
        <x:v>0</x:v>
      </x:c>
      <x:c r="Z167" s="624"/>
    </x:row>
    <x:row r="168" spans="1:26" x14ac:dyDescent="0.2">
      <x:c r="C168" s="25" t="s">
        <x:v>82</x:v>
      </x:c>
      <x:c r="D168" s="25" t="s">
        <x:v>70</x:v>
      </x:c>
      <x:c r="E168" s="653" t="n">
        <x:v>2142158.01</x:v>
      </x:c>
      <x:c r="F168" s="653" t="n">
        <x:v>107770.85</x:v>
      </x:c>
      <x:c r="G168" s="653" t="n">
        <x:v>61060.16</x:v>
      </x:c>
      <x:c r="H168" s="653" t="n">
        <x:v>32105.58</x:v>
      </x:c>
      <x:c r="I168" s="653" t="n">
        <x:v>544563.1</x:v>
      </x:c>
      <x:c r="J168" s="653" t="n">
        <x:v>13900.88</x:v>
      </x:c>
      <x:c r="K168" s="653" t="n">
        <x:v>0</x:v>
      </x:c>
      <x:c r="L168" s="653" t="n">
        <x:v>130232.34</x:v>
      </x:c>
      <x:c r="M168" s="653" t="n">
        <x:v>187182.41</x:v>
      </x:c>
      <x:c r="N168" s="653" t="n">
        <x:v>774294.51</x:v>
      </x:c>
      <x:c r="O168" s="653" t="n">
        <x:v>269208.56</x:v>
      </x:c>
      <x:c r="P168" s="653" t="n">
        <x:v>21870.1</x:v>
      </x:c>
      <x:c r="Q168" s="653" t="n">
        <x:v>-30.48</x:v>
      </x:c>
      <x:c r="R168" s="653" t="n">
        <x:v>0</x:v>
      </x:c>
      <x:c r="Z168" s="624"/>
    </x:row>
    <x:row r="169" spans="1:26" x14ac:dyDescent="0.2">
      <x:c r="D169" s="25" t="s">
        <x:v>72</x:v>
      </x:c>
      <x:c r="E169" s="653" t="n">
        <x:v>525701.49</x:v>
      </x:c>
      <x:c r="F169" s="653" t="n">
        <x:v>15618.67</x:v>
      </x:c>
      <x:c r="G169" s="653" t="n">
        <x:v>8726.8</x:v>
      </x:c>
      <x:c r="H169" s="653" t="n">
        <x:v>7279.34</x:v>
      </x:c>
      <x:c r="I169" s="653" t="n">
        <x:v>106934.25</x:v>
      </x:c>
      <x:c r="J169" s="653" t="n">
        <x:v>3097.58</x:v>
      </x:c>
      <x:c r="K169" s="653" t="n">
        <x:v>120000</x:v>
      </x:c>
      <x:c r="L169" s="653" t="n">
        <x:v>30431.04</x:v>
      </x:c>
      <x:c r="M169" s="653" t="n">
        <x:v>54437.52</x:v>
      </x:c>
      <x:c r="N169" s="653" t="n">
        <x:v>133166.83</x:v>
      </x:c>
      <x:c r="O169" s="653" t="n">
        <x:v>40855.77</x:v>
      </x:c>
      <x:c r="P169" s="653" t="n">
        <x:v>5151.8</x:v>
      </x:c>
      <x:c r="Q169" s="653" t="n">
        <x:v>1.89</x:v>
      </x:c>
      <x:c r="R169" s="653" t="n">
        <x:v>0</x:v>
      </x:c>
      <x:c r="Z169" s="624"/>
    </x:row>
    <x:row r="170" spans="1:26" x14ac:dyDescent="0.2">
      <x:c r="D170" s="25" t="s">
        <x:v>81</x:v>
      </x:c>
      <x:c r="E170" s="653" t="n">
        <x:v>9760.23</x:v>
      </x:c>
      <x:c r="F170" s="653" t="n">
        <x:v>896.57</x:v>
      </x:c>
      <x:c r="G170" s="653" t="n">
        <x:v>405.16</x:v>
      </x:c>
      <x:c r="H170" s="653" t="n">
        <x:v>226.4</x:v>
      </x:c>
      <x:c r="I170" s="653" t="n">
        <x:v>1948.96</x:v>
      </x:c>
      <x:c r="J170" s="653" t="n">
        <x:v>78.43</x:v>
      </x:c>
      <x:c r="K170" s="653" t="n">
        <x:v>0</x:v>
      </x:c>
      <x:c r="L170" s="653" t="n">
        <x:v>681.68</x:v>
      </x:c>
      <x:c r="M170" s="653" t="n">
        <x:v>578.84</x:v>
      </x:c>
      <x:c r="N170" s="653" t="n">
        <x:v>2724.4</x:v>
      </x:c>
      <x:c r="O170" s="653" t="n">
        <x:v>2088.5</x:v>
      </x:c>
      <x:c r="P170" s="653" t="n">
        <x:v>131.11</x:v>
      </x:c>
      <x:c r="Q170" s="653" t="n">
        <x:v>0.18</x:v>
      </x:c>
      <x:c r="R170" s="653" t="n">
        <x:v>0</x:v>
      </x:c>
      <x:c r="Z170" s="624"/>
    </x:row>
    <x:row r="171" spans="1:26" x14ac:dyDescent="0.2">
      <x:c r="C171" s="25" t="s">
        <x:v>86</x:v>
      </x:c>
      <x:c r="D171" s="25" t="s">
        <x:v>70</x:v>
      </x:c>
      <x:c r="E171" s="653" t="n">
        <x:v>535461.72</x:v>
      </x:c>
      <x:c r="F171" s="653" t="n">
        <x:v>16515.24</x:v>
      </x:c>
      <x:c r="G171" s="653" t="n">
        <x:v>9131.96</x:v>
      </x:c>
      <x:c r="H171" s="653" t="n">
        <x:v>7505.74</x:v>
      </x:c>
      <x:c r="I171" s="653" t="n">
        <x:v>108883.21</x:v>
      </x:c>
      <x:c r="J171" s="653" t="n">
        <x:v>3176.01</x:v>
      </x:c>
      <x:c r="K171" s="653" t="n">
        <x:v>120000</x:v>
      </x:c>
      <x:c r="L171" s="653" t="n">
        <x:v>31112.72</x:v>
      </x:c>
      <x:c r="M171" s="653" t="n">
        <x:v>55016.36</x:v>
      </x:c>
      <x:c r="N171" s="653" t="n">
        <x:v>135891.23</x:v>
      </x:c>
      <x:c r="O171" s="653" t="n">
        <x:v>42944.27</x:v>
      </x:c>
      <x:c r="P171" s="653" t="n">
        <x:v>5282.91</x:v>
      </x:c>
      <x:c r="Q171" s="653" t="n">
        <x:v>2.07</x:v>
      </x:c>
      <x:c r="R171" s="653" t="n">
        <x:v>0</x:v>
      </x:c>
      <x:c r="Z171" s="624"/>
    </x:row>
    <x:row r="172" spans="1:26" x14ac:dyDescent="0.2">
      <x:c r="D172" s="25" t="s">
        <x:v>72</x:v>
      </x:c>
      <x:c r="E172" s="653" t="n">
        <x:v>7586032.92</x:v>
      </x:c>
      <x:c r="F172" s="653" t="n">
        <x:v>578033.66</x:v>
      </x:c>
      <x:c r="G172" s="653" t="n">
        <x:v>324640.69</x:v>
      </x:c>
      <x:c r="H172" s="653" t="n">
        <x:v>170520.15</x:v>
      </x:c>
      <x:c r="I172" s="653" t="n">
        <x:v>1398189.24</x:v>
      </x:c>
      <x:c r="J172" s="653" t="n">
        <x:v>37731.96</x:v>
      </x:c>
      <x:c r="K172" s="653" t="n">
        <x:v>0</x:v>
      </x:c>
      <x:c r="L172" s="653" t="n">
        <x:v>357249.37</x:v>
      </x:c>
      <x:c r="M172" s="653" t="n">
        <x:v>541637.72</x:v>
      </x:c>
      <x:c r="N172" s="653" t="n">
        <x:v>2105036.7</x:v>
      </x:c>
      <x:c r="O172" s="653" t="n">
        <x:v>2013630.97</x:v>
      </x:c>
      <x:c r="P172" s="653" t="n">
        <x:v>59403.9</x:v>
      </x:c>
      <x:c r="Q172" s="653" t="n">
        <x:v>-41.44</x:v>
      </x:c>
      <x:c r="R172" s="653" t="n">
        <x:v>0</x:v>
      </x:c>
      <x:c r="Z172" s="624"/>
    </x:row>
    <x:row r="173" spans="1:26" x14ac:dyDescent="0.2">
      <x:c r="D173" s="25" t="s">
        <x:v>81</x:v>
      </x:c>
      <x:c r="E173" s="653" t="n">
        <x:v>195.2</x:v>
      </x:c>
      <x:c r="F173" s="653" t="n">
        <x:v>9.47</x:v>
      </x:c>
      <x:c r="G173" s="653" t="n">
        <x:v>5.18</x:v>
      </x:c>
      <x:c r="H173" s="653" t="n">
        <x:v>2.79</x:v>
      </x:c>
      <x:c r="I173" s="653" t="n">
        <x:v>50.6</x:v>
      </x:c>
      <x:c r="J173" s="653" t="n">
        <x:v>1.24</x:v>
      </x:c>
      <x:c r="K173" s="653" t="n">
        <x:v>0</x:v>
      </x:c>
      <x:c r="L173" s="653" t="n">
        <x:v>11</x:v>
      </x:c>
      <x:c r="M173" s="653" t="n">
        <x:v>16.01</x:v>
      </x:c>
      <x:c r="N173" s="653" t="n">
        <x:v>74.7</x:v>
      </x:c>
      <x:c r="O173" s="653" t="n">
        <x:v>22.2</x:v>
      </x:c>
      <x:c r="P173" s="653" t="n">
        <x:v>2.01</x:v>
      </x:c>
      <x:c r="Q173" s="653" t="n">
        <x:v>0</x:v>
      </x:c>
      <x:c r="R173" s="653" t="n">
        <x:v>0</x:v>
      </x:c>
      <x:c r="Z173" s="624"/>
    </x:row>
    <x:row r="174" spans="1:26" x14ac:dyDescent="0.2">
      <x:c r="A174" s="625"/>
      <x:c r="B174" s="625"/>
      <x:c r="C174" s="25" t="s">
        <x:v>87</x:v>
      </x:c>
      <x:c r="D174" s="25" t="s">
        <x:v>70</x:v>
      </x:c>
      <x:c r="E174" s="627" t="n">
        <x:v>7586228.12</x:v>
      </x:c>
      <x:c r="F174" s="627" t="n">
        <x:v>578043.13</x:v>
      </x:c>
      <x:c r="G174" s="627" t="n">
        <x:v>324645.87</x:v>
      </x:c>
      <x:c r="H174" s="627" t="n">
        <x:v>170522.94</x:v>
      </x:c>
      <x:c r="I174" s="627" t="n">
        <x:v>1398239.84</x:v>
      </x:c>
      <x:c r="J174" s="627" t="n">
        <x:v>37733.2</x:v>
      </x:c>
      <x:c r="K174" s="627" t="n">
        <x:v>0</x:v>
      </x:c>
      <x:c r="L174" s="627" t="n">
        <x:v>357260.37</x:v>
      </x:c>
      <x:c r="M174" s="627" t="n">
        <x:v>541653.73</x:v>
      </x:c>
      <x:c r="N174" s="627" t="n">
        <x:v>2105111.4</x:v>
      </x:c>
      <x:c r="O174" s="627" t="n">
        <x:v>2013653.17</x:v>
      </x:c>
      <x:c r="P174" s="627" t="n">
        <x:v>59405.91</x:v>
      </x:c>
      <x:c r="Q174" s="627" t="n">
        <x:v>-41.44</x:v>
      </x:c>
      <x:c r="R174" s="653" t="n">
        <x:v>0</x:v>
      </x:c>
      <x:c r="Z174" s="624"/>
    </x:row>
    <x:row r="175" spans="1:26" x14ac:dyDescent="0.2">
      <x:c r="A175" s="631"/>
      <x:c r="B175" s="632" t="s">
        <x:v>119</x:v>
      </x:c>
      <x:c r="C175" s="632" t="s">
        <x:v>70</x:v>
      </x:c>
      <x:c r="D175" s="631"/>
      <x:c r="E175" s="633" t="n">
        <x:v>10263847.85</x:v>
      </x:c>
      <x:c r="F175" s="633" t="n">
        <x:v>702329.22</x:v>
      </x:c>
      <x:c r="G175" s="633" t="n">
        <x:v>394837.99</x:v>
      </x:c>
      <x:c r="H175" s="633" t="n">
        <x:v>210134.26</x:v>
      </x:c>
      <x:c r="I175" s="633" t="n">
        <x:v>2051686.15</x:v>
      </x:c>
      <x:c r="J175" s="633" t="n">
        <x:v>54810.09</x:v>
      </x:c>
      <x:c r="K175" s="633" t="n">
        <x:v>120000</x:v>
      </x:c>
      <x:c r="L175" s="633" t="n">
        <x:v>518605.43</x:v>
      </x:c>
      <x:c r="M175" s="633" t="n">
        <x:v>783852.5</x:v>
      </x:c>
      <x:c r="N175" s="633" t="n">
        <x:v>3015297.14</x:v>
      </x:c>
      <x:c r="O175" s="633" t="n">
        <x:v>2325806</x:v>
      </x:c>
      <x:c r="P175" s="633" t="n">
        <x:v>86558.92</x:v>
      </x:c>
      <x:c r="Q175" s="633" t="n">
        <x:v>-69.85</x:v>
      </x:c>
      <x:c r="R175" s="678" t="n">
        <x:v>0</x:v>
      </x:c>
      <x:c r="S175" s="631"/>
      <x:c r="T175" s="631"/>
      <x:c r="U175" s="631"/>
      <x:c r="V175" s="631"/>
      <x:c r="W175" s="631"/>
      <x:c r="X175" s="631"/>
      <x:c r="Y175" s="631"/>
      <x:c r="Z175" s="624"/>
    </x:row>
    <x:row r="176" spans="1:26" x14ac:dyDescent="0.2">
      <x:c r="A176" s="639" t="s">
        <x:v>78</x:v>
      </x:c>
      <x:c r="B176" s="639" t="s">
        <x:v>70</x:v>
      </x:c>
      <x:c r="C176" s="638"/>
      <x:c r="D176" s="638"/>
      <x:c r="E176" s="640" t="n">
        <x:v>31231390.27</x:v>
      </x:c>
      <x:c r="F176" s="640" t="n">
        <x:v>1765770.14</x:v>
      </x:c>
      <x:c r="G176" s="640" t="n">
        <x:v>991068.55</x:v>
      </x:c>
      <x:c r="H176" s="640" t="n">
        <x:v>522289.1</x:v>
      </x:c>
      <x:c r="I176" s="640" t="n">
        <x:v>7371762.14</x:v>
      </x:c>
      <x:c r="J176" s="640" t="n">
        <x:v>270953.79</x:v>
      </x:c>
      <x:c r="K176" s="640" t="n">
        <x:v>156736.31</x:v>
      </x:c>
      <x:c r="L176" s="640" t="n">
        <x:v>2092606.04</x:v>
      </x:c>
      <x:c r="M176" s="640" t="n">
        <x:v>2311442.24</x:v>
      </x:c>
      <x:c r="N176" s="640" t="n">
        <x:v>10561391.98</x:v>
      </x:c>
      <x:c r="O176" s="640" t="n">
        <x:v>4830144.44</x:v>
      </x:c>
      <x:c r="P176" s="640" t="n">
        <x:v>357286.91</x:v>
      </x:c>
      <x:c r="Q176" s="640" t="n">
        <x:v>-61.37</x:v>
      </x:c>
      <x:c r="R176" s="679" t="n">
        <x:v>0</x:v>
      </x:c>
      <x:c r="S176" s="638"/>
      <x:c r="T176" s="638"/>
      <x:c r="U176" s="638"/>
      <x:c r="V176" s="638"/>
      <x:c r="W176" s="638"/>
      <x:c r="X176" s="638"/>
      <x:c r="Y176" s="638"/>
      <x:c r="Z176" s="624"/>
    </x:row>
    <x:row r="177" spans="1:26" x14ac:dyDescent="0.2">
      <x:c r="C177" s="625"/>
      <x:c r="D177" s="625" t="s">
        <x:v>73</x:v>
      </x:c>
      <x:c r="E177" s="627" t="n">
        <x:v>-4108392.95</x:v>
      </x:c>
      <x:c r="F177" s="627" t="n">
        <x:v>-57677.34</x:v>
      </x:c>
      <x:c r="G177" s="627" t="n">
        <x:v>-31488.55</x:v>
      </x:c>
      <x:c r="H177" s="627" t="n">
        <x:v>-24448.94</x:v>
      </x:c>
      <x:c r="I177" s="627" t="n">
        <x:v>-1316572.92</x:v>
      </x:c>
      <x:c r="J177" s="627" t="n">
        <x:v>-42856.96</x:v>
      </x:c>
      <x:c r="K177" s="627" t="n">
        <x:v>0</x:v>
      </x:c>
      <x:c r="L177" s="627" t="n">
        <x:v>-368515.44</x:v>
      </x:c>
      <x:c r="M177" s="627" t="n">
        <x:v>-360215.14</x:v>
      </x:c>
      <x:c r="N177" s="627" t="n">
        <x:v>-1691604.18</x:v>
      </x:c>
      <x:c r="O177" s="627" t="n">
        <x:v>-145142.98</x:v>
      </x:c>
      <x:c r="P177" s="627" t="n">
        <x:v>-69870.5</x:v>
      </x:c>
      <x:c r="Q177" s="627" t="n">
        <x:v>0</x:v>
      </x:c>
      <x:c r="R177" s="653" t="n">
        <x:v>0</x:v>
      </x:c>
      <x:c r="Z177" s="624"/>
    </x:row>
    <x:row r="178" spans="1:26" x14ac:dyDescent="0.2">
      <x:c r="C178" s="625" t="s">
        <x:v>156</x:v>
      </x:c>
      <x:c r="D178" s="625" t="s">
        <x:v>70</x:v>
      </x:c>
      <x:c r="E178" s="627" t="n">
        <x:v>-4108392.95</x:v>
      </x:c>
      <x:c r="F178" s="627" t="n">
        <x:v>-57677.34</x:v>
      </x:c>
      <x:c r="G178" s="627" t="n">
        <x:v>-31488.55</x:v>
      </x:c>
      <x:c r="H178" s="627" t="n">
        <x:v>-24448.94</x:v>
      </x:c>
      <x:c r="I178" s="627" t="n">
        <x:v>-1316572.92</x:v>
      </x:c>
      <x:c r="J178" s="627" t="n">
        <x:v>-42856.96</x:v>
      </x:c>
      <x:c r="K178" s="627" t="n">
        <x:v>0</x:v>
      </x:c>
      <x:c r="L178" s="627" t="n">
        <x:v>-368515.44</x:v>
      </x:c>
      <x:c r="M178" s="627" t="n">
        <x:v>-360215.14</x:v>
      </x:c>
      <x:c r="N178" s="627" t="n">
        <x:v>-1691604.18</x:v>
      </x:c>
      <x:c r="O178" s="627" t="n">
        <x:v>-145142.98</x:v>
      </x:c>
      <x:c r="P178" s="627" t="n">
        <x:v>-69870.5</x:v>
      </x:c>
      <x:c r="Q178" s="627" t="n">
        <x:v>0</x:v>
      </x:c>
      <x:c r="R178" s="653" t="n">
        <x:v>0</x:v>
      </x:c>
      <x:c r="Z178" s="624"/>
    </x:row>
    <x:row r="179" spans="1:26" x14ac:dyDescent="0.2">
      <x:c r="A179" s="628"/>
      <x:c r="B179" s="628" t="s">
        <x:v>155</x:v>
      </x:c>
      <x:c r="C179" s="628" t="s">
        <x:v>70</x:v>
      </x:c>
      <x:c r="D179" s="628"/>
      <x:c r="E179" s="677" t="n">
        <x:v>-4108392.95</x:v>
      </x:c>
      <x:c r="F179" s="677" t="n">
        <x:v>-57677.34</x:v>
      </x:c>
      <x:c r="G179" s="677" t="n">
        <x:v>-31488.55</x:v>
      </x:c>
      <x:c r="H179" s="677" t="n">
        <x:v>-24448.94</x:v>
      </x:c>
      <x:c r="I179" s="677" t="n">
        <x:v>-1316572.92</x:v>
      </x:c>
      <x:c r="J179" s="677" t="n">
        <x:v>-42856.96</x:v>
      </x:c>
      <x:c r="K179" s="677" t="n">
        <x:v>0</x:v>
      </x:c>
      <x:c r="L179" s="677" t="n">
        <x:v>-368515.44</x:v>
      </x:c>
      <x:c r="M179" s="677" t="n">
        <x:v>-360215.14</x:v>
      </x:c>
      <x:c r="N179" s="677" t="n">
        <x:v>-1691604.18</x:v>
      </x:c>
      <x:c r="O179" s="677" t="n">
        <x:v>-145142.98</x:v>
      </x:c>
      <x:c r="P179" s="677" t="n">
        <x:v>-69870.5</x:v>
      </x:c>
      <x:c r="Q179" s="677" t="n">
        <x:v>0</x:v>
      </x:c>
      <x:c r="R179" s="677" t="n">
        <x:v>0</x:v>
      </x:c>
      <x:c r="S179" s="628"/>
      <x:c r="T179" s="628"/>
      <x:c r="U179" s="628"/>
      <x:c r="V179" s="628"/>
      <x:c r="W179" s="628"/>
      <x:c r="X179" s="628"/>
      <x:c r="Y179" s="628"/>
      <x:c r="Z179" s="624"/>
    </x:row>
    <x:row r="180" spans="1:26" x14ac:dyDescent="0.2">
      <x:c r="C180" s="625"/>
      <x:c r="D180" s="625" t="s">
        <x:v>73</x:v>
      </x:c>
      <x:c r="E180" s="627" t="n">
        <x:v>2133.86</x:v>
      </x:c>
      <x:c r="F180" s="627" t="n">
        <x:v>3031.43</x:v>
      </x:c>
      <x:c r="G180" s="627" t="n">
        <x:v>1691.19</x:v>
      </x:c>
      <x:c r="H180" s="627" t="n">
        <x:v>89.27</x:v>
      </x:c>
      <x:c r="I180" s="627" t="n">
        <x:v>-4359.54</x:v>
      </x:c>
      <x:c r="J180" s="627" t="n">
        <x:v>-322.8</x:v>
      </x:c>
      <x:c r="K180" s="627" t="n">
        <x:v>0</x:v>
      </x:c>
      <x:c r="L180" s="627" t="n">
        <x:v>-1074.38</x:v>
      </x:c>
      <x:c r="M180" s="627" t="n">
        <x:v>-625.48</x:v>
      </x:c>
      <x:c r="N180" s="627" t="n">
        <x:v>-2962.38</x:v>
      </x:c>
      <x:c r="O180" s="627" t="n">
        <x:v>7193.19</x:v>
      </x:c>
      <x:c r="P180" s="627" t="n">
        <x:v>-526.64</x:v>
      </x:c>
      <x:c r="Q180" s="627" t="n">
        <x:v>0</x:v>
      </x:c>
      <x:c r="R180" s="653" t="n">
        <x:v>0</x:v>
      </x:c>
      <x:c r="Z180" s="624"/>
    </x:row>
    <x:row r="181" spans="1:26" x14ac:dyDescent="0.2">
      <x:c r="C181" s="25" t="s">
        <x:v>82</x:v>
      </x:c>
      <x:c r="D181" s="25" t="s">
        <x:v>70</x:v>
      </x:c>
      <x:c r="E181" s="653" t="n">
        <x:v>2133.86</x:v>
      </x:c>
      <x:c r="F181" s="653" t="n">
        <x:v>3031.43</x:v>
      </x:c>
      <x:c r="G181" s="653" t="n">
        <x:v>1691.19</x:v>
      </x:c>
      <x:c r="H181" s="653" t="n">
        <x:v>89.27</x:v>
      </x:c>
      <x:c r="I181" s="653" t="n">
        <x:v>-4359.54</x:v>
      </x:c>
      <x:c r="J181" s="653" t="n">
        <x:v>-322.8</x:v>
      </x:c>
      <x:c r="K181" s="653" t="n">
        <x:v>0</x:v>
      </x:c>
      <x:c r="L181" s="653" t="n">
        <x:v>-1074.38</x:v>
      </x:c>
      <x:c r="M181" s="653" t="n">
        <x:v>-625.48</x:v>
      </x:c>
      <x:c r="N181" s="653" t="n">
        <x:v>-2962.38</x:v>
      </x:c>
      <x:c r="O181" s="653" t="n">
        <x:v>7193.19</x:v>
      </x:c>
      <x:c r="P181" s="653" t="n">
        <x:v>-526.64</x:v>
      </x:c>
      <x:c r="Q181" s="653" t="n">
        <x:v>0</x:v>
      </x:c>
      <x:c r="R181" s="653" t="n">
        <x:v>0</x:v>
      </x:c>
      <x:c r="Z181" s="624"/>
    </x:row>
    <x:row r="182" spans="1:26" x14ac:dyDescent="0.2">
      <x:c r="D182" s="25" t="s">
        <x:v>73</x:v>
      </x:c>
      <x:c r="E182" s="653" t="n">
        <x:v>-96566.76</x:v>
      </x:c>
      <x:c r="F182" s="653" t="n">
        <x:v>-3758.26</x:v>
      </x:c>
      <x:c r="G182" s="653" t="n">
        <x:v>-2101.99</x:v>
      </x:c>
      <x:c r="H182" s="653" t="n">
        <x:v>-1113.73</x:v>
      </x:c>
      <x:c r="I182" s="653" t="n">
        <x:v>-28290.02</x:v>
      </x:c>
      <x:c r="J182" s="653" t="n">
        <x:v>-854.64</x:v>
      </x:c>
      <x:c r="K182" s="653" t="n">
        <x:v>0</x:v>
      </x:c>
      <x:c r="L182" s="653" t="n">
        <x:v>-7496.94</x:v>
      </x:c>
      <x:c r="M182" s="653" t="n">
        <x:v>-7474.02</x:v>
      </x:c>
      <x:c r="N182" s="653" t="n">
        <x:v>-35171.5</x:v>
      </x:c>
      <x:c r="O182" s="653" t="n">
        <x:v>-8911.23</x:v>
      </x:c>
      <x:c r="P182" s="653" t="n">
        <x:v>-1394.43</x:v>
      </x:c>
      <x:c r="Q182" s="653" t="n">
        <x:v>0</x:v>
      </x:c>
      <x:c r="R182" s="653" t="n">
        <x:v>0</x:v>
      </x:c>
      <x:c r="Z182" s="624"/>
    </x:row>
    <x:row r="183" spans="1:26" x14ac:dyDescent="0.2">
      <x:c r="C183" s="25" t="s">
        <x:v>86</x:v>
      </x:c>
      <x:c r="D183" s="25" t="s">
        <x:v>70</x:v>
      </x:c>
      <x:c r="E183" s="653" t="n">
        <x:v>-96566.76</x:v>
      </x:c>
      <x:c r="F183" s="653" t="n">
        <x:v>-3758.26</x:v>
      </x:c>
      <x:c r="G183" s="653" t="n">
        <x:v>-2101.99</x:v>
      </x:c>
      <x:c r="H183" s="653" t="n">
        <x:v>-1113.73</x:v>
      </x:c>
      <x:c r="I183" s="653" t="n">
        <x:v>-28290.02</x:v>
      </x:c>
      <x:c r="J183" s="653" t="n">
        <x:v>-854.64</x:v>
      </x:c>
      <x:c r="K183" s="653" t="n">
        <x:v>0</x:v>
      </x:c>
      <x:c r="L183" s="653" t="n">
        <x:v>-7496.94</x:v>
      </x:c>
      <x:c r="M183" s="653" t="n">
        <x:v>-7474.02</x:v>
      </x:c>
      <x:c r="N183" s="653" t="n">
        <x:v>-35171.5</x:v>
      </x:c>
      <x:c r="O183" s="653" t="n">
        <x:v>-8911.23</x:v>
      </x:c>
      <x:c r="P183" s="653" t="n">
        <x:v>-1394.43</x:v>
      </x:c>
      <x:c r="Q183" s="653" t="n">
        <x:v>0</x:v>
      </x:c>
      <x:c r="R183" s="653" t="n">
        <x:v>0</x:v>
      </x:c>
      <x:c r="Z183" s="624"/>
    </x:row>
    <x:row r="184" spans="1:26" x14ac:dyDescent="0.2">
      <x:c r="D184" s="625" t="s">
        <x:v>73</x:v>
      </x:c>
      <x:c r="E184" s="627" t="n">
        <x:v>935036.86</x:v>
      </x:c>
      <x:c r="F184" s="627" t="n">
        <x:v>238469.13</x:v>
      </x:c>
      <x:c r="G184" s="627" t="n">
        <x:v>130178.93</x:v>
      </x:c>
      <x:c r="H184" s="627" t="n">
        <x:v>69506.49</x:v>
      </x:c>
      <x:c r="I184" s="627" t="n">
        <x:v>-33082.03</x:v>
      </x:c>
      <x:c r="J184" s="627" t="n">
        <x:v>-1108.39</x:v>
      </x:c>
      <x:c r="K184" s="627" t="n">
        <x:v>0</x:v>
      </x:c>
      <x:c r="L184" s="627" t="n">
        <x:v>-6208.08</x:v>
      </x:c>
      <x:c r="M184" s="627" t="n">
        <x:v>-5916.1</x:v>
      </x:c>
      <x:c r="N184" s="627" t="n">
        <x:v>-28059.85</x:v>
      </x:c>
      <x:c r="O184" s="627" t="n">
        <x:v>572901.58</x:v>
      </x:c>
      <x:c r="P184" s="627" t="n">
        <x:v>-1644.82</x:v>
      </x:c>
      <x:c r="Q184" s="627" t="n">
        <x:v>0</x:v>
      </x:c>
      <x:c r="R184" s="653" t="n">
        <x:v>0</x:v>
      </x:c>
      <x:c r="Z184" s="624"/>
    </x:row>
    <x:row r="185" spans="1:26" x14ac:dyDescent="0.2">
      <x:c r="C185" s="25" t="s">
        <x:v>87</x:v>
      </x:c>
      <x:c r="D185" s="625" t="s">
        <x:v>70</x:v>
      </x:c>
      <x:c r="E185" s="627" t="n">
        <x:v>935036.86</x:v>
      </x:c>
      <x:c r="F185" s="627" t="n">
        <x:v>238469.13</x:v>
      </x:c>
      <x:c r="G185" s="627" t="n">
        <x:v>130178.93</x:v>
      </x:c>
      <x:c r="H185" s="627" t="n">
        <x:v>69506.49</x:v>
      </x:c>
      <x:c r="I185" s="627" t="n">
        <x:v>-33082.03</x:v>
      </x:c>
      <x:c r="J185" s="627" t="n">
        <x:v>-1108.39</x:v>
      </x:c>
      <x:c r="K185" s="627" t="n">
        <x:v>0</x:v>
      </x:c>
      <x:c r="L185" s="627" t="n">
        <x:v>-6208.08</x:v>
      </x:c>
      <x:c r="M185" s="627" t="n">
        <x:v>-5916.1</x:v>
      </x:c>
      <x:c r="N185" s="627" t="n">
        <x:v>-28059.85</x:v>
      </x:c>
      <x:c r="O185" s="627" t="n">
        <x:v>572901.58</x:v>
      </x:c>
      <x:c r="P185" s="627" t="n">
        <x:v>-1644.82</x:v>
      </x:c>
      <x:c r="Q185" s="627" t="n">
        <x:v>0</x:v>
      </x:c>
      <x:c r="R185" s="653" t="n">
        <x:v>0</x:v>
      </x:c>
      <x:c r="Z185" s="624"/>
    </x:row>
    <x:row r="186" spans="1:26" x14ac:dyDescent="0.2">
      <x:c r="A186" s="631"/>
      <x:c r="B186" s="632" t="s">
        <x:v>119</x:v>
      </x:c>
      <x:c r="C186" s="632" t="s">
        <x:v>70</x:v>
      </x:c>
      <x:c r="D186" s="631"/>
      <x:c r="E186" s="633" t="n">
        <x:v>840603.96</x:v>
      </x:c>
      <x:c r="F186" s="633" t="n">
        <x:v>237742.3</x:v>
      </x:c>
      <x:c r="G186" s="633" t="n">
        <x:v>129768.13</x:v>
      </x:c>
      <x:c r="H186" s="633" t="n">
        <x:v>68482.03</x:v>
      </x:c>
      <x:c r="I186" s="633" t="n">
        <x:v>-65731.59</x:v>
      </x:c>
      <x:c r="J186" s="633" t="n">
        <x:v>-2285.83</x:v>
      </x:c>
      <x:c r="K186" s="633" t="n">
        <x:v>0</x:v>
      </x:c>
      <x:c r="L186" s="633" t="n">
        <x:v>-14779.4</x:v>
      </x:c>
      <x:c r="M186" s="633" t="n">
        <x:v>-14015.6</x:v>
      </x:c>
      <x:c r="N186" s="633" t="n">
        <x:v>-66193.73</x:v>
      </x:c>
      <x:c r="O186" s="633" t="n">
        <x:v>571183.54</x:v>
      </x:c>
      <x:c r="P186" s="633" t="n">
        <x:v>-3565.89</x:v>
      </x:c>
      <x:c r="Q186" s="633" t="n">
        <x:v>0</x:v>
      </x:c>
      <x:c r="R186" s="678" t="n">
        <x:v>0</x:v>
      </x:c>
      <x:c r="S186" s="631"/>
      <x:c r="T186" s="631"/>
      <x:c r="U186" s="631"/>
      <x:c r="V186" s="631"/>
      <x:c r="W186" s="631"/>
      <x:c r="X186" s="631"/>
      <x:c r="Y186" s="631"/>
      <x:c r="Z186" s="624"/>
    </x:row>
    <x:row r="187" spans="1:26" x14ac:dyDescent="0.2">
      <x:c r="A187" s="639" t="s">
        <x:v>79</x:v>
      </x:c>
      <x:c r="B187" s="639" t="s">
        <x:v>70</x:v>
      </x:c>
      <x:c r="C187" s="638"/>
      <x:c r="D187" s="638"/>
      <x:c r="E187" s="640" t="n">
        <x:v>-3267788.99</x:v>
      </x:c>
      <x:c r="F187" s="640" t="n">
        <x:v>180064.96</x:v>
      </x:c>
      <x:c r="G187" s="640" t="n">
        <x:v>98279.58</x:v>
      </x:c>
      <x:c r="H187" s="640" t="n">
        <x:v>44033.09</x:v>
      </x:c>
      <x:c r="I187" s="640" t="n">
        <x:v>-1382304.51</x:v>
      </x:c>
      <x:c r="J187" s="640" t="n">
        <x:v>-45142.79</x:v>
      </x:c>
      <x:c r="K187" s="640" t="n">
        <x:v>0</x:v>
      </x:c>
      <x:c r="L187" s="640" t="n">
        <x:v>-383294.84</x:v>
      </x:c>
      <x:c r="M187" s="640" t="n">
        <x:v>-374230.74</x:v>
      </x:c>
      <x:c r="N187" s="640" t="n">
        <x:v>-1757797.91</x:v>
      </x:c>
      <x:c r="O187" s="640" t="n">
        <x:v>426040.56</x:v>
      </x:c>
      <x:c r="P187" s="640" t="n">
        <x:v>-73436.39</x:v>
      </x:c>
      <x:c r="Q187" s="640" t="n">
        <x:v>0</x:v>
      </x:c>
      <x:c r="R187" s="679" t="n">
        <x:v>0</x:v>
      </x:c>
      <x:c r="S187" s="638"/>
      <x:c r="T187" s="638"/>
      <x:c r="U187" s="638"/>
      <x:c r="V187" s="638"/>
      <x:c r="W187" s="638"/>
      <x:c r="X187" s="638"/>
      <x:c r="Y187" s="638"/>
      <x:c r="Z187" s="624"/>
    </x:row>
    <x:row r="188" spans="1:26" x14ac:dyDescent="0.2">
      <x:c r="A188" s="625" t="s">
        <x:v>70</x:v>
      </x:c>
      <x:c r="E188" s="627" t="n">
        <x:v>27963601.28</x:v>
      </x:c>
      <x:c r="F188" s="627" t="n">
        <x:v>1945835.1</x:v>
      </x:c>
      <x:c r="G188" s="627" t="n">
        <x:v>1089348.13</x:v>
      </x:c>
      <x:c r="H188" s="627" t="n">
        <x:v>566322.19</x:v>
      </x:c>
      <x:c r="I188" s="627" t="n">
        <x:v>5989457.63</x:v>
      </x:c>
      <x:c r="J188" s="627" t="n">
        <x:v>225811</x:v>
      </x:c>
      <x:c r="K188" s="627" t="n">
        <x:v>156736.31</x:v>
      </x:c>
      <x:c r="L188" s="627" t="n">
        <x:v>1709311.2</x:v>
      </x:c>
      <x:c r="M188" s="627" t="n">
        <x:v>1937211.5</x:v>
      </x:c>
      <x:c r="N188" s="627" t="n">
        <x:v>8803594.07</x:v>
      </x:c>
      <x:c r="O188" s="627" t="n">
        <x:v>5256185</x:v>
      </x:c>
      <x:c r="P188" s="627" t="n">
        <x:v>283850.52</x:v>
      </x:c>
      <x:c r="Q188" s="627" t="n">
        <x:v>-61.37</x:v>
      </x:c>
      <x:c r="R188" s="653" t="n">
        <x:v>0</x:v>
      </x:c>
      <x:c r="Z188" s="624"/>
    </x:row>
    <x:row r="189" spans="1:26" x14ac:dyDescent="0.2">
      <x:c r="A189" s="625"/>
      <x:c r="E189" s="627"/>
      <x:c r="F189" s="627"/>
      <x:c r="G189" s="627"/>
      <x:c r="H189" s="627"/>
      <x:c r="I189" s="627"/>
      <x:c r="J189" s="627"/>
      <x:c r="K189" s="627"/>
      <x:c r="L189" s="627"/>
      <x:c r="M189" s="627"/>
      <x:c r="N189" s="627"/>
      <x:c r="O189" s="627"/>
      <x:c r="P189" s="627"/>
      <x:c r="Q189" s="627"/>
      <x:c r="Z189" s="624"/>
    </x:row>
    <x:row r="190" spans="1:26" x14ac:dyDescent="0.2">
      <x:c r="A190" s="625"/>
      <x:c r="E190" s="627"/>
      <x:c r="F190" s="627"/>
      <x:c r="G190" s="627"/>
      <x:c r="H190" s="627"/>
      <x:c r="I190" s="627"/>
      <x:c r="J190" s="627"/>
      <x:c r="K190" s="627"/>
      <x:c r="L190" s="627"/>
      <x:c r="M190" s="627"/>
      <x:c r="N190" s="627"/>
      <x:c r="O190" s="627"/>
      <x:c r="P190" s="627"/>
      <x:c r="Q190" s="627"/>
      <x:c r="Z190" s="624"/>
    </x:row>
    <x:row r="191" spans="1:26" x14ac:dyDescent="0.2">
      <x:c r="A191" s="625"/>
      <x:c r="E191" s="627"/>
      <x:c r="F191" s="627"/>
      <x:c r="G191" s="627"/>
      <x:c r="H191" s="627"/>
      <x:c r="I191" s="627"/>
      <x:c r="J191" s="627"/>
      <x:c r="K191" s="627"/>
      <x:c r="L191" s="627"/>
      <x:c r="M191" s="627"/>
      <x:c r="N191" s="627"/>
      <x:c r="O191" s="627"/>
      <x:c r="P191" s="627"/>
      <x:c r="Q191" s="627"/>
      <x:c r="Z191" s="624"/>
    </x:row>
    <x:row r="192" spans="1:26" x14ac:dyDescent="0.2">
      <x:c r="A192" s="625"/>
      <x:c r="E192" s="627"/>
      <x:c r="F192" s="627"/>
      <x:c r="G192" s="627"/>
      <x:c r="H192" s="627"/>
      <x:c r="I192" s="627"/>
      <x:c r="J192" s="627"/>
      <x:c r="K192" s="627"/>
      <x:c r="L192" s="627"/>
      <x:c r="M192" s="627"/>
      <x:c r="N192" s="627"/>
      <x:c r="O192" s="627"/>
      <x:c r="P192" s="627"/>
      <x:c r="Q192" s="627"/>
      <x:c r="Z192" s="624"/>
    </x:row>
    <x:row r="193" spans="1:26" x14ac:dyDescent="0.2">
      <x:c r="A193" s="625"/>
      <x:c r="E193" s="627"/>
      <x:c r="F193" s="627"/>
      <x:c r="G193" s="627"/>
      <x:c r="H193" s="627"/>
      <x:c r="I193" s="627"/>
      <x:c r="J193" s="627"/>
      <x:c r="K193" s="627"/>
      <x:c r="L193" s="627"/>
      <x:c r="M193" s="627"/>
      <x:c r="N193" s="627"/>
      <x:c r="O193" s="627"/>
      <x:c r="P193" s="627"/>
      <x:c r="Q193" s="627"/>
      <x:c r="Z193" s="624"/>
    </x:row>
    <x:row r="194" spans="1:26" x14ac:dyDescent="0.2">
      <x:c r="A194" s="625"/>
      <x:c r="E194" s="627"/>
      <x:c r="F194" s="627"/>
      <x:c r="G194" s="627"/>
      <x:c r="H194" s="627"/>
      <x:c r="I194" s="627"/>
      <x:c r="J194" s="627"/>
      <x:c r="K194" s="627"/>
      <x:c r="L194" s="627"/>
      <x:c r="M194" s="627"/>
      <x:c r="N194" s="627"/>
      <x:c r="O194" s="627"/>
      <x:c r="P194" s="627"/>
      <x:c r="Q194" s="627"/>
      <x:c r="Z194" s="624"/>
    </x:row>
    <x:row r="195" spans="1:26" x14ac:dyDescent="0.2">
      <x:c r="A195" s="625"/>
      <x:c r="E195" s="627"/>
      <x:c r="F195" s="627"/>
      <x:c r="G195" s="627"/>
      <x:c r="H195" s="627"/>
      <x:c r="I195" s="627"/>
      <x:c r="J195" s="627"/>
      <x:c r="K195" s="627"/>
      <x:c r="L195" s="627"/>
      <x:c r="M195" s="627"/>
      <x:c r="N195" s="627"/>
      <x:c r="O195" s="627"/>
      <x:c r="P195" s="627"/>
      <x:c r="Q195" s="627"/>
      <x:c r="Z195" s="624"/>
    </x:row>
    <x:row r="196" spans="1:26" x14ac:dyDescent="0.2">
      <x:c r="A196" s="625"/>
      <x:c r="E196" s="627"/>
      <x:c r="F196" s="627"/>
      <x:c r="G196" s="627"/>
      <x:c r="H196" s="627"/>
      <x:c r="I196" s="627"/>
      <x:c r="J196" s="627"/>
      <x:c r="K196" s="627"/>
      <x:c r="L196" s="627"/>
      <x:c r="M196" s="627"/>
      <x:c r="N196" s="627"/>
      <x:c r="O196" s="627"/>
      <x:c r="P196" s="627"/>
      <x:c r="Q196" s="627"/>
      <x:c r="Z196" s="624"/>
    </x:row>
    <x:row r="197" spans="1:26" x14ac:dyDescent="0.2">
      <x:c r="A197" s="625"/>
      <x:c r="E197" s="627"/>
      <x:c r="F197" s="627"/>
      <x:c r="G197" s="627"/>
      <x:c r="H197" s="627"/>
      <x:c r="I197" s="627"/>
      <x:c r="J197" s="627"/>
      <x:c r="K197" s="627"/>
      <x:c r="L197" s="627"/>
      <x:c r="M197" s="627"/>
      <x:c r="N197" s="627"/>
      <x:c r="O197" s="627"/>
      <x:c r="P197" s="627"/>
      <x:c r="Q197" s="627"/>
      <x:c r="Z197" s="624"/>
    </x:row>
    <x:row r="198" spans="1:26" x14ac:dyDescent="0.2">
      <x:c r="A198" s="625"/>
      <x:c r="E198" s="627"/>
      <x:c r="F198" s="627"/>
      <x:c r="G198" s="627"/>
      <x:c r="H198" s="627"/>
      <x:c r="I198" s="627"/>
      <x:c r="J198" s="627"/>
      <x:c r="K198" s="627"/>
      <x:c r="L198" s="627"/>
      <x:c r="M198" s="627"/>
      <x:c r="N198" s="627"/>
      <x:c r="O198" s="627"/>
      <x:c r="P198" s="627"/>
      <x:c r="Q198" s="627"/>
      <x:c r="Z198" s="624"/>
    </x:row>
    <x:row r="199" spans="1:26" x14ac:dyDescent="0.2">
      <x:c r="A199" s="625"/>
      <x:c r="E199" s="627"/>
      <x:c r="F199" s="627"/>
      <x:c r="G199" s="627"/>
      <x:c r="H199" s="627"/>
      <x:c r="I199" s="627"/>
      <x:c r="J199" s="627"/>
      <x:c r="K199" s="627"/>
      <x:c r="L199" s="627"/>
      <x:c r="M199" s="627"/>
      <x:c r="N199" s="627"/>
      <x:c r="O199" s="627"/>
      <x:c r="P199" s="627"/>
      <x:c r="Q199" s="627"/>
      <x:c r="Z199" s="624"/>
    </x:row>
    <x:row r="200" spans="1:26" x14ac:dyDescent="0.2">
      <x:c r="A200" s="625"/>
      <x:c r="E200" s="627"/>
      <x:c r="F200" s="627"/>
      <x:c r="G200" s="627"/>
      <x:c r="H200" s="627"/>
      <x:c r="I200" s="627"/>
      <x:c r="J200" s="627"/>
      <x:c r="K200" s="627"/>
      <x:c r="L200" s="627"/>
      <x:c r="M200" s="627"/>
      <x:c r="N200" s="627"/>
      <x:c r="O200" s="627"/>
      <x:c r="P200" s="627"/>
      <x:c r="Q200" s="627"/>
      <x:c r="Z200" s="624"/>
    </x:row>
    <x:row r="201" spans="1:26" x14ac:dyDescent="0.2">
      <x:c r="A201" s="625"/>
      <x:c r="E201" s="627"/>
      <x:c r="F201" s="627"/>
      <x:c r="G201" s="627"/>
      <x:c r="H201" s="627"/>
      <x:c r="I201" s="627"/>
      <x:c r="J201" s="627"/>
      <x:c r="K201" s="627"/>
      <x:c r="L201" s="627"/>
      <x:c r="M201" s="627"/>
      <x:c r="N201" s="627"/>
      <x:c r="O201" s="627"/>
      <x:c r="P201" s="627"/>
      <x:c r="Q201" s="627"/>
      <x:c r="Z201" s="624"/>
    </x:row>
    <x:row r="202" spans="1:26" x14ac:dyDescent="0.2">
      <x:c r="A202" s="625"/>
      <x:c r="E202" s="627"/>
      <x:c r="F202" s="627"/>
      <x:c r="G202" s="627"/>
      <x:c r="H202" s="627"/>
      <x:c r="I202" s="627"/>
      <x:c r="J202" s="627"/>
      <x:c r="K202" s="627"/>
      <x:c r="L202" s="627"/>
      <x:c r="M202" s="627"/>
      <x:c r="N202" s="627"/>
      <x:c r="O202" s="627"/>
      <x:c r="P202" s="627"/>
      <x:c r="Q202" s="627"/>
      <x:c r="Z202" s="624"/>
    </x:row>
    <x:row r="203" spans="1:26" x14ac:dyDescent="0.2">
      <x:c r="A203" s="625"/>
      <x:c r="E203" s="627"/>
      <x:c r="F203" s="627"/>
      <x:c r="G203" s="627"/>
      <x:c r="H203" s="627"/>
      <x:c r="I203" s="627"/>
      <x:c r="J203" s="627"/>
      <x:c r="K203" s="627"/>
      <x:c r="L203" s="627"/>
      <x:c r="M203" s="627"/>
      <x:c r="N203" s="627"/>
      <x:c r="O203" s="627"/>
      <x:c r="P203" s="627"/>
      <x:c r="Q203" s="627"/>
      <x:c r="Z203" s="624"/>
    </x:row>
    <x:row r="204" spans="1:26" x14ac:dyDescent="0.2">
      <x:c r="A204" s="625"/>
      <x:c r="E204" s="627"/>
      <x:c r="F204" s="627"/>
      <x:c r="G204" s="627"/>
      <x:c r="H204" s="627"/>
      <x:c r="I204" s="627"/>
      <x:c r="J204" s="627"/>
      <x:c r="K204" s="627"/>
      <x:c r="L204" s="627"/>
      <x:c r="M204" s="627"/>
      <x:c r="N204" s="627"/>
      <x:c r="O204" s="627"/>
      <x:c r="P204" s="627"/>
      <x:c r="Q204" s="627"/>
      <x:c r="Z204" s="624"/>
    </x:row>
    <x:row r="205" spans="1:26" x14ac:dyDescent="0.2">
      <x:c r="A205" s="625"/>
      <x:c r="E205" s="627"/>
      <x:c r="F205" s="627"/>
      <x:c r="G205" s="627"/>
      <x:c r="H205" s="627"/>
      <x:c r="I205" s="627"/>
      <x:c r="J205" s="627"/>
      <x:c r="K205" s="627"/>
      <x:c r="L205" s="627"/>
      <x:c r="M205" s="627"/>
      <x:c r="N205" s="627"/>
      <x:c r="O205" s="627"/>
      <x:c r="P205" s="627"/>
      <x:c r="Q205" s="627"/>
      <x:c r="Z205" s="624"/>
    </x:row>
    <x:row r="206" spans="1:26" x14ac:dyDescent="0.2">
      <x:c r="A206" s="625"/>
      <x:c r="E206" s="627"/>
      <x:c r="F206" s="627"/>
      <x:c r="G206" s="627"/>
      <x:c r="H206" s="627"/>
      <x:c r="I206" s="627"/>
      <x:c r="J206" s="627"/>
      <x:c r="K206" s="627"/>
      <x:c r="L206" s="627"/>
      <x:c r="M206" s="627"/>
      <x:c r="N206" s="627"/>
      <x:c r="O206" s="627"/>
      <x:c r="P206" s="627"/>
      <x:c r="Q206" s="627"/>
      <x:c r="Z206" s="624"/>
    </x:row>
    <x:row r="207" spans="1:26" x14ac:dyDescent="0.2">
      <x:c r="A207" s="625"/>
      <x:c r="E207" s="627"/>
      <x:c r="F207" s="627"/>
      <x:c r="G207" s="627"/>
      <x:c r="H207" s="627"/>
      <x:c r="I207" s="627"/>
      <x:c r="J207" s="627"/>
      <x:c r="K207" s="627"/>
      <x:c r="L207" s="627"/>
      <x:c r="M207" s="627"/>
      <x:c r="N207" s="627"/>
      <x:c r="O207" s="627"/>
      <x:c r="P207" s="627"/>
      <x:c r="Q207" s="627"/>
      <x:c r="Z207" s="624"/>
    </x:row>
    <x:row r="208" spans="1:26" x14ac:dyDescent="0.2">
      <x:c r="A208" s="625"/>
      <x:c r="E208" s="627"/>
      <x:c r="F208" s="627"/>
      <x:c r="G208" s="627"/>
      <x:c r="H208" s="627"/>
      <x:c r="I208" s="627"/>
      <x:c r="J208" s="627"/>
      <x:c r="K208" s="627"/>
      <x:c r="L208" s="627"/>
      <x:c r="M208" s="627"/>
      <x:c r="N208" s="627"/>
      <x:c r="O208" s="627"/>
      <x:c r="P208" s="627"/>
      <x:c r="Q208" s="627"/>
      <x:c r="Z208" s="624"/>
    </x:row>
    <x:row r="209" spans="1:26" x14ac:dyDescent="0.2">
      <x:c r="A209" s="625"/>
      <x:c r="E209" s="627"/>
      <x:c r="F209" s="627"/>
      <x:c r="G209" s="627"/>
      <x:c r="H209" s="627"/>
      <x:c r="I209" s="627"/>
      <x:c r="J209" s="627"/>
      <x:c r="K209" s="627"/>
      <x:c r="L209" s="627"/>
      <x:c r="M209" s="627"/>
      <x:c r="N209" s="627"/>
      <x:c r="O209" s="627"/>
      <x:c r="P209" s="627"/>
      <x:c r="Q209" s="627"/>
      <x:c r="Z209" s="624"/>
    </x:row>
    <x:row r="210" spans="1:26" x14ac:dyDescent="0.2">
      <x:c r="A210" s="625"/>
      <x:c r="E210" s="627"/>
      <x:c r="F210" s="627"/>
      <x:c r="G210" s="627"/>
      <x:c r="H210" s="627"/>
      <x:c r="I210" s="627"/>
      <x:c r="J210" s="627"/>
      <x:c r="K210" s="627"/>
      <x:c r="L210" s="627"/>
      <x:c r="M210" s="627"/>
      <x:c r="N210" s="627"/>
      <x:c r="O210" s="627"/>
      <x:c r="P210" s="627"/>
      <x:c r="Q210" s="627"/>
      <x:c r="Z210" s="624"/>
    </x:row>
    <x:row r="211" spans="1:26" x14ac:dyDescent="0.2">
      <x:c r="A211" s="625"/>
      <x:c r="E211" s="627"/>
      <x:c r="F211" s="627"/>
      <x:c r="G211" s="627"/>
      <x:c r="H211" s="627"/>
      <x:c r="I211" s="627"/>
      <x:c r="J211" s="627"/>
      <x:c r="K211" s="627"/>
      <x:c r="L211" s="627"/>
      <x:c r="M211" s="627"/>
      <x:c r="N211" s="627"/>
      <x:c r="O211" s="627"/>
      <x:c r="P211" s="627"/>
      <x:c r="Q211" s="627"/>
      <x:c r="Z211" s="624"/>
    </x:row>
    <x:row r="212" spans="1:26" x14ac:dyDescent="0.2">
      <x:c r="A212" s="625"/>
      <x:c r="E212" s="627"/>
      <x:c r="F212" s="627"/>
      <x:c r="G212" s="627"/>
      <x:c r="H212" s="627"/>
      <x:c r="I212" s="627"/>
      <x:c r="J212" s="627"/>
      <x:c r="K212" s="627"/>
      <x:c r="L212" s="627"/>
      <x:c r="M212" s="627"/>
      <x:c r="N212" s="627"/>
      <x:c r="O212" s="627"/>
      <x:c r="P212" s="627"/>
      <x:c r="Q212" s="627"/>
      <x:c r="Z212" s="624"/>
    </x:row>
    <x:row r="213" spans="1:26" x14ac:dyDescent="0.2">
      <x:c r="A213" s="625"/>
      <x:c r="E213" s="627"/>
      <x:c r="F213" s="627"/>
      <x:c r="G213" s="627"/>
      <x:c r="H213" s="627"/>
      <x:c r="I213" s="627"/>
      <x:c r="J213" s="627"/>
      <x:c r="K213" s="627"/>
      <x:c r="L213" s="627"/>
      <x:c r="M213" s="627"/>
      <x:c r="N213" s="627"/>
      <x:c r="O213" s="627"/>
      <x:c r="P213" s="627"/>
      <x:c r="Q213" s="627"/>
      <x:c r="Z213" s="624"/>
    </x:row>
    <x:row r="214" spans="1:26" x14ac:dyDescent="0.2">
      <x:c r="A214" s="625"/>
      <x:c r="E214" s="627"/>
      <x:c r="F214" s="627"/>
      <x:c r="G214" s="627"/>
      <x:c r="H214" s="627"/>
      <x:c r="I214" s="627"/>
      <x:c r="J214" s="627"/>
      <x:c r="K214" s="627"/>
      <x:c r="L214" s="627"/>
      <x:c r="M214" s="627"/>
      <x:c r="N214" s="627"/>
      <x:c r="O214" s="627"/>
      <x:c r="P214" s="627"/>
      <x:c r="Q214" s="627"/>
      <x:c r="Z214" s="624"/>
    </x:row>
    <x:row r="215" spans="1:26" x14ac:dyDescent="0.2">
      <x:c r="A215" s="625"/>
      <x:c r="E215" s="627"/>
      <x:c r="F215" s="627"/>
      <x:c r="G215" s="627"/>
      <x:c r="H215" s="627"/>
      <x:c r="I215" s="627"/>
      <x:c r="J215" s="627"/>
      <x:c r="K215" s="627"/>
      <x:c r="L215" s="627"/>
      <x:c r="M215" s="627"/>
      <x:c r="N215" s="627"/>
      <x:c r="O215" s="627"/>
      <x:c r="P215" s="627"/>
      <x:c r="Q215" s="627"/>
      <x:c r="Z215" s="624"/>
    </x:row>
    <x:row r="216" spans="1:26" x14ac:dyDescent="0.2">
      <x:c r="A216" s="625"/>
      <x:c r="E216" s="627"/>
      <x:c r="F216" s="627"/>
      <x:c r="G216" s="627"/>
      <x:c r="H216" s="627"/>
      <x:c r="I216" s="627"/>
      <x:c r="J216" s="627"/>
      <x:c r="K216" s="627"/>
      <x:c r="L216" s="627"/>
      <x:c r="M216" s="627"/>
      <x:c r="N216" s="627"/>
      <x:c r="O216" s="627"/>
      <x:c r="P216" s="627"/>
      <x:c r="Q216" s="627"/>
      <x:c r="Z216" s="624"/>
    </x:row>
    <x:row r="217" spans="1:26" x14ac:dyDescent="0.2">
      <x:c r="A217" s="625"/>
      <x:c r="E217" s="627"/>
      <x:c r="F217" s="627"/>
      <x:c r="G217" s="627"/>
      <x:c r="H217" s="627"/>
      <x:c r="I217" s="627"/>
      <x:c r="J217" s="627"/>
      <x:c r="K217" s="627"/>
      <x:c r="L217" s="627"/>
      <x:c r="M217" s="627"/>
      <x:c r="N217" s="627"/>
      <x:c r="O217" s="627"/>
      <x:c r="P217" s="627"/>
      <x:c r="Q217" s="627"/>
      <x:c r="Z217" s="624"/>
    </x:row>
    <x:row r="218" spans="1:26" x14ac:dyDescent="0.2">
      <x:c r="A218" s="625"/>
      <x:c r="E218" s="627"/>
      <x:c r="F218" s="627"/>
      <x:c r="G218" s="627"/>
      <x:c r="H218" s="627"/>
      <x:c r="I218" s="627"/>
      <x:c r="J218" s="627"/>
      <x:c r="K218" s="627"/>
      <x:c r="L218" s="627"/>
      <x:c r="M218" s="627"/>
      <x:c r="N218" s="627"/>
      <x:c r="O218" s="627"/>
      <x:c r="P218" s="627"/>
      <x:c r="Q218" s="627"/>
      <x:c r="Z218" s="624"/>
    </x:row>
    <x:row r="219" spans="1:26" x14ac:dyDescent="0.2">
      <x:c r="A219" s="625"/>
      <x:c r="E219" s="627"/>
      <x:c r="F219" s="627"/>
      <x:c r="G219" s="627"/>
      <x:c r="H219" s="627"/>
      <x:c r="I219" s="627"/>
      <x:c r="J219" s="627"/>
      <x:c r="K219" s="627"/>
      <x:c r="L219" s="627"/>
      <x:c r="M219" s="627"/>
      <x:c r="N219" s="627"/>
      <x:c r="O219" s="627"/>
      <x:c r="P219" s="627"/>
      <x:c r="Q219" s="627"/>
      <x:c r="Z219" s="624"/>
    </x:row>
    <x:row r="220" spans="1:26" x14ac:dyDescent="0.2">
      <x:c r="C220" s="625"/>
      <x:c r="D220" s="625"/>
      <x:c r="E220" s="627"/>
      <x:c r="F220" s="627"/>
      <x:c r="G220" s="627"/>
      <x:c r="H220" s="627"/>
      <x:c r="I220" s="627"/>
      <x:c r="J220" s="627"/>
      <x:c r="K220" s="627"/>
      <x:c r="L220" s="627"/>
      <x:c r="M220" s="627"/>
      <x:c r="N220" s="627"/>
      <x:c r="O220" s="627"/>
      <x:c r="P220" s="627"/>
      <x:c r="Q220" s="627"/>
      <x:c r="R220" s="627"/>
      <x:c r="Z220" s="624"/>
    </x:row>
    <x:row r="221" spans="1:26" x14ac:dyDescent="0.2">
      <x:c r="D221" s="625"/>
      <x:c r="E221" s="627"/>
      <x:c r="F221" s="627"/>
      <x:c r="G221" s="627"/>
      <x:c r="H221" s="627"/>
      <x:c r="I221" s="627"/>
      <x:c r="J221" s="627"/>
      <x:c r="K221" s="627"/>
      <x:c r="L221" s="627"/>
      <x:c r="M221" s="627"/>
      <x:c r="N221" s="627"/>
      <x:c r="O221" s="627"/>
      <x:c r="P221" s="627"/>
      <x:c r="Q221" s="627"/>
      <x:c r="R221" s="627"/>
      <x:c r="Z221" s="624"/>
    </x:row>
    <x:row r="222" spans="1:26" x14ac:dyDescent="0.2">
      <x:c r="C222" s="625"/>
      <x:c r="D222" s="625"/>
      <x:c r="E222" s="627"/>
      <x:c r="F222" s="627"/>
      <x:c r="G222" s="627"/>
      <x:c r="H222" s="627"/>
      <x:c r="I222" s="627"/>
      <x:c r="J222" s="627"/>
      <x:c r="K222" s="627"/>
      <x:c r="L222" s="627"/>
      <x:c r="M222" s="627"/>
      <x:c r="N222" s="627"/>
      <x:c r="O222" s="627"/>
      <x:c r="P222" s="627"/>
      <x:c r="Q222" s="627"/>
      <x:c r="R222" s="627"/>
      <x:c r="Z222" s="624"/>
    </x:row>
    <x:row r="223" spans="1:26" x14ac:dyDescent="0.2">
      <x:c r="D223" s="625"/>
      <x:c r="E223" s="627"/>
      <x:c r="F223" s="627"/>
      <x:c r="G223" s="627"/>
      <x:c r="H223" s="627"/>
      <x:c r="I223" s="627"/>
      <x:c r="J223" s="627"/>
      <x:c r="K223" s="627"/>
      <x:c r="L223" s="627"/>
      <x:c r="M223" s="627"/>
      <x:c r="N223" s="627"/>
      <x:c r="O223" s="627"/>
      <x:c r="P223" s="627"/>
      <x:c r="Q223" s="627"/>
      <x:c r="R223" s="627"/>
      <x:c r="Z223" s="624"/>
    </x:row>
    <x:row r="224" spans="1:26" x14ac:dyDescent="0.2">
      <x:c r="C224" s="625"/>
      <x:c r="D224" s="625"/>
      <x:c r="E224" s="627"/>
      <x:c r="F224" s="627"/>
      <x:c r="G224" s="627"/>
      <x:c r="H224" s="627"/>
      <x:c r="I224" s="627"/>
      <x:c r="J224" s="627"/>
      <x:c r="K224" s="627"/>
      <x:c r="L224" s="627"/>
      <x:c r="M224" s="627"/>
      <x:c r="N224" s="627"/>
      <x:c r="O224" s="627"/>
      <x:c r="P224" s="627"/>
      <x:c r="Q224" s="627"/>
      <x:c r="R224" s="627"/>
      <x:c r="Z224" s="624"/>
    </x:row>
    <x:row r="225" spans="1:26" x14ac:dyDescent="0.2">
      <x:c r="B225" s="625"/>
      <x:c r="C225" s="625"/>
      <x:c r="E225" s="627"/>
      <x:c r="F225" s="627"/>
      <x:c r="G225" s="627"/>
      <x:c r="H225" s="627"/>
      <x:c r="I225" s="627"/>
      <x:c r="J225" s="627"/>
      <x:c r="K225" s="627"/>
      <x:c r="L225" s="627"/>
      <x:c r="M225" s="627"/>
      <x:c r="N225" s="627"/>
      <x:c r="O225" s="627"/>
      <x:c r="P225" s="627"/>
      <x:c r="Q225" s="627"/>
      <x:c r="R225" s="627"/>
      <x:c r="Z225" s="624"/>
    </x:row>
    <x:row r="226" spans="1:26" x14ac:dyDescent="0.2">
      <x:c r="A226" s="625"/>
      <x:c r="B226" s="625"/>
      <x:c r="E226" s="627"/>
      <x:c r="F226" s="627"/>
      <x:c r="G226" s="627"/>
      <x:c r="H226" s="627"/>
      <x:c r="I226" s="627"/>
      <x:c r="J226" s="627"/>
      <x:c r="K226" s="627"/>
      <x:c r="L226" s="627"/>
      <x:c r="M226" s="627"/>
      <x:c r="N226" s="627"/>
      <x:c r="O226" s="627"/>
      <x:c r="P226" s="627"/>
      <x:c r="Q226" s="627"/>
      <x:c r="R226" s="627"/>
      <x:c r="Z226" s="624"/>
    </x:row>
    <x:row r="227" spans="1:26" x14ac:dyDescent="0.2">
      <x:c r="A227" s="625"/>
      <x:c r="E227" s="627"/>
      <x:c r="F227" s="627"/>
      <x:c r="G227" s="627"/>
      <x:c r="H227" s="627"/>
      <x:c r="I227" s="627"/>
      <x:c r="J227" s="627"/>
      <x:c r="K227" s="627"/>
      <x:c r="L227" s="627"/>
      <x:c r="M227" s="627"/>
      <x:c r="N227" s="627"/>
      <x:c r="O227" s="627"/>
      <x:c r="P227" s="627"/>
      <x:c r="Q227" s="627"/>
      <x:c r="R227" s="627"/>
      <x:c r="Z227" s="624"/>
    </x:row>
    <x:row r="228" spans="1:26" x14ac:dyDescent="0.2">
      <x:c r="A228" s="625"/>
      <x:c r="E228" s="627"/>
      <x:c r="F228" s="627"/>
      <x:c r="G228" s="627"/>
      <x:c r="H228" s="627"/>
      <x:c r="I228" s="627"/>
      <x:c r="J228" s="627"/>
      <x:c r="K228" s="627"/>
      <x:c r="L228" s="627"/>
      <x:c r="M228" s="627"/>
      <x:c r="N228" s="627"/>
      <x:c r="O228" s="627"/>
      <x:c r="P228" s="627"/>
      <x:c r="Q228" s="627"/>
      <x:c r="Z228" s="624"/>
    </x:row>
    <x:row r="229" spans="1:26" x14ac:dyDescent="0.2">
      <x:c r="A229" s="625"/>
      <x:c r="E229" s="627"/>
      <x:c r="F229" s="627"/>
      <x:c r="G229" s="627"/>
      <x:c r="H229" s="627"/>
      <x:c r="I229" s="627"/>
      <x:c r="J229" s="627"/>
      <x:c r="K229" s="627"/>
      <x:c r="L229" s="627"/>
      <x:c r="M229" s="627"/>
      <x:c r="N229" s="627"/>
      <x:c r="O229" s="627"/>
      <x:c r="P229" s="627"/>
      <x:c r="Q229" s="627"/>
      <x:c r="Z229" s="624"/>
    </x:row>
    <x:row r="230" spans="1:26" x14ac:dyDescent="0.2">
      <x:c r="A230" s="625"/>
      <x:c r="E230" s="627"/>
      <x:c r="F230" s="627"/>
      <x:c r="G230" s="627"/>
      <x:c r="H230" s="627"/>
      <x:c r="I230" s="627"/>
      <x:c r="J230" s="627"/>
      <x:c r="K230" s="627"/>
      <x:c r="L230" s="627"/>
      <x:c r="M230" s="627"/>
      <x:c r="N230" s="627"/>
      <x:c r="O230" s="627"/>
      <x:c r="P230" s="627"/>
      <x:c r="Q230" s="627"/>
      <x:c r="Z230" s="624"/>
    </x:row>
    <x:row r="231" spans="1:26" x14ac:dyDescent="0.2">
      <x:c r="A231" s="625"/>
      <x:c r="E231" s="627"/>
      <x:c r="F231" s="627"/>
      <x:c r="G231" s="627"/>
      <x:c r="H231" s="627"/>
      <x:c r="I231" s="627"/>
      <x:c r="J231" s="627"/>
      <x:c r="K231" s="627"/>
      <x:c r="L231" s="627"/>
      <x:c r="M231" s="627"/>
      <x:c r="N231" s="627"/>
      <x:c r="O231" s="627"/>
      <x:c r="P231" s="627"/>
      <x:c r="Q231" s="627"/>
      <x:c r="Z231" s="624"/>
    </x:row>
    <x:row r="232" spans="1:26" x14ac:dyDescent="0.2">
      <x:c r="A232" s="625"/>
      <x:c r="E232" s="627"/>
      <x:c r="F232" s="627"/>
      <x:c r="G232" s="627"/>
      <x:c r="H232" s="627"/>
      <x:c r="I232" s="627"/>
      <x:c r="J232" s="627"/>
      <x:c r="K232" s="627"/>
      <x:c r="L232" s="627"/>
      <x:c r="M232" s="627"/>
      <x:c r="N232" s="627"/>
      <x:c r="O232" s="627"/>
      <x:c r="P232" s="627"/>
      <x:c r="Q232" s="627"/>
      <x:c r="Z232" s="624"/>
    </x:row>
    <x:row r="233" spans="1:26" x14ac:dyDescent="0.2">
      <x:c r="A233" s="625"/>
      <x:c r="E233" s="627"/>
      <x:c r="F233" s="627"/>
      <x:c r="G233" s="627"/>
      <x:c r="H233" s="627"/>
      <x:c r="I233" s="627"/>
      <x:c r="J233" s="627"/>
      <x:c r="K233" s="627"/>
      <x:c r="L233" s="627"/>
      <x:c r="M233" s="627"/>
      <x:c r="N233" s="627"/>
      <x:c r="O233" s="627"/>
      <x:c r="P233" s="627"/>
      <x:c r="Q233" s="627"/>
      <x:c r="Z233" s="624"/>
    </x:row>
    <x:row r="234" spans="1:26" x14ac:dyDescent="0.2">
      <x:c r="A234" s="625"/>
      <x:c r="E234" s="627"/>
      <x:c r="F234" s="627"/>
      <x:c r="G234" s="627"/>
      <x:c r="H234" s="627"/>
      <x:c r="I234" s="627"/>
      <x:c r="J234" s="627"/>
      <x:c r="K234" s="627"/>
      <x:c r="L234" s="627"/>
      <x:c r="M234" s="627"/>
      <x:c r="N234" s="627"/>
      <x:c r="O234" s="627"/>
      <x:c r="P234" s="627"/>
      <x:c r="Q234" s="627"/>
      <x:c r="Z234" s="624"/>
    </x:row>
    <x:row r="235" spans="1:26" x14ac:dyDescent="0.2">
      <x:c r="A235" s="625"/>
      <x:c r="E235" s="627"/>
      <x:c r="F235" s="627"/>
      <x:c r="G235" s="627"/>
      <x:c r="H235" s="627"/>
      <x:c r="I235" s="627"/>
      <x:c r="J235" s="627"/>
      <x:c r="K235" s="627"/>
      <x:c r="L235" s="627"/>
      <x:c r="M235" s="627"/>
      <x:c r="N235" s="627"/>
      <x:c r="O235" s="627"/>
      <x:c r="P235" s="627"/>
      <x:c r="Q235" s="627"/>
      <x:c r="Z235" s="624"/>
    </x:row>
    <x:row r="236" spans="1:26" x14ac:dyDescent="0.2">
      <x:c r="A236" s="625"/>
      <x:c r="E236" s="627"/>
      <x:c r="F236" s="627"/>
      <x:c r="G236" s="627"/>
      <x:c r="H236" s="627"/>
      <x:c r="I236" s="627"/>
      <x:c r="J236" s="627"/>
      <x:c r="K236" s="627"/>
      <x:c r="L236" s="627"/>
      <x:c r="M236" s="627"/>
      <x:c r="N236" s="627"/>
      <x:c r="O236" s="627"/>
      <x:c r="P236" s="627"/>
      <x:c r="Q236" s="627"/>
      <x:c r="Z236" s="624"/>
    </x:row>
    <x:row r="237" spans="1:26" x14ac:dyDescent="0.2">
      <x:c r="A237" s="625"/>
      <x:c r="E237" s="627"/>
      <x:c r="F237" s="627"/>
      <x:c r="G237" s="627"/>
      <x:c r="H237" s="627"/>
      <x:c r="I237" s="627"/>
      <x:c r="J237" s="627"/>
      <x:c r="K237" s="627"/>
      <x:c r="L237" s="627"/>
      <x:c r="M237" s="627"/>
      <x:c r="N237" s="627"/>
      <x:c r="O237" s="627"/>
      <x:c r="P237" s="627"/>
      <x:c r="Q237" s="627"/>
      <x:c r="Z237" s="624"/>
    </x:row>
    <x:row r="238" spans="1:26" x14ac:dyDescent="0.2">
      <x:c r="A238" s="625"/>
      <x:c r="E238" s="627"/>
      <x:c r="F238" s="627"/>
      <x:c r="G238" s="627"/>
      <x:c r="H238" s="627"/>
      <x:c r="I238" s="627"/>
      <x:c r="J238" s="627"/>
      <x:c r="K238" s="627"/>
      <x:c r="L238" s="627"/>
      <x:c r="M238" s="627"/>
      <x:c r="N238" s="627"/>
      <x:c r="O238" s="627"/>
      <x:c r="P238" s="627"/>
      <x:c r="Q238" s="627"/>
      <x:c r="Z238" s="624"/>
    </x:row>
    <x:row r="239" spans="1:26" x14ac:dyDescent="0.2">
      <x:c r="A239" s="625"/>
      <x:c r="E239" s="627"/>
      <x:c r="F239" s="627"/>
      <x:c r="G239" s="627"/>
      <x:c r="H239" s="627"/>
      <x:c r="I239" s="627"/>
      <x:c r="J239" s="627"/>
      <x:c r="K239" s="627"/>
      <x:c r="L239" s="627"/>
      <x:c r="M239" s="627"/>
      <x:c r="N239" s="627"/>
      <x:c r="O239" s="627"/>
      <x:c r="P239" s="627"/>
      <x:c r="Q239" s="627"/>
      <x:c r="Z239" s="624"/>
    </x:row>
    <x:row r="240" spans="1:26" x14ac:dyDescent="0.2">
      <x:c r="A240" s="625"/>
      <x:c r="E240" s="627"/>
      <x:c r="F240" s="627"/>
      <x:c r="G240" s="627"/>
      <x:c r="H240" s="627"/>
      <x:c r="I240" s="627"/>
      <x:c r="J240" s="627"/>
      <x:c r="K240" s="627"/>
      <x:c r="L240" s="627"/>
      <x:c r="M240" s="627"/>
      <x:c r="N240" s="627"/>
      <x:c r="O240" s="627"/>
      <x:c r="P240" s="627"/>
      <x:c r="Q240" s="627"/>
      <x:c r="Z240" s="624"/>
    </x:row>
    <x:row r="241" spans="1:26" x14ac:dyDescent="0.2">
      <x:c r="A241" s="625"/>
      <x:c r="E241" s="627"/>
      <x:c r="F241" s="627"/>
      <x:c r="G241" s="627"/>
      <x:c r="H241" s="627"/>
      <x:c r="I241" s="627"/>
      <x:c r="J241" s="627"/>
      <x:c r="K241" s="627"/>
      <x:c r="L241" s="627"/>
      <x:c r="M241" s="627"/>
      <x:c r="N241" s="627"/>
      <x:c r="O241" s="627"/>
      <x:c r="P241" s="627"/>
      <x:c r="Q241" s="627"/>
      <x:c r="Z241" s="624"/>
    </x:row>
    <x:row r="242" spans="1:26" x14ac:dyDescent="0.2">
      <x:c r="A242" s="625"/>
      <x:c r="E242" s="627"/>
      <x:c r="F242" s="627"/>
      <x:c r="G242" s="627"/>
      <x:c r="H242" s="627"/>
      <x:c r="I242" s="627"/>
      <x:c r="J242" s="627"/>
      <x:c r="K242" s="627"/>
      <x:c r="L242" s="627"/>
      <x:c r="M242" s="627"/>
      <x:c r="N242" s="627"/>
      <x:c r="O242" s="627"/>
      <x:c r="P242" s="627"/>
      <x:c r="Q242" s="627"/>
      <x:c r="Z242" s="624"/>
    </x:row>
    <x:row r="243" spans="1:26" x14ac:dyDescent="0.2">
      <x:c r="A243" s="625"/>
      <x:c r="E243" s="627"/>
      <x:c r="F243" s="627"/>
      <x:c r="G243" s="627"/>
      <x:c r="H243" s="627"/>
      <x:c r="I243" s="627"/>
      <x:c r="J243" s="627"/>
      <x:c r="K243" s="627"/>
      <x:c r="L243" s="627"/>
      <x:c r="M243" s="627"/>
      <x:c r="N243" s="627"/>
      <x:c r="O243" s="627"/>
      <x:c r="P243" s="627"/>
      <x:c r="Q243" s="627"/>
      <x:c r="Z243" s="624"/>
    </x:row>
    <x:row r="244" spans="1:26" x14ac:dyDescent="0.2">
      <x:c r="A244" s="625"/>
      <x:c r="E244" s="627"/>
      <x:c r="F244" s="627"/>
      <x:c r="G244" s="627"/>
      <x:c r="H244" s="627"/>
      <x:c r="I244" s="627"/>
      <x:c r="J244" s="627"/>
      <x:c r="K244" s="627"/>
      <x:c r="L244" s="627"/>
      <x:c r="M244" s="627"/>
      <x:c r="N244" s="627"/>
      <x:c r="O244" s="627"/>
      <x:c r="P244" s="627"/>
      <x:c r="Q244" s="627"/>
      <x:c r="Z244" s="624"/>
    </x:row>
    <x:row r="245" spans="1:26" x14ac:dyDescent="0.2">
      <x:c r="A245" s="625"/>
      <x:c r="E245" s="627"/>
      <x:c r="F245" s="627"/>
      <x:c r="G245" s="627"/>
      <x:c r="H245" s="627"/>
      <x:c r="I245" s="627"/>
      <x:c r="J245" s="627"/>
      <x:c r="K245" s="627"/>
      <x:c r="L245" s="627"/>
      <x:c r="M245" s="627"/>
      <x:c r="N245" s="627"/>
      <x:c r="O245" s="627"/>
      <x:c r="P245" s="627"/>
      <x:c r="Q245" s="627"/>
      <x:c r="Z245" s="624"/>
    </x:row>
    <x:row r="246" spans="1:26" x14ac:dyDescent="0.2">
      <x:c r="A246" s="625"/>
      <x:c r="E246" s="627"/>
      <x:c r="F246" s="627"/>
      <x:c r="G246" s="627"/>
      <x:c r="H246" s="627"/>
      <x:c r="I246" s="627"/>
      <x:c r="J246" s="627"/>
      <x:c r="K246" s="627"/>
      <x:c r="L246" s="627"/>
      <x:c r="M246" s="627"/>
      <x:c r="N246" s="627"/>
      <x:c r="O246" s="627"/>
      <x:c r="P246" s="627"/>
      <x:c r="Q246" s="627"/>
      <x:c r="Z246" s="624"/>
    </x:row>
    <x:row r="247" spans="1:26" x14ac:dyDescent="0.2">
      <x:c r="A247" s="625"/>
      <x:c r="E247" s="627"/>
      <x:c r="F247" s="627"/>
      <x:c r="G247" s="627"/>
      <x:c r="H247" s="627"/>
      <x:c r="I247" s="627"/>
      <x:c r="J247" s="627"/>
      <x:c r="K247" s="627"/>
      <x:c r="L247" s="627"/>
      <x:c r="M247" s="627"/>
      <x:c r="N247" s="627"/>
      <x:c r="O247" s="627"/>
      <x:c r="P247" s="627"/>
      <x:c r="Q247" s="627"/>
      <x:c r="Z247" s="624"/>
    </x:row>
    <x:row r="248" spans="1:26" x14ac:dyDescent="0.2">
      <x:c r="A248" s="625"/>
      <x:c r="E248" s="627"/>
      <x:c r="F248" s="627"/>
      <x:c r="G248" s="627"/>
      <x:c r="H248" s="627"/>
      <x:c r="I248" s="627"/>
      <x:c r="J248" s="627"/>
      <x:c r="K248" s="627"/>
      <x:c r="L248" s="627"/>
      <x:c r="M248" s="627"/>
      <x:c r="N248" s="627"/>
      <x:c r="O248" s="627"/>
      <x:c r="P248" s="627"/>
      <x:c r="Q248" s="627"/>
      <x:c r="Z248" s="624"/>
    </x:row>
    <x:row r="249" spans="1:26" x14ac:dyDescent="0.2">
      <x:c r="A249" s="625"/>
      <x:c r="E249" s="627"/>
      <x:c r="F249" s="627"/>
      <x:c r="G249" s="627"/>
      <x:c r="H249" s="627"/>
      <x:c r="I249" s="627"/>
      <x:c r="J249" s="627"/>
      <x:c r="K249" s="627"/>
      <x:c r="L249" s="627"/>
      <x:c r="M249" s="627"/>
      <x:c r="N249" s="627"/>
      <x:c r="O249" s="627"/>
      <x:c r="P249" s="627"/>
      <x:c r="Q249" s="627"/>
      <x:c r="Z249" s="624"/>
    </x:row>
    <x:row r="250" spans="1:26" x14ac:dyDescent="0.2">
      <x:c r="A250" s="625"/>
      <x:c r="E250" s="627"/>
      <x:c r="F250" s="627"/>
      <x:c r="G250" s="627"/>
      <x:c r="H250" s="627"/>
      <x:c r="I250" s="627"/>
      <x:c r="J250" s="627"/>
      <x:c r="K250" s="627"/>
      <x:c r="L250" s="627"/>
      <x:c r="M250" s="627"/>
      <x:c r="N250" s="627"/>
      <x:c r="O250" s="627"/>
      <x:c r="P250" s="627"/>
      <x:c r="Q250" s="627"/>
      <x:c r="Z250" s="624"/>
    </x:row>
    <x:row r="251" spans="1:26" x14ac:dyDescent="0.2">
      <x:c r="A251" s="625"/>
      <x:c r="E251" s="627"/>
      <x:c r="F251" s="627"/>
      <x:c r="G251" s="627"/>
      <x:c r="H251" s="627"/>
      <x:c r="I251" s="627"/>
      <x:c r="J251" s="627"/>
      <x:c r="K251" s="627"/>
      <x:c r="L251" s="627"/>
      <x:c r="M251" s="627"/>
      <x:c r="N251" s="627"/>
      <x:c r="O251" s="627"/>
      <x:c r="P251" s="627"/>
      <x:c r="Q251" s="627"/>
      <x:c r="Z251" s="624"/>
    </x:row>
    <x:row r="252" spans="1:26" x14ac:dyDescent="0.2">
      <x:c r="A252" s="625"/>
      <x:c r="E252" s="627"/>
      <x:c r="F252" s="627"/>
      <x:c r="G252" s="627"/>
      <x:c r="H252" s="627"/>
      <x:c r="I252" s="627"/>
      <x:c r="J252" s="627"/>
      <x:c r="K252" s="627"/>
      <x:c r="L252" s="627"/>
      <x:c r="M252" s="627"/>
      <x:c r="N252" s="627"/>
      <x:c r="O252" s="627"/>
      <x:c r="P252" s="627"/>
      <x:c r="Q252" s="627"/>
      <x:c r="Z252" s="624"/>
    </x:row>
    <x:row r="253" spans="1:26" x14ac:dyDescent="0.2">
      <x:c r="A253" s="625"/>
      <x:c r="E253" s="627"/>
      <x:c r="F253" s="627"/>
      <x:c r="G253" s="627"/>
      <x:c r="H253" s="627"/>
      <x:c r="I253" s="627"/>
      <x:c r="J253" s="627"/>
      <x:c r="K253" s="627"/>
      <x:c r="L253" s="627"/>
      <x:c r="M253" s="627"/>
      <x:c r="N253" s="627"/>
      <x:c r="O253" s="627"/>
      <x:c r="P253" s="627"/>
      <x:c r="Q253" s="627"/>
      <x:c r="Z253" s="624"/>
    </x:row>
    <x:row r="254" spans="1:26" x14ac:dyDescent="0.2">
      <x:c r="A254" s="625"/>
      <x:c r="E254" s="627"/>
      <x:c r="F254" s="627"/>
      <x:c r="G254" s="627"/>
      <x:c r="H254" s="627"/>
      <x:c r="I254" s="627"/>
      <x:c r="J254" s="627"/>
      <x:c r="K254" s="627"/>
      <x:c r="L254" s="627"/>
      <x:c r="M254" s="627"/>
      <x:c r="N254" s="627"/>
      <x:c r="O254" s="627"/>
      <x:c r="P254" s="627"/>
      <x:c r="Q254" s="627"/>
      <x:c r="Z254" s="624"/>
    </x:row>
    <x:row r="255" spans="1:26" x14ac:dyDescent="0.2">
      <x:c r="A255" s="625"/>
      <x:c r="E255" s="627"/>
      <x:c r="F255" s="627"/>
      <x:c r="G255" s="627"/>
      <x:c r="H255" s="627"/>
      <x:c r="I255" s="627"/>
      <x:c r="J255" s="627"/>
      <x:c r="K255" s="627"/>
      <x:c r="L255" s="627"/>
      <x:c r="M255" s="627"/>
      <x:c r="N255" s="627"/>
      <x:c r="O255" s="627"/>
      <x:c r="P255" s="627"/>
      <x:c r="Q255" s="627"/>
      <x:c r="Z255" s="624"/>
    </x:row>
    <x:row r="256" spans="1:26" x14ac:dyDescent="0.2">
      <x:c r="B256" s="770" t="s">
        <x:v>2</x:v>
      </x:c>
      <x:c r="C256" s="768" t="s">
        <x:v>132</x:v>
      </x:c>
      <x:c r="D256" s="639" t="s">
        <x:v>70</x:v>
      </x:c>
      <x:c r="E256" s="640">
        <x:f>E176+E187-K176</x:f>
        <x:v>0</x:v>
      </x:c>
      <x:c r="F256" s="640">
        <x:f>F176</x:f>
        <x:v>0</x:v>
      </x:c>
      <x:c r="G256" s="640">
        <x:f t="shared" ref="G256:R256" si="7">G176</x:f>
        <x:v>0</x:v>
      </x:c>
      <x:c r="H256" s="640">
        <x:f t="shared" si="7"/>
        <x:v>0</x:v>
      </x:c>
      <x:c r="I256" s="640">
        <x:f t="shared" si="7"/>
        <x:v>0</x:v>
      </x:c>
      <x:c r="J256" s="640">
        <x:f t="shared" si="7"/>
        <x:v>0</x:v>
      </x:c>
      <x:c r="K256" s="640">
        <x:f t="shared" si="7"/>
        <x:v>0</x:v>
      </x:c>
      <x:c r="L256" s="640">
        <x:f t="shared" si="7"/>
        <x:v>0</x:v>
      </x:c>
      <x:c r="M256" s="640">
        <x:f t="shared" si="7"/>
        <x:v>0</x:v>
      </x:c>
      <x:c r="N256" s="640">
        <x:f t="shared" si="7"/>
        <x:v>0</x:v>
      </x:c>
      <x:c r="O256" s="640">
        <x:f t="shared" si="7"/>
        <x:v>0</x:v>
      </x:c>
      <x:c r="P256" s="640">
        <x:f t="shared" si="7"/>
        <x:v>0</x:v>
      </x:c>
      <x:c r="Q256" s="640">
        <x:f t="shared" si="7"/>
        <x:v>0</x:v>
      </x:c>
      <x:c r="R256" s="640">
        <x:f t="shared" si="7"/>
        <x:v>0</x:v>
      </x:c>
      <x:c r="Z256" s="624"/>
    </x:row>
    <x:row r="257" spans="1:26" x14ac:dyDescent="0.2">
      <x:c r="B257" s="770"/>
      <x:c r="C257" s="768"/>
      <x:c r="D257" s="639" t="s">
        <x:v>73</x:v>
      </x:c>
      <x:c r="E257" s="640">
        <x:f>E187</x:f>
        <x:v>0</x:v>
      </x:c>
      <x:c r="F257" s="627"/>
      <x:c r="G257" s="627"/>
      <x:c r="H257" s="627"/>
      <x:c r="I257" s="627"/>
      <x:c r="J257" s="627"/>
      <x:c r="K257" s="627"/>
      <x:c r="L257" s="627"/>
      <x:c r="M257" s="627"/>
      <x:c r="N257" s="627"/>
      <x:c r="O257" s="627"/>
      <x:c r="P257" s="627"/>
      <x:c r="Q257" s="627"/>
      <x:c r="R257" s="627"/>
      <x:c r="Z257" s="624"/>
    </x:row>
    <x:row r="258" spans="1:26" ht="15" x14ac:dyDescent="0.25">
      <x:c r="A258" s="625"/>
      <x:c r="B258" s="50"/>
      <x:c r="E258" s="627"/>
      <x:c r="F258" s="627"/>
      <x:c r="G258" s="627"/>
      <x:c r="H258" s="627"/>
      <x:c r="I258" s="627"/>
      <x:c r="J258" s="627"/>
      <x:c r="K258" s="627"/>
      <x:c r="L258" s="627"/>
      <x:c r="M258" s="627"/>
      <x:c r="N258" s="627"/>
      <x:c r="O258" s="627"/>
      <x:c r="P258" s="627"/>
      <x:c r="Q258" s="627"/>
      <x:c r="R258" s="627"/>
      <x:c r="Z258" s="624"/>
    </x:row>
    <x:row r="259" spans="1:26" x14ac:dyDescent="0.2">
      <x:c r="B259" s="770" t="s">
        <x:v>160</x:v>
      </x:c>
      <x:c r="C259" s="768" t="s">
        <x:v>132</x:v>
      </x:c>
      <x:c r="D259" s="647" t="s">
        <x:v>70</x:v>
      </x:c>
      <x:c r="E259" s="648">
        <x:v>0</x:v>
      </x:c>
      <x:c r="F259" s="648">
        <x:v>0</x:v>
      </x:c>
      <x:c r="G259" s="648">
        <x:v>0</x:v>
      </x:c>
      <x:c r="H259" s="648">
        <x:v>0</x:v>
      </x:c>
      <x:c r="I259" s="648">
        <x:v>0</x:v>
      </x:c>
      <x:c r="J259" s="648">
        <x:v>0</x:v>
      </x:c>
      <x:c r="K259" s="648">
        <x:v>0</x:v>
      </x:c>
      <x:c r="L259" s="648">
        <x:v>0</x:v>
      </x:c>
      <x:c r="M259" s="648">
        <x:v>0</x:v>
      </x:c>
      <x:c r="N259" s="648">
        <x:v>0</x:v>
      </x:c>
      <x:c r="O259" s="648">
        <x:v>0</x:v>
      </x:c>
      <x:c r="P259" s="648">
        <x:v>0</x:v>
      </x:c>
      <x:c r="Q259" s="648">
        <x:v>0</x:v>
      </x:c>
      <x:c r="R259" s="648">
        <x:v>0</x:v>
      </x:c>
      <x:c r="Z259" s="624"/>
    </x:row>
    <x:row r="260" spans="1:26" x14ac:dyDescent="0.2">
      <x:c r="B260" s="770"/>
      <x:c r="C260" s="768"/>
      <x:c r="D260" s="647" t="s">
        <x:v>73</x:v>
      </x:c>
      <x:c r="E260" s="648">
        <x:v>0</x:v>
      </x:c>
      <x:c r="F260" s="627"/>
      <x:c r="G260" s="627"/>
      <x:c r="H260" s="627"/>
      <x:c r="I260" s="627"/>
      <x:c r="J260" s="627"/>
      <x:c r="K260" s="627"/>
      <x:c r="L260" s="627"/>
      <x:c r="M260" s="627"/>
      <x:c r="N260" s="627"/>
      <x:c r="O260" s="627"/>
      <x:c r="P260" s="627"/>
      <x:c r="Q260" s="627"/>
      <x:c r="R260" s="627"/>
      <x:c r="Z260" s="624"/>
    </x:row>
    <x:row r="261" spans="1:26" ht="15" x14ac:dyDescent="0.25">
      <x:c r="A261" s="625"/>
      <x:c r="B261" s="50"/>
      <x:c r="E261" s="627"/>
      <x:c r="F261" s="627"/>
      <x:c r="G261" s="627"/>
      <x:c r="H261" s="627"/>
      <x:c r="I261" s="627"/>
      <x:c r="J261" s="627"/>
      <x:c r="K261" s="627"/>
      <x:c r="L261" s="627"/>
      <x:c r="M261" s="627"/>
      <x:c r="N261" s="627"/>
      <x:c r="O261" s="627"/>
      <x:c r="P261" s="627"/>
      <x:c r="Q261" s="627"/>
      <x:c r="R261" s="627"/>
      <x:c r="Z261" s="624"/>
    </x:row>
    <x:row r="262" spans="1:26" x14ac:dyDescent="0.2">
      <x:c r="B262" s="770" t="s">
        <x:v>155</x:v>
      </x:c>
      <x:c r="C262" s="768" t="s">
        <x:v>132</x:v>
      </x:c>
      <x:c r="D262" s="651" t="s">
        <x:v>70</x:v>
      </x:c>
      <x:c r="E262" s="652">
        <x:f>E179+E165+E161-K165-K161</x:f>
        <x:v>0</x:v>
      </x:c>
      <x:c r="F262" s="652">
        <x:f>F161+F165</x:f>
        <x:v>0</x:v>
      </x:c>
      <x:c r="G262" s="652">
        <x:f t="shared" ref="G262:R262" si="8">G161+G165</x:f>
        <x:v>0</x:v>
      </x:c>
      <x:c r="H262" s="652">
        <x:f t="shared" si="8"/>
        <x:v>0</x:v>
      </x:c>
      <x:c r="I262" s="652">
        <x:f t="shared" si="8"/>
        <x:v>0</x:v>
      </x:c>
      <x:c r="J262" s="652">
        <x:f t="shared" si="8"/>
        <x:v>0</x:v>
      </x:c>
      <x:c r="K262" s="652">
        <x:f t="shared" si="8"/>
        <x:v>0</x:v>
      </x:c>
      <x:c r="L262" s="652">
        <x:f t="shared" si="8"/>
        <x:v>0</x:v>
      </x:c>
      <x:c r="M262" s="652">
        <x:f t="shared" si="8"/>
        <x:v>0</x:v>
      </x:c>
      <x:c r="N262" s="652">
        <x:f t="shared" si="8"/>
        <x:v>0</x:v>
      </x:c>
      <x:c r="O262" s="652">
        <x:f t="shared" si="8"/>
        <x:v>0</x:v>
      </x:c>
      <x:c r="P262" s="652">
        <x:f t="shared" si="8"/>
        <x:v>0</x:v>
      </x:c>
      <x:c r="Q262" s="652">
        <x:f t="shared" si="8"/>
        <x:v>0</x:v>
      </x:c>
      <x:c r="R262" s="652">
        <x:f t="shared" si="8"/>
        <x:v>0</x:v>
      </x:c>
      <x:c r="Z262" s="624"/>
    </x:row>
    <x:row r="263" spans="1:26" x14ac:dyDescent="0.2">
      <x:c r="B263" s="770"/>
      <x:c r="C263" s="768"/>
      <x:c r="D263" s="651" t="s">
        <x:v>73</x:v>
      </x:c>
      <x:c r="E263" s="652">
        <x:f>E179</x:f>
        <x:v>0</x:v>
      </x:c>
      <x:c r="F263" s="627"/>
      <x:c r="G263" s="627"/>
      <x:c r="H263" s="627"/>
      <x:c r="I263" s="627"/>
      <x:c r="J263" s="627"/>
      <x:c r="K263" s="627"/>
      <x:c r="L263" s="627"/>
      <x:c r="M263" s="627"/>
      <x:c r="N263" s="627"/>
      <x:c r="O263" s="627"/>
      <x:c r="P263" s="627"/>
      <x:c r="Q263" s="627"/>
      <x:c r="R263" s="627"/>
      <x:c r="Z263" s="624"/>
    </x:row>
    <x:row r="264" spans="1:26" ht="15" x14ac:dyDescent="0.2">
      <x:c r="B264" s="643"/>
      <x:c r="C264" s="644"/>
      <x:c r="D264" s="625"/>
      <x:c r="E264" s="627"/>
      <x:c r="F264" s="627"/>
      <x:c r="G264" s="627"/>
      <x:c r="H264" s="627"/>
      <x:c r="I264" s="627"/>
      <x:c r="J264" s="627"/>
      <x:c r="K264" s="627"/>
      <x:c r="L264" s="627"/>
      <x:c r="M264" s="627"/>
      <x:c r="N264" s="627"/>
      <x:c r="O264" s="627"/>
      <x:c r="P264" s="627"/>
      <x:c r="Q264" s="627"/>
      <x:c r="R264" s="627"/>
      <x:c r="Z264" s="624"/>
    </x:row>
    <x:row r="265" spans="1:26" x14ac:dyDescent="0.2">
      <x:c r="B265" s="771" t="s">
        <x:v>326</x:v>
      </x:c>
      <x:c r="C265" s="768" t="s">
        <x:v>132</x:v>
      </x:c>
      <x:c r="D265" s="654" t="s">
        <x:v>70</x:v>
      </x:c>
      <x:c r="E265" s="655">
        <x:v>0</x:v>
      </x:c>
      <x:c r="F265" s="655">
        <x:v>0</x:v>
      </x:c>
      <x:c r="G265" s="655">
        <x:v>0</x:v>
      </x:c>
      <x:c r="H265" s="655">
        <x:v>0</x:v>
      </x:c>
      <x:c r="I265" s="655">
        <x:v>0</x:v>
      </x:c>
      <x:c r="J265" s="655">
        <x:v>0</x:v>
      </x:c>
      <x:c r="K265" s="655">
        <x:v>0</x:v>
      </x:c>
      <x:c r="L265" s="655">
        <x:v>0</x:v>
      </x:c>
      <x:c r="M265" s="655">
        <x:v>0</x:v>
      </x:c>
      <x:c r="N265" s="655">
        <x:v>0</x:v>
      </x:c>
      <x:c r="O265" s="655">
        <x:v>0</x:v>
      </x:c>
      <x:c r="P265" s="655">
        <x:v>0</x:v>
      </x:c>
      <x:c r="Q265" s="655">
        <x:v>0</x:v>
      </x:c>
      <x:c r="R265" s="655">
        <x:v>0</x:v>
      </x:c>
      <x:c r="Z265" s="624"/>
    </x:row>
    <x:row r="266" spans="1:26" x14ac:dyDescent="0.2">
      <x:c r="B266" s="771"/>
      <x:c r="C266" s="768"/>
      <x:c r="D266" s="654" t="s">
        <x:v>73</x:v>
      </x:c>
      <x:c r="E266" s="655">
        <x:v>0</x:v>
      </x:c>
      <x:c r="F266" s="627"/>
      <x:c r="G266" s="627"/>
      <x:c r="H266" s="627"/>
      <x:c r="I266" s="627"/>
      <x:c r="J266" s="627"/>
      <x:c r="K266" s="627"/>
      <x:c r="L266" s="627"/>
      <x:c r="M266" s="627"/>
      <x:c r="N266" s="627"/>
      <x:c r="O266" s="627"/>
      <x:c r="P266" s="627"/>
      <x:c r="Q266" s="627"/>
      <x:c r="R266" s="627"/>
      <x:c r="Z266" s="624"/>
    </x:row>
    <x:row r="267" spans="1:26" ht="15" x14ac:dyDescent="0.2">
      <x:c r="B267" s="643"/>
      <x:c r="C267" s="644"/>
      <x:c r="D267" s="625"/>
      <x:c r="E267" s="627"/>
      <x:c r="F267" s="627"/>
      <x:c r="G267" s="627"/>
      <x:c r="H267" s="627"/>
      <x:c r="I267" s="627"/>
      <x:c r="J267" s="627"/>
      <x:c r="K267" s="627"/>
      <x:c r="L267" s="627"/>
      <x:c r="M267" s="627"/>
      <x:c r="N267" s="627"/>
      <x:c r="O267" s="627"/>
      <x:c r="P267" s="627"/>
      <x:c r="Q267" s="627"/>
      <x:c r="R267" s="627"/>
      <x:c r="Z267" s="624"/>
    </x:row>
    <x:row r="268" spans="1:26" x14ac:dyDescent="0.2">
      <x:c r="B268" s="770" t="s">
        <x:v>119</x:v>
      </x:c>
      <x:c r="C268" s="768" t="s">
        <x:v>132</x:v>
      </x:c>
      <x:c r="D268" s="632" t="s">
        <x:v>70</x:v>
      </x:c>
      <x:c r="E268" s="633">
        <x:f>E175+E186-K175</x:f>
        <x:v>0</x:v>
      </x:c>
      <x:c r="F268" s="633">
        <x:f>F175</x:f>
        <x:v>0</x:v>
      </x:c>
      <x:c r="G268" s="633">
        <x:f t="shared" ref="G268:R268" si="9">G175</x:f>
        <x:v>0</x:v>
      </x:c>
      <x:c r="H268" s="633">
        <x:f t="shared" si="9"/>
        <x:v>0</x:v>
      </x:c>
      <x:c r="I268" s="633">
        <x:f t="shared" si="9"/>
        <x:v>0</x:v>
      </x:c>
      <x:c r="J268" s="633">
        <x:f t="shared" si="9"/>
        <x:v>0</x:v>
      </x:c>
      <x:c r="K268" s="633">
        <x:f t="shared" si="9"/>
        <x:v>0</x:v>
      </x:c>
      <x:c r="L268" s="633">
        <x:f t="shared" si="9"/>
        <x:v>0</x:v>
      </x:c>
      <x:c r="M268" s="633">
        <x:f t="shared" si="9"/>
        <x:v>0</x:v>
      </x:c>
      <x:c r="N268" s="633">
        <x:f t="shared" si="9"/>
        <x:v>0</x:v>
      </x:c>
      <x:c r="O268" s="633">
        <x:f t="shared" si="9"/>
        <x:v>0</x:v>
      </x:c>
      <x:c r="P268" s="633">
        <x:f t="shared" si="9"/>
        <x:v>0</x:v>
      </x:c>
      <x:c r="Q268" s="633">
        <x:f t="shared" si="9"/>
        <x:v>0</x:v>
      </x:c>
      <x:c r="R268" s="633">
        <x:f t="shared" si="9"/>
        <x:v>0</x:v>
      </x:c>
      <x:c r="Z268" s="624"/>
    </x:row>
    <x:row r="269" spans="1:26" x14ac:dyDescent="0.2">
      <x:c r="B269" s="770"/>
      <x:c r="C269" s="768"/>
      <x:c r="D269" s="632" t="s">
        <x:v>73</x:v>
      </x:c>
      <x:c r="E269" s="633">
        <x:f>E186</x:f>
        <x:v>0</x:v>
      </x:c>
      <x:c r="F269" s="627"/>
      <x:c r="G269" s="627"/>
      <x:c r="H269" s="627"/>
      <x:c r="I269" s="627"/>
      <x:c r="J269" s="627"/>
      <x:c r="K269" s="627"/>
      <x:c r="L269" s="627"/>
      <x:c r="M269" s="627"/>
      <x:c r="N269" s="627"/>
      <x:c r="O269" s="627"/>
      <x:c r="P269" s="627"/>
      <x:c r="Q269" s="627"/>
      <x:c r="R269" s="627"/>
      <x:c r="Z269" s="624"/>
    </x:row>
    <x:row r="270" spans="1:26" ht="15" x14ac:dyDescent="0.25">
      <x:c r="A270" s="625"/>
      <x:c r="B270" s="50"/>
      <x:c r="E270" s="627"/>
      <x:c r="F270" s="627"/>
      <x:c r="G270" s="627"/>
      <x:c r="H270" s="627"/>
      <x:c r="I270" s="627"/>
      <x:c r="J270" s="627"/>
      <x:c r="K270" s="627"/>
      <x:c r="L270" s="627"/>
      <x:c r="M270" s="627"/>
      <x:c r="N270" s="627"/>
      <x:c r="O270" s="627"/>
      <x:c r="P270" s="627"/>
      <x:c r="Q270" s="627"/>
      <x:c r="R270" s="627"/>
      <x:c r="Z270" s="624"/>
    </x:row>
    <x:row r="271" spans="1:26" x14ac:dyDescent="0.2">
      <x:c r="B271" s="769" t="s">
        <x:v>161</x:v>
      </x:c>
      <x:c r="C271" s="768" t="s">
        <x:v>132</x:v>
      </x:c>
      <x:c r="D271" s="661" t="s">
        <x:v>70</x:v>
      </x:c>
      <x:c r="E271" s="662">
        <x:v>0</x:v>
      </x:c>
      <x:c r="F271" s="662">
        <x:v>0</x:v>
      </x:c>
      <x:c r="G271" s="662">
        <x:v>0</x:v>
      </x:c>
      <x:c r="H271" s="662">
        <x:v>0</x:v>
      </x:c>
      <x:c r="I271" s="662">
        <x:v>0</x:v>
      </x:c>
      <x:c r="J271" s="662">
        <x:v>0</x:v>
      </x:c>
      <x:c r="K271" s="662">
        <x:v>0</x:v>
      </x:c>
      <x:c r="L271" s="662">
        <x:v>0</x:v>
      </x:c>
      <x:c r="M271" s="662">
        <x:v>0</x:v>
      </x:c>
      <x:c r="N271" s="662">
        <x:v>0</x:v>
      </x:c>
      <x:c r="O271" s="662">
        <x:v>0</x:v>
      </x:c>
      <x:c r="P271" s="662">
        <x:v>0</x:v>
      </x:c>
      <x:c r="Q271" s="662">
        <x:v>0</x:v>
      </x:c>
      <x:c r="R271" s="662">
        <x:v>0</x:v>
      </x:c>
      <x:c r="Z271" s="624"/>
    </x:row>
    <x:row r="272" spans="1:26" x14ac:dyDescent="0.2">
      <x:c r="B272" s="769"/>
      <x:c r="C272" s="768"/>
      <x:c r="D272" s="661" t="s">
        <x:v>73</x:v>
      </x:c>
      <x:c r="E272" s="662">
        <x:v>0</x:v>
      </x:c>
      <x:c r="F272" s="627"/>
      <x:c r="G272" s="627"/>
      <x:c r="H272" s="627"/>
      <x:c r="I272" s="627"/>
      <x:c r="J272" s="627"/>
      <x:c r="K272" s="627"/>
      <x:c r="L272" s="627"/>
      <x:c r="M272" s="627"/>
      <x:c r="N272" s="627"/>
      <x:c r="O272" s="627"/>
      <x:c r="P272" s="627"/>
      <x:c r="Q272" s="627"/>
      <x:c r="R272" s="627"/>
      <x:c r="Z272" s="624"/>
    </x:row>
    <x:row r="273" spans="1:26" x14ac:dyDescent="0.2">
      <x:c r="A273" s="624"/>
      <x:c r="B273" s="624"/>
      <x:c r="C273" s="624"/>
      <x:c r="D273" s="624"/>
      <x:c r="E273" s="624"/>
      <x:c r="F273" s="624"/>
      <x:c r="G273" s="624"/>
      <x:c r="H273" s="624"/>
      <x:c r="I273" s="624"/>
      <x:c r="J273" s="624"/>
      <x:c r="K273" s="624"/>
      <x:c r="L273" s="624"/>
      <x:c r="M273" s="624"/>
      <x:c r="N273" s="624"/>
      <x:c r="O273" s="624"/>
      <x:c r="P273" s="624"/>
      <x:c r="Q273" s="624"/>
      <x:c r="R273" s="624"/>
      <x:c r="S273" s="624"/>
      <x:c r="T273" s="624"/>
      <x:c r="U273" s="624"/>
      <x:c r="V273" s="624"/>
      <x:c r="W273" s="624"/>
      <x:c r="X273" s="624"/>
      <x:c r="Y273" s="624"/>
      <x:c r="Z273" s="624"/>
    </x:row>
    <x:row r="274" spans="1:26" ht="15" x14ac:dyDescent="0.25">
      <x:c r="B274" s="676" t="s">
        <x:v>88</x:v>
      </x:c>
      <x:c r="Z274" s="624"/>
    </x:row>
    <x:row r="275" spans="1:26" s="50" customFormat="1" ht="15" x14ac:dyDescent="0.25">
      <x:c r="E275" s="669" t="s">
        <x:v>70</x:v>
      </x:c>
      <x:c r="F275" s="669" t="s">
        <x:v>64</x:v>
      </x:c>
      <x:c r="G275" s="669" t="s">
        <x:v>65</x:v>
      </x:c>
      <x:c r="H275" s="674" t="s">
        <x:v>164</x:v>
      </x:c>
      <x:c r="I275" s="669" t="s">
        <x:v>69</x:v>
      </x:c>
      <x:c r="J275" s="669" t="s">
        <x:v>68</x:v>
      </x:c>
      <x:c r="K275" s="669" t="s">
        <x:v>83</x:v>
      </x:c>
      <x:c r="L275" s="669" t="s">
        <x:v>66</x:v>
      </x:c>
      <x:c r="M275" s="669" t="s">
        <x:v>63</x:v>
      </x:c>
      <x:c r="N275" s="669" t="s">
        <x:v>61</x:v>
      </x:c>
      <x:c r="O275" s="669" t="s">
        <x:v>62</x:v>
      </x:c>
      <x:c r="P275" s="669" t="s">
        <x:v>67</x:v>
      </x:c>
      <x:c r="Q275" s="669" t="s">
        <x:v>84</x:v>
      </x:c>
      <x:c r="R275" s="669" t="s">
        <x:v>226</x:v>
      </x:c>
      <x:c r="Z275" s="618"/>
    </x:row>
    <x:row r="276" spans="1:26" x14ac:dyDescent="0.2">
      <x:c r="D276" s="25" t="s">
        <x:v>72</x:v>
      </x:c>
      <x:c r="E276" s="627" t="n">
        <x:v>71673.26</x:v>
      </x:c>
      <x:c r="F276" s="627" t="n">
        <x:v>4582.13</x:v>
      </x:c>
      <x:c r="G276" s="627" t="n">
        <x:v>2587.09</x:v>
      </x:c>
      <x:c r="H276" s="627" t="n">
        <x:v>713.47</x:v>
      </x:c>
      <x:c r="I276" s="627" t="n">
        <x:v>20145.33</x:v>
      </x:c>
      <x:c r="J276" s="627" t="n">
        <x:v>488.67</x:v>
      </x:c>
      <x:c r="K276" s="627" t="n">
        <x:v>0</x:v>
      </x:c>
      <x:c r="L276" s="627" t="n">
        <x:v>0</x:v>
      </x:c>
      <x:c r="M276" s="627" t="n">
        <x:v>5385.19</x:v>
      </x:c>
      <x:c r="N276" s="627" t="n">
        <x:v>32356.45</x:v>
      </x:c>
      <x:c r="O276" s="627" t="n">
        <x:v>4618.03</x:v>
      </x:c>
      <x:c r="P276" s="627" t="n">
        <x:v>797.32</x:v>
      </x:c>
      <x:c r="Q276" s="627" t="n">
        <x:v>-0.42</x:v>
      </x:c>
      <x:c r="R276" s="627" t="n">
        <x:v>0</x:v>
      </x:c>
      <x:c r="Z276" s="624"/>
    </x:row>
    <x:row r="277" spans="1:26" x14ac:dyDescent="0.2">
      <x:c r="D277" s="25" t="s">
        <x:v>81</x:v>
      </x:c>
      <x:c r="E277" s="627" t="n">
        <x:v>-71515.19</x:v>
      </x:c>
      <x:c r="F277" s="627" t="n">
        <x:v>6863.82</x:v>
      </x:c>
      <x:c r="G277" s="627" t="n">
        <x:v>3575.51</x:v>
      </x:c>
      <x:c r="H277" s="627" t="n">
        <x:v>1852.66</x:v>
      </x:c>
      <x:c r="I277" s="627" t="n">
        <x:v>23052.17</x:v>
      </x:c>
      <x:c r="J277" s="627" t="n">
        <x:v>806.46</x:v>
      </x:c>
      <x:c r="K277" s="627" t="n">
        <x:v>0</x:v>
      </x:c>
      <x:c r="L277" s="627" t="n">
        <x:v>7085.18</x:v>
      </x:c>
      <x:c r="M277" s="627" t="n">
        <x:v>7541.96</x:v>
      </x:c>
      <x:c r="N277" s="627" t="n">
        <x:v>-141829.34</x:v>
      </x:c>
      <x:c r="O277" s="627" t="n">
        <x:v>18220.05</x:v>
      </x:c>
      <x:c r="P277" s="627" t="n">
        <x:v>1316.02</x:v>
      </x:c>
      <x:c r="Q277" s="627" t="n">
        <x:v>0.32</x:v>
      </x:c>
      <x:c r="R277" s="627" t="n">
        <x:v>0</x:v>
      </x:c>
      <x:c r="Z277" s="624"/>
    </x:row>
    <x:row r="278" spans="1:26" x14ac:dyDescent="0.2">
      <x:c r="C278" s="25" t="s">
        <x:v>156</x:v>
      </x:c>
      <x:c r="D278" s="25" t="s">
        <x:v>70</x:v>
      </x:c>
      <x:c r="E278" s="627" t="n">
        <x:v>73000696.76</x:v>
      </x:c>
      <x:c r="F278" s="627" t="n">
        <x:v>3762627.18</x:v>
      </x:c>
      <x:c r="G278" s="627" t="n">
        <x:v>2099293.36</x:v>
      </x:c>
      <x:c r="H278" s="627" t="n">
        <x:v>898643.12</x:v>
      </x:c>
      <x:c r="I278" s="627" t="n">
        <x:v>17923270.23</x:v>
      </x:c>
      <x:c r="J278" s="627" t="n">
        <x:v>688151.13</x:v>
      </x:c>
      <x:c r="K278" s="627" t="n">
        <x:v>24851.72</x:v>
      </x:c>
      <x:c r="L278" s="627" t="n">
        <x:v>6036411.2</x:v>
      </x:c>
      <x:c r="M278" s="627" t="n">
        <x:v>5456269.76</x:v>
      </x:c>
      <x:c r="N278" s="627" t="n">
        <x:v>24877190.89</x:v>
      </x:c>
      <x:c r="O278" s="627" t="n">
        <x:v>10342324.48</x:v>
      </x:c>
      <x:c r="P278" s="627" t="n">
        <x:v>891859.54</x:v>
      </x:c>
      <x:c r="Q278" s="627" t="n">
        <x:v>-195.85</x:v>
      </x:c>
      <x:c r="R278" s="653" t="n">
        <x:v>0</x:v>
      </x:c>
      <x:c r="Z278" s="624"/>
    </x:row>
    <x:row r="279" spans="1:26" x14ac:dyDescent="0.2">
      <x:c r="A279" s="628"/>
      <x:c r="B279" s="628" t="s">
        <x:v>155</x:v>
      </x:c>
      <x:c r="C279" s="628" t="s">
        <x:v>70</x:v>
      </x:c>
      <x:c r="D279" s="628"/>
      <x:c r="E279" s="677" t="n">
        <x:v>73000696.76</x:v>
      </x:c>
      <x:c r="F279" s="677" t="n">
        <x:v>3762627.18</x:v>
      </x:c>
      <x:c r="G279" s="677" t="n">
        <x:v>2099293.36</x:v>
      </x:c>
      <x:c r="H279" s="677" t="n">
        <x:v>898643.12</x:v>
      </x:c>
      <x:c r="I279" s="677" t="n">
        <x:v>17923270.23</x:v>
      </x:c>
      <x:c r="J279" s="677" t="n">
        <x:v>688151.13</x:v>
      </x:c>
      <x:c r="K279" s="677" t="n">
        <x:v>24851.72</x:v>
      </x:c>
      <x:c r="L279" s="677" t="n">
        <x:v>6036411.2</x:v>
      </x:c>
      <x:c r="M279" s="677" t="n">
        <x:v>5456269.76</x:v>
      </x:c>
      <x:c r="N279" s="677" t="n">
        <x:v>24877190.89</x:v>
      </x:c>
      <x:c r="O279" s="677" t="n">
        <x:v>10342324.48</x:v>
      </x:c>
      <x:c r="P279" s="677" t="n">
        <x:v>891859.54</x:v>
      </x:c>
      <x:c r="Q279" s="677" t="n">
        <x:v>-195.85</x:v>
      </x:c>
      <x:c r="R279" s="677" t="n">
        <x:v>0</x:v>
      </x:c>
      <x:c r="S279" s="628"/>
      <x:c r="T279" s="628"/>
      <x:c r="U279" s="628"/>
      <x:c r="V279" s="628"/>
      <x:c r="W279" s="628"/>
      <x:c r="X279" s="628"/>
      <x:c r="Y279" s="628"/>
      <x:c r="Z279" s="624"/>
    </x:row>
    <x:row r="280" spans="1:26" x14ac:dyDescent="0.2">
      <x:c r="D280" s="25" t="s">
        <x:v>72</x:v>
      </x:c>
      <x:c r="E280" s="627" t="n">
        <x:v>5291124.28</x:v>
      </x:c>
      <x:c r="F280" s="627" t="n">
        <x:v>376000.75</x:v>
      </x:c>
      <x:c r="G280" s="627" t="n">
        <x:v>199323.19</x:v>
      </x:c>
      <x:c r="H280" s="627" t="n">
        <x:v>90624.73</x:v>
      </x:c>
      <x:c r="I280" s="627" t="n">
        <x:v>1211600.64</x:v>
      </x:c>
      <x:c r="J280" s="627" t="n">
        <x:v>36367.15</x:v>
      </x:c>
      <x:c r="K280" s="627" t="n">
        <x:v>0</x:v>
      </x:c>
      <x:c r="L280" s="627" t="n">
        <x:v>347475.78</x:v>
      </x:c>
      <x:c r="M280" s="627" t="n">
        <x:v>360320.11</x:v>
      </x:c>
      <x:c r="N280" s="627" t="n">
        <x:v>1616585.14</x:v>
      </x:c>
      <x:c r="O280" s="627" t="n">
        <x:v>1003069.44</x:v>
      </x:c>
      <x:c r="P280" s="627" t="n">
        <x:v>49727.57</x:v>
      </x:c>
      <x:c r="Q280" s="627" t="n">
        <x:v>29.78</x:v>
      </x:c>
      <x:c r="R280" s="653" t="n">
        <x:v>0</x:v>
      </x:c>
      <x:c r="Z280" s="624"/>
    </x:row>
    <x:row r="281" spans="1:26" x14ac:dyDescent="0.2">
      <x:c r="D281" s="25" t="s">
        <x:v>81</x:v>
      </x:c>
      <x:c r="E281" s="627" t="n">
        <x:v>-2561.2</x:v>
      </x:c>
      <x:c r="F281" s="627" t="n">
        <x:v>228.57</x:v>
      </x:c>
      <x:c r="G281" s="627" t="n">
        <x:v>110.59</x:v>
      </x:c>
      <x:c r="H281" s="627" t="n">
        <x:v>56.09</x:v>
      </x:c>
      <x:c r="I281" s="627" t="n">
        <x:v>362.41</x:v>
      </x:c>
      <x:c r="J281" s="627" t="n">
        <x:v>11.79</x:v>
      </x:c>
      <x:c r="K281" s="627" t="n">
        <x:v>0</x:v>
      </x:c>
      <x:c r="L281" s="627" t="n">
        <x:v>103.46</x:v>
      </x:c>
      <x:c r="M281" s="627" t="n">
        <x:v>125.25</x:v>
      </x:c>
      <x:c r="N281" s="627" t="n">
        <x:v>-4187.03</x:v>
      </x:c>
      <x:c r="O281" s="627" t="n">
        <x:v>608.42</x:v>
      </x:c>
      <x:c r="P281" s="627" t="n">
        <x:v>19.24</x:v>
      </x:c>
      <x:c r="Q281" s="627" t="n">
        <x:v>0.01</x:v>
      </x:c>
      <x:c r="R281" s="653" t="n">
        <x:v>0</x:v>
      </x:c>
      <x:c r="Z281" s="624"/>
    </x:row>
    <x:row r="282" spans="1:26" x14ac:dyDescent="0.2">
      <x:c r="C282" s="25" t="s">
        <x:v>115</x:v>
      </x:c>
      <x:c r="D282" s="25" t="s">
        <x:v>70</x:v>
      </x:c>
      <x:c r="E282" s="627" t="n">
        <x:v>5288563.08</x:v>
      </x:c>
      <x:c r="F282" s="627" t="n">
        <x:v>376229.32</x:v>
      </x:c>
      <x:c r="G282" s="627" t="n">
        <x:v>199433.78</x:v>
      </x:c>
      <x:c r="H282" s="627" t="n">
        <x:v>90680.82</x:v>
      </x:c>
      <x:c r="I282" s="627" t="n">
        <x:v>1211963.05</x:v>
      </x:c>
      <x:c r="J282" s="627" t="n">
        <x:v>36378.94</x:v>
      </x:c>
      <x:c r="K282" s="627" t="n">
        <x:v>0</x:v>
      </x:c>
      <x:c r="L282" s="627" t="n">
        <x:v>347579.24</x:v>
      </x:c>
      <x:c r="M282" s="627" t="n">
        <x:v>360445.36</x:v>
      </x:c>
      <x:c r="N282" s="627" t="n">
        <x:v>1612398.11</x:v>
      </x:c>
      <x:c r="O282" s="627" t="n">
        <x:v>1003677.86</x:v>
      </x:c>
      <x:c r="P282" s="627" t="n">
        <x:v>49746.81</x:v>
      </x:c>
      <x:c r="Q282" s="627" t="n">
        <x:v>29.79</x:v>
      </x:c>
      <x:c r="R282" s="653" t="n">
        <x:v>0</x:v>
      </x:c>
      <x:c r="Z282" s="624"/>
    </x:row>
    <x:row r="283" spans="1:26" x14ac:dyDescent="0.2">
      <x:c r="D283" s="25" t="s">
        <x:v>72</x:v>
      </x:c>
      <x:c r="E283" s="627" t="n">
        <x:v>785227.71</x:v>
      </x:c>
      <x:c r="F283" s="627" t="n">
        <x:v>90173.21</x:v>
      </x:c>
      <x:c r="G283" s="627" t="n">
        <x:v>50747.68</x:v>
      </x:c>
      <x:c r="H283" s="627" t="n">
        <x:v>22898.36</x:v>
      </x:c>
      <x:c r="I283" s="627" t="n">
        <x:v>154863.56</x:v>
      </x:c>
      <x:c r="J283" s="627" t="n">
        <x:v>3691.97</x:v>
      </x:c>
      <x:c r="K283" s="627" t="n">
        <x:v>0</x:v>
      </x:c>
      <x:c r="L283" s="627" t="n">
        <x:v>35034.7</x:v>
      </x:c>
      <x:c r="M283" s="627" t="n">
        <x:v>38643.37</x:v>
      </x:c>
      <x:c r="N283" s="627" t="n">
        <x:v>145009.41</x:v>
      </x:c>
      <x:c r="O283" s="627" t="n">
        <x:v>238935.23</x:v>
      </x:c>
      <x:c r="P283" s="627" t="n">
        <x:v>5239.99</x:v>
      </x:c>
      <x:c r="Q283" s="627" t="n">
        <x:v>-9.77</x:v>
      </x:c>
      <x:c r="R283" s="653" t="n">
        <x:v>0</x:v>
      </x:c>
      <x:c r="Z283" s="624"/>
    </x:row>
    <x:row r="284" spans="1:26" x14ac:dyDescent="0.2">
      <x:c r="D284" s="25" t="s">
        <x:v>81</x:v>
      </x:c>
      <x:c r="E284" s="627" t="n">
        <x:v>-1647.69</x:v>
      </x:c>
      <x:c r="F284" s="627" t="n">
        <x:v>0</x:v>
      </x:c>
      <x:c r="G284" s="627" t="n">
        <x:v>0</x:v>
      </x:c>
      <x:c r="H284" s="627" t="n">
        <x:v>0</x:v>
      </x:c>
      <x:c r="I284" s="627" t="n">
        <x:v>0</x:v>
      </x:c>
      <x:c r="J284" s="627" t="n">
        <x:v>0</x:v>
      </x:c>
      <x:c r="K284" s="627" t="n">
        <x:v>0</x:v>
      </x:c>
      <x:c r="L284" s="627" t="n">
        <x:v>0</x:v>
      </x:c>
      <x:c r="M284" s="627" t="n">
        <x:v>0</x:v>
      </x:c>
      <x:c r="N284" s="627" t="n">
        <x:v>-1647.71</x:v>
      </x:c>
      <x:c r="O284" s="627" t="n">
        <x:v>0</x:v>
      </x:c>
      <x:c r="P284" s="627" t="n">
        <x:v>0</x:v>
      </x:c>
      <x:c r="Q284" s="627" t="n">
        <x:v>0.02</x:v>
      </x:c>
      <x:c r="R284" s="653" t="n">
        <x:v>0</x:v>
      </x:c>
      <x:c r="Z284" s="624"/>
    </x:row>
    <x:row r="285" spans="1:26" x14ac:dyDescent="0.2">
      <x:c r="C285" s="25" t="s">
        <x:v>116</x:v>
      </x:c>
      <x:c r="D285" s="25" t="s">
        <x:v>70</x:v>
      </x:c>
      <x:c r="E285" s="627" t="n">
        <x:v>783580.02</x:v>
      </x:c>
      <x:c r="F285" s="627" t="n">
        <x:v>90173.21</x:v>
      </x:c>
      <x:c r="G285" s="627" t="n">
        <x:v>50747.68</x:v>
      </x:c>
      <x:c r="H285" s="627" t="n">
        <x:v>22898.36</x:v>
      </x:c>
      <x:c r="I285" s="627" t="n">
        <x:v>154863.56</x:v>
      </x:c>
      <x:c r="J285" s="627" t="n">
        <x:v>3691.97</x:v>
      </x:c>
      <x:c r="K285" s="627" t="n">
        <x:v>0</x:v>
      </x:c>
      <x:c r="L285" s="627" t="n">
        <x:v>35034.7</x:v>
      </x:c>
      <x:c r="M285" s="627" t="n">
        <x:v>38643.37</x:v>
      </x:c>
      <x:c r="N285" s="627" t="n">
        <x:v>143361.7</x:v>
      </x:c>
      <x:c r="O285" s="627" t="n">
        <x:v>238935.23</x:v>
      </x:c>
      <x:c r="P285" s="627" t="n">
        <x:v>5239.99</x:v>
      </x:c>
      <x:c r="Q285" s="627" t="n">
        <x:v>-9.75</x:v>
      </x:c>
      <x:c r="R285" s="653" t="n">
        <x:v>0</x:v>
      </x:c>
      <x:c r="Z285" s="624"/>
    </x:row>
    <x:row r="286" spans="1:26" x14ac:dyDescent="0.2">
      <x:c r="D286" s="25" t="s">
        <x:v>72</x:v>
      </x:c>
      <x:c r="E286" s="627" t="n">
        <x:v>11833449.62</x:v>
      </x:c>
      <x:c r="F286" s="627" t="n">
        <x:v>687056.26</x:v>
      </x:c>
      <x:c r="G286" s="627" t="n">
        <x:v>394060.53</x:v>
      </x:c>
      <x:c r="H286" s="627" t="n">
        <x:v>134509.24</x:v>
      </x:c>
      <x:c r="I286" s="627" t="n">
        <x:v>3125015.24</x:v>
      </x:c>
      <x:c r="J286" s="627" t="n">
        <x:v>100233</x:v>
      </x:c>
      <x:c r="K286" s="627" t="n">
        <x:v>0</x:v>
      </x:c>
      <x:c r="L286" s="627" t="n">
        <x:v>936416.05</x:v>
      </x:c>
      <x:c r="M286" s="627" t="n">
        <x:v>865571.07</x:v>
      </x:c>
      <x:c r="N286" s="627" t="n">
        <x:v>3617316.45</x:v>
      </x:c>
      <x:c r="O286" s="627" t="n">
        <x:v>1866016.89</x:v>
      </x:c>
      <x:c r="P286" s="627" t="n">
        <x:v>107260.94</x:v>
      </x:c>
      <x:c r="Q286" s="627" t="n">
        <x:v>-6.05</x:v>
      </x:c>
      <x:c r="R286" s="653" t="n">
        <x:v>0</x:v>
      </x:c>
      <x:c r="Z286" s="624"/>
    </x:row>
    <x:row r="287" spans="1:26" x14ac:dyDescent="0.2">
      <x:c r="D287" s="25" t="s">
        <x:v>81</x:v>
      </x:c>
      <x:c r="E287" s="627" t="n">
        <x:v>-16370.84</x:v>
      </x:c>
      <x:c r="F287" s="627" t="n">
        <x:v>42.79</x:v>
      </x:c>
      <x:c r="G287" s="627" t="n">
        <x:v>24.18</x:v>
      </x:c>
      <x:c r="H287" s="627" t="n">
        <x:v>12.75</x:v>
      </x:c>
      <x:c r="I287" s="627" t="n">
        <x:v>140.34</x:v>
      </x:c>
      <x:c r="J287" s="627" t="n">
        <x:v>5.07</x:v>
      </x:c>
      <x:c r="K287" s="627" t="n">
        <x:v>0</x:v>
      </x:c>
      <x:c r="L287" s="627" t="n">
        <x:v>44.47</x:v>
      </x:c>
      <x:c r="M287" s="627" t="n">
        <x:v>43.31</x:v>
      </x:c>
      <x:c r="N287" s="627" t="n">
        <x:v>-16805.8</x:v>
      </x:c>
      <x:c r="O287" s="627" t="n">
        <x:v>113.77</x:v>
      </x:c>
      <x:c r="P287" s="627" t="n">
        <x:v>8.27</x:v>
      </x:c>
      <x:c r="Q287" s="627" t="n">
        <x:v>0.01</x:v>
      </x:c>
      <x:c r="R287" s="653" t="n">
        <x:v>0</x:v>
      </x:c>
      <x:c r="Z287" s="624"/>
    </x:row>
    <x:row r="288" spans="1:26" x14ac:dyDescent="0.2">
      <x:c r="B288" s="625"/>
      <x:c r="C288" s="625" t="s">
        <x:v>118</x:v>
      </x:c>
      <x:c r="D288" s="25" t="s">
        <x:v>70</x:v>
      </x:c>
      <x:c r="E288" s="627" t="n">
        <x:v>11817078.78</x:v>
      </x:c>
      <x:c r="F288" s="627" t="n">
        <x:v>687099.05</x:v>
      </x:c>
      <x:c r="G288" s="627" t="n">
        <x:v>394084.71</x:v>
      </x:c>
      <x:c r="H288" s="627" t="n">
        <x:v>134521.99</x:v>
      </x:c>
      <x:c r="I288" s="627" t="n">
        <x:v>3125155.58</x:v>
      </x:c>
      <x:c r="J288" s="627" t="n">
        <x:v>100238.07</x:v>
      </x:c>
      <x:c r="K288" s="627" t="n">
        <x:v>0</x:v>
      </x:c>
      <x:c r="L288" s="627" t="n">
        <x:v>936460.52</x:v>
      </x:c>
      <x:c r="M288" s="627" t="n">
        <x:v>865614.38</x:v>
      </x:c>
      <x:c r="N288" s="627" t="n">
        <x:v>3600510.65</x:v>
      </x:c>
      <x:c r="O288" s="627" t="n">
        <x:v>1866130.66</x:v>
      </x:c>
      <x:c r="P288" s="627" t="n">
        <x:v>107269.21</x:v>
      </x:c>
      <x:c r="Q288" s="627" t="n">
        <x:v>-6.04</x:v>
      </x:c>
      <x:c r="R288" s="653" t="n">
        <x:v>0</x:v>
      </x:c>
      <x:c r="Z288" s="624"/>
    </x:row>
    <x:row r="289" spans="1:26" x14ac:dyDescent="0.2">
      <x:c r="B289" s="625"/>
      <x:c r="C289" s="625"/>
      <x:c r="D289" s="25" t="s">
        <x:v>72</x:v>
      </x:c>
      <x:c r="E289" s="627">
        <x:v>0</x:v>
      </x:c>
      <x:c r="F289" s="627">
        <x:v>0</x:v>
      </x:c>
      <x:c r="G289" s="627">
        <x:v>0</x:v>
      </x:c>
      <x:c r="H289" s="627">
        <x:v>0</x:v>
      </x:c>
      <x:c r="I289" s="627">
        <x:v>0</x:v>
      </x:c>
      <x:c r="J289" s="627">
        <x:v>0</x:v>
      </x:c>
      <x:c r="K289" s="627">
        <x:v>0</x:v>
      </x:c>
      <x:c r="L289" s="627">
        <x:v>0</x:v>
      </x:c>
      <x:c r="M289" s="627">
        <x:v>0</x:v>
      </x:c>
      <x:c r="N289" s="627">
        <x:v>0</x:v>
      </x:c>
      <x:c r="O289" s="627">
        <x:v>0</x:v>
      </x:c>
      <x:c r="P289" s="627">
        <x:v>0</x:v>
      </x:c>
      <x:c r="Q289" s="627">
        <x:v>0</x:v>
      </x:c>
      <x:c r="R289" s="653">
        <x:v>0</x:v>
      </x:c>
      <x:c r="Z289" s="624"/>
    </x:row>
    <x:row r="290" spans="1:26" x14ac:dyDescent="0.2">
      <x:c r="B290" s="625"/>
      <x:c r="C290" s="625"/>
      <x:c r="D290" s="25" t="s">
        <x:v>81</x:v>
      </x:c>
      <x:c r="E290" s="627">
        <x:v>0</x:v>
      </x:c>
      <x:c r="F290" s="627">
        <x:v>0</x:v>
      </x:c>
      <x:c r="G290" s="627">
        <x:v>0</x:v>
      </x:c>
      <x:c r="H290" s="627">
        <x:v>0</x:v>
      </x:c>
      <x:c r="I290" s="627">
        <x:v>0</x:v>
      </x:c>
      <x:c r="J290" s="627">
        <x:v>0</x:v>
      </x:c>
      <x:c r="K290" s="627">
        <x:v>0</x:v>
      </x:c>
      <x:c r="L290" s="627">
        <x:v>0</x:v>
      </x:c>
      <x:c r="M290" s="627">
        <x:v>0</x:v>
      </x:c>
      <x:c r="N290" s="627">
        <x:v>0</x:v>
      </x:c>
      <x:c r="O290" s="627">
        <x:v>0</x:v>
      </x:c>
      <x:c r="P290" s="627">
        <x:v>0</x:v>
      </x:c>
      <x:c r="Q290" s="627">
        <x:v>0</x:v>
      </x:c>
      <x:c r="R290" s="653">
        <x:v>0</x:v>
      </x:c>
      <x:c r="Z290" s="624"/>
    </x:row>
    <x:row r="291" spans="1:26" x14ac:dyDescent="0.2">
      <x:c r="B291" s="625"/>
      <x:c r="C291" s="625" t="s">
        <x:v>332</x:v>
      </x:c>
      <x:c r="D291" s="25" t="s">
        <x:v>70</x:v>
      </x:c>
      <x:c r="E291" s="627">
        <x:v>0</x:v>
      </x:c>
      <x:c r="F291" s="627">
        <x:v>0</x:v>
      </x:c>
      <x:c r="G291" s="627">
        <x:v>0</x:v>
      </x:c>
      <x:c r="H291" s="627">
        <x:v>0</x:v>
      </x:c>
      <x:c r="I291" s="627">
        <x:v>0</x:v>
      </x:c>
      <x:c r="J291" s="627">
        <x:v>0</x:v>
      </x:c>
      <x:c r="K291" s="627">
        <x:v>0</x:v>
      </x:c>
      <x:c r="L291" s="627">
        <x:v>0</x:v>
      </x:c>
      <x:c r="M291" s="627">
        <x:v>0</x:v>
      </x:c>
      <x:c r="N291" s="627">
        <x:v>0</x:v>
      </x:c>
      <x:c r="O291" s="627">
        <x:v>0</x:v>
      </x:c>
      <x:c r="P291" s="627">
        <x:v>0</x:v>
      </x:c>
      <x:c r="Q291" s="627">
        <x:v>0</x:v>
      </x:c>
      <x:c r="R291" s="653">
        <x:v>0</x:v>
      </x:c>
      <x:c r="Z291" s="624"/>
    </x:row>
    <x:row r="292" spans="1:26" x14ac:dyDescent="0.2">
      <x:c r="A292" s="667"/>
      <x:c r="B292" s="667" t="s">
        <x:v>120</x:v>
      </x:c>
      <x:c r="C292" s="667" t="s">
        <x:v>70</x:v>
      </x:c>
      <x:c r="D292" s="667"/>
      <x:c r="E292" s="672" t="n">
        <x:v>17889221.88</x:v>
      </x:c>
      <x:c r="F292" s="672" t="n">
        <x:v>1153501.58</x:v>
      </x:c>
      <x:c r="G292" s="672" t="n">
        <x:v>644266.17</x:v>
      </x:c>
      <x:c r="H292" s="672" t="n">
        <x:v>248101.17</x:v>
      </x:c>
      <x:c r="I292" s="672" t="n">
        <x:v>4491982.19</x:v>
      </x:c>
      <x:c r="J292" s="672" t="n">
        <x:v>140308.98</x:v>
      </x:c>
      <x:c r="K292" s="672" t="n">
        <x:v>0</x:v>
      </x:c>
      <x:c r="L292" s="672" t="n">
        <x:v>1319074.46</x:v>
      </x:c>
      <x:c r="M292" s="672" t="n">
        <x:v>1264703.11</x:v>
      </x:c>
      <x:c r="N292" s="672" t="n">
        <x:v>5356270.46</x:v>
      </x:c>
      <x:c r="O292" s="672" t="n">
        <x:v>3108743.75</x:v>
      </x:c>
      <x:c r="P292" s="672" t="n">
        <x:v>162256.01</x:v>
      </x:c>
      <x:c r="Q292" s="672" t="n">
        <x:v>14</x:v>
      </x:c>
      <x:c r="R292" s="672" t="n">
        <x:v>0</x:v>
      </x:c>
      <x:c r="S292" s="667"/>
      <x:c r="T292" s="667"/>
      <x:c r="U292" s="667"/>
      <x:c r="V292" s="667"/>
      <x:c r="W292" s="667"/>
      <x:c r="X292" s="667"/>
      <x:c r="Y292" s="667"/>
      <x:c r="Z292" s="624"/>
    </x:row>
    <x:row r="293" spans="1:26" x14ac:dyDescent="0.2">
      <x:c r="C293" s="625"/>
      <x:c r="D293" s="625" t="s">
        <x:v>72</x:v>
      </x:c>
      <x:c r="E293" s="627" t="n">
        <x:v>2935915.68</x:v>
      </x:c>
      <x:c r="F293" s="627" t="n">
        <x:v>165004.76</x:v>
      </x:c>
      <x:c r="G293" s="627" t="n">
        <x:v>90924.57</x:v>
      </x:c>
      <x:c r="H293" s="627" t="n">
        <x:v>41755.8</x:v>
      </x:c>
      <x:c r="I293" s="627" t="n">
        <x:v>655865.83</x:v>
      </x:c>
      <x:c r="J293" s="627" t="n">
        <x:v>19420.96</x:v>
      </x:c>
      <x:c r="K293" s="627" t="n">
        <x:v>0</x:v>
      </x:c>
      <x:c r="L293" s="627" t="n">
        <x:v>182768.14</x:v>
      </x:c>
      <x:c r="M293" s="627" t="n">
        <x:v>234953.54</x:v>
      </x:c>
      <x:c r="N293" s="627" t="n">
        <x:v>1056399.01</x:v>
      </x:c>
      <x:c r="O293" s="627" t="n">
        <x:v>461182.06</x:v>
      </x:c>
      <x:c r="P293" s="627" t="n">
        <x:v>27646.08</x:v>
      </x:c>
      <x:c r="Q293" s="627" t="n">
        <x:v>-5.07</x:v>
      </x:c>
      <x:c r="R293" s="653" t="n">
        <x:v>0</x:v>
      </x:c>
      <x:c r="Z293" s="624"/>
    </x:row>
    <x:row r="294" spans="1:26" x14ac:dyDescent="0.2">
      <x:c r="C294" s="625"/>
      <x:c r="D294" s="625" t="s">
        <x:v>81</x:v>
      </x:c>
      <x:c r="E294" s="627" t="n">
        <x:v>-2830.74</x:v>
      </x:c>
      <x:c r="F294" s="627" t="n">
        <x:v>11.66</x:v>
      </x:c>
      <x:c r="G294" s="627" t="n">
        <x:v>6.59</x:v>
      </x:c>
      <x:c r="H294" s="627" t="n">
        <x:v>3.49</x:v>
      </x:c>
      <x:c r="I294" s="627" t="n">
        <x:v>17.57</x:v>
      </x:c>
      <x:c r="J294" s="627" t="n">
        <x:v>12.87</x:v>
      </x:c>
      <x:c r="K294" s="627" t="n">
        <x:v>0</x:v>
      </x:c>
      <x:c r="L294" s="627" t="n">
        <x:v>112.97</x:v>
      </x:c>
      <x:c r="M294" s="627" t="n">
        <x:v>110.83</x:v>
      </x:c>
      <x:c r="N294" s="627" t="n">
        <x:v>-3158.73</x:v>
      </x:c>
      <x:c r="O294" s="627" t="n">
        <x:v>31.02</x:v>
      </x:c>
      <x:c r="P294" s="627" t="n">
        <x:v>21</x:v>
      </x:c>
      <x:c r="Q294" s="627" t="n">
        <x:v>-0.01</x:v>
      </x:c>
      <x:c r="R294" s="653" t="n">
        <x:v>0</x:v>
      </x:c>
      <x:c r="Z294" s="624"/>
    </x:row>
    <x:row r="295" spans="1:26" x14ac:dyDescent="0.2">
      <x:c r="C295" s="625" t="s">
        <x:v>82</x:v>
      </x:c>
      <x:c r="D295" s="625" t="s">
        <x:v>70</x:v>
      </x:c>
      <x:c r="E295" s="627" t="n">
        <x:v>2933084.94</x:v>
      </x:c>
      <x:c r="F295" s="627" t="n">
        <x:v>165016.42</x:v>
      </x:c>
      <x:c r="G295" s="627" t="n">
        <x:v>90931.16</x:v>
      </x:c>
      <x:c r="H295" s="627" t="n">
        <x:v>41759.29</x:v>
      </x:c>
      <x:c r="I295" s="627" t="n">
        <x:v>655883.4</x:v>
      </x:c>
      <x:c r="J295" s="627" t="n">
        <x:v>19433.83</x:v>
      </x:c>
      <x:c r="K295" s="627" t="n">
        <x:v>0</x:v>
      </x:c>
      <x:c r="L295" s="627" t="n">
        <x:v>182881.11</x:v>
      </x:c>
      <x:c r="M295" s="627" t="n">
        <x:v>235064.37</x:v>
      </x:c>
      <x:c r="N295" s="627" t="n">
        <x:v>1053240.28</x:v>
      </x:c>
      <x:c r="O295" s="627" t="n">
        <x:v>461213.08</x:v>
      </x:c>
      <x:c r="P295" s="627" t="n">
        <x:v>27667.08</x:v>
      </x:c>
      <x:c r="Q295" s="627" t="n">
        <x:v>-5.08</x:v>
      </x:c>
      <x:c r="R295" s="653" t="n">
        <x:v>0</x:v>
      </x:c>
      <x:c r="Z295" s="624"/>
    </x:row>
    <x:row r="296" spans="1:26" x14ac:dyDescent="0.2">
      <x:c r="C296" s="625"/>
      <x:c r="D296" s="625" t="s">
        <x:v>72</x:v>
      </x:c>
      <x:c r="E296" s="627" t="n">
        <x:v>11191122.91</x:v>
      </x:c>
      <x:c r="F296" s="627" t="n">
        <x:v>614822.13</x:v>
      </x:c>
      <x:c r="G296" s="627" t="n">
        <x:v>344645.24</x:v>
      </x:c>
      <x:c r="H296" s="627" t="n">
        <x:v>152456.87</x:v>
      </x:c>
      <x:c r="I296" s="627" t="n">
        <x:v>2725647.53</x:v>
      </x:c>
      <x:c r="J296" s="627" t="n">
        <x:v>92386.38</x:v>
      </x:c>
      <x:c r="K296" s="627" t="n">
        <x:v>0</x:v>
      </x:c>
      <x:c r="L296" s="627" t="n">
        <x:v>843063.7</x:v>
      </x:c>
      <x:c r="M296" s="627" t="n">
        <x:v>823570.03</x:v>
      </x:c>
      <x:c r="N296" s="627" t="n">
        <x:v>3813596.77</x:v>
      </x:c>
      <x:c r="O296" s="627" t="n">
        <x:v>1669126.56</x:v>
      </x:c>
      <x:c r="P296" s="627" t="n">
        <x:v>111835.5</x:v>
      </x:c>
      <x:c r="Q296" s="627" t="n">
        <x:v>-27.8</x:v>
      </x:c>
      <x:c r="R296" s="653" t="n">
        <x:v>0</x:v>
      </x:c>
      <x:c r="Z296" s="624"/>
    </x:row>
    <x:row r="297" spans="1:26" x14ac:dyDescent="0.2">
      <x:c r="C297" s="625"/>
      <x:c r="D297" s="625" t="s">
        <x:v>81</x:v>
      </x:c>
      <x:c r="E297" s="627" t="n">
        <x:v>438.3</x:v>
      </x:c>
      <x:c r="F297" s="627" t="n">
        <x:v>1420.03</x:v>
      </x:c>
      <x:c r="G297" s="627" t="n">
        <x:v>734.15</x:v>
      </x:c>
      <x:c r="H297" s="627" t="n">
        <x:v>392.29</x:v>
      </x:c>
      <x:c r="I297" s="627" t="n">
        <x:v>5077.55</x:v>
      </x:c>
      <x:c r="J297" s="627" t="n">
        <x:v>165.82</x:v>
      </x:c>
      <x:c r="K297" s="627" t="n">
        <x:v>0</x:v>
      </x:c>
      <x:c r="L297" s="627" t="n">
        <x:v>1454.36</x:v>
      </x:c>
      <x:c r="M297" s="627" t="n">
        <x:v>1628.88</x:v>
      </x:c>
      <x:c r="N297" s="627" t="n">
        <x:v>-14504.38</x:v>
      </x:c>
      <x:c r="O297" s="627" t="n">
        <x:v>3798.82</x:v>
      </x:c>
      <x:c r="P297" s="627" t="n">
        <x:v>270.51</x:v>
      </x:c>
      <x:c r="Q297" s="627" t="n">
        <x:v>0.27</x:v>
      </x:c>
      <x:c r="R297" s="653" t="n">
        <x:v>0</x:v>
      </x:c>
      <x:c r="Z297" s="624"/>
    </x:row>
    <x:row r="298" spans="1:26" x14ac:dyDescent="0.2">
      <x:c r="C298" s="625" t="s">
        <x:v>86</x:v>
      </x:c>
      <x:c r="D298" s="625" t="s">
        <x:v>70</x:v>
      </x:c>
      <x:c r="E298" s="627" t="n">
        <x:v>11191561.21</x:v>
      </x:c>
      <x:c r="F298" s="627" t="n">
        <x:v>616242.16</x:v>
      </x:c>
      <x:c r="G298" s="627" t="n">
        <x:v>345379.39</x:v>
      </x:c>
      <x:c r="H298" s="627" t="n">
        <x:v>152849.16</x:v>
      </x:c>
      <x:c r="I298" s="627" t="n">
        <x:v>2730725.08</x:v>
      </x:c>
      <x:c r="J298" s="627" t="n">
        <x:v>92552.2</x:v>
      </x:c>
      <x:c r="K298" s="627" t="n">
        <x:v>0</x:v>
      </x:c>
      <x:c r="L298" s="627" t="n">
        <x:v>844518.06</x:v>
      </x:c>
      <x:c r="M298" s="627" t="n">
        <x:v>825198.91</x:v>
      </x:c>
      <x:c r="N298" s="627" t="n">
        <x:v>3799092.39</x:v>
      </x:c>
      <x:c r="O298" s="627" t="n">
        <x:v>1672925.38</x:v>
      </x:c>
      <x:c r="P298" s="627" t="n">
        <x:v>112106.01</x:v>
      </x:c>
      <x:c r="Q298" s="627" t="n">
        <x:v>-27.53</x:v>
      </x:c>
      <x:c r="R298" s="653" t="n">
        <x:v>0</x:v>
      </x:c>
      <x:c r="Z298" s="624"/>
    </x:row>
    <x:row r="299" spans="1:26" x14ac:dyDescent="0.2">
      <x:c r="C299" s="625"/>
      <x:c r="D299" s="625" t="s">
        <x:v>72</x:v>
      </x:c>
      <x:c r="E299" s="627" t="n">
        <x:v>21700543.39</x:v>
      </x:c>
      <x:c r="F299" s="627" t="n">
        <x:v>3577177.74</x:v>
      </x:c>
      <x:c r="G299" s="627" t="n">
        <x:v>2006982.21</x:v>
      </x:c>
      <x:c r="H299" s="627" t="n">
        <x:v>1070133.77</x:v>
      </x:c>
      <x:c r="I299" s="627" t="n">
        <x:v>1787448.93</x:v>
      </x:c>
      <x:c r="J299" s="627" t="n">
        <x:v>43607.14</x:v>
      </x:c>
      <x:c r="K299" s="627" t="n">
        <x:v>70913.19</x:v>
      </x:c>
      <x:c r="L299" s="627" t="n">
        <x:v>414836.95</x:v>
      </x:c>
      <x:c r="M299" s="627" t="n">
        <x:v>540383.17</x:v>
      </x:c>
      <x:c r="N299" s="627" t="n">
        <x:v>2323950.78</x:v>
      </x:c>
      <x:c r="O299" s="627" t="n">
        <x:v>9795966.18</x:v>
      </x:c>
      <x:c r="P299" s="627" t="n">
        <x:v>69146.07</x:v>
      </x:c>
      <x:c r="Q299" s="627" t="n">
        <x:v>-2.74</x:v>
      </x:c>
      <x:c r="R299" s="653" t="n">
        <x:v>0</x:v>
      </x:c>
      <x:c r="Z299" s="624"/>
    </x:row>
    <x:row r="300" spans="1:26" x14ac:dyDescent="0.2">
      <x:c r="C300" s="625"/>
      <x:c r="D300" s="625" t="s">
        <x:v>81</x:v>
      </x:c>
      <x:c r="E300" s="627" t="n">
        <x:v>-4328.01</x:v>
      </x:c>
      <x:c r="F300" s="627" t="n">
        <x:v>5.93</x:v>
      </x:c>
      <x:c r="G300" s="627" t="n">
        <x:v>3.36</x:v>
      </x:c>
      <x:c r="H300" s="627" t="n">
        <x:v>1.8</x:v>
      </x:c>
      <x:c r="I300" s="627" t="n">
        <x:v>24</x:v>
      </x:c>
      <x:c r="J300" s="627" t="n">
        <x:v>0.67</x:v>
      </x:c>
      <x:c r="K300" s="627" t="n">
        <x:v>0</x:v>
      </x:c>
      <x:c r="L300" s="627" t="n">
        <x:v>5.82</x:v>
      </x:c>
      <x:c r="M300" s="627" t="n">
        <x:v>7.75</x:v>
      </x:c>
      <x:c r="N300" s="627" t="n">
        <x:v>-4394.5</x:v>
      </x:c>
      <x:c r="O300" s="627" t="n">
        <x:v>16.08</x:v>
      </x:c>
      <x:c r="P300" s="627" t="n">
        <x:v>1.08</x:v>
      </x:c>
      <x:c r="Q300" s="627" t="n">
        <x:v>0</x:v>
      </x:c>
      <x:c r="R300" s="653" t="n">
        <x:v>0</x:v>
      </x:c>
      <x:c r="Z300" s="624"/>
    </x:row>
    <x:row r="301" spans="1:26" x14ac:dyDescent="0.2">
      <x:c r="A301" s="625"/>
      <x:c r="B301" s="625"/>
      <x:c r="C301" s="25" t="s">
        <x:v>87</x:v>
      </x:c>
      <x:c r="D301" s="25" t="s">
        <x:v>70</x:v>
      </x:c>
      <x:c r="E301" s="627" t="n">
        <x:v>21696215.38</x:v>
      </x:c>
      <x:c r="F301" s="627" t="n">
        <x:v>3577183.67</x:v>
      </x:c>
      <x:c r="G301" s="627" t="n">
        <x:v>2006985.57</x:v>
      </x:c>
      <x:c r="H301" s="627" t="n">
        <x:v>1070135.57</x:v>
      </x:c>
      <x:c r="I301" s="627" t="n">
        <x:v>1787472.93</x:v>
      </x:c>
      <x:c r="J301" s="627" t="n">
        <x:v>43607.81</x:v>
      </x:c>
      <x:c r="K301" s="627" t="n">
        <x:v>70913.19</x:v>
      </x:c>
      <x:c r="L301" s="627" t="n">
        <x:v>414842.77</x:v>
      </x:c>
      <x:c r="M301" s="627" t="n">
        <x:v>540390.92</x:v>
      </x:c>
      <x:c r="N301" s="627" t="n">
        <x:v>2319556.28</x:v>
      </x:c>
      <x:c r="O301" s="627" t="n">
        <x:v>9795982.26</x:v>
      </x:c>
      <x:c r="P301" s="627" t="n">
        <x:v>69147.15</x:v>
      </x:c>
      <x:c r="Q301" s="627" t="n">
        <x:v>-2.74</x:v>
      </x:c>
      <x:c r="R301" s="653" t="n">
        <x:v>0</x:v>
      </x:c>
      <x:c r="Z301" s="624"/>
    </x:row>
    <x:row r="302" spans="1:26" x14ac:dyDescent="0.2">
      <x:c r="A302" s="631"/>
      <x:c r="B302" s="632" t="s">
        <x:v>119</x:v>
      </x:c>
      <x:c r="C302" s="632" t="s">
        <x:v>70</x:v>
      </x:c>
      <x:c r="D302" s="631"/>
      <x:c r="E302" s="633" t="n">
        <x:v>35820861.53</x:v>
      </x:c>
      <x:c r="F302" s="633" t="n">
        <x:v>4358442.25</x:v>
      </x:c>
      <x:c r="G302" s="633" t="n">
        <x:v>2443296.12</x:v>
      </x:c>
      <x:c r="H302" s="633" t="n">
        <x:v>1264744.02</x:v>
      </x:c>
      <x:c r="I302" s="633" t="n">
        <x:v>5174081.41</x:v>
      </x:c>
      <x:c r="J302" s="633" t="n">
        <x:v>155593.84</x:v>
      </x:c>
      <x:c r="K302" s="633" t="n">
        <x:v>70913.19</x:v>
      </x:c>
      <x:c r="L302" s="633" t="n">
        <x:v>1442241.94</x:v>
      </x:c>
      <x:c r="M302" s="633" t="n">
        <x:v>1600654.2</x:v>
      </x:c>
      <x:c r="N302" s="633" t="n">
        <x:v>7171888.95</x:v>
      </x:c>
      <x:c r="O302" s="633" t="n">
        <x:v>11930120.72</x:v>
      </x:c>
      <x:c r="P302" s="633" t="n">
        <x:v>208920.24</x:v>
      </x:c>
      <x:c r="Q302" s="633" t="n">
        <x:v>-35.35</x:v>
      </x:c>
      <x:c r="R302" s="678" t="n">
        <x:v>0</x:v>
      </x:c>
      <x:c r="S302" s="631"/>
      <x:c r="T302" s="631"/>
      <x:c r="U302" s="631"/>
      <x:c r="V302" s="631"/>
      <x:c r="W302" s="631"/>
      <x:c r="X302" s="631"/>
      <x:c r="Y302" s="631"/>
      <x:c r="Z302" s="624"/>
    </x:row>
    <x:row r="303" spans="1:26" x14ac:dyDescent="0.2">
      <x:c r="A303" s="639" t="s">
        <x:v>78</x:v>
      </x:c>
      <x:c r="B303" s="639" t="s">
        <x:v>70</x:v>
      </x:c>
      <x:c r="C303" s="638"/>
      <x:c r="D303" s="638"/>
      <x:c r="E303" s="640" t="n">
        <x:v>126782453.43</x:v>
      </x:c>
      <x:c r="F303" s="640" t="n">
        <x:v>9279153.14</x:v>
      </x:c>
      <x:c r="G303" s="640" t="n">
        <x:v>5189442.74</x:v>
      </x:c>
      <x:c r="H303" s="640" t="n">
        <x:v>2412201.78</x:v>
      </x:c>
      <x:c r="I303" s="640" t="n">
        <x:v>27609479.16</x:v>
      </x:c>
      <x:c r="J303" s="640" t="n">
        <x:v>984542.62</x:v>
      </x:c>
      <x:c r="K303" s="640" t="n">
        <x:v>95764.91</x:v>
      </x:c>
      <x:c r="L303" s="640" t="n">
        <x:v>8797727.6</x:v>
      </x:c>
      <x:c r="M303" s="640" t="n">
        <x:v>8327012.26</x:v>
      </x:c>
      <x:c r="N303" s="640" t="n">
        <x:v>37437706.75</x:v>
      </x:c>
      <x:c r="O303" s="640" t="n">
        <x:v>25385806.98</x:v>
      </x:c>
      <x:c r="P303" s="640" t="n">
        <x:v>1263833.11</x:v>
      </x:c>
      <x:c r="Q303" s="640" t="n">
        <x:v>-217.62</x:v>
      </x:c>
      <x:c r="R303" s="679" t="n">
        <x:v>0</x:v>
      </x:c>
      <x:c r="S303" s="638"/>
      <x:c r="T303" s="638"/>
      <x:c r="U303" s="638"/>
      <x:c r="V303" s="638"/>
      <x:c r="W303" s="638"/>
      <x:c r="X303" s="638"/>
      <x:c r="Y303" s="638"/>
      <x:c r="Z303" s="624"/>
    </x:row>
    <x:row r="304" spans="1:26" x14ac:dyDescent="0.2">
      <x:c r="B304" s="625"/>
      <x:c r="C304" s="625"/>
      <x:c r="D304" s="25" t="s">
        <x:v>73</x:v>
      </x:c>
      <x:c r="E304" s="627" t="n">
        <x:v>-12462.26</x:v>
      </x:c>
      <x:c r="F304" s="627" t="n">
        <x:v>-623.42</x:v>
      </x:c>
      <x:c r="G304" s="627" t="n">
        <x:v>-352</x:v>
      </x:c>
      <x:c r="H304" s="627" t="n">
        <x:v>-184.75</x:v>
      </x:c>
      <x:c r="I304" s="627" t="n">
        <x:v>-3021.8</x:v>
      </x:c>
      <x:c r="J304" s="627" t="n">
        <x:v>-73.3</x:v>
      </x:c>
      <x:c r="K304" s="627" t="n">
        <x:v>0</x:v>
      </x:c>
      <x:c r="L304" s="627" t="n">
        <x:v>-643</x:v>
      </x:c>
      <x:c r="M304" s="627" t="n">
        <x:v>-940.76</x:v>
      </x:c>
      <x:c r="N304" s="627" t="n">
        <x:v>-4853.46</x:v>
      </x:c>
      <x:c r="O304" s="627" t="n">
        <x:v>-1650.17</x:v>
      </x:c>
      <x:c r="P304" s="627" t="n">
        <x:v>-119.6</x:v>
      </x:c>
      <x:c r="Q304" s="627" t="n">
        <x:v>0</x:v>
      </x:c>
      <x:c r="R304" s="653" t="n">
        <x:v>0</x:v>
      </x:c>
      <x:c r="Z304" s="624"/>
    </x:row>
    <x:row r="305" spans="1:26" x14ac:dyDescent="0.2">
      <x:c r="B305" s="625"/>
      <x:c r="C305" s="625" t="s">
        <x:v>156</x:v>
      </x:c>
      <x:c r="D305" s="25" t="s">
        <x:v>70</x:v>
      </x:c>
      <x:c r="E305" s="627" t="n">
        <x:v>-13809324.04</x:v>
      </x:c>
      <x:c r="F305" s="627" t="n">
        <x:v>-419190.55</x:v>
      </x:c>
      <x:c r="G305" s="627" t="n">
        <x:v>-254242.75</x:v>
      </x:c>
      <x:c r="H305" s="627" t="n">
        <x:v>-148207</x:v>
      </x:c>
      <x:c r="I305" s="627" t="n">
        <x:v>-3632209.98</x:v>
      </x:c>
      <x:c r="J305" s="627" t="n">
        <x:v>-132042.87</x:v>
      </x:c>
      <x:c r="K305" s="627" t="n">
        <x:v>0</x:v>
      </x:c>
      <x:c r="L305" s="627" t="n">
        <x:v>-1134871.86</x:v>
      </x:c>
      <x:c r="M305" s="627" t="n">
        <x:v>-1113502.01</x:v>
      </x:c>
      <x:c r="N305" s="627" t="n">
        <x:v>-5685263.01</x:v>
      </x:c>
      <x:c r="O305" s="627" t="n">
        <x:v>-1074168.73</x:v>
      </x:c>
      <x:c r="P305" s="627" t="n">
        <x:v>-215625.28</x:v>
      </x:c>
      <x:c r="Q305" s="627" t="n">
        <x:v>0</x:v>
      </x:c>
      <x:c r="R305" s="653" t="n">
        <x:v>0</x:v>
      </x:c>
      <x:c r="Z305" s="624"/>
    </x:row>
    <x:row r="306" spans="1:26" x14ac:dyDescent="0.2">
      <x:c r="A306" s="628"/>
      <x:c r="B306" s="628" t="s">
        <x:v>155</x:v>
      </x:c>
      <x:c r="C306" s="628" t="s">
        <x:v>70</x:v>
      </x:c>
      <x:c r="D306" s="628"/>
      <x:c r="E306" s="677" t="n">
        <x:v>-13809324.04</x:v>
      </x:c>
      <x:c r="F306" s="677" t="n">
        <x:v>-419190.55</x:v>
      </x:c>
      <x:c r="G306" s="677" t="n">
        <x:v>-254242.75</x:v>
      </x:c>
      <x:c r="H306" s="677" t="n">
        <x:v>-148207</x:v>
      </x:c>
      <x:c r="I306" s="677" t="n">
        <x:v>-3632209.98</x:v>
      </x:c>
      <x:c r="J306" s="677" t="n">
        <x:v>-132042.87</x:v>
      </x:c>
      <x:c r="K306" s="677" t="n">
        <x:v>0</x:v>
      </x:c>
      <x:c r="L306" s="677" t="n">
        <x:v>-1134871.86</x:v>
      </x:c>
      <x:c r="M306" s="677" t="n">
        <x:v>-1113502.01</x:v>
      </x:c>
      <x:c r="N306" s="677" t="n">
        <x:v>-5685263.01</x:v>
      </x:c>
      <x:c r="O306" s="677" t="n">
        <x:v>-1074168.73</x:v>
      </x:c>
      <x:c r="P306" s="677" t="n">
        <x:v>-215625.28</x:v>
      </x:c>
      <x:c r="Q306" s="677" t="n">
        <x:v>0</x:v>
      </x:c>
      <x:c r="R306" s="677" t="n">
        <x:v>0</x:v>
      </x:c>
      <x:c r="S306" s="628"/>
      <x:c r="T306" s="628"/>
      <x:c r="U306" s="628"/>
      <x:c r="V306" s="628"/>
      <x:c r="W306" s="628"/>
      <x:c r="X306" s="628"/>
      <x:c r="Y306" s="628"/>
      <x:c r="Z306" s="624"/>
    </x:row>
    <x:row r="307" spans="1:26" x14ac:dyDescent="0.2">
      <x:c r="B307" s="625"/>
      <x:c r="C307" s="625"/>
      <x:c r="D307" s="25" t="s">
        <x:v>73</x:v>
      </x:c>
      <x:c r="E307" s="627" t="n">
        <x:v>8470.97</x:v>
      </x:c>
      <x:c r="F307" s="627" t="n">
        <x:v>16043.41</x:v>
      </x:c>
      <x:c r="G307" s="627" t="n">
        <x:v>7345.71</x:v>
      </x:c>
      <x:c r="H307" s="627" t="n">
        <x:v>8576.19</x:v>
      </x:c>
      <x:c r="I307" s="627" t="n">
        <x:v>-74530.4</x:v>
      </x:c>
      <x:c r="J307" s="627" t="n">
        <x:v>-859.48</x:v>
      </x:c>
      <x:c r="K307" s="627" t="n">
        <x:v>0</x:v>
      </x:c>
      <x:c r="L307" s="627" t="n">
        <x:v>-5318.33</x:v>
      </x:c>
      <x:c r="M307" s="627" t="n">
        <x:v>-5909.81</x:v>
      </x:c>
      <x:c r="N307" s="627" t="n">
        <x:v>-32527.65</x:v>
      </x:c>
      <x:c r="O307" s="627" t="n">
        <x:v>97519.78</x:v>
      </x:c>
      <x:c r="P307" s="627" t="n">
        <x:v>-1868.45</x:v>
      </x:c>
      <x:c r="Q307" s="627" t="n">
        <x:v>0</x:v>
      </x:c>
      <x:c r="R307" s="653" t="n">
        <x:v>0</x:v>
      </x:c>
      <x:c r="Z307" s="624"/>
    </x:row>
    <x:row r="308" spans="1:26" x14ac:dyDescent="0.2">
      <x:c r="B308" s="625"/>
      <x:c r="C308" s="625" t="s">
        <x:v>115</x:v>
      </x:c>
      <x:c r="D308" s="25" t="s">
        <x:v>70</x:v>
      </x:c>
      <x:c r="E308" s="627" t="n">
        <x:v>8470.97</x:v>
      </x:c>
      <x:c r="F308" s="627" t="n">
        <x:v>16043.41</x:v>
      </x:c>
      <x:c r="G308" s="627" t="n">
        <x:v>7345.71</x:v>
      </x:c>
      <x:c r="H308" s="627" t="n">
        <x:v>8576.19</x:v>
      </x:c>
      <x:c r="I308" s="627" t="n">
        <x:v>-74530.4</x:v>
      </x:c>
      <x:c r="J308" s="627" t="n">
        <x:v>-859.48</x:v>
      </x:c>
      <x:c r="K308" s="627" t="n">
        <x:v>0</x:v>
      </x:c>
      <x:c r="L308" s="627" t="n">
        <x:v>-5318.33</x:v>
      </x:c>
      <x:c r="M308" s="627" t="n">
        <x:v>-5909.81</x:v>
      </x:c>
      <x:c r="N308" s="627" t="n">
        <x:v>-32527.65</x:v>
      </x:c>
      <x:c r="O308" s="627" t="n">
        <x:v>97519.78</x:v>
      </x:c>
      <x:c r="P308" s="627" t="n">
        <x:v>-1868.45</x:v>
      </x:c>
      <x:c r="Q308" s="627" t="n">
        <x:v>0</x:v>
      </x:c>
      <x:c r="R308" s="653" t="n">
        <x:v>0</x:v>
      </x:c>
      <x:c r="Z308" s="624"/>
    </x:row>
    <x:row r="309" spans="1:26" x14ac:dyDescent="0.2">
      <x:c r="B309" s="625"/>
      <x:c r="C309" s="625"/>
      <x:c r="D309" s="25" t="s">
        <x:v>73</x:v>
      </x:c>
      <x:c r="E309" s="627" t="n">
        <x:v>226637.63</x:v>
      </x:c>
      <x:c r="F309" s="627" t="n">
        <x:v>47255.63</x:v>
      </x:c>
      <x:c r="G309" s="627" t="n">
        <x:v>26520.31</x:v>
      </x:c>
      <x:c r="H309" s="627" t="n">
        <x:v>14003.9</x:v>
      </x:c>
      <x:c r="I309" s="627" t="n">
        <x:v>5204.15</x:v>
      </x:c>
      <x:c r="J309" s="627" t="n">
        <x:v>1.14</x:v>
      </x:c>
      <x:c r="K309" s="627" t="n">
        <x:v>0</x:v>
      </x:c>
      <x:c r="L309" s="627" t="n">
        <x:v>10</x:v>
      </x:c>
      <x:c r="M309" s="627" t="n">
        <x:v>1379.14</x:v>
      </x:c>
      <x:c r="N309" s="627" t="n">
        <x:v>7140.75</x:v>
      </x:c>
      <x:c r="O309" s="627" t="n">
        <x:v>125120.75</x:v>
      </x:c>
      <x:c r="P309" s="627" t="n">
        <x:v>1.86</x:v>
      </x:c>
      <x:c r="Q309" s="627" t="n">
        <x:v>0</x:v>
      </x:c>
      <x:c r="R309" s="653" t="n">
        <x:v>0</x:v>
      </x:c>
      <x:c r="Z309" s="624"/>
    </x:row>
    <x:row r="310" spans="1:26" x14ac:dyDescent="0.2">
      <x:c r="B310" s="625"/>
      <x:c r="C310" s="625" t="s">
        <x:v>116</x:v>
      </x:c>
      <x:c r="D310" s="25" t="s">
        <x:v>70</x:v>
      </x:c>
      <x:c r="E310" s="627" t="n">
        <x:v>226637.63</x:v>
      </x:c>
      <x:c r="F310" s="627" t="n">
        <x:v>47255.63</x:v>
      </x:c>
      <x:c r="G310" s="627" t="n">
        <x:v>26520.31</x:v>
      </x:c>
      <x:c r="H310" s="627" t="n">
        <x:v>14003.9</x:v>
      </x:c>
      <x:c r="I310" s="627" t="n">
        <x:v>5204.15</x:v>
      </x:c>
      <x:c r="J310" s="627" t="n">
        <x:v>1.14</x:v>
      </x:c>
      <x:c r="K310" s="627" t="n">
        <x:v>0</x:v>
      </x:c>
      <x:c r="L310" s="627" t="n">
        <x:v>10</x:v>
      </x:c>
      <x:c r="M310" s="627" t="n">
        <x:v>1379.14</x:v>
      </x:c>
      <x:c r="N310" s="627" t="n">
        <x:v>7140.75</x:v>
      </x:c>
      <x:c r="O310" s="627" t="n">
        <x:v>125120.75</x:v>
      </x:c>
      <x:c r="P310" s="627" t="n">
        <x:v>1.86</x:v>
      </x:c>
      <x:c r="Q310" s="627" t="n">
        <x:v>0</x:v>
      </x:c>
      <x:c r="R310" s="653" t="n">
        <x:v>0</x:v>
      </x:c>
      <x:c r="Z310" s="624"/>
    </x:row>
    <x:row r="311" spans="1:26" x14ac:dyDescent="0.2">
      <x:c r="B311" s="625"/>
      <x:c r="C311" s="625"/>
      <x:c r="D311" s="25" t="s">
        <x:v>73</x:v>
      </x:c>
      <x:c r="E311" s="627" t="n">
        <x:v>-1169837.75</x:v>
      </x:c>
      <x:c r="F311" s="627" t="n">
        <x:v>10652.74</x:v>
      </x:c>
      <x:c r="G311" s="627" t="n">
        <x:v>3932.11</x:v>
      </x:c>
      <x:c r="H311" s="627" t="n">
        <x:v>4646.7</x:v>
      </x:c>
      <x:c r="I311" s="627" t="n">
        <x:v>-436345.76</x:v>
      </x:c>
      <x:c r="J311" s="627" t="n">
        <x:v>-14105.8</x:v>
      </x:c>
      <x:c r="K311" s="627" t="n">
        <x:v>0</x:v>
      </x:c>
      <x:c r="L311" s="627" t="n">
        <x:v>-115114.68</x:v>
      </x:c>
      <x:c r="M311" s="627" t="n">
        <x:v>-108502.1</x:v>
      </x:c>
      <x:c r="N311" s="627" t="n">
        <x:v>-547937.34</x:v>
      </x:c>
      <x:c r="O311" s="627" t="n">
        <x:v>54051.68</x:v>
      </x:c>
      <x:c r="P311" s="627" t="n">
        <x:v>-21115.3</x:v>
      </x:c>
      <x:c r="Q311" s="627" t="n">
        <x:v>0</x:v>
      </x:c>
      <x:c r="R311" s="653" t="n">
        <x:v>0</x:v>
      </x:c>
      <x:c r="Z311" s="624"/>
    </x:row>
    <x:row r="312" spans="1:26" x14ac:dyDescent="0.2">
      <x:c r="B312" s="625"/>
      <x:c r="C312" s="625" t="s">
        <x:v>118</x:v>
      </x:c>
      <x:c r="D312" s="25" t="s">
        <x:v>70</x:v>
      </x:c>
      <x:c r="E312" s="627" t="n">
        <x:v>-1169837.75</x:v>
      </x:c>
      <x:c r="F312" s="627" t="n">
        <x:v>10652.74</x:v>
      </x:c>
      <x:c r="G312" s="627" t="n">
        <x:v>3932.11</x:v>
      </x:c>
      <x:c r="H312" s="627" t="n">
        <x:v>4646.7</x:v>
      </x:c>
      <x:c r="I312" s="627" t="n">
        <x:v>-436345.76</x:v>
      </x:c>
      <x:c r="J312" s="627" t="n">
        <x:v>-14105.8</x:v>
      </x:c>
      <x:c r="K312" s="627" t="n">
        <x:v>0</x:v>
      </x:c>
      <x:c r="L312" s="627" t="n">
        <x:v>-115114.68</x:v>
      </x:c>
      <x:c r="M312" s="627" t="n">
        <x:v>-108502.1</x:v>
      </x:c>
      <x:c r="N312" s="627" t="n">
        <x:v>-547937.34</x:v>
      </x:c>
      <x:c r="O312" s="627" t="n">
        <x:v>54051.68</x:v>
      </x:c>
      <x:c r="P312" s="627" t="n">
        <x:v>-21115.3</x:v>
      </x:c>
      <x:c r="Q312" s="627" t="n">
        <x:v>0</x:v>
      </x:c>
      <x:c r="R312" s="653" t="n">
        <x:v>0</x:v>
      </x:c>
      <x:c r="Z312" s="624"/>
    </x:row>
    <x:row r="313" spans="1:26" x14ac:dyDescent="0.2">
      <x:c r="B313" s="625"/>
      <x:c r="C313" s="625"/>
      <x:c r="D313" s="25" t="s">
        <x:v>73</x:v>
      </x:c>
      <x:c r="E313" s="627">
        <x:v>0</x:v>
      </x:c>
      <x:c r="F313" s="627">
        <x:v>0</x:v>
      </x:c>
      <x:c r="G313" s="627">
        <x:v>0</x:v>
      </x:c>
      <x:c r="H313" s="627">
        <x:v>0</x:v>
      </x:c>
      <x:c r="I313" s="627">
        <x:v>0</x:v>
      </x:c>
      <x:c r="J313" s="627">
        <x:v>0</x:v>
      </x:c>
      <x:c r="K313" s="627">
        <x:v>0</x:v>
      </x:c>
      <x:c r="L313" s="627">
        <x:v>0</x:v>
      </x:c>
      <x:c r="M313" s="627">
        <x:v>0</x:v>
      </x:c>
      <x:c r="N313" s="627">
        <x:v>0</x:v>
      </x:c>
      <x:c r="O313" s="627">
        <x:v>0</x:v>
      </x:c>
      <x:c r="P313" s="627">
        <x:v>0</x:v>
      </x:c>
      <x:c r="Q313" s="627">
        <x:v>0</x:v>
      </x:c>
      <x:c r="R313" s="653">
        <x:v>0</x:v>
      </x:c>
      <x:c r="Z313" s="624"/>
    </x:row>
    <x:row r="314" spans="1:26" x14ac:dyDescent="0.2">
      <x:c r="B314" s="625"/>
      <x:c r="C314" s="625" t="s">
        <x:v>332</x:v>
      </x:c>
      <x:c r="D314" s="25" t="s">
        <x:v>70</x:v>
      </x:c>
      <x:c r="E314" s="627">
        <x:v>0</x:v>
      </x:c>
      <x:c r="F314" s="627">
        <x:v>0</x:v>
      </x:c>
      <x:c r="G314" s="627">
        <x:v>0</x:v>
      </x:c>
      <x:c r="H314" s="627">
        <x:v>0</x:v>
      </x:c>
      <x:c r="I314" s="627">
        <x:v>0</x:v>
      </x:c>
      <x:c r="J314" s="627">
        <x:v>0</x:v>
      </x:c>
      <x:c r="K314" s="627">
        <x:v>0</x:v>
      </x:c>
      <x:c r="L314" s="627">
        <x:v>0</x:v>
      </x:c>
      <x:c r="M314" s="627">
        <x:v>0</x:v>
      </x:c>
      <x:c r="N314" s="627">
        <x:v>0</x:v>
      </x:c>
      <x:c r="O314" s="627">
        <x:v>0</x:v>
      </x:c>
      <x:c r="P314" s="627">
        <x:v>0</x:v>
      </x:c>
      <x:c r="Q314" s="627">
        <x:v>0</x:v>
      </x:c>
      <x:c r="R314" s="653">
        <x:v>0</x:v>
      </x:c>
      <x:c r="Z314" s="624"/>
    </x:row>
    <x:row r="315" spans="1:26" x14ac:dyDescent="0.2">
      <x:c r="A315" s="667"/>
      <x:c r="B315" s="667" t="s">
        <x:v>120</x:v>
      </x:c>
      <x:c r="C315" s="667" t="s">
        <x:v>70</x:v>
      </x:c>
      <x:c r="D315" s="667"/>
      <x:c r="E315" s="672" t="n">
        <x:v>-934729.15</x:v>
      </x:c>
      <x:c r="F315" s="672" t="n">
        <x:v>73951.78</x:v>
      </x:c>
      <x:c r="G315" s="672" t="n">
        <x:v>37798.13</x:v>
      </x:c>
      <x:c r="H315" s="672" t="n">
        <x:v>27226.79</x:v>
      </x:c>
      <x:c r="I315" s="672" t="n">
        <x:v>-505672.01</x:v>
      </x:c>
      <x:c r="J315" s="672" t="n">
        <x:v>-14964.14</x:v>
      </x:c>
      <x:c r="K315" s="672" t="n">
        <x:v>0</x:v>
      </x:c>
      <x:c r="L315" s="672" t="n">
        <x:v>-120423.01</x:v>
      </x:c>
      <x:c r="M315" s="672" t="n">
        <x:v>-113032.77</x:v>
      </x:c>
      <x:c r="N315" s="672" t="n">
        <x:v>-573324.24</x:v>
      </x:c>
      <x:c r="O315" s="672" t="n">
        <x:v>276692.21</x:v>
      </x:c>
      <x:c r="P315" s="672" t="n">
        <x:v>-22981.89</x:v>
      </x:c>
      <x:c r="Q315" s="672" t="n">
        <x:v>0</x:v>
      </x:c>
      <x:c r="R315" s="672" t="n">
        <x:v>0</x:v>
      </x:c>
      <x:c r="S315" s="667"/>
      <x:c r="T315" s="667"/>
      <x:c r="U315" s="667"/>
      <x:c r="V315" s="667"/>
      <x:c r="W315" s="667"/>
      <x:c r="X315" s="667"/>
      <x:c r="Y315" s="667"/>
      <x:c r="Z315" s="624"/>
    </x:row>
    <x:row r="316" spans="1:26" x14ac:dyDescent="0.2">
      <x:c r="D316" s="625" t="s">
        <x:v>73</x:v>
      </x:c>
      <x:c r="E316" s="627" t="n">
        <x:v>107339.23</x:v>
      </x:c>
      <x:c r="F316" s="627" t="n">
        <x:v>19896.29</x:v>
      </x:c>
      <x:c r="G316" s="627" t="n">
        <x:v>11215.97</x:v>
      </x:c>
      <x:c r="H316" s="627" t="n">
        <x:v>4307.69</x:v>
      </x:c>
      <x:c r="I316" s="627" t="n">
        <x:v>18268.3</x:v>
      </x:c>
      <x:c r="J316" s="627" t="n">
        <x:v>-398.32</x:v>
      </x:c>
      <x:c r="K316" s="627" t="n">
        <x:v>0</x:v>
      </x:c>
      <x:c r="L316" s="627" t="n">
        <x:v>-1387.23</x:v>
      </x:c>
      <x:c r="M316" s="627" t="n">
        <x:v>454.92</x:v>
      </x:c>
      <x:c r="N316" s="627" t="n">
        <x:v>2798.02</x:v>
      </x:c>
      <x:c r="O316" s="627" t="n">
        <x:v>52664.28</x:v>
      </x:c>
      <x:c r="P316" s="627" t="n">
        <x:v>-480.69</x:v>
      </x:c>
      <x:c r="Q316" s="627" t="n">
        <x:v>0</x:v>
      </x:c>
      <x:c r="R316" s="653" t="n">
        <x:v>0</x:v>
      </x:c>
      <x:c r="Z316" s="624"/>
    </x:row>
    <x:row r="317" spans="1:26" x14ac:dyDescent="0.2">
      <x:c r="C317" s="25" t="s">
        <x:v>82</x:v>
      </x:c>
      <x:c r="D317" s="625" t="s">
        <x:v>70</x:v>
      </x:c>
      <x:c r="E317" s="627" t="n">
        <x:v>107339.23</x:v>
      </x:c>
      <x:c r="F317" s="627" t="n">
        <x:v>19896.29</x:v>
      </x:c>
      <x:c r="G317" s="627" t="n">
        <x:v>11215.97</x:v>
      </x:c>
      <x:c r="H317" s="627" t="n">
        <x:v>4307.69</x:v>
      </x:c>
      <x:c r="I317" s="627" t="n">
        <x:v>18268.3</x:v>
      </x:c>
      <x:c r="J317" s="627" t="n">
        <x:v>-398.32</x:v>
      </x:c>
      <x:c r="K317" s="627" t="n">
        <x:v>0</x:v>
      </x:c>
      <x:c r="L317" s="627" t="n">
        <x:v>-1387.23</x:v>
      </x:c>
      <x:c r="M317" s="627" t="n">
        <x:v>454.92</x:v>
      </x:c>
      <x:c r="N317" s="627" t="n">
        <x:v>2798.02</x:v>
      </x:c>
      <x:c r="O317" s="627" t="n">
        <x:v>52664.28</x:v>
      </x:c>
      <x:c r="P317" s="627" t="n">
        <x:v>-480.69</x:v>
      </x:c>
      <x:c r="Q317" s="627" t="n">
        <x:v>0</x:v>
      </x:c>
      <x:c r="R317" s="653" t="n">
        <x:v>0</x:v>
      </x:c>
      <x:c r="Z317" s="624"/>
    </x:row>
    <x:row r="318" spans="1:26" x14ac:dyDescent="0.2">
      <x:c r="D318" s="625" t="s">
        <x:v>73</x:v>
      </x:c>
      <x:c r="E318" s="627" t="n">
        <x:v>-1969502.32</x:v>
      </x:c>
      <x:c r="F318" s="627" t="n">
        <x:v>-56206.5</x:v>
      </x:c>
      <x:c r="G318" s="627" t="n">
        <x:v>-32450.85</x:v>
      </x:c>
      <x:c r="H318" s="627" t="n">
        <x:v>-19682.81</x:v>
      </x:c>
      <x:c r="I318" s="627" t="n">
        <x:v>-529365.66</x:v>
      </x:c>
      <x:c r="J318" s="627" t="n">
        <x:v>-19079.09</x:v>
      </x:c>
      <x:c r="K318" s="627" t="n">
        <x:v>0</x:v>
      </x:c>
      <x:c r="L318" s="627" t="n">
        <x:v>-159961.89</x:v>
      </x:c>
      <x:c r="M318" s="627" t="n">
        <x:v>-160437.57</x:v>
      </x:c>
      <x:c r="N318" s="627" t="n">
        <x:v>-812383.52</x:v>
      </x:c>
      <x:c r="O318" s="627" t="n">
        <x:v>-148671.54</x:v>
      </x:c>
      <x:c r="P318" s="627" t="n">
        <x:v>-31262.89</x:v>
      </x:c>
      <x:c r="Q318" s="627" t="n">
        <x:v>0</x:v>
      </x:c>
      <x:c r="R318" s="653" t="n">
        <x:v>0</x:v>
      </x:c>
      <x:c r="Z318" s="624"/>
    </x:row>
    <x:row r="319" spans="1:26" x14ac:dyDescent="0.2">
      <x:c r="C319" s="25" t="s">
        <x:v>86</x:v>
      </x:c>
      <x:c r="D319" s="625" t="s">
        <x:v>70</x:v>
      </x:c>
      <x:c r="E319" s="627" t="n">
        <x:v>-1969502.32</x:v>
      </x:c>
      <x:c r="F319" s="627" t="n">
        <x:v>-56206.5</x:v>
      </x:c>
      <x:c r="G319" s="627" t="n">
        <x:v>-32450.85</x:v>
      </x:c>
      <x:c r="H319" s="627" t="n">
        <x:v>-19682.81</x:v>
      </x:c>
      <x:c r="I319" s="627" t="n">
        <x:v>-529365.66</x:v>
      </x:c>
      <x:c r="J319" s="627" t="n">
        <x:v>-19079.09</x:v>
      </x:c>
      <x:c r="K319" s="627" t="n">
        <x:v>0</x:v>
      </x:c>
      <x:c r="L319" s="627" t="n">
        <x:v>-159961.89</x:v>
      </x:c>
      <x:c r="M319" s="627" t="n">
        <x:v>-160437.57</x:v>
      </x:c>
      <x:c r="N319" s="627" t="n">
        <x:v>-812383.52</x:v>
      </x:c>
      <x:c r="O319" s="627" t="n">
        <x:v>-148671.54</x:v>
      </x:c>
      <x:c r="P319" s="627" t="n">
        <x:v>-31262.89</x:v>
      </x:c>
      <x:c r="Q319" s="627" t="n">
        <x:v>0</x:v>
      </x:c>
      <x:c r="R319" s="653" t="n">
        <x:v>0</x:v>
      </x:c>
      <x:c r="Z319" s="624"/>
    </x:row>
    <x:row r="320" spans="1:26" x14ac:dyDescent="0.2">
      <x:c r="C320" s="625"/>
      <x:c r="D320" s="625" t="s">
        <x:v>73</x:v>
      </x:c>
      <x:c r="E320" s="627" t="n">
        <x:v>1049925.46</x:v>
      </x:c>
      <x:c r="F320" s="627" t="n">
        <x:v>102209.27</x:v>
      </x:c>
      <x:c r="G320" s="627" t="n">
        <x:v>51104.12</x:v>
      </x:c>
      <x:c r="H320" s="627" t="n">
        <x:v>25299.35</x:v>
      </x:c>
      <x:c r="I320" s="627" t="n">
        <x:v>188378.68</x:v>
      </x:c>
      <x:c r="J320" s="627" t="n">
        <x:v>4847.79</x:v>
      </x:c>
      <x:c r="K320" s="627" t="n">
        <x:v>0</x:v>
      </x:c>
      <x:c r="L320" s="627" t="n">
        <x:v>45724.45</x:v>
      </x:c>
      <x:c r="M320" s="627" t="n">
        <x:v>57529.49</x:v>
      </x:c>
      <x:c r="N320" s="627" t="n">
        <x:v>294859.41</x:v>
      </x:c>
      <x:c r="O320" s="627" t="n">
        <x:v>271957.87</x:v>
      </x:c>
      <x:c r="P320" s="627" t="n">
        <x:v>8015.03</x:v>
      </x:c>
      <x:c r="Q320" s="627" t="n">
        <x:v>0</x:v>
      </x:c>
      <x:c r="R320" s="653" t="n">
        <x:v>0</x:v>
      </x:c>
      <x:c r="Z320" s="624"/>
    </x:row>
    <x:row r="321" spans="1:26" x14ac:dyDescent="0.2">
      <x:c r="B321" s="625"/>
      <x:c r="C321" s="625" t="s">
        <x:v>87</x:v>
      </x:c>
      <x:c r="D321" s="25" t="s">
        <x:v>70</x:v>
      </x:c>
      <x:c r="E321" s="627" t="n">
        <x:v>1049925.46</x:v>
      </x:c>
      <x:c r="F321" s="627" t="n">
        <x:v>102209.27</x:v>
      </x:c>
      <x:c r="G321" s="627" t="n">
        <x:v>51104.12</x:v>
      </x:c>
      <x:c r="H321" s="627" t="n">
        <x:v>25299.35</x:v>
      </x:c>
      <x:c r="I321" s="627" t="n">
        <x:v>188378.68</x:v>
      </x:c>
      <x:c r="J321" s="627" t="n">
        <x:v>4847.79</x:v>
      </x:c>
      <x:c r="K321" s="627" t="n">
        <x:v>0</x:v>
      </x:c>
      <x:c r="L321" s="627" t="n">
        <x:v>45724.45</x:v>
      </x:c>
      <x:c r="M321" s="627" t="n">
        <x:v>57529.49</x:v>
      </x:c>
      <x:c r="N321" s="627" t="n">
        <x:v>294859.41</x:v>
      </x:c>
      <x:c r="O321" s="627" t="n">
        <x:v>271957.87</x:v>
      </x:c>
      <x:c r="P321" s="627" t="n">
        <x:v>8015.03</x:v>
      </x:c>
      <x:c r="Q321" s="627" t="n">
        <x:v>0</x:v>
      </x:c>
      <x:c r="R321" s="653" t="n">
        <x:v>0</x:v>
      </x:c>
      <x:c r="Z321" s="624"/>
    </x:row>
    <x:row r="322" spans="1:26" x14ac:dyDescent="0.2">
      <x:c r="A322" s="631"/>
      <x:c r="B322" s="632" t="s">
        <x:v>119</x:v>
      </x:c>
      <x:c r="C322" s="632" t="s">
        <x:v>70</x:v>
      </x:c>
      <x:c r="D322" s="631"/>
      <x:c r="E322" s="633" t="n">
        <x:v>-812237.63</x:v>
      </x:c>
      <x:c r="F322" s="633" t="n">
        <x:v>65899.06</x:v>
      </x:c>
      <x:c r="G322" s="633" t="n">
        <x:v>29869.24</x:v>
      </x:c>
      <x:c r="H322" s="633" t="n">
        <x:v>9924.23</x:v>
      </x:c>
      <x:c r="I322" s="633" t="n">
        <x:v>-322718.68</x:v>
      </x:c>
      <x:c r="J322" s="633" t="n">
        <x:v>-14629.62</x:v>
      </x:c>
      <x:c r="K322" s="633" t="n">
        <x:v>0</x:v>
      </x:c>
      <x:c r="L322" s="633" t="n">
        <x:v>-115624.67</x:v>
      </x:c>
      <x:c r="M322" s="633" t="n">
        <x:v>-102453.16</x:v>
      </x:c>
      <x:c r="N322" s="633" t="n">
        <x:v>-514726.09</x:v>
      </x:c>
      <x:c r="O322" s="633" t="n">
        <x:v>175950.61</x:v>
      </x:c>
      <x:c r="P322" s="633" t="n">
        <x:v>-23728.55</x:v>
      </x:c>
      <x:c r="Q322" s="633" t="n">
        <x:v>0</x:v>
      </x:c>
      <x:c r="R322" s="678" t="n">
        <x:v>0</x:v>
      </x:c>
      <x:c r="S322" s="631"/>
      <x:c r="T322" s="631"/>
      <x:c r="U322" s="631"/>
      <x:c r="V322" s="631"/>
      <x:c r="W322" s="631"/>
      <x:c r="X322" s="631"/>
      <x:c r="Y322" s="631"/>
      <x:c r="Z322" s="624"/>
    </x:row>
    <x:row r="323" spans="1:26" x14ac:dyDescent="0.2">
      <x:c r="A323" s="639" t="s">
        <x:v>79</x:v>
      </x:c>
      <x:c r="B323" s="639" t="s">
        <x:v>70</x:v>
      </x:c>
      <x:c r="C323" s="638"/>
      <x:c r="D323" s="638"/>
      <x:c r="E323" s="640" t="n">
        <x:v>-15568753.08</x:v>
      </x:c>
      <x:c r="F323" s="640" t="n">
        <x:v>-279963.13</x:v>
      </x:c>
      <x:c r="G323" s="640" t="n">
        <x:v>-186927.38</x:v>
      </x:c>
      <x:c r="H323" s="640" t="n">
        <x:v>-111240.73</x:v>
      </x:c>
      <x:c r="I323" s="640" t="n">
        <x:v>-4463622.47</x:v>
      </x:c>
      <x:c r="J323" s="640" t="n">
        <x:v>-161709.93</x:v>
      </x:c>
      <x:c r="K323" s="640" t="n">
        <x:v>0</x:v>
      </x:c>
      <x:c r="L323" s="640" t="n">
        <x:v>-1371562.54</x:v>
      </x:c>
      <x:c r="M323" s="640" t="n">
        <x:v>-1329928.7</x:v>
      </x:c>
      <x:c r="N323" s="640" t="n">
        <x:v>-6778166.8</x:v>
      </x:c>
      <x:c r="O323" s="640" t="n">
        <x:v>-623176.08</x:v>
      </x:c>
      <x:c r="P323" s="640" t="n">
        <x:v>-262455.32</x:v>
      </x:c>
      <x:c r="Q323" s="640" t="n">
        <x:v>0</x:v>
      </x:c>
      <x:c r="R323" s="679" t="n">
        <x:v>0</x:v>
      </x:c>
      <x:c r="S323" s="638"/>
      <x:c r="T323" s="638"/>
      <x:c r="U323" s="638"/>
      <x:c r="V323" s="638"/>
      <x:c r="W323" s="638"/>
      <x:c r="X323" s="638"/>
      <x:c r="Y323" s="638"/>
      <x:c r="Z323" s="624"/>
    </x:row>
    <x:row r="324" spans="1:26" x14ac:dyDescent="0.2">
      <x:c r="A324" s="625" t="s">
        <x:v>70</x:v>
      </x:c>
      <x:c r="E324" s="627" t="n">
        <x:v>111213700.35</x:v>
      </x:c>
      <x:c r="F324" s="627" t="n">
        <x:v>8999190.01</x:v>
      </x:c>
      <x:c r="G324" s="627" t="n">
        <x:v>5002515.36</x:v>
      </x:c>
      <x:c r="H324" s="627" t="n">
        <x:v>2300961.05</x:v>
      </x:c>
      <x:c r="I324" s="627" t="n">
        <x:v>23145856.69</x:v>
      </x:c>
      <x:c r="J324" s="627" t="n">
        <x:v>822832.69</x:v>
      </x:c>
      <x:c r="K324" s="627" t="n">
        <x:v>95764.91</x:v>
      </x:c>
      <x:c r="L324" s="627" t="n">
        <x:v>7426165.06</x:v>
      </x:c>
      <x:c r="M324" s="627" t="n">
        <x:v>6997083.56</x:v>
      </x:c>
      <x:c r="N324" s="627" t="n">
        <x:v>30659539.95</x:v>
      </x:c>
      <x:c r="O324" s="627" t="n">
        <x:v>24762630.9</x:v>
      </x:c>
      <x:c r="P324" s="627" t="n">
        <x:v>1001377.79</x:v>
      </x:c>
      <x:c r="Q324" s="627" t="n">
        <x:v>-217.62</x:v>
      </x:c>
      <x:c r="R324" s="653" t="n">
        <x:v>0</x:v>
      </x:c>
      <x:c r="Z324" s="624"/>
    </x:row>
    <x:row r="325" spans="1:26" x14ac:dyDescent="0.2">
      <x:c r="C325" s="625"/>
      <x:c r="D325" s="625"/>
      <x:c r="E325" s="627"/>
      <x:c r="F325" s="627"/>
      <x:c r="G325" s="627"/>
      <x:c r="H325" s="627"/>
      <x:c r="I325" s="627"/>
      <x:c r="J325" s="627"/>
      <x:c r="K325" s="627"/>
      <x:c r="L325" s="627"/>
      <x:c r="M325" s="627"/>
      <x:c r="N325" s="627"/>
      <x:c r="O325" s="627"/>
      <x:c r="P325" s="627"/>
      <x:c r="Q325" s="627"/>
      <x:c r="Z325" s="624"/>
    </x:row>
    <x:row r="326" spans="1:26" x14ac:dyDescent="0.2">
      <x:c r="C326" s="625"/>
      <x:c r="D326" s="625"/>
      <x:c r="E326" s="627"/>
      <x:c r="F326" s="627"/>
      <x:c r="G326" s="627"/>
      <x:c r="H326" s="627"/>
      <x:c r="I326" s="627"/>
      <x:c r="J326" s="627"/>
      <x:c r="K326" s="627"/>
      <x:c r="L326" s="627"/>
      <x:c r="M326" s="627"/>
      <x:c r="N326" s="627"/>
      <x:c r="O326" s="627"/>
      <x:c r="P326" s="627"/>
      <x:c r="Q326" s="627"/>
      <x:c r="Z326" s="624"/>
    </x:row>
    <x:row r="327" spans="1:26" x14ac:dyDescent="0.2">
      <x:c r="C327" s="625"/>
      <x:c r="D327" s="625"/>
      <x:c r="E327" s="627"/>
      <x:c r="F327" s="627"/>
      <x:c r="G327" s="627"/>
      <x:c r="H327" s="627"/>
      <x:c r="I327" s="627"/>
      <x:c r="J327" s="627"/>
      <x:c r="K327" s="627"/>
      <x:c r="L327" s="627"/>
      <x:c r="M327" s="627"/>
      <x:c r="N327" s="627"/>
      <x:c r="O327" s="627"/>
      <x:c r="P327" s="627"/>
      <x:c r="Q327" s="627"/>
      <x:c r="Z327" s="624"/>
    </x:row>
    <x:row r="328" spans="1:26" x14ac:dyDescent="0.2">
      <x:c r="C328" s="625"/>
      <x:c r="D328" s="625"/>
      <x:c r="E328" s="627"/>
      <x:c r="F328" s="627"/>
      <x:c r="G328" s="627"/>
      <x:c r="H328" s="627"/>
      <x:c r="I328" s="627"/>
      <x:c r="J328" s="627"/>
      <x:c r="K328" s="627"/>
      <x:c r="L328" s="627"/>
      <x:c r="M328" s="627"/>
      <x:c r="N328" s="627"/>
      <x:c r="O328" s="627"/>
      <x:c r="P328" s="627"/>
      <x:c r="Q328" s="627"/>
      <x:c r="Z328" s="624"/>
    </x:row>
    <x:row r="329" spans="1:26" x14ac:dyDescent="0.2">
      <x:c r="C329" s="625"/>
      <x:c r="D329" s="625"/>
      <x:c r="E329" s="627"/>
      <x:c r="F329" s="627"/>
      <x:c r="G329" s="627"/>
      <x:c r="H329" s="627"/>
      <x:c r="I329" s="627"/>
      <x:c r="J329" s="627"/>
      <x:c r="K329" s="627"/>
      <x:c r="L329" s="627"/>
      <x:c r="M329" s="627"/>
      <x:c r="N329" s="627"/>
      <x:c r="O329" s="627"/>
      <x:c r="P329" s="627"/>
      <x:c r="Q329" s="627"/>
      <x:c r="Z329" s="624"/>
    </x:row>
    <x:row r="330" spans="1:26" x14ac:dyDescent="0.2">
      <x:c r="C330" s="625"/>
      <x:c r="D330" s="625"/>
      <x:c r="E330" s="627"/>
      <x:c r="F330" s="627"/>
      <x:c r="G330" s="627"/>
      <x:c r="H330" s="627"/>
      <x:c r="I330" s="627"/>
      <x:c r="J330" s="627"/>
      <x:c r="K330" s="627"/>
      <x:c r="L330" s="627"/>
      <x:c r="M330" s="627"/>
      <x:c r="N330" s="627"/>
      <x:c r="O330" s="627"/>
      <x:c r="P330" s="627"/>
      <x:c r="Q330" s="627"/>
      <x:c r="Z330" s="624"/>
    </x:row>
    <x:row r="331" spans="1:26" x14ac:dyDescent="0.2">
      <x:c r="C331" s="625"/>
      <x:c r="D331" s="625"/>
      <x:c r="E331" s="627"/>
      <x:c r="F331" s="627"/>
      <x:c r="G331" s="627"/>
      <x:c r="H331" s="627"/>
      <x:c r="I331" s="627"/>
      <x:c r="J331" s="627"/>
      <x:c r="K331" s="627"/>
      <x:c r="L331" s="627"/>
      <x:c r="M331" s="627"/>
      <x:c r="N331" s="627"/>
      <x:c r="O331" s="627"/>
      <x:c r="P331" s="627"/>
      <x:c r="Q331" s="627"/>
      <x:c r="Z331" s="624"/>
    </x:row>
    <x:row r="332" spans="1:26" x14ac:dyDescent="0.2">
      <x:c r="C332" s="625"/>
      <x:c r="D332" s="625"/>
      <x:c r="E332" s="627"/>
      <x:c r="F332" s="627"/>
      <x:c r="G332" s="627"/>
      <x:c r="H332" s="627"/>
      <x:c r="I332" s="627"/>
      <x:c r="J332" s="627"/>
      <x:c r="K332" s="627"/>
      <x:c r="L332" s="627"/>
      <x:c r="M332" s="627"/>
      <x:c r="N332" s="627"/>
      <x:c r="O332" s="627"/>
      <x:c r="P332" s="627"/>
      <x:c r="Q332" s="627"/>
      <x:c r="Z332" s="624"/>
    </x:row>
    <x:row r="333" spans="1:26" x14ac:dyDescent="0.2">
      <x:c r="C333" s="625"/>
      <x:c r="D333" s="625"/>
      <x:c r="E333" s="627"/>
      <x:c r="F333" s="627"/>
      <x:c r="G333" s="627"/>
      <x:c r="H333" s="627"/>
      <x:c r="I333" s="627"/>
      <x:c r="J333" s="627"/>
      <x:c r="K333" s="627"/>
      <x:c r="L333" s="627"/>
      <x:c r="M333" s="627"/>
      <x:c r="N333" s="627"/>
      <x:c r="O333" s="627"/>
      <x:c r="P333" s="627"/>
      <x:c r="Q333" s="627"/>
      <x:c r="Z333" s="624"/>
    </x:row>
    <x:row r="334" spans="1:26" x14ac:dyDescent="0.2">
      <x:c r="C334" s="625"/>
      <x:c r="D334" s="625"/>
      <x:c r="E334" s="627"/>
      <x:c r="F334" s="627"/>
      <x:c r="G334" s="627"/>
      <x:c r="H334" s="627"/>
      <x:c r="I334" s="627"/>
      <x:c r="J334" s="627"/>
      <x:c r="K334" s="627"/>
      <x:c r="L334" s="627"/>
      <x:c r="M334" s="627"/>
      <x:c r="N334" s="627"/>
      <x:c r="O334" s="627"/>
      <x:c r="P334" s="627"/>
      <x:c r="Q334" s="627"/>
      <x:c r="Z334" s="624"/>
    </x:row>
    <x:row r="335" spans="1:26" x14ac:dyDescent="0.2">
      <x:c r="C335" s="625"/>
      <x:c r="D335" s="625"/>
      <x:c r="E335" s="627"/>
      <x:c r="F335" s="627"/>
      <x:c r="G335" s="627"/>
      <x:c r="H335" s="627"/>
      <x:c r="I335" s="627"/>
      <x:c r="J335" s="627"/>
      <x:c r="K335" s="627"/>
      <x:c r="L335" s="627"/>
      <x:c r="M335" s="627"/>
      <x:c r="N335" s="627"/>
      <x:c r="O335" s="627"/>
      <x:c r="P335" s="627"/>
      <x:c r="Q335" s="627"/>
      <x:c r="Z335" s="624"/>
    </x:row>
    <x:row r="336" spans="1:26" x14ac:dyDescent="0.2">
      <x:c r="C336" s="625"/>
      <x:c r="D336" s="625"/>
      <x:c r="E336" s="627"/>
      <x:c r="F336" s="627"/>
      <x:c r="G336" s="627"/>
      <x:c r="H336" s="627"/>
      <x:c r="I336" s="627"/>
      <x:c r="J336" s="627"/>
      <x:c r="K336" s="627"/>
      <x:c r="L336" s="627"/>
      <x:c r="M336" s="627"/>
      <x:c r="N336" s="627"/>
      <x:c r="O336" s="627"/>
      <x:c r="P336" s="627"/>
      <x:c r="Q336" s="627"/>
      <x:c r="Z336" s="624"/>
    </x:row>
    <x:row r="337" spans="3:26" x14ac:dyDescent="0.2">
      <x:c r="C337" s="625"/>
      <x:c r="D337" s="625"/>
      <x:c r="E337" s="627"/>
      <x:c r="F337" s="627"/>
      <x:c r="G337" s="627"/>
      <x:c r="H337" s="627"/>
      <x:c r="I337" s="627"/>
      <x:c r="J337" s="627"/>
      <x:c r="K337" s="627"/>
      <x:c r="L337" s="627"/>
      <x:c r="M337" s="627"/>
      <x:c r="N337" s="627"/>
      <x:c r="O337" s="627"/>
      <x:c r="P337" s="627"/>
      <x:c r="Q337" s="627"/>
      <x:c r="Z337" s="624"/>
    </x:row>
    <x:row r="338" spans="3:26" x14ac:dyDescent="0.2">
      <x:c r="C338" s="625"/>
      <x:c r="D338" s="625"/>
      <x:c r="E338" s="627"/>
      <x:c r="F338" s="627"/>
      <x:c r="G338" s="627"/>
      <x:c r="H338" s="627"/>
      <x:c r="I338" s="627"/>
      <x:c r="J338" s="627"/>
      <x:c r="K338" s="627"/>
      <x:c r="L338" s="627"/>
      <x:c r="M338" s="627"/>
      <x:c r="N338" s="627"/>
      <x:c r="O338" s="627"/>
      <x:c r="P338" s="627"/>
      <x:c r="Q338" s="627"/>
      <x:c r="Z338" s="624"/>
    </x:row>
    <x:row r="339" spans="3:26" x14ac:dyDescent="0.2">
      <x:c r="C339" s="625"/>
      <x:c r="D339" s="625"/>
      <x:c r="E339" s="627"/>
      <x:c r="F339" s="627"/>
      <x:c r="G339" s="627"/>
      <x:c r="H339" s="627"/>
      <x:c r="I339" s="627"/>
      <x:c r="J339" s="627"/>
      <x:c r="K339" s="627"/>
      <x:c r="L339" s="627"/>
      <x:c r="M339" s="627"/>
      <x:c r="N339" s="627"/>
      <x:c r="O339" s="627"/>
      <x:c r="P339" s="627"/>
      <x:c r="Q339" s="627"/>
      <x:c r="Z339" s="624"/>
    </x:row>
    <x:row r="340" spans="3:26" x14ac:dyDescent="0.2">
      <x:c r="C340" s="625"/>
      <x:c r="D340" s="625"/>
      <x:c r="E340" s="627"/>
      <x:c r="F340" s="627"/>
      <x:c r="G340" s="627"/>
      <x:c r="H340" s="627"/>
      <x:c r="I340" s="627"/>
      <x:c r="J340" s="627"/>
      <x:c r="K340" s="627"/>
      <x:c r="L340" s="627"/>
      <x:c r="M340" s="627"/>
      <x:c r="N340" s="627"/>
      <x:c r="O340" s="627"/>
      <x:c r="P340" s="627"/>
      <x:c r="Q340" s="627"/>
      <x:c r="Z340" s="624"/>
    </x:row>
    <x:row r="341" spans="3:26" x14ac:dyDescent="0.2">
      <x:c r="C341" s="625"/>
      <x:c r="D341" s="625"/>
      <x:c r="E341" s="627"/>
      <x:c r="F341" s="627"/>
      <x:c r="G341" s="627"/>
      <x:c r="H341" s="627"/>
      <x:c r="I341" s="627"/>
      <x:c r="J341" s="627"/>
      <x:c r="K341" s="627"/>
      <x:c r="L341" s="627"/>
      <x:c r="M341" s="627"/>
      <x:c r="N341" s="627"/>
      <x:c r="O341" s="627"/>
      <x:c r="P341" s="627"/>
      <x:c r="Q341" s="627"/>
      <x:c r="Z341" s="624"/>
    </x:row>
    <x:row r="342" spans="3:26" x14ac:dyDescent="0.2">
      <x:c r="C342" s="625"/>
      <x:c r="D342" s="625"/>
      <x:c r="E342" s="627"/>
      <x:c r="F342" s="627"/>
      <x:c r="G342" s="627"/>
      <x:c r="H342" s="627"/>
      <x:c r="I342" s="627"/>
      <x:c r="J342" s="627"/>
      <x:c r="K342" s="627"/>
      <x:c r="L342" s="627"/>
      <x:c r="M342" s="627"/>
      <x:c r="N342" s="627"/>
      <x:c r="O342" s="627"/>
      <x:c r="P342" s="627"/>
      <x:c r="Q342" s="627"/>
      <x:c r="Z342" s="624"/>
    </x:row>
    <x:row r="343" spans="3:26" x14ac:dyDescent="0.2">
      <x:c r="C343" s="625"/>
      <x:c r="D343" s="625"/>
      <x:c r="E343" s="627"/>
      <x:c r="F343" s="627"/>
      <x:c r="G343" s="627"/>
      <x:c r="H343" s="627"/>
      <x:c r="I343" s="627"/>
      <x:c r="J343" s="627"/>
      <x:c r="K343" s="627"/>
      <x:c r="L343" s="627"/>
      <x:c r="M343" s="627"/>
      <x:c r="N343" s="627"/>
      <x:c r="O343" s="627"/>
      <x:c r="P343" s="627"/>
      <x:c r="Q343" s="627"/>
      <x:c r="Z343" s="624"/>
    </x:row>
    <x:row r="344" spans="3:26" x14ac:dyDescent="0.2">
      <x:c r="C344" s="625"/>
      <x:c r="D344" s="625"/>
      <x:c r="E344" s="627"/>
      <x:c r="F344" s="627"/>
      <x:c r="G344" s="627"/>
      <x:c r="H344" s="627"/>
      <x:c r="I344" s="627"/>
      <x:c r="J344" s="627"/>
      <x:c r="K344" s="627"/>
      <x:c r="L344" s="627"/>
      <x:c r="M344" s="627"/>
      <x:c r="N344" s="627"/>
      <x:c r="O344" s="627"/>
      <x:c r="P344" s="627"/>
      <x:c r="Q344" s="627"/>
      <x:c r="Z344" s="624"/>
    </x:row>
    <x:row r="345" spans="3:26" x14ac:dyDescent="0.2">
      <x:c r="C345" s="625"/>
      <x:c r="D345" s="625"/>
      <x:c r="E345" s="627"/>
      <x:c r="F345" s="627"/>
      <x:c r="G345" s="627"/>
      <x:c r="H345" s="627"/>
      <x:c r="I345" s="627"/>
      <x:c r="J345" s="627"/>
      <x:c r="K345" s="627"/>
      <x:c r="L345" s="627"/>
      <x:c r="M345" s="627"/>
      <x:c r="N345" s="627"/>
      <x:c r="O345" s="627"/>
      <x:c r="P345" s="627"/>
      <x:c r="Q345" s="627"/>
      <x:c r="Z345" s="624"/>
    </x:row>
    <x:row r="346" spans="3:26" x14ac:dyDescent="0.2">
      <x:c r="C346" s="625"/>
      <x:c r="D346" s="625"/>
      <x:c r="E346" s="627"/>
      <x:c r="F346" s="627"/>
      <x:c r="G346" s="627"/>
      <x:c r="H346" s="627"/>
      <x:c r="I346" s="627"/>
      <x:c r="J346" s="627"/>
      <x:c r="K346" s="627"/>
      <x:c r="L346" s="627"/>
      <x:c r="M346" s="627"/>
      <x:c r="N346" s="627"/>
      <x:c r="O346" s="627"/>
      <x:c r="P346" s="627"/>
      <x:c r="Q346" s="627"/>
      <x:c r="Z346" s="624"/>
    </x:row>
    <x:row r="347" spans="3:26" x14ac:dyDescent="0.2">
      <x:c r="C347" s="625"/>
      <x:c r="D347" s="625"/>
      <x:c r="E347" s="627"/>
      <x:c r="F347" s="627"/>
      <x:c r="G347" s="627"/>
      <x:c r="H347" s="627"/>
      <x:c r="I347" s="627"/>
      <x:c r="J347" s="627"/>
      <x:c r="K347" s="627"/>
      <x:c r="L347" s="627"/>
      <x:c r="M347" s="627"/>
      <x:c r="N347" s="627"/>
      <x:c r="O347" s="627"/>
      <x:c r="P347" s="627"/>
      <x:c r="Q347" s="627"/>
      <x:c r="Z347" s="624"/>
    </x:row>
    <x:row r="348" spans="3:26" x14ac:dyDescent="0.2">
      <x:c r="C348" s="625"/>
      <x:c r="D348" s="625"/>
      <x:c r="E348" s="627"/>
      <x:c r="F348" s="627"/>
      <x:c r="G348" s="627"/>
      <x:c r="H348" s="627"/>
      <x:c r="I348" s="627"/>
      <x:c r="J348" s="627"/>
      <x:c r="K348" s="627"/>
      <x:c r="L348" s="627"/>
      <x:c r="M348" s="627"/>
      <x:c r="N348" s="627"/>
      <x:c r="O348" s="627"/>
      <x:c r="P348" s="627"/>
      <x:c r="Q348" s="627"/>
      <x:c r="Z348" s="624"/>
    </x:row>
    <x:row r="349" spans="3:26" x14ac:dyDescent="0.2">
      <x:c r="C349" s="625"/>
      <x:c r="D349" s="625"/>
      <x:c r="E349" s="627"/>
      <x:c r="F349" s="627"/>
      <x:c r="G349" s="627"/>
      <x:c r="H349" s="627"/>
      <x:c r="I349" s="627"/>
      <x:c r="J349" s="627"/>
      <x:c r="K349" s="627"/>
      <x:c r="L349" s="627"/>
      <x:c r="M349" s="627"/>
      <x:c r="N349" s="627"/>
      <x:c r="O349" s="627"/>
      <x:c r="P349" s="627"/>
      <x:c r="Q349" s="627"/>
      <x:c r="Z349" s="624"/>
    </x:row>
    <x:row r="350" spans="3:26" x14ac:dyDescent="0.2">
      <x:c r="C350" s="625"/>
      <x:c r="D350" s="625"/>
      <x:c r="E350" s="627"/>
      <x:c r="F350" s="627"/>
      <x:c r="G350" s="627"/>
      <x:c r="H350" s="627"/>
      <x:c r="I350" s="627"/>
      <x:c r="J350" s="627"/>
      <x:c r="K350" s="627"/>
      <x:c r="L350" s="627"/>
      <x:c r="M350" s="627"/>
      <x:c r="N350" s="627"/>
      <x:c r="O350" s="627"/>
      <x:c r="P350" s="627"/>
      <x:c r="Q350" s="627"/>
      <x:c r="Z350" s="624"/>
    </x:row>
    <x:row r="351" spans="3:26" x14ac:dyDescent="0.2">
      <x:c r="C351" s="625"/>
      <x:c r="D351" s="625"/>
      <x:c r="E351" s="627"/>
      <x:c r="F351" s="627"/>
      <x:c r="G351" s="627"/>
      <x:c r="H351" s="627"/>
      <x:c r="I351" s="627"/>
      <x:c r="J351" s="627"/>
      <x:c r="K351" s="627"/>
      <x:c r="L351" s="627"/>
      <x:c r="M351" s="627"/>
      <x:c r="N351" s="627"/>
      <x:c r="O351" s="627"/>
      <x:c r="P351" s="627"/>
      <x:c r="Q351" s="627"/>
      <x:c r="Z351" s="624"/>
    </x:row>
    <x:row r="352" spans="3:26" x14ac:dyDescent="0.2">
      <x:c r="C352" s="625"/>
      <x:c r="D352" s="625"/>
      <x:c r="E352" s="627"/>
      <x:c r="F352" s="627"/>
      <x:c r="G352" s="627"/>
      <x:c r="H352" s="627"/>
      <x:c r="I352" s="627"/>
      <x:c r="J352" s="627"/>
      <x:c r="K352" s="627"/>
      <x:c r="L352" s="627"/>
      <x:c r="M352" s="627"/>
      <x:c r="N352" s="627"/>
      <x:c r="O352" s="627"/>
      <x:c r="P352" s="627"/>
      <x:c r="Q352" s="627"/>
      <x:c r="Z352" s="624"/>
    </x:row>
    <x:row r="353" spans="1:26" x14ac:dyDescent="0.2">
      <x:c r="C353" s="625"/>
      <x:c r="D353" s="625"/>
      <x:c r="E353" s="627"/>
      <x:c r="F353" s="627"/>
      <x:c r="G353" s="627"/>
      <x:c r="H353" s="627"/>
      <x:c r="I353" s="627"/>
      <x:c r="J353" s="627"/>
      <x:c r="K353" s="627"/>
      <x:c r="L353" s="627"/>
      <x:c r="M353" s="627"/>
      <x:c r="N353" s="627"/>
      <x:c r="O353" s="627"/>
      <x:c r="P353" s="627"/>
      <x:c r="Q353" s="627"/>
      <x:c r="Z353" s="624"/>
    </x:row>
    <x:row r="354" spans="1:26" x14ac:dyDescent="0.2">
      <x:c r="C354" s="625"/>
      <x:c r="D354" s="625"/>
      <x:c r="E354" s="627"/>
      <x:c r="F354" s="627"/>
      <x:c r="G354" s="627"/>
      <x:c r="H354" s="627"/>
      <x:c r="I354" s="627"/>
      <x:c r="J354" s="627"/>
      <x:c r="K354" s="627"/>
      <x:c r="L354" s="627"/>
      <x:c r="M354" s="627"/>
      <x:c r="N354" s="627"/>
      <x:c r="O354" s="627"/>
      <x:c r="P354" s="627"/>
      <x:c r="Q354" s="627"/>
      <x:c r="Z354" s="624"/>
    </x:row>
    <x:row r="355" spans="1:26" x14ac:dyDescent="0.2">
      <x:c r="C355" s="625"/>
      <x:c r="D355" s="625"/>
      <x:c r="E355" s="627"/>
      <x:c r="F355" s="627"/>
      <x:c r="G355" s="627"/>
      <x:c r="H355" s="627"/>
      <x:c r="I355" s="627"/>
      <x:c r="J355" s="627"/>
      <x:c r="K355" s="627"/>
      <x:c r="L355" s="627"/>
      <x:c r="M355" s="627"/>
      <x:c r="N355" s="627"/>
      <x:c r="O355" s="627"/>
      <x:c r="P355" s="627"/>
      <x:c r="Q355" s="627"/>
      <x:c r="Z355" s="624"/>
    </x:row>
    <x:row r="356" spans="1:26" x14ac:dyDescent="0.2">
      <x:c r="C356" s="625"/>
      <x:c r="D356" s="625"/>
      <x:c r="E356" s="627"/>
      <x:c r="F356" s="627"/>
      <x:c r="G356" s="627"/>
      <x:c r="H356" s="627"/>
      <x:c r="I356" s="627"/>
      <x:c r="J356" s="627"/>
      <x:c r="K356" s="627"/>
      <x:c r="L356" s="627"/>
      <x:c r="M356" s="627"/>
      <x:c r="N356" s="627"/>
      <x:c r="O356" s="627"/>
      <x:c r="P356" s="627"/>
      <x:c r="Q356" s="627"/>
      <x:c r="Z356" s="624"/>
    </x:row>
    <x:row r="357" spans="1:26" x14ac:dyDescent="0.2">
      <x:c r="C357" s="625"/>
      <x:c r="D357" s="625"/>
      <x:c r="E357" s="627"/>
      <x:c r="F357" s="627"/>
      <x:c r="G357" s="627"/>
      <x:c r="H357" s="627"/>
      <x:c r="I357" s="627"/>
      <x:c r="J357" s="627"/>
      <x:c r="K357" s="627"/>
      <x:c r="L357" s="627"/>
      <x:c r="M357" s="627"/>
      <x:c r="N357" s="627"/>
      <x:c r="O357" s="627"/>
      <x:c r="P357" s="627"/>
      <x:c r="Q357" s="627"/>
      <x:c r="Z357" s="624"/>
    </x:row>
    <x:row r="358" spans="1:26" x14ac:dyDescent="0.2">
      <x:c r="B358" s="770" t="s">
        <x:v>2</x:v>
      </x:c>
      <x:c r="C358" s="768" t="s">
        <x:v>132</x:v>
      </x:c>
      <x:c r="D358" s="639" t="s">
        <x:v>70</x:v>
      </x:c>
      <x:c r="E358" s="640">
        <x:f>E303+E323-K303</x:f>
        <x:v>0</x:v>
      </x:c>
      <x:c r="F358" s="640">
        <x:f>F303</x:f>
        <x:v>0</x:v>
      </x:c>
      <x:c r="G358" s="640">
        <x:f t="shared" ref="G358:R358" si="10">G303</x:f>
        <x:v>0</x:v>
      </x:c>
      <x:c r="H358" s="640">
        <x:f t="shared" si="10"/>
        <x:v>0</x:v>
      </x:c>
      <x:c r="I358" s="640">
        <x:f t="shared" si="10"/>
        <x:v>0</x:v>
      </x:c>
      <x:c r="J358" s="640">
        <x:f t="shared" si="10"/>
        <x:v>0</x:v>
      </x:c>
      <x:c r="K358" s="640">
        <x:f t="shared" si="10"/>
        <x:v>0</x:v>
      </x:c>
      <x:c r="L358" s="640">
        <x:f t="shared" si="10"/>
        <x:v>0</x:v>
      </x:c>
      <x:c r="M358" s="640">
        <x:f t="shared" si="10"/>
        <x:v>0</x:v>
      </x:c>
      <x:c r="N358" s="640">
        <x:f t="shared" si="10"/>
        <x:v>0</x:v>
      </x:c>
      <x:c r="O358" s="640">
        <x:f t="shared" si="10"/>
        <x:v>0</x:v>
      </x:c>
      <x:c r="P358" s="640">
        <x:f t="shared" si="10"/>
        <x:v>0</x:v>
      </x:c>
      <x:c r="Q358" s="640">
        <x:f t="shared" si="10"/>
        <x:v>0</x:v>
      </x:c>
      <x:c r="R358" s="640">
        <x:f t="shared" si="10"/>
        <x:v>0</x:v>
      </x:c>
      <x:c r="Z358" s="624"/>
    </x:row>
    <x:row r="359" spans="1:26" x14ac:dyDescent="0.2">
      <x:c r="B359" s="770"/>
      <x:c r="C359" s="768"/>
      <x:c r="D359" s="639" t="s">
        <x:v>73</x:v>
      </x:c>
      <x:c r="E359" s="640">
        <x:f>E323</x:f>
        <x:v>0</x:v>
      </x:c>
      <x:c r="F359" s="627"/>
      <x:c r="G359" s="627"/>
      <x:c r="H359" s="627"/>
      <x:c r="I359" s="627"/>
      <x:c r="J359" s="627"/>
      <x:c r="K359" s="627"/>
      <x:c r="L359" s="627"/>
      <x:c r="M359" s="627"/>
      <x:c r="N359" s="627"/>
      <x:c r="O359" s="627"/>
      <x:c r="P359" s="627"/>
      <x:c r="Q359" s="627"/>
      <x:c r="R359" s="627"/>
      <x:c r="Z359" s="624"/>
    </x:row>
    <x:row r="360" spans="1:26" ht="15" x14ac:dyDescent="0.25">
      <x:c r="A360" s="625"/>
      <x:c r="B360" s="50"/>
      <x:c r="E360" s="627"/>
      <x:c r="F360" s="627"/>
      <x:c r="G360" s="627"/>
      <x:c r="H360" s="627"/>
      <x:c r="I360" s="627"/>
      <x:c r="J360" s="627"/>
      <x:c r="K360" s="627"/>
      <x:c r="L360" s="627"/>
      <x:c r="M360" s="627"/>
      <x:c r="N360" s="627"/>
      <x:c r="O360" s="627"/>
      <x:c r="P360" s="627"/>
      <x:c r="Q360" s="627"/>
      <x:c r="R360" s="627"/>
      <x:c r="Z360" s="624"/>
    </x:row>
    <x:row r="361" spans="1:26" x14ac:dyDescent="0.2">
      <x:c r="B361" s="770" t="s">
        <x:v>160</x:v>
      </x:c>
      <x:c r="C361" s="768" t="s">
        <x:v>132</x:v>
      </x:c>
      <x:c r="D361" s="647" t="s">
        <x:v>70</x:v>
      </x:c>
      <x:c r="E361" s="648">
        <x:f>E315+E292-K292</x:f>
        <x:v>0</x:v>
      </x:c>
      <x:c r="F361" s="648">
        <x:f>F292</x:f>
        <x:v>0</x:v>
      </x:c>
      <x:c r="G361" s="648">
        <x:f t="shared" ref="G361:R361" si="11">G292</x:f>
        <x:v>0</x:v>
      </x:c>
      <x:c r="H361" s="648">
        <x:f t="shared" si="11"/>
        <x:v>0</x:v>
      </x:c>
      <x:c r="I361" s="648">
        <x:f t="shared" si="11"/>
        <x:v>0</x:v>
      </x:c>
      <x:c r="J361" s="648">
        <x:f t="shared" si="11"/>
        <x:v>0</x:v>
      </x:c>
      <x:c r="K361" s="648">
        <x:f t="shared" si="11"/>
        <x:v>0</x:v>
      </x:c>
      <x:c r="L361" s="648">
        <x:f t="shared" si="11"/>
        <x:v>0</x:v>
      </x:c>
      <x:c r="M361" s="648">
        <x:f t="shared" si="11"/>
        <x:v>0</x:v>
      </x:c>
      <x:c r="N361" s="648">
        <x:f t="shared" si="11"/>
        <x:v>0</x:v>
      </x:c>
      <x:c r="O361" s="648">
        <x:f t="shared" si="11"/>
        <x:v>0</x:v>
      </x:c>
      <x:c r="P361" s="648">
        <x:f t="shared" si="11"/>
        <x:v>0</x:v>
      </x:c>
      <x:c r="Q361" s="648">
        <x:f t="shared" si="11"/>
        <x:v>0</x:v>
      </x:c>
      <x:c r="R361" s="648">
        <x:f t="shared" si="11"/>
        <x:v>0</x:v>
      </x:c>
      <x:c r="Z361" s="624"/>
    </x:row>
    <x:row r="362" spans="1:26" x14ac:dyDescent="0.2">
      <x:c r="B362" s="770"/>
      <x:c r="C362" s="768"/>
      <x:c r="D362" s="647" t="s">
        <x:v>73</x:v>
      </x:c>
      <x:c r="E362" s="648">
        <x:f>E315</x:f>
        <x:v>0</x:v>
      </x:c>
      <x:c r="F362" s="627"/>
      <x:c r="G362" s="627"/>
      <x:c r="H362" s="627"/>
      <x:c r="I362" s="627"/>
      <x:c r="J362" s="627"/>
      <x:c r="K362" s="627"/>
      <x:c r="L362" s="627"/>
      <x:c r="M362" s="627"/>
      <x:c r="N362" s="627"/>
      <x:c r="O362" s="627"/>
      <x:c r="P362" s="627"/>
      <x:c r="Q362" s="627"/>
      <x:c r="R362" s="627"/>
      <x:c r="Z362" s="624"/>
    </x:row>
    <x:row r="363" spans="1:26" ht="15" x14ac:dyDescent="0.25">
      <x:c r="A363" s="625"/>
      <x:c r="B363" s="50"/>
      <x:c r="E363" s="627"/>
      <x:c r="F363" s="627"/>
      <x:c r="G363" s="627"/>
      <x:c r="H363" s="627"/>
      <x:c r="I363" s="627"/>
      <x:c r="J363" s="627"/>
      <x:c r="K363" s="627"/>
      <x:c r="L363" s="627"/>
      <x:c r="M363" s="627"/>
      <x:c r="N363" s="627"/>
      <x:c r="O363" s="627"/>
      <x:c r="P363" s="627"/>
      <x:c r="Q363" s="627"/>
      <x:c r="R363" s="627"/>
      <x:c r="Z363" s="624"/>
    </x:row>
    <x:row r="364" spans="1:26" x14ac:dyDescent="0.2">
      <x:c r="B364" s="770" t="s">
        <x:v>155</x:v>
      </x:c>
      <x:c r="C364" s="768" t="s">
        <x:v>132</x:v>
      </x:c>
      <x:c r="D364" s="651" t="s">
        <x:v>70</x:v>
      </x:c>
      <x:c r="E364" s="652">
        <x:f>E306+E279-K279</x:f>
        <x:v>0</x:v>
      </x:c>
      <x:c r="F364" s="652">
        <x:f t="shared" ref="F364:R364" si="12">F279</x:f>
        <x:v>0</x:v>
      </x:c>
      <x:c r="G364" s="652">
        <x:f t="shared" si="12"/>
        <x:v>0</x:v>
      </x:c>
      <x:c r="H364" s="652">
        <x:f t="shared" si="12"/>
        <x:v>0</x:v>
      </x:c>
      <x:c r="I364" s="652">
        <x:f t="shared" si="12"/>
        <x:v>0</x:v>
      </x:c>
      <x:c r="J364" s="652">
        <x:f t="shared" si="12"/>
        <x:v>0</x:v>
      </x:c>
      <x:c r="K364" s="652">
        <x:f t="shared" si="12"/>
        <x:v>0</x:v>
      </x:c>
      <x:c r="L364" s="652">
        <x:f t="shared" si="12"/>
        <x:v>0</x:v>
      </x:c>
      <x:c r="M364" s="652">
        <x:f t="shared" si="12"/>
        <x:v>0</x:v>
      </x:c>
      <x:c r="N364" s="652">
        <x:f t="shared" si="12"/>
        <x:v>0</x:v>
      </x:c>
      <x:c r="O364" s="652">
        <x:f t="shared" si="12"/>
        <x:v>0</x:v>
      </x:c>
      <x:c r="P364" s="652">
        <x:f t="shared" si="12"/>
        <x:v>0</x:v>
      </x:c>
      <x:c r="Q364" s="652">
        <x:f t="shared" si="12"/>
        <x:v>0</x:v>
      </x:c>
      <x:c r="R364" s="652">
        <x:f t="shared" si="12"/>
        <x:v>0</x:v>
      </x:c>
      <x:c r="Z364" s="624"/>
    </x:row>
    <x:row r="365" spans="1:26" x14ac:dyDescent="0.2">
      <x:c r="B365" s="770"/>
      <x:c r="C365" s="768"/>
      <x:c r="D365" s="651" t="s">
        <x:v>73</x:v>
      </x:c>
      <x:c r="E365" s="652">
        <x:f>E306</x:f>
        <x:v>0</x:v>
      </x:c>
      <x:c r="F365" s="627"/>
      <x:c r="G365" s="627"/>
      <x:c r="H365" s="627"/>
      <x:c r="I365" s="627"/>
      <x:c r="J365" s="627"/>
      <x:c r="K365" s="627"/>
      <x:c r="L365" s="627"/>
      <x:c r="M365" s="627"/>
      <x:c r="N365" s="627"/>
      <x:c r="O365" s="627"/>
      <x:c r="P365" s="627"/>
      <x:c r="Q365" s="627"/>
      <x:c r="R365" s="627"/>
      <x:c r="Z365" s="624"/>
    </x:row>
    <x:row r="366" spans="1:26" ht="15" x14ac:dyDescent="0.25">
      <x:c r="A366" s="625"/>
      <x:c r="B366" s="50"/>
      <x:c r="E366" s="627"/>
      <x:c r="F366" s="627"/>
      <x:c r="G366" s="627"/>
      <x:c r="H366" s="627"/>
      <x:c r="I366" s="627"/>
      <x:c r="J366" s="627"/>
      <x:c r="K366" s="627"/>
      <x:c r="L366" s="627"/>
      <x:c r="M366" s="627"/>
      <x:c r="N366" s="627"/>
      <x:c r="O366" s="627"/>
      <x:c r="P366" s="627"/>
      <x:c r="Q366" s="627"/>
      <x:c r="R366" s="627"/>
      <x:c r="Z366" s="624"/>
    </x:row>
    <x:row r="367" spans="1:26" x14ac:dyDescent="0.2">
      <x:c r="B367" s="771" t="s">
        <x:v>326</x:v>
      </x:c>
      <x:c r="C367" s="768" t="s">
        <x:v>132</x:v>
      </x:c>
      <x:c r="D367" s="654" t="s">
        <x:v>70</x:v>
      </x:c>
      <x:c r="E367" s="655">
        <x:v>0</x:v>
      </x:c>
      <x:c r="F367" s="655">
        <x:v>0</x:v>
      </x:c>
      <x:c r="G367" s="655">
        <x:v>0</x:v>
      </x:c>
      <x:c r="H367" s="655">
        <x:v>0</x:v>
      </x:c>
      <x:c r="I367" s="655">
        <x:v>0</x:v>
      </x:c>
      <x:c r="J367" s="655">
        <x:v>0</x:v>
      </x:c>
      <x:c r="K367" s="655">
        <x:v>0</x:v>
      </x:c>
      <x:c r="L367" s="655">
        <x:v>0</x:v>
      </x:c>
      <x:c r="M367" s="655">
        <x:v>0</x:v>
      </x:c>
      <x:c r="N367" s="655">
        <x:v>0</x:v>
      </x:c>
      <x:c r="O367" s="655">
        <x:v>0</x:v>
      </x:c>
      <x:c r="P367" s="655">
        <x:v>0</x:v>
      </x:c>
      <x:c r="Q367" s="655">
        <x:v>0</x:v>
      </x:c>
      <x:c r="R367" s="655">
        <x:v>0</x:v>
      </x:c>
      <x:c r="Z367" s="624"/>
    </x:row>
    <x:row r="368" spans="1:26" x14ac:dyDescent="0.2">
      <x:c r="B368" s="771"/>
      <x:c r="C368" s="768"/>
      <x:c r="D368" s="654" t="s">
        <x:v>73</x:v>
      </x:c>
      <x:c r="E368" s="655">
        <x:v>0</x:v>
      </x:c>
      <x:c r="F368" s="627"/>
      <x:c r="G368" s="627"/>
      <x:c r="H368" s="627"/>
      <x:c r="I368" s="627"/>
      <x:c r="J368" s="627"/>
      <x:c r="K368" s="627"/>
      <x:c r="L368" s="627"/>
      <x:c r="M368" s="627"/>
      <x:c r="N368" s="627"/>
      <x:c r="O368" s="627"/>
      <x:c r="P368" s="627"/>
      <x:c r="Q368" s="627"/>
      <x:c r="R368" s="627"/>
      <x:c r="Z368" s="624"/>
    </x:row>
    <x:row r="369" spans="1:26" ht="15" x14ac:dyDescent="0.25">
      <x:c r="A369" s="625"/>
      <x:c r="B369" s="50"/>
      <x:c r="E369" s="627"/>
      <x:c r="F369" s="627"/>
      <x:c r="G369" s="627"/>
      <x:c r="H369" s="627"/>
      <x:c r="I369" s="627"/>
      <x:c r="J369" s="627"/>
      <x:c r="K369" s="627"/>
      <x:c r="L369" s="627"/>
      <x:c r="M369" s="627"/>
      <x:c r="N369" s="627"/>
      <x:c r="O369" s="627"/>
      <x:c r="P369" s="627"/>
      <x:c r="Q369" s="627"/>
      <x:c r="R369" s="627"/>
      <x:c r="Z369" s="624"/>
    </x:row>
    <x:row r="370" spans="1:26" x14ac:dyDescent="0.2">
      <x:c r="A370" s="25" t="s">
        <x:v>227</x:v>
      </x:c>
      <x:c r="B370" s="770" t="s">
        <x:v>119</x:v>
      </x:c>
      <x:c r="C370" s="768" t="s">
        <x:v>132</x:v>
      </x:c>
      <x:c r="D370" s="632" t="s">
        <x:v>70</x:v>
      </x:c>
      <x:c r="E370" s="633">
        <x:f>E302+E322-K302</x:f>
        <x:v>0</x:v>
      </x:c>
      <x:c r="F370" s="633">
        <x:f>F302</x:f>
        <x:v>0</x:v>
      </x:c>
      <x:c r="G370" s="633">
        <x:f t="shared" ref="G370:R370" si="13">G302</x:f>
        <x:v>0</x:v>
      </x:c>
      <x:c r="H370" s="633">
        <x:f t="shared" si="13"/>
        <x:v>0</x:v>
      </x:c>
      <x:c r="I370" s="633">
        <x:f t="shared" si="13"/>
        <x:v>0</x:v>
      </x:c>
      <x:c r="J370" s="633">
        <x:f t="shared" si="13"/>
        <x:v>0</x:v>
      </x:c>
      <x:c r="K370" s="633">
        <x:f t="shared" si="13"/>
        <x:v>0</x:v>
      </x:c>
      <x:c r="L370" s="633">
        <x:f t="shared" si="13"/>
        <x:v>0</x:v>
      </x:c>
      <x:c r="M370" s="633">
        <x:f t="shared" si="13"/>
        <x:v>0</x:v>
      </x:c>
      <x:c r="N370" s="633">
        <x:f t="shared" si="13"/>
        <x:v>0</x:v>
      </x:c>
      <x:c r="O370" s="633">
        <x:f t="shared" si="13"/>
        <x:v>0</x:v>
      </x:c>
      <x:c r="P370" s="633">
        <x:f t="shared" si="13"/>
        <x:v>0</x:v>
      </x:c>
      <x:c r="Q370" s="633">
        <x:f t="shared" si="13"/>
        <x:v>0</x:v>
      </x:c>
      <x:c r="R370" s="633">
        <x:f t="shared" si="13"/>
        <x:v>0</x:v>
      </x:c>
      <x:c r="Z370" s="624"/>
    </x:row>
    <x:row r="371" spans="1:26" x14ac:dyDescent="0.2">
      <x:c r="B371" s="770"/>
      <x:c r="C371" s="768"/>
      <x:c r="D371" s="632" t="s">
        <x:v>73</x:v>
      </x:c>
      <x:c r="E371" s="633">
        <x:f>E322</x:f>
        <x:v>0</x:v>
      </x:c>
      <x:c r="F371" s="627"/>
      <x:c r="G371" s="627"/>
      <x:c r="H371" s="627"/>
      <x:c r="I371" s="627"/>
      <x:c r="J371" s="627"/>
      <x:c r="K371" s="627"/>
      <x:c r="L371" s="627"/>
      <x:c r="M371" s="627"/>
      <x:c r="N371" s="627"/>
      <x:c r="O371" s="627"/>
      <x:c r="P371" s="627"/>
      <x:c r="Q371" s="627"/>
      <x:c r="R371" s="627"/>
      <x:c r="Z371" s="624"/>
    </x:row>
    <x:row r="372" spans="1:26" ht="15" x14ac:dyDescent="0.25">
      <x:c r="A372" s="625"/>
      <x:c r="B372" s="50"/>
      <x:c r="E372" s="627"/>
      <x:c r="F372" s="627"/>
      <x:c r="G372" s="627"/>
      <x:c r="H372" s="627"/>
      <x:c r="I372" s="627"/>
      <x:c r="J372" s="627"/>
      <x:c r="K372" s="627"/>
      <x:c r="L372" s="627"/>
      <x:c r="M372" s="627"/>
      <x:c r="N372" s="627"/>
      <x:c r="O372" s="627"/>
      <x:c r="P372" s="627"/>
      <x:c r="Q372" s="627"/>
      <x:c r="R372" s="627"/>
      <x:c r="Z372" s="624"/>
    </x:row>
    <x:row r="373" spans="1:26" x14ac:dyDescent="0.2">
      <x:c r="B373" s="769" t="s">
        <x:v>161</x:v>
      </x:c>
      <x:c r="C373" s="768" t="s">
        <x:v>132</x:v>
      </x:c>
      <x:c r="D373" s="661" t="s">
        <x:v>70</x:v>
      </x:c>
      <x:c r="E373" s="662">
        <x:v>0</x:v>
      </x:c>
      <x:c r="F373" s="662">
        <x:v>0</x:v>
      </x:c>
      <x:c r="G373" s="662">
        <x:v>0</x:v>
      </x:c>
      <x:c r="H373" s="662">
        <x:v>0</x:v>
      </x:c>
      <x:c r="I373" s="662">
        <x:v>0</x:v>
      </x:c>
      <x:c r="J373" s="662">
        <x:v>0</x:v>
      </x:c>
      <x:c r="K373" s="662">
        <x:v>0</x:v>
      </x:c>
      <x:c r="L373" s="662">
        <x:v>0</x:v>
      </x:c>
      <x:c r="M373" s="662">
        <x:v>0</x:v>
      </x:c>
      <x:c r="N373" s="662">
        <x:v>0</x:v>
      </x:c>
      <x:c r="O373" s="662">
        <x:v>0</x:v>
      </x:c>
      <x:c r="P373" s="662">
        <x:v>0</x:v>
      </x:c>
      <x:c r="Q373" s="662">
        <x:v>0</x:v>
      </x:c>
      <x:c r="R373" s="662">
        <x:v>0</x:v>
      </x:c>
      <x:c r="Z373" s="624"/>
    </x:row>
    <x:row r="374" spans="1:26" x14ac:dyDescent="0.2">
      <x:c r="B374" s="769"/>
      <x:c r="C374" s="768"/>
      <x:c r="D374" s="661" t="s">
        <x:v>73</x:v>
      </x:c>
      <x:c r="E374" s="662">
        <x:v>0</x:v>
      </x:c>
      <x:c r="F374" s="627"/>
      <x:c r="G374" s="627"/>
      <x:c r="H374" s="627"/>
      <x:c r="I374" s="627"/>
      <x:c r="J374" s="627"/>
      <x:c r="K374" s="627"/>
      <x:c r="L374" s="627"/>
      <x:c r="M374" s="627"/>
      <x:c r="N374" s="627"/>
      <x:c r="O374" s="627"/>
      <x:c r="P374" s="627"/>
      <x:c r="Q374" s="627"/>
      <x:c r="R374" s="627"/>
      <x:c r="Z374" s="624"/>
    </x:row>
    <x:row r="375" spans="1:26" x14ac:dyDescent="0.2">
      <x:c r="A375" s="624"/>
      <x:c r="B375" s="624"/>
      <x:c r="C375" s="624"/>
      <x:c r="D375" s="624"/>
      <x:c r="E375" s="624"/>
      <x:c r="F375" s="624"/>
      <x:c r="G375" s="624"/>
      <x:c r="H375" s="624"/>
      <x:c r="I375" s="624"/>
      <x:c r="J375" s="624"/>
      <x:c r="K375" s="624"/>
      <x:c r="L375" s="624"/>
      <x:c r="M375" s="624"/>
      <x:c r="N375" s="624"/>
      <x:c r="O375" s="624"/>
      <x:c r="P375" s="624"/>
      <x:c r="Q375" s="624"/>
      <x:c r="R375" s="624"/>
      <x:c r="S375" s="624"/>
      <x:c r="T375" s="624"/>
      <x:c r="U375" s="624"/>
      <x:c r="V375" s="624"/>
      <x:c r="W375" s="624"/>
      <x:c r="X375" s="624"/>
      <x:c r="Y375" s="624"/>
      <x:c r="Z375" s="624"/>
    </x:row>
    <x:row r="376" spans="1:26" ht="15" x14ac:dyDescent="0.25">
      <x:c r="B376" s="676" t="s">
        <x:v>93</x:v>
      </x:c>
      <x:c r="Z376" s="624"/>
    </x:row>
    <x:row r="377" spans="1:26" s="50" customFormat="1" ht="15" x14ac:dyDescent="0.25">
      <x:c r="E377" s="669" t="s">
        <x:v>70</x:v>
      </x:c>
      <x:c r="F377" s="669" t="s">
        <x:v>64</x:v>
      </x:c>
      <x:c r="G377" s="669" t="s">
        <x:v>65</x:v>
      </x:c>
      <x:c r="H377" s="674" t="s">
        <x:v>164</x:v>
      </x:c>
      <x:c r="I377" s="669" t="s">
        <x:v>69</x:v>
      </x:c>
      <x:c r="J377" s="669" t="s">
        <x:v>68</x:v>
      </x:c>
      <x:c r="K377" s="669" t="s">
        <x:v>83</x:v>
      </x:c>
      <x:c r="L377" s="669" t="s">
        <x:v>66</x:v>
      </x:c>
      <x:c r="M377" s="669" t="s">
        <x:v>63</x:v>
      </x:c>
      <x:c r="N377" s="669" t="s">
        <x:v>61</x:v>
      </x:c>
      <x:c r="O377" s="669" t="s">
        <x:v>62</x:v>
      </x:c>
      <x:c r="P377" s="669" t="s">
        <x:v>67</x:v>
      </x:c>
      <x:c r="Q377" s="669" t="s">
        <x:v>84</x:v>
      </x:c>
      <x:c r="R377" s="669" t="s">
        <x:v>226</x:v>
      </x:c>
      <x:c r="Z377" s="618"/>
    </x:row>
    <x:row r="378" spans="1:26" x14ac:dyDescent="0.2">
      <x:c r="D378" s="625" t="s">
        <x:v>72</x:v>
      </x:c>
      <x:c r="E378" s="627" t="n">
        <x:v>15858979.21</x:v>
      </x:c>
      <x:c r="F378" s="627" t="n">
        <x:v>1142884.84</x:v>
      </x:c>
      <x:c r="G378" s="627" t="n">
        <x:v>647979.45</x:v>
      </x:c>
      <x:c r="H378" s="627" t="n">
        <x:v>293455.67</x:v>
      </x:c>
      <x:c r="I378" s="627" t="n">
        <x:v>3902193.94</x:v>
      </x:c>
      <x:c r="J378" s="627" t="n">
        <x:v>167665.98</x:v>
      </x:c>
      <x:c r="K378" s="627" t="n">
        <x:v>7.53</x:v>
      </x:c>
      <x:c r="L378" s="627" t="n">
        <x:v>883679.59</x:v>
      </x:c>
      <x:c r="M378" s="627" t="n">
        <x:v>829763.71</x:v>
      </x:c>
      <x:c r="N378" s="627" t="n">
        <x:v>4424793.64</x:v>
      </x:c>
      <x:c r="O378" s="627" t="n">
        <x:v>3371296.37</x:v>
      </x:c>
      <x:c r="P378" s="627" t="n">
        <x:v>195445.23</x:v>
      </x:c>
      <x:c r="Q378" s="627" t="n">
        <x:v>-186.74</x:v>
      </x:c>
      <x:c r="R378" s="653" t="n">
        <x:v>0</x:v>
      </x:c>
      <x:c r="Z378" s="624"/>
    </x:row>
    <x:row r="379" spans="1:26" x14ac:dyDescent="0.2">
      <x:c r="D379" s="625" t="s">
        <x:v>81</x:v>
      </x:c>
      <x:c r="E379" s="627" t="n">
        <x:v>10920.65</x:v>
      </x:c>
      <x:c r="F379" s="627" t="n">
        <x:v>668.59</x:v>
      </x:c>
      <x:c r="G379" s="627" t="n">
        <x:v>376.6</x:v>
      </x:c>
      <x:c r="H379" s="627" t="n">
        <x:v>197.43</x:v>
      </x:c>
      <x:c r="I379" s="627" t="n">
        <x:v>2261.21</x:v>
      </x:c>
      <x:c r="J379" s="627" t="n">
        <x:v>85.19</x:v>
      </x:c>
      <x:c r="K379" s="627" t="n">
        <x:v>0</x:v>
      </x:c>
      <x:c r="L379" s="627" t="n">
        <x:v>748.02</x:v>
      </x:c>
      <x:c r="M379" s="627" t="n">
        <x:v>682.38</x:v>
      </x:c>
      <x:c r="N379" s="627" t="n">
        <x:v>3766.04</x:v>
      </x:c>
      <x:c r="O379" s="627" t="n">
        <x:v>1992.99</x:v>
      </x:c>
      <x:c r="P379" s="627" t="n">
        <x:v>142.17</x:v>
      </x:c>
      <x:c r="Q379" s="627" t="n">
        <x:v>0.03</x:v>
      </x:c>
      <x:c r="R379" s="653" t="n">
        <x:v>0</x:v>
      </x:c>
      <x:c r="Z379" s="624"/>
    </x:row>
    <x:row r="380" spans="1:26" x14ac:dyDescent="0.2">
      <x:c r="B380" s="625"/>
      <x:c r="C380" s="625" t="s">
        <x:v>156</x:v>
      </x:c>
      <x:c r="D380" s="25" t="s">
        <x:v>70</x:v>
      </x:c>
      <x:c r="E380" s="627" t="n">
        <x:v>15869899.86</x:v>
      </x:c>
      <x:c r="F380" s="627" t="n">
        <x:v>1143553.43</x:v>
      </x:c>
      <x:c r="G380" s="627" t="n">
        <x:v>648356.05</x:v>
      </x:c>
      <x:c r="H380" s="627" t="n">
        <x:v>293653.1</x:v>
      </x:c>
      <x:c r="I380" s="627" t="n">
        <x:v>3904455.15</x:v>
      </x:c>
      <x:c r="J380" s="627" t="n">
        <x:v>167751.17</x:v>
      </x:c>
      <x:c r="K380" s="627" t="n">
        <x:v>7.53</x:v>
      </x:c>
      <x:c r="L380" s="627" t="n">
        <x:v>884427.61</x:v>
      </x:c>
      <x:c r="M380" s="627" t="n">
        <x:v>830446.09</x:v>
      </x:c>
      <x:c r="N380" s="627" t="n">
        <x:v>4428559.68</x:v>
      </x:c>
      <x:c r="O380" s="627" t="n">
        <x:v>3373289.36</x:v>
      </x:c>
      <x:c r="P380" s="627" t="n">
        <x:v>195587.4</x:v>
      </x:c>
      <x:c r="Q380" s="627" t="n">
        <x:v>-186.71</x:v>
      </x:c>
      <x:c r="R380" s="653" t="n">
        <x:v>0</x:v>
      </x:c>
      <x:c r="Z380" s="624"/>
    </x:row>
    <x:row r="381" spans="1:26" x14ac:dyDescent="0.2">
      <x:c r="A381" s="628"/>
      <x:c r="B381" s="628" t="s">
        <x:v>155</x:v>
      </x:c>
      <x:c r="C381" s="628" t="s">
        <x:v>70</x:v>
      </x:c>
      <x:c r="D381" s="628"/>
      <x:c r="E381" s="677" t="n">
        <x:v>15869899.86</x:v>
      </x:c>
      <x:c r="F381" s="677" t="n">
        <x:v>1143553.43</x:v>
      </x:c>
      <x:c r="G381" s="677" t="n">
        <x:v>648356.05</x:v>
      </x:c>
      <x:c r="H381" s="677" t="n">
        <x:v>293653.1</x:v>
      </x:c>
      <x:c r="I381" s="677" t="n">
        <x:v>3904455.15</x:v>
      </x:c>
      <x:c r="J381" s="677" t="n">
        <x:v>167751.17</x:v>
      </x:c>
      <x:c r="K381" s="677" t="n">
        <x:v>7.53</x:v>
      </x:c>
      <x:c r="L381" s="677" t="n">
        <x:v>884427.61</x:v>
      </x:c>
      <x:c r="M381" s="677" t="n">
        <x:v>830446.09</x:v>
      </x:c>
      <x:c r="N381" s="677" t="n">
        <x:v>4428559.68</x:v>
      </x:c>
      <x:c r="O381" s="677" t="n">
        <x:v>3373289.36</x:v>
      </x:c>
      <x:c r="P381" s="677" t="n">
        <x:v>195587.4</x:v>
      </x:c>
      <x:c r="Q381" s="677" t="n">
        <x:v>-186.71</x:v>
      </x:c>
      <x:c r="R381" s="677" t="n">
        <x:v>0</x:v>
      </x:c>
      <x:c r="S381" s="628"/>
      <x:c r="T381" s="628"/>
      <x:c r="U381" s="628"/>
      <x:c r="V381" s="628"/>
      <x:c r="W381" s="628"/>
      <x:c r="X381" s="628"/>
      <x:c r="Y381" s="628"/>
      <x:c r="Z381" s="624"/>
    </x:row>
    <x:row r="382" spans="1:26" x14ac:dyDescent="0.2">
      <x:c r="D382" s="25" t="s">
        <x:v>72</x:v>
      </x:c>
      <x:c r="E382" s="653" t="n">
        <x:v>7067395.92</x:v>
      </x:c>
      <x:c r="F382" s="653" t="n">
        <x:v>393399.47</x:v>
      </x:c>
      <x:c r="G382" s="653" t="n">
        <x:v>221866.96</x:v>
      </x:c>
      <x:c r="H382" s="653" t="n">
        <x:v>109783.76</x:v>
      </x:c>
      <x:c r="I382" s="653" t="n">
        <x:v>1570660.98</x:v>
      </x:c>
      <x:c r="J382" s="653" t="n">
        <x:v>53945.48</x:v>
      </x:c>
      <x:c r="K382" s="653" t="n">
        <x:v>0</x:v>
      </x:c>
      <x:c r="L382" s="653" t="n">
        <x:v>519042.52</x:v>
      </x:c>
      <x:c r="M382" s="653" t="n">
        <x:v>517973.35</x:v>
      </x:c>
      <x:c r="N382" s="653" t="n">
        <x:v>2375543.37</x:v>
      </x:c>
      <x:c r="O382" s="653" t="n">
        <x:v>1218824.38</x:v>
      </x:c>
      <x:c r="P382" s="653" t="n">
        <x:v>86340.36</x:v>
      </x:c>
      <x:c r="Q382" s="653" t="n">
        <x:v>15.29</x:v>
      </x:c>
      <x:c r="R382" s="653" t="n">
        <x:v>0</x:v>
      </x:c>
      <x:c r="Z382" s="624"/>
    </x:row>
    <x:row r="383" spans="1:26" x14ac:dyDescent="0.2">
      <x:c r="D383" s="25" t="s">
        <x:v>81</x:v>
      </x:c>
      <x:c r="E383" s="653" t="n">
        <x:v>3693.62</x:v>
      </x:c>
      <x:c r="F383" s="653" t="n">
        <x:v>209.47</x:v>
      </x:c>
      <x:c r="G383" s="653" t="n">
        <x:v>117.42</x:v>
      </x:c>
      <x:c r="H383" s="653" t="n">
        <x:v>62.17</x:v>
      </x:c>
      <x:c r="I383" s="653" t="n">
        <x:v>821.12</x:v>
      </x:c>
      <x:c r="J383" s="653" t="n">
        <x:v>29.04</x:v>
      </x:c>
      <x:c r="K383" s="653" t="n">
        <x:v>0</x:v>
      </x:c>
      <x:c r="L383" s="653" t="n">
        <x:v>251</x:v>
      </x:c>
      <x:c r="M383" s="653" t="n">
        <x:v>249.35</x:v>
      </x:c>
      <x:c r="N383" s="653" t="n">
        <x:v>1282.37</x:v>
      </x:c>
      <x:c r="O383" s="653" t="n">
        <x:v>624.24</x:v>
      </x:c>
      <x:c r="P383" s="653" t="n">
        <x:v>47.42</x:v>
      </x:c>
      <x:c r="Q383" s="653" t="n">
        <x:v>0.02</x:v>
      </x:c>
      <x:c r="R383" s="653" t="n">
        <x:v>0</x:v>
      </x:c>
      <x:c r="Z383" s="624"/>
    </x:row>
    <x:row r="384" spans="1:26" x14ac:dyDescent="0.2">
      <x:c r="C384" s="25" t="s">
        <x:v>156</x:v>
      </x:c>
      <x:c r="D384" s="25" t="s">
        <x:v>70</x:v>
      </x:c>
      <x:c r="E384" s="653" t="n">
        <x:v>7071089.54</x:v>
      </x:c>
      <x:c r="F384" s="653" t="n">
        <x:v>393608.94</x:v>
      </x:c>
      <x:c r="G384" s="653" t="n">
        <x:v>221984.38</x:v>
      </x:c>
      <x:c r="H384" s="653" t="n">
        <x:v>109845.93</x:v>
      </x:c>
      <x:c r="I384" s="653" t="n">
        <x:v>1571482.1</x:v>
      </x:c>
      <x:c r="J384" s="653" t="n">
        <x:v>53974.52</x:v>
      </x:c>
      <x:c r="K384" s="653" t="n">
        <x:v>0</x:v>
      </x:c>
      <x:c r="L384" s="653" t="n">
        <x:v>519293.52</x:v>
      </x:c>
      <x:c r="M384" s="653" t="n">
        <x:v>518222.7</x:v>
      </x:c>
      <x:c r="N384" s="653" t="n">
        <x:v>2376825.74</x:v>
      </x:c>
      <x:c r="O384" s="653" t="n">
        <x:v>1219448.62</x:v>
      </x:c>
      <x:c r="P384" s="653" t="n">
        <x:v>86387.78</x:v>
      </x:c>
      <x:c r="Q384" s="653" t="n">
        <x:v>15.31</x:v>
      </x:c>
      <x:c r="R384" s="653" t="n">
        <x:v>0</x:v>
      </x:c>
      <x:c r="Z384" s="624"/>
    </x:row>
    <x:row r="385" spans="1:26" x14ac:dyDescent="0.2">
      <x:c r="A385" s="668"/>
      <x:c r="B385" s="668" t="s">
        <x:v>326</x:v>
      </x:c>
      <x:c r="C385" s="668" t="s">
        <x:v>70</x:v>
      </x:c>
      <x:c r="D385" s="668"/>
      <x:c r="E385" s="662" t="n">
        <x:v>7071089.54</x:v>
      </x:c>
      <x:c r="F385" s="662" t="n">
        <x:v>393608.94</x:v>
      </x:c>
      <x:c r="G385" s="662" t="n">
        <x:v>221984.38</x:v>
      </x:c>
      <x:c r="H385" s="662" t="n">
        <x:v>109845.93</x:v>
      </x:c>
      <x:c r="I385" s="662" t="n">
        <x:v>1571482.1</x:v>
      </x:c>
      <x:c r="J385" s="662" t="n">
        <x:v>53974.52</x:v>
      </x:c>
      <x:c r="K385" s="662" t="n">
        <x:v>0</x:v>
      </x:c>
      <x:c r="L385" s="662" t="n">
        <x:v>519293.52</x:v>
      </x:c>
      <x:c r="M385" s="662" t="n">
        <x:v>518222.7</x:v>
      </x:c>
      <x:c r="N385" s="662" t="n">
        <x:v>2376825.74</x:v>
      </x:c>
      <x:c r="O385" s="662" t="n">
        <x:v>1219448.62</x:v>
      </x:c>
      <x:c r="P385" s="662" t="n">
        <x:v>86387.78</x:v>
      </x:c>
      <x:c r="Q385" s="662" t="n">
        <x:v>15.31</x:v>
      </x:c>
      <x:c r="R385" s="662" t="n">
        <x:v>0</x:v>
      </x:c>
      <x:c r="S385" s="662"/>
      <x:c r="T385" s="668"/>
      <x:c r="U385" s="668"/>
      <x:c r="V385" s="668"/>
      <x:c r="W385" s="668"/>
      <x:c r="X385" s="668"/>
      <x:c r="Y385" s="668"/>
      <x:c r="Z385" s="624"/>
    </x:row>
    <x:row r="386" spans="1:26" x14ac:dyDescent="0.2">
      <x:c r="D386" s="25" t="s">
        <x:v>72</x:v>
      </x:c>
      <x:c r="E386" s="653" t="n">
        <x:v>1844611.99</x:v>
      </x:c>
      <x:c r="F386" s="653" t="n">
        <x:v>95285.21</x:v>
      </x:c>
      <x:c r="G386" s="653" t="n">
        <x:v>53059.64</x:v>
      </x:c>
      <x:c r="H386" s="653" t="n">
        <x:v>24579.26</x:v>
      </x:c>
      <x:c r="I386" s="653" t="n">
        <x:v>413299.15</x:v>
      </x:c>
      <x:c r="J386" s="653" t="n">
        <x:v>13648.04</x:v>
      </x:c>
      <x:c r="K386" s="653" t="n">
        <x:v>0</x:v>
      </x:c>
      <x:c r="L386" s="653" t="n">
        <x:v>119701.46</x:v>
      </x:c>
      <x:c r="M386" s="653" t="n">
        <x:v>117793.01</x:v>
      </x:c>
      <x:c r="N386" s="653" t="n">
        <x:v>696050.14</x:v>
      </x:c>
      <x:c r="O386" s="653" t="n">
        <x:v>291977.02</x:v>
      </x:c>
      <x:c r="P386" s="653" t="n">
        <x:v>19217.07</x:v>
      </x:c>
      <x:c r="Q386" s="653" t="n">
        <x:v>1.99</x:v>
      </x:c>
      <x:c r="R386" s="653" t="n">
        <x:v>0</x:v>
      </x:c>
      <x:c r="Z386" s="624"/>
    </x:row>
    <x:row r="387" spans="1:26" x14ac:dyDescent="0.2">
      <x:c r="D387" s="25" t="s">
        <x:v>81</x:v>
      </x:c>
      <x:c r="E387" s="653" t="n">
        <x:v>6095.4</x:v>
      </x:c>
      <x:c r="F387" s="653" t="n">
        <x:v>381.36</x:v>
      </x:c>
      <x:c r="G387" s="653" t="n">
        <x:v>189.7</x:v>
      </x:c>
      <x:c r="H387" s="653" t="n">
        <x:v>106.63</x:v>
      </x:c>
      <x:c r="I387" s="653" t="n">
        <x:v>1419.33</x:v>
      </x:c>
      <x:c r="J387" s="653" t="n">
        <x:v>35.03</x:v>
      </x:c>
      <x:c r="K387" s="653" t="n">
        <x:v>0</x:v>
      </x:c>
      <x:c r="L387" s="653" t="n">
        <x:v>306.46</x:v>
      </x:c>
      <x:c r="M387" s="653" t="n">
        <x:v>410.51</x:v>
      </x:c>
      <x:c r="N387" s="653" t="n">
        <x:v>2047.73</x:v>
      </x:c>
      <x:c r="O387" s="653" t="n">
        <x:v>1141.46</x:v>
      </x:c>
      <x:c r="P387" s="653" t="n">
        <x:v>57.07</x:v>
      </x:c>
      <x:c r="Q387" s="653" t="n">
        <x:v>0.12</x:v>
      </x:c>
      <x:c r="R387" s="653" t="n">
        <x:v>0</x:v>
      </x:c>
      <x:c r="Z387" s="624"/>
    </x:row>
    <x:row r="388" spans="1:26" x14ac:dyDescent="0.2">
      <x:c r="C388" s="25" t="s">
        <x:v>82</x:v>
      </x:c>
      <x:c r="D388" s="25" t="s">
        <x:v>70</x:v>
      </x:c>
      <x:c r="E388" s="653" t="n">
        <x:v>1850707.39</x:v>
      </x:c>
      <x:c r="F388" s="653" t="n">
        <x:v>95666.57</x:v>
      </x:c>
      <x:c r="G388" s="653" t="n">
        <x:v>53249.34</x:v>
      </x:c>
      <x:c r="H388" s="653" t="n">
        <x:v>24685.89</x:v>
      </x:c>
      <x:c r="I388" s="653" t="n">
        <x:v>414718.48</x:v>
      </x:c>
      <x:c r="J388" s="653" t="n">
        <x:v>13683.07</x:v>
      </x:c>
      <x:c r="K388" s="653" t="n">
        <x:v>0</x:v>
      </x:c>
      <x:c r="L388" s="653" t="n">
        <x:v>120007.92</x:v>
      </x:c>
      <x:c r="M388" s="653" t="n">
        <x:v>118203.52</x:v>
      </x:c>
      <x:c r="N388" s="653" t="n">
        <x:v>698097.87</x:v>
      </x:c>
      <x:c r="O388" s="653" t="n">
        <x:v>293118.48</x:v>
      </x:c>
      <x:c r="P388" s="653" t="n">
        <x:v>19274.14</x:v>
      </x:c>
      <x:c r="Q388" s="653" t="n">
        <x:v>2.11</x:v>
      </x:c>
      <x:c r="R388" s="653" t="n">
        <x:v>0</x:v>
      </x:c>
      <x:c r="Z388" s="624"/>
    </x:row>
    <x:row r="389" spans="1:26" x14ac:dyDescent="0.2">
      <x:c r="D389" s="25" t="s">
        <x:v>72</x:v>
      </x:c>
      <x:c r="E389" s="653" t="n">
        <x:v>534266.78</x:v>
      </x:c>
      <x:c r="F389" s="653" t="n">
        <x:v>32938.61</x:v>
      </x:c>
      <x:c r="G389" s="653" t="n">
        <x:v>18430.99</x:v>
      </x:c>
      <x:c r="H389" s="653" t="n">
        <x:v>8405.81</x:v>
      </x:c>
      <x:c r="I389" s="653" t="n">
        <x:v>129200.63</x:v>
      </x:c>
      <x:c r="J389" s="653" t="n">
        <x:v>4646.49</x:v>
      </x:c>
      <x:c r="K389" s="653" t="n">
        <x:v>0</x:v>
      </x:c>
      <x:c r="L389" s="653" t="n">
        <x:v>31973.6</x:v>
      </x:c>
      <x:c r="M389" s="653" t="n">
        <x:v>27737.2</x:v>
      </x:c>
      <x:c r="N389" s="653" t="n">
        <x:v>181281.16</x:v>
      </x:c>
      <x:c r="O389" s="653" t="n">
        <x:v>94114.42</x:v>
      </x:c>
      <x:c r="P389" s="653" t="n">
        <x:v>5537.75</x:v>
      </x:c>
      <x:c r="Q389" s="653" t="n">
        <x:v>0.12</x:v>
      </x:c>
      <x:c r="R389" s="653" t="n">
        <x:v>0</x:v>
      </x:c>
      <x:c r="Z389" s="624"/>
    </x:row>
    <x:row r="390" spans="1:26" x14ac:dyDescent="0.2">
      <x:c r="D390" s="25" t="s">
        <x:v>81</x:v>
      </x:c>
      <x:c r="E390" s="653" t="n">
        <x:v>61.39</x:v>
      </x:c>
      <x:c r="F390" s="653" t="n">
        <x:v>3.35</x:v>
      </x:c>
      <x:c r="G390" s="653" t="n">
        <x:v>1.89</x:v>
      </x:c>
      <x:c r="H390" s="653" t="n">
        <x:v>0.99</x:v>
      </x:c>
      <x:c r="I390" s="653" t="n">
        <x:v>13.82</x:v>
      </x:c>
      <x:c r="J390" s="653" t="n">
        <x:v>0.5</x:v>
      </x:c>
      <x:c r="K390" s="653" t="n">
        <x:v>0</x:v>
      </x:c>
      <x:c r="L390" s="653" t="n">
        <x:v>4.41</x:v>
      </x:c>
      <x:c r="M390" s="653" t="n">
        <x:v>4.29</x:v>
      </x:c>
      <x:c r="N390" s="653" t="n">
        <x:v>22.2</x:v>
      </x:c>
      <x:c r="O390" s="653" t="n">
        <x:v>9.13</x:v>
      </x:c>
      <x:c r="P390" s="653" t="n">
        <x:v>0.82</x:v>
      </x:c>
      <x:c r="Q390" s="653" t="n">
        <x:v>-0.01</x:v>
      </x:c>
      <x:c r="R390" s="653" t="n">
        <x:v>0</x:v>
      </x:c>
      <x:c r="Z390" s="624"/>
    </x:row>
    <x:row r="391" spans="1:26" x14ac:dyDescent="0.2">
      <x:c r="C391" s="25" t="s">
        <x:v>86</x:v>
      </x:c>
      <x:c r="D391" s="25" t="s">
        <x:v>70</x:v>
      </x:c>
      <x:c r="E391" s="653" t="n">
        <x:v>534328.17</x:v>
      </x:c>
      <x:c r="F391" s="653" t="n">
        <x:v>32941.96</x:v>
      </x:c>
      <x:c r="G391" s="653" t="n">
        <x:v>18432.88</x:v>
      </x:c>
      <x:c r="H391" s="653" t="n">
        <x:v>8406.8</x:v>
      </x:c>
      <x:c r="I391" s="653" t="n">
        <x:v>129214.45</x:v>
      </x:c>
      <x:c r="J391" s="653" t="n">
        <x:v>4646.99</x:v>
      </x:c>
      <x:c r="K391" s="653" t="n">
        <x:v>0</x:v>
      </x:c>
      <x:c r="L391" s="653" t="n">
        <x:v>31978.01</x:v>
      </x:c>
      <x:c r="M391" s="653" t="n">
        <x:v>27741.49</x:v>
      </x:c>
      <x:c r="N391" s="653" t="n">
        <x:v>181303.36</x:v>
      </x:c>
      <x:c r="O391" s="653" t="n">
        <x:v>94123.55</x:v>
      </x:c>
      <x:c r="P391" s="653" t="n">
        <x:v>5538.57</x:v>
      </x:c>
      <x:c r="Q391" s="653" t="n">
        <x:v>0.11</x:v>
      </x:c>
      <x:c r="R391" s="653" t="n">
        <x:v>0</x:v>
      </x:c>
      <x:c r="Z391" s="624"/>
    </x:row>
    <x:row r="392" spans="1:26" x14ac:dyDescent="0.2">
      <x:c r="D392" s="25" t="s">
        <x:v>72</x:v>
      </x:c>
      <x:c r="E392" s="653" t="n">
        <x:v>7576099.95</x:v>
      </x:c>
      <x:c r="F392" s="653" t="n">
        <x:v>881196.61</x:v>
      </x:c>
      <x:c r="G392" s="653" t="n">
        <x:v>492974.75</x:v>
      </x:c>
      <x:c r="H392" s="653" t="n">
        <x:v>254953.92</x:v>
      </x:c>
      <x:c r="I392" s="653" t="n">
        <x:v>710964.65</x:v>
      </x:c>
      <x:c r="J392" s="653" t="n">
        <x:v>24397.55</x:v>
      </x:c>
      <x:c r="K392" s="653" t="n">
        <x:v>855793.65</x:v>
      </x:c>
      <x:c r="L392" s="653" t="n">
        <x:v>202636.34</x:v>
      </x:c>
      <x:c r="M392" s="653" t="n">
        <x:v>247407.32</x:v>
      </x:c>
      <x:c r="N392" s="653" t="n">
        <x:v>1235151</x:v>
      </x:c>
      <x:c r="O392" s="653" t="n">
        <x:v>2639545.8</x:v>
      </x:c>
      <x:c r="P392" s="653" t="n">
        <x:v>31074.58</x:v>
      </x:c>
      <x:c r="Q392" s="653" t="n">
        <x:v>3.78</x:v>
      </x:c>
      <x:c r="R392" s="653" t="n">
        <x:v>0</x:v>
      </x:c>
      <x:c r="Z392" s="624"/>
    </x:row>
    <x:row r="393" spans="1:26" x14ac:dyDescent="0.2">
      <x:c r="D393" s="25" t="s">
        <x:v>81</x:v>
      </x:c>
      <x:c r="E393" s="653" t="n">
        <x:v>432.36</x:v>
      </x:c>
      <x:c r="F393" s="653" t="n">
        <x:v>27.62</x:v>
      </x:c>
      <x:c r="G393" s="653" t="n">
        <x:v>15.56</x:v>
      </x:c>
      <x:c r="H393" s="653" t="n">
        <x:v>8.07</x:v>
      </x:c>
      <x:c r="I393" s="653" t="n">
        <x:v>88.27</x:v>
      </x:c>
      <x:c r="J393" s="653" t="n">
        <x:v>2.71</x:v>
      </x:c>
      <x:c r="K393" s="653" t="n">
        <x:v>0</x:v>
      </x:c>
      <x:c r="L393" s="653" t="n">
        <x:v>23.83</x:v>
      </x:c>
      <x:c r="M393" s="653" t="n">
        <x:v>29.4</x:v>
      </x:c>
      <x:c r="N393" s="653" t="n">
        <x:v>150.87</x:v>
      </x:c>
      <x:c r="O393" s="653" t="n">
        <x:v>81.59</x:v>
      </x:c>
      <x:c r="P393" s="653" t="n">
        <x:v>4.44</x:v>
      </x:c>
      <x:c r="Q393" s="653" t="n">
        <x:v>0</x:v>
      </x:c>
      <x:c r="R393" s="653" t="n">
        <x:v>0</x:v>
      </x:c>
      <x:c r="Z393" s="624"/>
    </x:row>
    <x:row r="394" spans="1:26" x14ac:dyDescent="0.2">
      <x:c r="C394" s="25" t="s">
        <x:v>87</x:v>
      </x:c>
      <x:c r="D394" s="25" t="s">
        <x:v>70</x:v>
      </x:c>
      <x:c r="E394" s="653" t="n">
        <x:v>7576532.31</x:v>
      </x:c>
      <x:c r="F394" s="653" t="n">
        <x:v>881224.23</x:v>
      </x:c>
      <x:c r="G394" s="653" t="n">
        <x:v>492990.31</x:v>
      </x:c>
      <x:c r="H394" s="653" t="n">
        <x:v>254961.99</x:v>
      </x:c>
      <x:c r="I394" s="653" t="n">
        <x:v>711052.92</x:v>
      </x:c>
      <x:c r="J394" s="653" t="n">
        <x:v>24400.26</x:v>
      </x:c>
      <x:c r="K394" s="653" t="n">
        <x:v>855793.65</x:v>
      </x:c>
      <x:c r="L394" s="653" t="n">
        <x:v>202660.17</x:v>
      </x:c>
      <x:c r="M394" s="653" t="n">
        <x:v>247436.72</x:v>
      </x:c>
      <x:c r="N394" s="653" t="n">
        <x:v>1235301.87</x:v>
      </x:c>
      <x:c r="O394" s="653" t="n">
        <x:v>2639627.39</x:v>
      </x:c>
      <x:c r="P394" s="653" t="n">
        <x:v>31079.02</x:v>
      </x:c>
      <x:c r="Q394" s="653" t="n">
        <x:v>3.78</x:v>
      </x:c>
      <x:c r="R394" s="653" t="n">
        <x:v>0</x:v>
      </x:c>
      <x:c r="Z394" s="624"/>
    </x:row>
    <x:row r="395" spans="1:26" x14ac:dyDescent="0.2">
      <x:c r="A395" s="631"/>
      <x:c r="B395" s="632" t="s">
        <x:v>119</x:v>
      </x:c>
      <x:c r="C395" s="632" t="s">
        <x:v>70</x:v>
      </x:c>
      <x:c r="D395" s="631"/>
      <x:c r="E395" s="633" t="n">
        <x:v>9961567.87</x:v>
      </x:c>
      <x:c r="F395" s="633" t="n">
        <x:v>1009832.76</x:v>
      </x:c>
      <x:c r="G395" s="633" t="n">
        <x:v>564672.53</x:v>
      </x:c>
      <x:c r="H395" s="633" t="n">
        <x:v>288054.68</x:v>
      </x:c>
      <x:c r="I395" s="633" t="n">
        <x:v>1254985.85</x:v>
      </x:c>
      <x:c r="J395" s="633" t="n">
        <x:v>42730.32</x:v>
      </x:c>
      <x:c r="K395" s="633" t="n">
        <x:v>855793.65</x:v>
      </x:c>
      <x:c r="L395" s="633" t="n">
        <x:v>354646.1</x:v>
      </x:c>
      <x:c r="M395" s="633" t="n">
        <x:v>393381.73</x:v>
      </x:c>
      <x:c r="N395" s="633" t="n">
        <x:v>2114703.1</x:v>
      </x:c>
      <x:c r="O395" s="633" t="n">
        <x:v>3026869.42</x:v>
      </x:c>
      <x:c r="P395" s="633" t="n">
        <x:v>55891.73</x:v>
      </x:c>
      <x:c r="Q395" s="633" t="n">
        <x:v>6</x:v>
      </x:c>
      <x:c r="R395" s="678" t="n">
        <x:v>0</x:v>
      </x:c>
      <x:c r="S395" s="631"/>
      <x:c r="T395" s="631"/>
      <x:c r="U395" s="631"/>
      <x:c r="V395" s="631"/>
      <x:c r="W395" s="631"/>
      <x:c r="X395" s="631"/>
      <x:c r="Y395" s="631"/>
      <x:c r="Z395" s="624"/>
    </x:row>
    <x:row r="396" spans="1:26" x14ac:dyDescent="0.2">
      <x:c r="A396" s="639" t="s">
        <x:v>78</x:v>
      </x:c>
      <x:c r="B396" s="639" t="s">
        <x:v>70</x:v>
      </x:c>
      <x:c r="C396" s="638"/>
      <x:c r="D396" s="638"/>
      <x:c r="E396" s="640" t="n">
        <x:v>32902557.27</x:v>
      </x:c>
      <x:c r="F396" s="640" t="n">
        <x:v>2546995.13</x:v>
      </x:c>
      <x:c r="G396" s="640" t="n">
        <x:v>1435012.96</x:v>
      </x:c>
      <x:c r="H396" s="640" t="n">
        <x:v>691553.71</x:v>
      </x:c>
      <x:c r="I396" s="640" t="n">
        <x:v>6730923.1</x:v>
      </x:c>
      <x:c r="J396" s="640" t="n">
        <x:v>264456.01</x:v>
      </x:c>
      <x:c r="K396" s="640" t="n">
        <x:v>855801.18</x:v>
      </x:c>
      <x:c r="L396" s="640" t="n">
        <x:v>1758367.23</x:v>
      </x:c>
      <x:c r="M396" s="640" t="n">
        <x:v>1742050.52</x:v>
      </x:c>
      <x:c r="N396" s="640" t="n">
        <x:v>8920088.52</x:v>
      </x:c>
      <x:c r="O396" s="640" t="n">
        <x:v>7619607.4</x:v>
      </x:c>
      <x:c r="P396" s="640" t="n">
        <x:v>337866.91</x:v>
      </x:c>
      <x:c r="Q396" s="640" t="n">
        <x:v>-165.4</x:v>
      </x:c>
      <x:c r="R396" s="679" t="n">
        <x:v>0</x:v>
      </x:c>
      <x:c r="S396" s="638"/>
      <x:c r="T396" s="638"/>
      <x:c r="U396" s="638"/>
      <x:c r="V396" s="638"/>
      <x:c r="W396" s="638"/>
      <x:c r="X396" s="638"/>
      <x:c r="Y396" s="638"/>
      <x:c r="Z396" s="624"/>
    </x:row>
    <x:row r="397" spans="1:26" x14ac:dyDescent="0.2">
      <x:c r="C397" s="625"/>
      <x:c r="D397" s="625" t="s">
        <x:v>73</x:v>
      </x:c>
      <x:c r="E397" s="627" t="n">
        <x:v>1212644.66</x:v>
      </x:c>
      <x:c r="F397" s="627" t="n">
        <x:v>300295.61</x:v>
      </x:c>
      <x:c r="G397" s="627" t="n">
        <x:v>156618.41</x:v>
      </x:c>
      <x:c r="H397" s="627" t="n">
        <x:v>56719.55</x:v>
      </x:c>
      <x:c r="I397" s="627" t="n">
        <x:v>-63990.5</x:v>
      </x:c>
      <x:c r="J397" s="627" t="n">
        <x:v>-3304.98</x:v>
      </x:c>
      <x:c r="K397" s="627" t="n">
        <x:v>0</x:v>
      </x:c>
      <x:c r="L397" s="627" t="n">
        <x:v>-19654.63</x:v>
      </x:c>
      <x:c r="M397" s="627" t="n">
        <x:v>-40788.54</x:v>
      </x:c>
      <x:c r="N397" s="627" t="n">
        <x:v>-133483.2</x:v>
      </x:c>
      <x:c r="O397" s="627" t="n">
        <x:v>965622.64</x:v>
      </x:c>
      <x:c r="P397" s="627" t="n">
        <x:v>-5389.7</x:v>
      </x:c>
      <x:c r="Q397" s="627" t="n">
        <x:v>0</x:v>
      </x:c>
      <x:c r="R397" s="653" t="n">
        <x:v>0</x:v>
      </x:c>
      <x:c r="Z397" s="624"/>
    </x:row>
    <x:row r="398" spans="1:26" x14ac:dyDescent="0.2">
      <x:c r="B398" s="625"/>
      <x:c r="C398" s="625" t="s">
        <x:v>156</x:v>
      </x:c>
      <x:c r="D398" s="25" t="s">
        <x:v>70</x:v>
      </x:c>
      <x:c r="E398" s="627" t="n">
        <x:v>1212644.66</x:v>
      </x:c>
      <x:c r="F398" s="627" t="n">
        <x:v>300295.61</x:v>
      </x:c>
      <x:c r="G398" s="627" t="n">
        <x:v>156618.41</x:v>
      </x:c>
      <x:c r="H398" s="627" t="n">
        <x:v>56719.55</x:v>
      </x:c>
      <x:c r="I398" s="627" t="n">
        <x:v>-63990.5</x:v>
      </x:c>
      <x:c r="J398" s="627" t="n">
        <x:v>-3304.98</x:v>
      </x:c>
      <x:c r="K398" s="627" t="n">
        <x:v>0</x:v>
      </x:c>
      <x:c r="L398" s="627" t="n">
        <x:v>-19654.63</x:v>
      </x:c>
      <x:c r="M398" s="627" t="n">
        <x:v>-40788.54</x:v>
      </x:c>
      <x:c r="N398" s="627" t="n">
        <x:v>-133483.2</x:v>
      </x:c>
      <x:c r="O398" s="627" t="n">
        <x:v>965622.64</x:v>
      </x:c>
      <x:c r="P398" s="627" t="n">
        <x:v>-5389.7</x:v>
      </x:c>
      <x:c r="Q398" s="627" t="n">
        <x:v>0</x:v>
      </x:c>
      <x:c r="R398" s="653" t="n">
        <x:v>0</x:v>
      </x:c>
      <x:c r="Z398" s="624"/>
    </x:row>
    <x:row r="399" spans="1:26" x14ac:dyDescent="0.2">
      <x:c r="A399" s="628"/>
      <x:c r="B399" s="628" t="s">
        <x:v>155</x:v>
      </x:c>
      <x:c r="C399" s="628" t="s">
        <x:v>70</x:v>
      </x:c>
      <x:c r="D399" s="628"/>
      <x:c r="E399" s="677" t="n">
        <x:v>1212644.66</x:v>
      </x:c>
      <x:c r="F399" s="677" t="n">
        <x:v>300295.61</x:v>
      </x:c>
      <x:c r="G399" s="677" t="n">
        <x:v>156618.41</x:v>
      </x:c>
      <x:c r="H399" s="677" t="n">
        <x:v>56719.55</x:v>
      </x:c>
      <x:c r="I399" s="677" t="n">
        <x:v>-63990.5</x:v>
      </x:c>
      <x:c r="J399" s="677" t="n">
        <x:v>-3304.98</x:v>
      </x:c>
      <x:c r="K399" s="677" t="n">
        <x:v>0</x:v>
      </x:c>
      <x:c r="L399" s="677" t="n">
        <x:v>-19654.63</x:v>
      </x:c>
      <x:c r="M399" s="677" t="n">
        <x:v>-40788.54</x:v>
      </x:c>
      <x:c r="N399" s="677" t="n">
        <x:v>-133483.2</x:v>
      </x:c>
      <x:c r="O399" s="677" t="n">
        <x:v>965622.64</x:v>
      </x:c>
      <x:c r="P399" s="677" t="n">
        <x:v>-5389.7</x:v>
      </x:c>
      <x:c r="Q399" s="677" t="n">
        <x:v>0</x:v>
      </x:c>
      <x:c r="R399" s="677" t="n">
        <x:v>0</x:v>
      </x:c>
      <x:c r="S399" s="628"/>
      <x:c r="T399" s="628"/>
      <x:c r="U399" s="628"/>
      <x:c r="V399" s="628"/>
      <x:c r="W399" s="628"/>
      <x:c r="X399" s="628"/>
      <x:c r="Y399" s="628"/>
      <x:c r="Z399" s="624"/>
    </x:row>
    <x:row r="400" spans="1:26" x14ac:dyDescent="0.2">
      <x:c r="C400" s="625"/>
      <x:c r="D400" s="625" t="s">
        <x:v>73</x:v>
      </x:c>
      <x:c r="E400" s="627" t="n">
        <x:v>-1016066.59</x:v>
      </x:c>
      <x:c r="F400" s="627" t="n">
        <x:v>-49407.45</x:v>
      </x:c>
      <x:c r="G400" s="627" t="n">
        <x:v>-27659.65</x:v>
      </x:c>
      <x:c r="H400" s="627" t="n">
        <x:v>-15373.39</x:v>
      </x:c>
      <x:c r="I400" s="627" t="n">
        <x:v>-232568.66</x:v>
      </x:c>
      <x:c r="J400" s="627" t="n">
        <x:v>-8659.23</x:v>
      </x:c>
      <x:c r="K400" s="627" t="n">
        <x:v>0</x:v>
      </x:c>
      <x:c r="L400" s="627" t="n">
        <x:v>-74894.67</x:v>
      </x:c>
      <x:c r="M400" s="627" t="n">
        <x:v>-73038.96</x:v>
      </x:c>
      <x:c r="N400" s="627" t="n">
        <x:v>-372015.89</x:v>
      </x:c>
      <x:c r="O400" s="627" t="n">
        <x:v>-148320.76</x:v>
      </x:c>
      <x:c r="P400" s="627" t="n">
        <x:v>-14127.93</x:v>
      </x:c>
      <x:c r="Q400" s="627" t="n">
        <x:v>0</x:v>
      </x:c>
      <x:c r="R400" s="653" t="n">
        <x:v>0</x:v>
      </x:c>
      <x:c r="Z400" s="624"/>
    </x:row>
    <x:row r="401" spans="1:26" x14ac:dyDescent="0.2">
      <x:c r="C401" s="625" t="s">
        <x:v>156</x:v>
      </x:c>
      <x:c r="D401" s="625" t="s">
        <x:v>70</x:v>
      </x:c>
      <x:c r="E401" s="627" t="n">
        <x:v>-1016066.59</x:v>
      </x:c>
      <x:c r="F401" s="627" t="n">
        <x:v>-49407.45</x:v>
      </x:c>
      <x:c r="G401" s="627" t="n">
        <x:v>-27659.65</x:v>
      </x:c>
      <x:c r="H401" s="627" t="n">
        <x:v>-15373.39</x:v>
      </x:c>
      <x:c r="I401" s="627" t="n">
        <x:v>-232568.66</x:v>
      </x:c>
      <x:c r="J401" s="627" t="n">
        <x:v>-8659.23</x:v>
      </x:c>
      <x:c r="K401" s="627" t="n">
        <x:v>0</x:v>
      </x:c>
      <x:c r="L401" s="627" t="n">
        <x:v>-74894.67</x:v>
      </x:c>
      <x:c r="M401" s="627" t="n">
        <x:v>-73038.96</x:v>
      </x:c>
      <x:c r="N401" s="627" t="n">
        <x:v>-372015.89</x:v>
      </x:c>
      <x:c r="O401" s="627" t="n">
        <x:v>-148320.76</x:v>
      </x:c>
      <x:c r="P401" s="627" t="n">
        <x:v>-14127.93</x:v>
      </x:c>
      <x:c r="Q401" s="627" t="n">
        <x:v>0</x:v>
      </x:c>
      <x:c r="R401" s="653" t="n">
        <x:v>0</x:v>
      </x:c>
      <x:c r="Z401" s="624"/>
    </x:row>
    <x:row r="402" spans="1:26" x14ac:dyDescent="0.2">
      <x:c r="A402" s="668"/>
      <x:c r="B402" s="668" t="s">
        <x:v>326</x:v>
      </x:c>
      <x:c r="C402" s="668" t="s">
        <x:v>70</x:v>
      </x:c>
      <x:c r="D402" s="668"/>
      <x:c r="E402" s="662" t="n">
        <x:v>-1016066.59</x:v>
      </x:c>
      <x:c r="F402" s="662" t="n">
        <x:v>-49407.45</x:v>
      </x:c>
      <x:c r="G402" s="662" t="n">
        <x:v>-27659.65</x:v>
      </x:c>
      <x:c r="H402" s="662" t="n">
        <x:v>-15373.39</x:v>
      </x:c>
      <x:c r="I402" s="662" t="n">
        <x:v>-232568.66</x:v>
      </x:c>
      <x:c r="J402" s="662" t="n">
        <x:v>-8659.23</x:v>
      </x:c>
      <x:c r="K402" s="662" t="n">
        <x:v>0</x:v>
      </x:c>
      <x:c r="L402" s="662" t="n">
        <x:v>-74894.67</x:v>
      </x:c>
      <x:c r="M402" s="662" t="n">
        <x:v>-73038.96</x:v>
      </x:c>
      <x:c r="N402" s="662" t="n">
        <x:v>-372015.89</x:v>
      </x:c>
      <x:c r="O402" s="662" t="n">
        <x:v>-148320.76</x:v>
      </x:c>
      <x:c r="P402" s="662" t="n">
        <x:v>-14127.93</x:v>
      </x:c>
      <x:c r="Q402" s="662" t="n">
        <x:v>0</x:v>
      </x:c>
      <x:c r="R402" s="662" t="n">
        <x:v>0</x:v>
      </x:c>
      <x:c r="S402" s="662"/>
      <x:c r="T402" s="668"/>
      <x:c r="U402" s="668"/>
      <x:c r="V402" s="668"/>
      <x:c r="W402" s="668"/>
      <x:c r="X402" s="668"/>
      <x:c r="Y402" s="668"/>
      <x:c r="Z402" s="624"/>
    </x:row>
    <x:row r="403" spans="1:26" x14ac:dyDescent="0.2">
      <x:c r="C403" s="625"/>
      <x:c r="D403" s="625" t="s">
        <x:v>73</x:v>
      </x:c>
      <x:c r="E403" s="627" t="n">
        <x:v>-202401.75</x:v>
      </x:c>
      <x:c r="F403" s="627" t="n">
        <x:v>-10371.91</x:v>
      </x:c>
      <x:c r="G403" s="627" t="n">
        <x:v>-5797.61</x:v>
      </x:c>
      <x:c r="H403" s="627" t="n">
        <x:v>-3073.75</x:v>
      </x:c>
      <x:c r="I403" s="627" t="n">
        <x:v>-42172.53</x:v>
      </x:c>
      <x:c r="J403" s="627" t="n">
        <x:v>-1395.23</x:v>
      </x:c>
      <x:c r="K403" s="627" t="n">
        <x:v>0</x:v>
      </x:c>
      <x:c r="L403" s="627" t="n">
        <x:v>-12238.08</x:v>
      </x:c>
      <x:c r="M403" s="627" t="n">
        <x:v>-14241.93</x:v>
      </x:c>
      <x:c r="N403" s="627" t="n">
        <x:v>-79770.19</x:v>
      </x:c>
      <x:c r="O403" s="627" t="n">
        <x:v>-31064.18</x:v>
      </x:c>
      <x:c r="P403" s="627" t="n">
        <x:v>-2276.34</x:v>
      </x:c>
      <x:c r="Q403" s="627" t="n">
        <x:v>0</x:v>
      </x:c>
      <x:c r="R403" s="653" t="n">
        <x:v>0</x:v>
      </x:c>
      <x:c r="Z403" s="624"/>
    </x:row>
    <x:row r="404" spans="1:26" x14ac:dyDescent="0.2">
      <x:c r="C404" s="625" t="s">
        <x:v>82</x:v>
      </x:c>
      <x:c r="D404" s="625" t="s">
        <x:v>70</x:v>
      </x:c>
      <x:c r="E404" s="627" t="n">
        <x:v>-202401.75</x:v>
      </x:c>
      <x:c r="F404" s="627" t="n">
        <x:v>-10371.91</x:v>
      </x:c>
      <x:c r="G404" s="627" t="n">
        <x:v>-5797.61</x:v>
      </x:c>
      <x:c r="H404" s="627" t="n">
        <x:v>-3073.75</x:v>
      </x:c>
      <x:c r="I404" s="627" t="n">
        <x:v>-42172.53</x:v>
      </x:c>
      <x:c r="J404" s="627" t="n">
        <x:v>-1395.23</x:v>
      </x:c>
      <x:c r="K404" s="627" t="n">
        <x:v>0</x:v>
      </x:c>
      <x:c r="L404" s="627" t="n">
        <x:v>-12238.08</x:v>
      </x:c>
      <x:c r="M404" s="627" t="n">
        <x:v>-14241.93</x:v>
      </x:c>
      <x:c r="N404" s="627" t="n">
        <x:v>-79770.19</x:v>
      </x:c>
      <x:c r="O404" s="627" t="n">
        <x:v>-31064.18</x:v>
      </x:c>
      <x:c r="P404" s="627" t="n">
        <x:v>-2276.34</x:v>
      </x:c>
      <x:c r="Q404" s="627" t="n">
        <x:v>0</x:v>
      </x:c>
      <x:c r="R404" s="653" t="n">
        <x:v>0</x:v>
      </x:c>
      <x:c r="Z404" s="624"/>
    </x:row>
    <x:row r="405" spans="1:26" x14ac:dyDescent="0.2">
      <x:c r="C405" s="625"/>
      <x:c r="D405" s="625" t="s">
        <x:v>73</x:v>
      </x:c>
      <x:c r="E405" s="627" t="n">
        <x:v>24207.89</x:v>
      </x:c>
      <x:c r="F405" s="627" t="n">
        <x:v>5602.44</x:v>
      </x:c>
      <x:c r="G405" s="627" t="n">
        <x:v>3131.09</x:v>
      </x:c>
      <x:c r="H405" s="627" t="n">
        <x:v>1660.22</x:v>
      </x:c>
      <x:c r="I405" s="627" t="n">
        <x:v>1208.86</x:v>
      </x:c>
      <x:c r="J405" s="627" t="n">
        <x:v>-0.64</x:v>
      </x:c>
      <x:c r="K405" s="627" t="n">
        <x:v>0</x:v>
      </x:c>
      <x:c r="L405" s="627" t="n">
        <x:v>-5.21</x:v>
      </x:c>
      <x:c r="M405" s="627" t="n">
        <x:v>-1263.54</x:v>
      </x:c>
      <x:c r="N405" s="627" t="n">
        <x:v>-3010.67</x:v>
      </x:c>
      <x:c r="O405" s="627" t="n">
        <x:v>16886.31</x:v>
      </x:c>
      <x:c r="P405" s="627" t="n">
        <x:v>-0.97</x:v>
      </x:c>
      <x:c r="Q405" s="627" t="n">
        <x:v>0</x:v>
      </x:c>
      <x:c r="R405" s="653" t="n">
        <x:v>0</x:v>
      </x:c>
      <x:c r="Z405" s="624"/>
    </x:row>
    <x:row r="406" spans="1:26" x14ac:dyDescent="0.2">
      <x:c r="C406" s="625" t="s">
        <x:v>86</x:v>
      </x:c>
      <x:c r="D406" s="625" t="s">
        <x:v>70</x:v>
      </x:c>
      <x:c r="E406" s="627" t="n">
        <x:v>24207.89</x:v>
      </x:c>
      <x:c r="F406" s="627" t="n">
        <x:v>5602.44</x:v>
      </x:c>
      <x:c r="G406" s="627" t="n">
        <x:v>3131.09</x:v>
      </x:c>
      <x:c r="H406" s="627" t="n">
        <x:v>1660.22</x:v>
      </x:c>
      <x:c r="I406" s="627" t="n">
        <x:v>1208.86</x:v>
      </x:c>
      <x:c r="J406" s="627" t="n">
        <x:v>-0.64</x:v>
      </x:c>
      <x:c r="K406" s="627" t="n">
        <x:v>0</x:v>
      </x:c>
      <x:c r="L406" s="627" t="n">
        <x:v>-5.21</x:v>
      </x:c>
      <x:c r="M406" s="627" t="n">
        <x:v>-1263.54</x:v>
      </x:c>
      <x:c r="N406" s="627" t="n">
        <x:v>-3010.67</x:v>
      </x:c>
      <x:c r="O406" s="627" t="n">
        <x:v>16886.31</x:v>
      </x:c>
      <x:c r="P406" s="627" t="n">
        <x:v>-0.97</x:v>
      </x:c>
      <x:c r="Q406" s="627" t="n">
        <x:v>0</x:v>
      </x:c>
      <x:c r="R406" s="653" t="n">
        <x:v>0</x:v>
      </x:c>
      <x:c r="Z406" s="624"/>
    </x:row>
    <x:row r="407" spans="1:26" x14ac:dyDescent="0.2">
      <x:c r="C407" s="625"/>
      <x:c r="D407" s="625" t="s">
        <x:v>73</x:v>
      </x:c>
      <x:c r="E407" s="627" t="n">
        <x:v>2898013.48</x:v>
      </x:c>
      <x:c r="F407" s="627" t="n">
        <x:v>626240.98</x:v>
      </x:c>
      <x:c r="G407" s="627" t="n">
        <x:v>349842.57</x:v>
      </x:c>
      <x:c r="H407" s="627" t="n">
        <x:v>184958.86</x:v>
      </x:c>
      <x:c r="I407" s="627" t="n">
        <x:v>-22160.63</x:v>
      </x:c>
      <x:c r="J407" s="627" t="n">
        <x:v>-1504.1</x:v>
      </x:c>
      <x:c r="K407" s="627" t="n">
        <x:v>0</x:v>
      </x:c>
      <x:c r="L407" s="627" t="n">
        <x:v>-12937.69</x:v>
      </x:c>
      <x:c r="M407" s="627" t="n">
        <x:v>-14848.9</x:v>
      </x:c>
      <x:c r="N407" s="627" t="n">
        <x:v>-83001.36</x:v>
      </x:c>
      <x:c r="O407" s="627" t="n">
        <x:v>1873877.63</x:v>
      </x:c>
      <x:c r="P407" s="627" t="n">
        <x:v>-2453.88</x:v>
      </x:c>
      <x:c r="Q407" s="627" t="n">
        <x:v>0</x:v>
      </x:c>
      <x:c r="R407" s="653" t="n">
        <x:v>0</x:v>
      </x:c>
      <x:c r="Z407" s="624"/>
    </x:row>
    <x:row r="408" spans="1:26" x14ac:dyDescent="0.2">
      <x:c r="C408" s="625" t="s">
        <x:v>87</x:v>
      </x:c>
      <x:c r="D408" s="625" t="s">
        <x:v>70</x:v>
      </x:c>
      <x:c r="E408" s="627" t="n">
        <x:v>2898013.48</x:v>
      </x:c>
      <x:c r="F408" s="627" t="n">
        <x:v>626240.98</x:v>
      </x:c>
      <x:c r="G408" s="627" t="n">
        <x:v>349842.57</x:v>
      </x:c>
      <x:c r="H408" s="627" t="n">
        <x:v>184958.86</x:v>
      </x:c>
      <x:c r="I408" s="627" t="n">
        <x:v>-22160.63</x:v>
      </x:c>
      <x:c r="J408" s="627" t="n">
        <x:v>-1504.1</x:v>
      </x:c>
      <x:c r="K408" s="627" t="n">
        <x:v>0</x:v>
      </x:c>
      <x:c r="L408" s="627" t="n">
        <x:v>-12937.69</x:v>
      </x:c>
      <x:c r="M408" s="627" t="n">
        <x:v>-14848.9</x:v>
      </x:c>
      <x:c r="N408" s="627" t="n">
        <x:v>-83001.36</x:v>
      </x:c>
      <x:c r="O408" s="627" t="n">
        <x:v>1873877.63</x:v>
      </x:c>
      <x:c r="P408" s="627" t="n">
        <x:v>-2453.88</x:v>
      </x:c>
      <x:c r="Q408" s="627" t="n">
        <x:v>0</x:v>
      </x:c>
      <x:c r="R408" s="653" t="n">
        <x:v>0</x:v>
      </x:c>
      <x:c r="Z408" s="624"/>
    </x:row>
    <x:row r="409" spans="1:26" x14ac:dyDescent="0.2">
      <x:c r="A409" s="631"/>
      <x:c r="B409" s="632" t="s">
        <x:v>119</x:v>
      </x:c>
      <x:c r="C409" s="632" t="s">
        <x:v>70</x:v>
      </x:c>
      <x:c r="D409" s="631"/>
      <x:c r="E409" s="633" t="n">
        <x:v>2719819.62</x:v>
      </x:c>
      <x:c r="F409" s="633" t="n">
        <x:v>621471.51</x:v>
      </x:c>
      <x:c r="G409" s="633" t="n">
        <x:v>347176.05</x:v>
      </x:c>
      <x:c r="H409" s="633" t="n">
        <x:v>183545.33</x:v>
      </x:c>
      <x:c r="I409" s="633" t="n">
        <x:v>-63124.3</x:v>
      </x:c>
      <x:c r="J409" s="633" t="n">
        <x:v>-2899.97</x:v>
      </x:c>
      <x:c r="K409" s="633" t="n">
        <x:v>0</x:v>
      </x:c>
      <x:c r="L409" s="633" t="n">
        <x:v>-25180.98</x:v>
      </x:c>
      <x:c r="M409" s="633" t="n">
        <x:v>-30354.37</x:v>
      </x:c>
      <x:c r="N409" s="633" t="n">
        <x:v>-165782.22</x:v>
      </x:c>
      <x:c r="O409" s="633" t="n">
        <x:v>1859699.76</x:v>
      </x:c>
      <x:c r="P409" s="633" t="n">
        <x:v>-4731.19</x:v>
      </x:c>
      <x:c r="Q409" s="633" t="n">
        <x:v>0</x:v>
      </x:c>
      <x:c r="R409" s="678" t="n">
        <x:v>0</x:v>
      </x:c>
      <x:c r="S409" s="631"/>
      <x:c r="T409" s="631"/>
      <x:c r="U409" s="631"/>
      <x:c r="V409" s="631"/>
      <x:c r="W409" s="631"/>
      <x:c r="X409" s="631"/>
      <x:c r="Y409" s="631"/>
      <x:c r="Z409" s="624"/>
    </x:row>
    <x:row r="410" spans="1:26" x14ac:dyDescent="0.2">
      <x:c r="A410" s="639" t="s">
        <x:v>79</x:v>
      </x:c>
      <x:c r="B410" s="639" t="s">
        <x:v>70</x:v>
      </x:c>
      <x:c r="C410" s="638"/>
      <x:c r="D410" s="638"/>
      <x:c r="E410" s="640" t="n">
        <x:v>2916397.69</x:v>
      </x:c>
      <x:c r="F410" s="640" t="n">
        <x:v>872359.67</x:v>
      </x:c>
      <x:c r="G410" s="640" t="n">
        <x:v>476134.81</x:v>
      </x:c>
      <x:c r="H410" s="640" t="n">
        <x:v>224891.49</x:v>
      </x:c>
      <x:c r="I410" s="640" t="n">
        <x:v>-359683.46</x:v>
      </x:c>
      <x:c r="J410" s="640" t="n">
        <x:v>-14864.18</x:v>
      </x:c>
      <x:c r="K410" s="640" t="n">
        <x:v>0</x:v>
      </x:c>
      <x:c r="L410" s="640" t="n">
        <x:v>-119730.28</x:v>
      </x:c>
      <x:c r="M410" s="640" t="n">
        <x:v>-144181.87</x:v>
      </x:c>
      <x:c r="N410" s="640" t="n">
        <x:v>-671281.31</x:v>
      </x:c>
      <x:c r="O410" s="640" t="n">
        <x:v>2677001.64</x:v>
      </x:c>
      <x:c r="P410" s="640" t="n">
        <x:v>-24248.82</x:v>
      </x:c>
      <x:c r="Q410" s="640" t="n">
        <x:v>0</x:v>
      </x:c>
      <x:c r="R410" s="679" t="n">
        <x:v>0</x:v>
      </x:c>
      <x:c r="S410" s="638"/>
      <x:c r="T410" s="638"/>
      <x:c r="U410" s="638"/>
      <x:c r="V410" s="638"/>
      <x:c r="W410" s="638"/>
      <x:c r="X410" s="638"/>
      <x:c r="Y410" s="638"/>
      <x:c r="Z410" s="624"/>
    </x:row>
    <x:row r="411" spans="1:26" x14ac:dyDescent="0.2">
      <x:c r="A411" s="625" t="s">
        <x:v>70</x:v>
      </x:c>
      <x:c r="E411" s="627" t="n">
        <x:v>35818954.96</x:v>
      </x:c>
      <x:c r="F411" s="627" t="n">
        <x:v>3419354.8</x:v>
      </x:c>
      <x:c r="G411" s="627" t="n">
        <x:v>1911147.77</x:v>
      </x:c>
      <x:c r="H411" s="627" t="n">
        <x:v>916445.2</x:v>
      </x:c>
      <x:c r="I411" s="627" t="n">
        <x:v>6371239.64</x:v>
      </x:c>
      <x:c r="J411" s="627" t="n">
        <x:v>249591.83</x:v>
      </x:c>
      <x:c r="K411" s="627" t="n">
        <x:v>855801.18</x:v>
      </x:c>
      <x:c r="L411" s="627" t="n">
        <x:v>1638636.95</x:v>
      </x:c>
      <x:c r="M411" s="627" t="n">
        <x:v>1597868.65</x:v>
      </x:c>
      <x:c r="N411" s="627" t="n">
        <x:v>8248807.21</x:v>
      </x:c>
      <x:c r="O411" s="627" t="n">
        <x:v>10296609.04</x:v>
      </x:c>
      <x:c r="P411" s="627" t="n">
        <x:v>313618.09</x:v>
      </x:c>
      <x:c r="Q411" s="627" t="n">
        <x:v>-165.4</x:v>
      </x:c>
      <x:c r="R411" s="627" t="n">
        <x:v>0</x:v>
      </x:c>
      <x:c r="Z411" s="624"/>
    </x:row>
    <x:row r="412" spans="1:26" x14ac:dyDescent="0.2">
      <x:c r="A412" s="625"/>
      <x:c r="E412" s="627"/>
      <x:c r="F412" s="627"/>
      <x:c r="G412" s="627"/>
      <x:c r="H412" s="627"/>
      <x:c r="I412" s="627"/>
      <x:c r="J412" s="627"/>
      <x:c r="K412" s="627"/>
      <x:c r="L412" s="627"/>
      <x:c r="M412" s="627"/>
      <x:c r="N412" s="627"/>
      <x:c r="O412" s="627"/>
      <x:c r="P412" s="627"/>
      <x:c r="Q412" s="627"/>
      <x:c r="R412" s="627"/>
      <x:c r="Z412" s="624"/>
    </x:row>
    <x:row r="413" spans="1:26" x14ac:dyDescent="0.2">
      <x:c r="A413" s="625"/>
      <x:c r="E413" s="627"/>
      <x:c r="F413" s="627"/>
      <x:c r="G413" s="627"/>
      <x:c r="H413" s="627"/>
      <x:c r="I413" s="627"/>
      <x:c r="J413" s="627"/>
      <x:c r="K413" s="627"/>
      <x:c r="L413" s="627"/>
      <x:c r="M413" s="627"/>
      <x:c r="N413" s="627"/>
      <x:c r="O413" s="627"/>
      <x:c r="P413" s="627"/>
      <x:c r="Q413" s="627"/>
      <x:c r="R413" s="627"/>
      <x:c r="Z413" s="624"/>
    </x:row>
    <x:row r="414" spans="1:26" x14ac:dyDescent="0.2">
      <x:c r="A414" s="625"/>
      <x:c r="E414" s="627"/>
      <x:c r="F414" s="627"/>
      <x:c r="G414" s="627"/>
      <x:c r="H414" s="627"/>
      <x:c r="I414" s="627"/>
      <x:c r="J414" s="627"/>
      <x:c r="K414" s="627"/>
      <x:c r="L414" s="627"/>
      <x:c r="M414" s="627"/>
      <x:c r="N414" s="627"/>
      <x:c r="O414" s="627"/>
      <x:c r="P414" s="627"/>
      <x:c r="Q414" s="627"/>
      <x:c r="R414" s="627"/>
      <x:c r="Z414" s="624"/>
    </x:row>
    <x:row r="415" spans="1:26" x14ac:dyDescent="0.2">
      <x:c r="A415" s="625"/>
      <x:c r="E415" s="627"/>
      <x:c r="F415" s="627"/>
      <x:c r="G415" s="627"/>
      <x:c r="H415" s="627"/>
      <x:c r="I415" s="627"/>
      <x:c r="J415" s="627"/>
      <x:c r="K415" s="627"/>
      <x:c r="L415" s="627"/>
      <x:c r="M415" s="627"/>
      <x:c r="N415" s="627"/>
      <x:c r="O415" s="627"/>
      <x:c r="P415" s="627"/>
      <x:c r="Q415" s="627"/>
      <x:c r="R415" s="627"/>
      <x:c r="Z415" s="624"/>
    </x:row>
    <x:row r="416" spans="1:26" x14ac:dyDescent="0.2">
      <x:c r="A416" s="625"/>
      <x:c r="E416" s="627"/>
      <x:c r="F416" s="627"/>
      <x:c r="G416" s="627"/>
      <x:c r="H416" s="627"/>
      <x:c r="I416" s="627"/>
      <x:c r="J416" s="627"/>
      <x:c r="K416" s="627"/>
      <x:c r="L416" s="627"/>
      <x:c r="M416" s="627"/>
      <x:c r="N416" s="627"/>
      <x:c r="O416" s="627"/>
      <x:c r="P416" s="627"/>
      <x:c r="Q416" s="627"/>
      <x:c r="R416" s="627"/>
      <x:c r="Z416" s="624"/>
    </x:row>
    <x:row r="417" spans="1:26" x14ac:dyDescent="0.2">
      <x:c r="A417" s="625"/>
      <x:c r="E417" s="627"/>
      <x:c r="F417" s="627"/>
      <x:c r="G417" s="627"/>
      <x:c r="H417" s="627"/>
      <x:c r="I417" s="627"/>
      <x:c r="J417" s="627"/>
      <x:c r="K417" s="627"/>
      <x:c r="L417" s="627"/>
      <x:c r="M417" s="627"/>
      <x:c r="N417" s="627"/>
      <x:c r="O417" s="627"/>
      <x:c r="P417" s="627"/>
      <x:c r="Q417" s="627"/>
      <x:c r="R417" s="627"/>
      <x:c r="Z417" s="624"/>
    </x:row>
    <x:row r="418" spans="1:26" x14ac:dyDescent="0.2">
      <x:c r="A418" s="625"/>
      <x:c r="E418" s="627"/>
      <x:c r="F418" s="627"/>
      <x:c r="G418" s="627"/>
      <x:c r="H418" s="627"/>
      <x:c r="I418" s="627"/>
      <x:c r="J418" s="627"/>
      <x:c r="K418" s="627"/>
      <x:c r="L418" s="627"/>
      <x:c r="M418" s="627"/>
      <x:c r="N418" s="627"/>
      <x:c r="O418" s="627"/>
      <x:c r="P418" s="627"/>
      <x:c r="Q418" s="627"/>
      <x:c r="R418" s="627"/>
      <x:c r="Z418" s="624"/>
    </x:row>
    <x:row r="419" spans="1:26" x14ac:dyDescent="0.2">
      <x:c r="A419" s="625"/>
      <x:c r="E419" s="627"/>
      <x:c r="F419" s="627"/>
      <x:c r="G419" s="627"/>
      <x:c r="H419" s="627"/>
      <x:c r="I419" s="627"/>
      <x:c r="J419" s="627"/>
      <x:c r="K419" s="627"/>
      <x:c r="L419" s="627"/>
      <x:c r="M419" s="627"/>
      <x:c r="N419" s="627"/>
      <x:c r="O419" s="627"/>
      <x:c r="P419" s="627"/>
      <x:c r="Q419" s="627"/>
      <x:c r="R419" s="627"/>
      <x:c r="Z419" s="624"/>
    </x:row>
    <x:row r="420" spans="1:26" x14ac:dyDescent="0.2">
      <x:c r="A420" s="625"/>
      <x:c r="E420" s="627"/>
      <x:c r="F420" s="627"/>
      <x:c r="G420" s="627"/>
      <x:c r="H420" s="627"/>
      <x:c r="I420" s="627"/>
      <x:c r="J420" s="627"/>
      <x:c r="K420" s="627"/>
      <x:c r="L420" s="627"/>
      <x:c r="M420" s="627"/>
      <x:c r="N420" s="627"/>
      <x:c r="O420" s="627"/>
      <x:c r="P420" s="627"/>
      <x:c r="Q420" s="627"/>
      <x:c r="R420" s="627"/>
      <x:c r="Z420" s="624"/>
    </x:row>
    <x:row r="421" spans="1:26" x14ac:dyDescent="0.2">
      <x:c r="A421" s="625"/>
      <x:c r="E421" s="627"/>
      <x:c r="F421" s="627"/>
      <x:c r="G421" s="627"/>
      <x:c r="H421" s="627"/>
      <x:c r="I421" s="627"/>
      <x:c r="J421" s="627"/>
      <x:c r="K421" s="627"/>
      <x:c r="L421" s="627"/>
      <x:c r="M421" s="627"/>
      <x:c r="N421" s="627"/>
      <x:c r="O421" s="627"/>
      <x:c r="P421" s="627"/>
      <x:c r="Q421" s="627"/>
      <x:c r="R421" s="627"/>
      <x:c r="Z421" s="624"/>
    </x:row>
    <x:row r="422" spans="1:26" x14ac:dyDescent="0.2">
      <x:c r="A422" s="625"/>
      <x:c r="E422" s="627"/>
      <x:c r="F422" s="627"/>
      <x:c r="G422" s="627"/>
      <x:c r="H422" s="627"/>
      <x:c r="I422" s="627"/>
      <x:c r="J422" s="627"/>
      <x:c r="K422" s="627"/>
      <x:c r="L422" s="627"/>
      <x:c r="M422" s="627"/>
      <x:c r="N422" s="627"/>
      <x:c r="O422" s="627"/>
      <x:c r="P422" s="627"/>
      <x:c r="Q422" s="627"/>
      <x:c r="R422" s="627"/>
      <x:c r="Z422" s="624"/>
    </x:row>
    <x:row r="423" spans="1:26" x14ac:dyDescent="0.2">
      <x:c r="A423" s="625"/>
      <x:c r="E423" s="627"/>
      <x:c r="F423" s="627"/>
      <x:c r="G423" s="627"/>
      <x:c r="H423" s="627"/>
      <x:c r="I423" s="627"/>
      <x:c r="J423" s="627"/>
      <x:c r="K423" s="627"/>
      <x:c r="L423" s="627"/>
      <x:c r="M423" s="627"/>
      <x:c r="N423" s="627"/>
      <x:c r="O423" s="627"/>
      <x:c r="P423" s="627"/>
      <x:c r="Q423" s="627"/>
      <x:c r="R423" s="627"/>
      <x:c r="Z423" s="624"/>
    </x:row>
    <x:row r="424" spans="1:26" x14ac:dyDescent="0.2">
      <x:c r="A424" s="625"/>
      <x:c r="E424" s="627"/>
      <x:c r="F424" s="627"/>
      <x:c r="G424" s="627"/>
      <x:c r="H424" s="627"/>
      <x:c r="I424" s="627"/>
      <x:c r="J424" s="627"/>
      <x:c r="K424" s="627"/>
      <x:c r="L424" s="627"/>
      <x:c r="M424" s="627"/>
      <x:c r="N424" s="627"/>
      <x:c r="O424" s="627"/>
      <x:c r="P424" s="627"/>
      <x:c r="Q424" s="627"/>
      <x:c r="R424" s="627"/>
      <x:c r="Z424" s="624"/>
    </x:row>
    <x:row r="425" spans="1:26" x14ac:dyDescent="0.2">
      <x:c r="A425" s="625"/>
      <x:c r="E425" s="627"/>
      <x:c r="F425" s="627"/>
      <x:c r="G425" s="627"/>
      <x:c r="H425" s="627"/>
      <x:c r="I425" s="627"/>
      <x:c r="J425" s="627"/>
      <x:c r="K425" s="627"/>
      <x:c r="L425" s="627"/>
      <x:c r="M425" s="627"/>
      <x:c r="N425" s="627"/>
      <x:c r="O425" s="627"/>
      <x:c r="P425" s="627"/>
      <x:c r="Q425" s="627"/>
      <x:c r="R425" s="627"/>
      <x:c r="Z425" s="624"/>
    </x:row>
    <x:row r="426" spans="1:26" x14ac:dyDescent="0.2">
      <x:c r="A426" s="625"/>
      <x:c r="E426" s="627"/>
      <x:c r="F426" s="627"/>
      <x:c r="G426" s="627"/>
      <x:c r="H426" s="627"/>
      <x:c r="I426" s="627"/>
      <x:c r="J426" s="627"/>
      <x:c r="K426" s="627"/>
      <x:c r="L426" s="627"/>
      <x:c r="M426" s="627"/>
      <x:c r="N426" s="627"/>
      <x:c r="O426" s="627"/>
      <x:c r="P426" s="627"/>
      <x:c r="Q426" s="627"/>
      <x:c r="R426" s="627"/>
      <x:c r="Z426" s="624"/>
    </x:row>
    <x:row r="427" spans="1:26" x14ac:dyDescent="0.2">
      <x:c r="A427" s="625"/>
      <x:c r="E427" s="627"/>
      <x:c r="F427" s="627"/>
      <x:c r="G427" s="627"/>
      <x:c r="H427" s="627"/>
      <x:c r="I427" s="627"/>
      <x:c r="J427" s="627"/>
      <x:c r="K427" s="627"/>
      <x:c r="L427" s="627"/>
      <x:c r="M427" s="627"/>
      <x:c r="N427" s="627"/>
      <x:c r="O427" s="627"/>
      <x:c r="P427" s="627"/>
      <x:c r="Q427" s="627"/>
      <x:c r="R427" s="627"/>
      <x:c r="Z427" s="624"/>
    </x:row>
    <x:row r="428" spans="1:26" x14ac:dyDescent="0.2">
      <x:c r="A428" s="625"/>
      <x:c r="E428" s="627"/>
      <x:c r="F428" s="627"/>
      <x:c r="G428" s="627"/>
      <x:c r="H428" s="627"/>
      <x:c r="I428" s="627"/>
      <x:c r="J428" s="627"/>
      <x:c r="K428" s="627"/>
      <x:c r="L428" s="627"/>
      <x:c r="M428" s="627"/>
      <x:c r="N428" s="627"/>
      <x:c r="O428" s="627"/>
      <x:c r="P428" s="627"/>
      <x:c r="Q428" s="627"/>
      <x:c r="R428" s="627"/>
      <x:c r="Z428" s="624"/>
    </x:row>
    <x:row r="429" spans="1:26" x14ac:dyDescent="0.2">
      <x:c r="A429" s="625"/>
      <x:c r="E429" s="627"/>
      <x:c r="F429" s="627"/>
      <x:c r="G429" s="627"/>
      <x:c r="H429" s="627"/>
      <x:c r="I429" s="627"/>
      <x:c r="J429" s="627"/>
      <x:c r="K429" s="627"/>
      <x:c r="L429" s="627"/>
      <x:c r="M429" s="627"/>
      <x:c r="N429" s="627"/>
      <x:c r="O429" s="627"/>
      <x:c r="P429" s="627"/>
      <x:c r="Q429" s="627"/>
      <x:c r="R429" s="627"/>
      <x:c r="Z429" s="624"/>
    </x:row>
    <x:row r="430" spans="1:26" x14ac:dyDescent="0.2">
      <x:c r="A430" s="625"/>
      <x:c r="E430" s="627"/>
      <x:c r="F430" s="627"/>
      <x:c r="G430" s="627"/>
      <x:c r="H430" s="627"/>
      <x:c r="I430" s="627"/>
      <x:c r="J430" s="627"/>
      <x:c r="K430" s="627"/>
      <x:c r="L430" s="627"/>
      <x:c r="M430" s="627"/>
      <x:c r="N430" s="627"/>
      <x:c r="O430" s="627"/>
      <x:c r="P430" s="627"/>
      <x:c r="Q430" s="627"/>
      <x:c r="R430" s="627"/>
      <x:c r="Z430" s="624"/>
    </x:row>
    <x:row r="431" spans="1:26" x14ac:dyDescent="0.2">
      <x:c r="A431" s="625"/>
      <x:c r="E431" s="627"/>
      <x:c r="F431" s="627"/>
      <x:c r="G431" s="627"/>
      <x:c r="H431" s="627"/>
      <x:c r="I431" s="627"/>
      <x:c r="J431" s="627"/>
      <x:c r="K431" s="627"/>
      <x:c r="L431" s="627"/>
      <x:c r="M431" s="627"/>
      <x:c r="N431" s="627"/>
      <x:c r="O431" s="627"/>
      <x:c r="P431" s="627"/>
      <x:c r="Q431" s="627"/>
      <x:c r="R431" s="627"/>
      <x:c r="Z431" s="624"/>
    </x:row>
    <x:row r="432" spans="1:26" x14ac:dyDescent="0.2">
      <x:c r="A432" s="625"/>
      <x:c r="E432" s="627"/>
      <x:c r="F432" s="627"/>
      <x:c r="G432" s="627"/>
      <x:c r="H432" s="627"/>
      <x:c r="I432" s="627"/>
      <x:c r="J432" s="627"/>
      <x:c r="K432" s="627"/>
      <x:c r="L432" s="627"/>
      <x:c r="M432" s="627"/>
      <x:c r="N432" s="627"/>
      <x:c r="O432" s="627"/>
      <x:c r="P432" s="627"/>
      <x:c r="Q432" s="627"/>
      <x:c r="R432" s="627"/>
      <x:c r="Z432" s="624"/>
    </x:row>
    <x:row r="433" spans="1:26" x14ac:dyDescent="0.2">
      <x:c r="A433" s="625"/>
      <x:c r="E433" s="627"/>
      <x:c r="F433" s="627"/>
      <x:c r="G433" s="627"/>
      <x:c r="H433" s="627"/>
      <x:c r="I433" s="627"/>
      <x:c r="J433" s="627"/>
      <x:c r="K433" s="627"/>
      <x:c r="L433" s="627"/>
      <x:c r="M433" s="627"/>
      <x:c r="N433" s="627"/>
      <x:c r="O433" s="627"/>
      <x:c r="P433" s="627"/>
      <x:c r="Q433" s="627"/>
      <x:c r="R433" s="627"/>
      <x:c r="Z433" s="624"/>
    </x:row>
    <x:row r="434" spans="1:26" x14ac:dyDescent="0.2">
      <x:c r="A434" s="625"/>
      <x:c r="E434" s="627"/>
      <x:c r="F434" s="627"/>
      <x:c r="G434" s="627"/>
      <x:c r="H434" s="627"/>
      <x:c r="I434" s="627"/>
      <x:c r="J434" s="627"/>
      <x:c r="K434" s="627"/>
      <x:c r="L434" s="627"/>
      <x:c r="M434" s="627"/>
      <x:c r="N434" s="627"/>
      <x:c r="O434" s="627"/>
      <x:c r="P434" s="627"/>
      <x:c r="Q434" s="627"/>
      <x:c r="R434" s="627"/>
      <x:c r="Z434" s="624"/>
    </x:row>
    <x:row r="435" spans="1:26" x14ac:dyDescent="0.2">
      <x:c r="A435" s="625"/>
      <x:c r="E435" s="627"/>
      <x:c r="F435" s="627"/>
      <x:c r="G435" s="627"/>
      <x:c r="H435" s="627"/>
      <x:c r="I435" s="627"/>
      <x:c r="J435" s="627"/>
      <x:c r="K435" s="627"/>
      <x:c r="L435" s="627"/>
      <x:c r="M435" s="627"/>
      <x:c r="N435" s="627"/>
      <x:c r="O435" s="627"/>
      <x:c r="P435" s="627"/>
      <x:c r="Q435" s="627"/>
      <x:c r="R435" s="627"/>
      <x:c r="Z435" s="624"/>
    </x:row>
    <x:row r="436" spans="1:26" x14ac:dyDescent="0.2">
      <x:c r="A436" s="625"/>
      <x:c r="E436" s="627"/>
      <x:c r="F436" s="627"/>
      <x:c r="G436" s="627"/>
      <x:c r="H436" s="627"/>
      <x:c r="I436" s="627"/>
      <x:c r="J436" s="627"/>
      <x:c r="K436" s="627"/>
      <x:c r="L436" s="627"/>
      <x:c r="M436" s="627"/>
      <x:c r="N436" s="627"/>
      <x:c r="O436" s="627"/>
      <x:c r="P436" s="627"/>
      <x:c r="Q436" s="627"/>
      <x:c r="R436" s="627"/>
      <x:c r="Z436" s="624"/>
    </x:row>
    <x:row r="437" spans="1:26" x14ac:dyDescent="0.2">
      <x:c r="A437" s="625"/>
      <x:c r="E437" s="627"/>
      <x:c r="F437" s="627"/>
      <x:c r="G437" s="627"/>
      <x:c r="H437" s="627"/>
      <x:c r="I437" s="627"/>
      <x:c r="J437" s="627"/>
      <x:c r="K437" s="627"/>
      <x:c r="L437" s="627"/>
      <x:c r="M437" s="627"/>
      <x:c r="N437" s="627"/>
      <x:c r="O437" s="627"/>
      <x:c r="P437" s="627"/>
      <x:c r="Q437" s="627"/>
      <x:c r="R437" s="627"/>
      <x:c r="Z437" s="624"/>
    </x:row>
    <x:row r="438" spans="1:26" x14ac:dyDescent="0.2">
      <x:c r="B438" s="770" t="s">
        <x:v>2</x:v>
      </x:c>
      <x:c r="C438" s="768" t="s">
        <x:v>132</x:v>
      </x:c>
      <x:c r="D438" s="639" t="s">
        <x:v>70</x:v>
      </x:c>
      <x:c r="E438" s="640">
        <x:f>E410+E396-K396</x:f>
        <x:v>0</x:v>
      </x:c>
      <x:c r="F438" s="640">
        <x:f>F396</x:f>
        <x:v>0</x:v>
      </x:c>
      <x:c r="G438" s="640">
        <x:f t="shared" ref="G438:R438" si="14">G396</x:f>
        <x:v>0</x:v>
      </x:c>
      <x:c r="H438" s="640">
        <x:f t="shared" si="14"/>
        <x:v>0</x:v>
      </x:c>
      <x:c r="I438" s="640">
        <x:f t="shared" si="14"/>
        <x:v>0</x:v>
      </x:c>
      <x:c r="J438" s="640">
        <x:f t="shared" si="14"/>
        <x:v>0</x:v>
      </x:c>
      <x:c r="K438" s="640">
        <x:f t="shared" si="14"/>
        <x:v>0</x:v>
      </x:c>
      <x:c r="L438" s="640">
        <x:f t="shared" si="14"/>
        <x:v>0</x:v>
      </x:c>
      <x:c r="M438" s="640">
        <x:f t="shared" si="14"/>
        <x:v>0</x:v>
      </x:c>
      <x:c r="N438" s="640">
        <x:f t="shared" si="14"/>
        <x:v>0</x:v>
      </x:c>
      <x:c r="O438" s="640">
        <x:f t="shared" si="14"/>
        <x:v>0</x:v>
      </x:c>
      <x:c r="P438" s="640">
        <x:f t="shared" si="14"/>
        <x:v>0</x:v>
      </x:c>
      <x:c r="Q438" s="640">
        <x:f t="shared" si="14"/>
        <x:v>0</x:v>
      </x:c>
      <x:c r="R438" s="640">
        <x:f t="shared" si="14"/>
        <x:v>0</x:v>
      </x:c>
      <x:c r="Z438" s="624"/>
    </x:row>
    <x:row r="439" spans="1:26" x14ac:dyDescent="0.2">
      <x:c r="B439" s="770"/>
      <x:c r="C439" s="768"/>
      <x:c r="D439" s="639" t="s">
        <x:v>73</x:v>
      </x:c>
      <x:c r="E439" s="640">
        <x:f>E410</x:f>
        <x:v>0</x:v>
      </x:c>
      <x:c r="F439" s="627"/>
      <x:c r="G439" s="627"/>
      <x:c r="H439" s="627"/>
      <x:c r="I439" s="627"/>
      <x:c r="J439" s="627"/>
      <x:c r="K439" s="627"/>
      <x:c r="L439" s="627"/>
      <x:c r="M439" s="627"/>
      <x:c r="N439" s="627"/>
      <x:c r="O439" s="627"/>
      <x:c r="P439" s="627"/>
      <x:c r="Q439" s="627"/>
      <x:c r="R439" s="627"/>
      <x:c r="Z439" s="624"/>
    </x:row>
    <x:row r="440" spans="1:26" ht="15" x14ac:dyDescent="0.25">
      <x:c r="A440" s="625"/>
      <x:c r="B440" s="50"/>
      <x:c r="E440" s="627"/>
      <x:c r="F440" s="627"/>
      <x:c r="G440" s="627"/>
      <x:c r="H440" s="627"/>
      <x:c r="I440" s="627"/>
      <x:c r="J440" s="627"/>
      <x:c r="K440" s="627"/>
      <x:c r="L440" s="627"/>
      <x:c r="M440" s="627"/>
      <x:c r="N440" s="627"/>
      <x:c r="O440" s="627"/>
      <x:c r="P440" s="627"/>
      <x:c r="Q440" s="627"/>
      <x:c r="R440" s="627"/>
      <x:c r="Z440" s="624"/>
    </x:row>
    <x:row r="441" spans="1:26" x14ac:dyDescent="0.2">
      <x:c r="B441" s="770" t="s">
        <x:v>160</x:v>
      </x:c>
      <x:c r="C441" s="768" t="s">
        <x:v>132</x:v>
      </x:c>
      <x:c r="D441" s="647" t="s">
        <x:v>70</x:v>
      </x:c>
      <x:c r="E441" s="648">
        <x:v>0</x:v>
      </x:c>
      <x:c r="F441" s="648">
        <x:v>0</x:v>
      </x:c>
      <x:c r="G441" s="648">
        <x:v>0</x:v>
      </x:c>
      <x:c r="H441" s="648">
        <x:v>0</x:v>
      </x:c>
      <x:c r="I441" s="648">
        <x:v>0</x:v>
      </x:c>
      <x:c r="J441" s="648">
        <x:v>0</x:v>
      </x:c>
      <x:c r="K441" s="648">
        <x:v>0</x:v>
      </x:c>
      <x:c r="L441" s="648">
        <x:v>0</x:v>
      </x:c>
      <x:c r="M441" s="648">
        <x:v>0</x:v>
      </x:c>
      <x:c r="N441" s="648">
        <x:v>0</x:v>
      </x:c>
      <x:c r="O441" s="648">
        <x:v>0</x:v>
      </x:c>
      <x:c r="P441" s="648">
        <x:v>0</x:v>
      </x:c>
      <x:c r="Q441" s="648">
        <x:v>0</x:v>
      </x:c>
      <x:c r="R441" s="648">
        <x:v>0</x:v>
      </x:c>
      <x:c r="Z441" s="624"/>
    </x:row>
    <x:row r="442" spans="1:26" x14ac:dyDescent="0.2">
      <x:c r="B442" s="770"/>
      <x:c r="C442" s="768"/>
      <x:c r="D442" s="647" t="s">
        <x:v>73</x:v>
      </x:c>
      <x:c r="E442" s="648">
        <x:v>0</x:v>
      </x:c>
      <x:c r="F442" s="627"/>
      <x:c r="G442" s="627"/>
      <x:c r="H442" s="627"/>
      <x:c r="I442" s="627"/>
      <x:c r="J442" s="627"/>
      <x:c r="K442" s="627"/>
      <x:c r="L442" s="627"/>
      <x:c r="M442" s="627"/>
      <x:c r="N442" s="627"/>
      <x:c r="O442" s="627"/>
      <x:c r="P442" s="627"/>
      <x:c r="Q442" s="627"/>
      <x:c r="R442" s="627"/>
      <x:c r="Z442" s="624"/>
    </x:row>
    <x:row r="443" spans="1:26" ht="15" x14ac:dyDescent="0.25">
      <x:c r="A443" s="625"/>
      <x:c r="B443" s="50"/>
      <x:c r="E443" s="627"/>
      <x:c r="F443" s="627"/>
      <x:c r="G443" s="627"/>
      <x:c r="H443" s="627"/>
      <x:c r="I443" s="627"/>
      <x:c r="J443" s="627"/>
      <x:c r="K443" s="627"/>
      <x:c r="L443" s="627"/>
      <x:c r="M443" s="627"/>
      <x:c r="N443" s="627"/>
      <x:c r="O443" s="627"/>
      <x:c r="P443" s="627"/>
      <x:c r="Q443" s="627"/>
      <x:c r="R443" s="627"/>
      <x:c r="Z443" s="624"/>
    </x:row>
    <x:row r="444" spans="1:26" x14ac:dyDescent="0.2">
      <x:c r="B444" s="770" t="s">
        <x:v>155</x:v>
      </x:c>
      <x:c r="C444" s="768" t="s">
        <x:v>132</x:v>
      </x:c>
      <x:c r="D444" s="651" t="s">
        <x:v>70</x:v>
      </x:c>
      <x:c r="E444" s="652">
        <x:f>E399+E381-K381</x:f>
        <x:v>0</x:v>
      </x:c>
      <x:c r="F444" s="652">
        <x:f>F381</x:f>
        <x:v>0</x:v>
      </x:c>
      <x:c r="G444" s="652">
        <x:f t="shared" ref="G444:R444" si="15">G381</x:f>
        <x:v>0</x:v>
      </x:c>
      <x:c r="H444" s="652">
        <x:f t="shared" si="15"/>
        <x:v>0</x:v>
      </x:c>
      <x:c r="I444" s="652">
        <x:f t="shared" si="15"/>
        <x:v>0</x:v>
      </x:c>
      <x:c r="J444" s="652">
        <x:f t="shared" si="15"/>
        <x:v>0</x:v>
      </x:c>
      <x:c r="K444" s="652">
        <x:f t="shared" si="15"/>
        <x:v>0</x:v>
      </x:c>
      <x:c r="L444" s="652">
        <x:f t="shared" si="15"/>
        <x:v>0</x:v>
      </x:c>
      <x:c r="M444" s="652">
        <x:f t="shared" si="15"/>
        <x:v>0</x:v>
      </x:c>
      <x:c r="N444" s="652">
        <x:f t="shared" si="15"/>
        <x:v>0</x:v>
      </x:c>
      <x:c r="O444" s="652">
        <x:f t="shared" si="15"/>
        <x:v>0</x:v>
      </x:c>
      <x:c r="P444" s="652">
        <x:f t="shared" si="15"/>
        <x:v>0</x:v>
      </x:c>
      <x:c r="Q444" s="652">
        <x:f t="shared" si="15"/>
        <x:v>0</x:v>
      </x:c>
      <x:c r="R444" s="652">
        <x:f t="shared" si="15"/>
        <x:v>0</x:v>
      </x:c>
      <x:c r="Z444" s="624"/>
    </x:row>
    <x:row r="445" spans="1:26" x14ac:dyDescent="0.2">
      <x:c r="B445" s="770"/>
      <x:c r="C445" s="768"/>
      <x:c r="D445" s="651" t="s">
        <x:v>73</x:v>
      </x:c>
      <x:c r="E445" s="652">
        <x:f>E399</x:f>
        <x:v>0</x:v>
      </x:c>
      <x:c r="F445" s="627"/>
      <x:c r="G445" s="627"/>
      <x:c r="H445" s="627"/>
      <x:c r="I445" s="627"/>
      <x:c r="J445" s="627"/>
      <x:c r="K445" s="627"/>
      <x:c r="L445" s="627"/>
      <x:c r="M445" s="627"/>
      <x:c r="N445" s="627"/>
      <x:c r="O445" s="627"/>
      <x:c r="P445" s="627"/>
      <x:c r="Q445" s="627"/>
      <x:c r="R445" s="627"/>
      <x:c r="Z445" s="624"/>
    </x:row>
    <x:row r="446" spans="1:26" ht="15" x14ac:dyDescent="0.25">
      <x:c r="A446" s="625"/>
      <x:c r="B446" s="50"/>
      <x:c r="E446" s="627"/>
      <x:c r="F446" s="627"/>
      <x:c r="G446" s="627"/>
      <x:c r="H446" s="627"/>
      <x:c r="I446" s="627"/>
      <x:c r="J446" s="627"/>
      <x:c r="K446" s="627"/>
      <x:c r="L446" s="627"/>
      <x:c r="M446" s="627"/>
      <x:c r="N446" s="627"/>
      <x:c r="O446" s="627"/>
      <x:c r="P446" s="627"/>
      <x:c r="Q446" s="627"/>
      <x:c r="R446" s="627"/>
      <x:c r="Z446" s="624"/>
    </x:row>
    <x:row r="447" spans="1:26" x14ac:dyDescent="0.2">
      <x:c r="B447" s="771" t="s">
        <x:v>326</x:v>
      </x:c>
      <x:c r="C447" s="768" t="s">
        <x:v>132</x:v>
      </x:c>
      <x:c r="D447" s="654" t="s">
        <x:v>70</x:v>
      </x:c>
      <x:c r="E447" s="655">
        <x:f>E402+E385-K385</x:f>
        <x:v>0</x:v>
      </x:c>
      <x:c r="F447" s="655">
        <x:f>F385</x:f>
        <x:v>0</x:v>
      </x:c>
      <x:c r="G447" s="655">
        <x:f t="shared" ref="G447:R447" si="16">G385</x:f>
        <x:v>0</x:v>
      </x:c>
      <x:c r="H447" s="655">
        <x:f t="shared" si="16"/>
        <x:v>0</x:v>
      </x:c>
      <x:c r="I447" s="655">
        <x:f t="shared" si="16"/>
        <x:v>0</x:v>
      </x:c>
      <x:c r="J447" s="655">
        <x:f t="shared" si="16"/>
        <x:v>0</x:v>
      </x:c>
      <x:c r="K447" s="655">
        <x:f t="shared" si="16"/>
        <x:v>0</x:v>
      </x:c>
      <x:c r="L447" s="655">
        <x:f t="shared" si="16"/>
        <x:v>0</x:v>
      </x:c>
      <x:c r="M447" s="655">
        <x:f t="shared" si="16"/>
        <x:v>0</x:v>
      </x:c>
      <x:c r="N447" s="655">
        <x:f t="shared" si="16"/>
        <x:v>0</x:v>
      </x:c>
      <x:c r="O447" s="655">
        <x:f t="shared" si="16"/>
        <x:v>0</x:v>
      </x:c>
      <x:c r="P447" s="655">
        <x:f t="shared" si="16"/>
        <x:v>0</x:v>
      </x:c>
      <x:c r="Q447" s="655">
        <x:f t="shared" si="16"/>
        <x:v>0</x:v>
      </x:c>
      <x:c r="R447" s="655">
        <x:f t="shared" si="16"/>
        <x:v>0</x:v>
      </x:c>
      <x:c r="Z447" s="624"/>
    </x:row>
    <x:row r="448" spans="1:26" x14ac:dyDescent="0.2">
      <x:c r="B448" s="771"/>
      <x:c r="C448" s="768"/>
      <x:c r="D448" s="654" t="s">
        <x:v>73</x:v>
      </x:c>
      <x:c r="E448" s="655">
        <x:f>E402</x:f>
        <x:v>0</x:v>
      </x:c>
      <x:c r="F448" s="627"/>
      <x:c r="G448" s="627"/>
      <x:c r="H448" s="627"/>
      <x:c r="I448" s="627"/>
      <x:c r="J448" s="627"/>
      <x:c r="K448" s="627"/>
      <x:c r="L448" s="627"/>
      <x:c r="M448" s="627"/>
      <x:c r="N448" s="627"/>
      <x:c r="O448" s="627"/>
      <x:c r="P448" s="627"/>
      <x:c r="Q448" s="627"/>
      <x:c r="R448" s="627"/>
      <x:c r="Z448" s="624"/>
    </x:row>
    <x:row r="449" spans="1:26" ht="15" x14ac:dyDescent="0.2">
      <x:c r="B449" s="643"/>
      <x:c r="C449" s="644"/>
      <x:c r="D449" s="625"/>
      <x:c r="E449" s="627"/>
      <x:c r="F449" s="627"/>
      <x:c r="G449" s="627"/>
      <x:c r="H449" s="627"/>
      <x:c r="I449" s="627"/>
      <x:c r="J449" s="627"/>
      <x:c r="K449" s="627"/>
      <x:c r="L449" s="627"/>
      <x:c r="M449" s="627"/>
      <x:c r="N449" s="627"/>
      <x:c r="O449" s="627"/>
      <x:c r="P449" s="627"/>
      <x:c r="Q449" s="627"/>
      <x:c r="R449" s="627"/>
      <x:c r="Z449" s="624"/>
    </x:row>
    <x:row r="450" spans="1:26" x14ac:dyDescent="0.2">
      <x:c r="B450" s="770" t="s">
        <x:v>119</x:v>
      </x:c>
      <x:c r="C450" s="768" t="s">
        <x:v>132</x:v>
      </x:c>
      <x:c r="D450" s="632" t="s">
        <x:v>70</x:v>
      </x:c>
      <x:c r="E450" s="633">
        <x:f>E395+E409-K395</x:f>
        <x:v>0</x:v>
      </x:c>
      <x:c r="F450" s="633">
        <x:f>F395</x:f>
        <x:v>0</x:v>
      </x:c>
      <x:c r="G450" s="633">
        <x:f t="shared" ref="G450:R450" si="17">G395</x:f>
        <x:v>0</x:v>
      </x:c>
      <x:c r="H450" s="633">
        <x:f t="shared" si="17"/>
        <x:v>0</x:v>
      </x:c>
      <x:c r="I450" s="633">
        <x:f t="shared" si="17"/>
        <x:v>0</x:v>
      </x:c>
      <x:c r="J450" s="633">
        <x:f t="shared" si="17"/>
        <x:v>0</x:v>
      </x:c>
      <x:c r="K450" s="633">
        <x:f t="shared" si="17"/>
        <x:v>0</x:v>
      </x:c>
      <x:c r="L450" s="633">
        <x:f t="shared" si="17"/>
        <x:v>0</x:v>
      </x:c>
      <x:c r="M450" s="633">
        <x:f t="shared" si="17"/>
        <x:v>0</x:v>
      </x:c>
      <x:c r="N450" s="633">
        <x:f t="shared" si="17"/>
        <x:v>0</x:v>
      </x:c>
      <x:c r="O450" s="633">
        <x:f t="shared" si="17"/>
        <x:v>0</x:v>
      </x:c>
      <x:c r="P450" s="633">
        <x:f t="shared" si="17"/>
        <x:v>0</x:v>
      </x:c>
      <x:c r="Q450" s="633">
        <x:f t="shared" si="17"/>
        <x:v>0</x:v>
      </x:c>
      <x:c r="R450" s="633">
        <x:f t="shared" si="17"/>
        <x:v>0</x:v>
      </x:c>
      <x:c r="Z450" s="624"/>
    </x:row>
    <x:row r="451" spans="1:26" x14ac:dyDescent="0.2">
      <x:c r="B451" s="770"/>
      <x:c r="C451" s="768"/>
      <x:c r="D451" s="632" t="s">
        <x:v>73</x:v>
      </x:c>
      <x:c r="E451" s="633">
        <x:f>E409</x:f>
        <x:v>0</x:v>
      </x:c>
      <x:c r="F451" s="627"/>
      <x:c r="G451" s="627"/>
      <x:c r="H451" s="627"/>
      <x:c r="I451" s="627"/>
      <x:c r="J451" s="627"/>
      <x:c r="K451" s="627"/>
      <x:c r="L451" s="627"/>
      <x:c r="M451" s="627"/>
      <x:c r="N451" s="627"/>
      <x:c r="O451" s="627"/>
      <x:c r="P451" s="627"/>
      <x:c r="Q451" s="627"/>
      <x:c r="R451" s="627"/>
      <x:c r="Z451" s="624"/>
    </x:row>
    <x:row r="452" spans="1:26" ht="15" x14ac:dyDescent="0.25">
      <x:c r="A452" s="625"/>
      <x:c r="B452" s="50"/>
      <x:c r="E452" s="627"/>
      <x:c r="F452" s="627"/>
      <x:c r="G452" s="627"/>
      <x:c r="H452" s="627"/>
      <x:c r="I452" s="627"/>
      <x:c r="J452" s="627"/>
      <x:c r="K452" s="627"/>
      <x:c r="L452" s="627"/>
      <x:c r="M452" s="627"/>
      <x:c r="N452" s="627"/>
      <x:c r="O452" s="627"/>
      <x:c r="P452" s="627"/>
      <x:c r="Q452" s="627"/>
      <x:c r="R452" s="627"/>
      <x:c r="Z452" s="624"/>
    </x:row>
    <x:row r="453" spans="1:26" x14ac:dyDescent="0.2">
      <x:c r="B453" s="769" t="s">
        <x:v>161</x:v>
      </x:c>
      <x:c r="C453" s="768" t="s">
        <x:v>132</x:v>
      </x:c>
      <x:c r="D453" s="661" t="s">
        <x:v>70</x:v>
      </x:c>
      <x:c r="E453" s="662">
        <x:v>0</x:v>
      </x:c>
      <x:c r="F453" s="662">
        <x:v>0</x:v>
      </x:c>
      <x:c r="G453" s="662">
        <x:v>0</x:v>
      </x:c>
      <x:c r="H453" s="662">
        <x:v>0</x:v>
      </x:c>
      <x:c r="I453" s="662">
        <x:v>0</x:v>
      </x:c>
      <x:c r="J453" s="662">
        <x:v>0</x:v>
      </x:c>
      <x:c r="K453" s="662">
        <x:v>0</x:v>
      </x:c>
      <x:c r="L453" s="662">
        <x:v>0</x:v>
      </x:c>
      <x:c r="M453" s="662">
        <x:v>0</x:v>
      </x:c>
      <x:c r="N453" s="662">
        <x:v>0</x:v>
      </x:c>
      <x:c r="O453" s="662">
        <x:v>0</x:v>
      </x:c>
      <x:c r="P453" s="662">
        <x:v>0</x:v>
      </x:c>
      <x:c r="Q453" s="662">
        <x:v>0</x:v>
      </x:c>
      <x:c r="R453" s="662">
        <x:v>0</x:v>
      </x:c>
      <x:c r="Z453" s="624"/>
    </x:row>
    <x:row r="454" spans="1:26" x14ac:dyDescent="0.2">
      <x:c r="B454" s="769"/>
      <x:c r="C454" s="768"/>
      <x:c r="D454" s="661" t="s">
        <x:v>73</x:v>
      </x:c>
      <x:c r="E454" s="662">
        <x:v>0</x:v>
      </x:c>
      <x:c r="F454" s="627"/>
      <x:c r="G454" s="627"/>
      <x:c r="H454" s="627"/>
      <x:c r="I454" s="627"/>
      <x:c r="J454" s="627"/>
      <x:c r="K454" s="627"/>
      <x:c r="L454" s="627"/>
      <x:c r="M454" s="627"/>
      <x:c r="N454" s="627"/>
      <x:c r="O454" s="627"/>
      <x:c r="P454" s="627"/>
      <x:c r="Q454" s="627"/>
      <x:c r="R454" s="627"/>
      <x:c r="Z454" s="624"/>
    </x:row>
    <x:row r="455" spans="1:26" x14ac:dyDescent="0.2">
      <x:c r="A455" s="624"/>
      <x:c r="B455" s="624"/>
      <x:c r="C455" s="624"/>
      <x:c r="D455" s="624"/>
      <x:c r="E455" s="624"/>
      <x:c r="F455" s="624"/>
      <x:c r="G455" s="624"/>
      <x:c r="H455" s="624"/>
      <x:c r="I455" s="624"/>
      <x:c r="J455" s="624"/>
      <x:c r="K455" s="624"/>
      <x:c r="L455" s="624"/>
      <x:c r="M455" s="624"/>
      <x:c r="N455" s="624"/>
      <x:c r="O455" s="624"/>
      <x:c r="P455" s="624"/>
      <x:c r="Q455" s="624"/>
      <x:c r="R455" s="624"/>
      <x:c r="S455" s="624"/>
      <x:c r="T455" s="624"/>
      <x:c r="U455" s="624"/>
      <x:c r="V455" s="624"/>
      <x:c r="W455" s="624"/>
      <x:c r="X455" s="624"/>
      <x:c r="Y455" s="624"/>
      <x:c r="Z455" s="624"/>
    </x:row>
  </x:sheetData>
  <x:mergeCells count="60">
    <x:mergeCell ref="B450:B451"/>
    <x:mergeCell ref="C450:C451"/>
    <x:mergeCell ref="B453:B454"/>
    <x:mergeCell ref="C453:C454"/>
    <x:mergeCell ref="B447:B448"/>
    <x:mergeCell ref="C447:C448"/>
    <x:mergeCell ref="B438:B439"/>
    <x:mergeCell ref="C438:C439"/>
    <x:mergeCell ref="B441:B442"/>
    <x:mergeCell ref="C441:C442"/>
    <x:mergeCell ref="B444:B445"/>
    <x:mergeCell ref="C444:C445"/>
    <x:mergeCell ref="B370:B371"/>
    <x:mergeCell ref="C370:C371"/>
    <x:mergeCell ref="B373:B374"/>
    <x:mergeCell ref="C373:C374"/>
    <x:mergeCell ref="B367:B368"/>
    <x:mergeCell ref="C367:C368"/>
    <x:mergeCell ref="B358:B359"/>
    <x:mergeCell ref="C358:C359"/>
    <x:mergeCell ref="B361:B362"/>
    <x:mergeCell ref="C361:C362"/>
    <x:mergeCell ref="B364:B365"/>
    <x:mergeCell ref="C364:C365"/>
    <x:mergeCell ref="B268:B269"/>
    <x:mergeCell ref="C268:C269"/>
    <x:mergeCell ref="B265:B266"/>
    <x:mergeCell ref="C265:C266"/>
    <x:mergeCell ref="B271:B272"/>
    <x:mergeCell ref="C271:C272"/>
    <x:mergeCell ref="B256:B257"/>
    <x:mergeCell ref="C256:C257"/>
    <x:mergeCell ref="B259:B260"/>
    <x:mergeCell ref="C259:C260"/>
    <x:mergeCell ref="B262:B263"/>
    <x:mergeCell ref="C262:C263"/>
    <x:mergeCell ref="B43:B44"/>
    <x:mergeCell ref="C43:C44"/>
    <x:mergeCell ref="B46:B47"/>
    <x:mergeCell ref="C46:C47"/>
    <x:mergeCell ref="B52:B53"/>
    <x:mergeCell ref="C52:C53"/>
    <x:mergeCell ref="B49:B50"/>
    <x:mergeCell ref="C49:C50"/>
    <x:mergeCell ref="B55:B56"/>
    <x:mergeCell ref="C55:C56"/>
    <x:mergeCell ref="B154:B155"/>
    <x:mergeCell ref="C154:C155"/>
    <x:mergeCell ref="B58:B59"/>
    <x:mergeCell ref="C58:C59"/>
    <x:mergeCell ref="B139:B140"/>
    <x:mergeCell ref="C139:C140"/>
    <x:mergeCell ref="B142:B143"/>
    <x:mergeCell ref="C142:C143"/>
    <x:mergeCell ref="B145:B146"/>
    <x:mergeCell ref="C145:C146"/>
    <x:mergeCell ref="B151:B152"/>
    <x:mergeCell ref="C151:C152"/>
    <x:mergeCell ref="B148:B149"/>
    <x:mergeCell ref="C148:C149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Z376"/>
  <x:sheetViews>
    <x:sheetView zoomScale="82" zoomScaleNormal="82" workbookViewId="0">
      <x:pane ySplit="2" topLeftCell="A3" activePane="bottomLeft" state="frozen"/>
      <x:selection activeCell="A6" sqref="A6"/>
      <x:selection pane="bottomLeft" activeCell="C20" sqref="C20"/>
    </x:sheetView>
  </x:sheetViews>
  <x:sheetFormatPr baseColWidth="10" defaultColWidth="30" defaultRowHeight="14.25" x14ac:dyDescent="0.2"/>
  <x:cols>
    <x:col min="1" max="1" width="29.85546875" style="681" customWidth="1"/>
    <x:col min="2" max="2" width="20.5703125" style="681" bestFit="1" customWidth="1"/>
    <x:col min="3" max="3" width="25.28515625" style="681" bestFit="1" customWidth="1"/>
    <x:col min="4" max="4" width="16.28515625" style="681" bestFit="1" customWidth="1"/>
    <x:col min="5" max="5" width="18.140625" style="681" bestFit="1" customWidth="1"/>
    <x:col min="6" max="6" width="17.85546875" style="681" bestFit="1" customWidth="1"/>
    <x:col min="7" max="7" width="20.140625" style="681" bestFit="1" customWidth="1"/>
    <x:col min="8" max="8" width="18.42578125" style="681" bestFit="1" customWidth="1"/>
    <x:col min="9" max="9" width="19.42578125" style="681" bestFit="1" customWidth="1"/>
    <x:col min="10" max="10" width="18.28515625" style="681" bestFit="1" customWidth="1"/>
    <x:col min="11" max="13" width="18.140625" style="681" bestFit="1" customWidth="1"/>
    <x:col min="14" max="14" width="23.28515625" style="681" bestFit="1" customWidth="1"/>
    <x:col min="15" max="15" width="15.140625" style="681" bestFit="1" customWidth="1"/>
    <x:col min="16" max="16" width="24.140625" style="681" bestFit="1" customWidth="1"/>
    <x:col min="17" max="17" width="21.7109375" style="681" bestFit="1" customWidth="1"/>
    <x:col min="18" max="18" width="6.28515625" style="681" bestFit="1" customWidth="1"/>
    <x:col min="19" max="24" width="30" style="681"/>
    <x:col min="25" max="25" width="30.140625" style="681" customWidth="1"/>
    <x:col min="26" max="26" width="2.140625" style="681" customWidth="1"/>
    <x:col min="27" max="16384" width="30" style="681"/>
  </x:cols>
  <x:sheetData>
    <x:row r="1" spans="1:26" ht="15" x14ac:dyDescent="0.25">
      <x:c r="B1" s="707" t="s">
        <x:v>74</x:v>
      </x:c>
      <x:c r="Z1" s="701"/>
    </x:row>
    <x:row r="2" spans="1:26" s="682" customFormat="1" ht="15" x14ac:dyDescent="0.25">
      <x:c r="D2" s="704" t="s">
        <x:v>70</x:v>
      </x:c>
      <x:c r="E2" s="704" t="s">
        <x:v>64</x:v>
      </x:c>
      <x:c r="F2" s="704" t="s">
        <x:v>65</x:v>
      </x:c>
      <x:c r="G2" s="705" t="s">
        <x:v>164</x:v>
      </x:c>
      <x:c r="H2" s="704" t="s">
        <x:v>69</x:v>
      </x:c>
      <x:c r="I2" s="704" t="s">
        <x:v>68</x:v>
      </x:c>
      <x:c r="J2" s="704" t="s">
        <x:v>66</x:v>
      </x:c>
      <x:c r="K2" s="704" t="s">
        <x:v>63</x:v>
      </x:c>
      <x:c r="L2" s="704" t="s">
        <x:v>61</x:v>
      </x:c>
      <x:c r="M2" s="704" t="s">
        <x:v>62</x:v>
      </x:c>
      <x:c r="N2" s="704" t="s">
        <x:v>67</x:v>
      </x:c>
      <x:c r="O2" s="704" t="s">
        <x:v>77</x:v>
      </x:c>
      <x:c r="P2" s="682" t="s">
        <x:v>71</x:v>
      </x:c>
      <x:c r="Q2" s="704" t="s">
        <x:v>80</x:v>
      </x:c>
      <x:c r="R2" s="682" t="s">
        <x:v>167</x:v>
      </x:c>
      <x:c r="Z2" s="706"/>
    </x:row>
    <x:row r="3" spans="1:26" x14ac:dyDescent="0.2">
      <x:c r="C3" s="681" t="s">
        <x:v>72</x:v>
      </x:c>
      <x:c r="D3" s="683" t="n">
        <x:v>-48725.8</x:v>
      </x:c>
      <x:c r="E3" s="683" t="n">
        <x:v>-2974.76</x:v>
      </x:c>
      <x:c r="F3" s="683" t="n">
        <x:v>-1679.55</x:v>
      </x:c>
      <x:c r="G3" s="683" t="n">
        <x:v>-881.55</x:v>
      </x:c>
      <x:c r="H3" s="683" t="n">
        <x:v>-11542.33</x:v>
      </x:c>
      <x:c r="I3" s="683" t="n">
        <x:v>-391.85</x:v>
      </x:c>
      <x:c r="J3" s="683" t="n">
        <x:v>-3437.25</x:v>
      </x:c>
      <x:c r="K3" s="683" t="n">
        <x:v>-3322.9</x:v>
      </x:c>
      <x:c r="L3" s="683" t="n">
        <x:v>-15733.99</x:v>
      </x:c>
      <x:c r="M3" s="683" t="n">
        <x:v>-8124.53</x:v>
      </x:c>
      <x:c r="N3" s="683" t="n">
        <x:v>-639.32</x:v>
      </x:c>
      <x:c r="O3" s="683" t="n">
        <x:v>2.23</x:v>
      </x:c>
      <x:c r="P3" s="683">
        <x:v>0</x:v>
      </x:c>
      <x:c r="Q3" s="683">
        <x:v>0</x:v>
      </x:c>
      <x:c r="R3" s="681">
        <x:v>0</x:v>
      </x:c>
      <x:c r="Z3" s="701"/>
    </x:row>
    <x:row r="4" spans="1:26" x14ac:dyDescent="0.2">
      <x:c r="C4" s="681" t="s">
        <x:v>81</x:v>
      </x:c>
      <x:c r="D4" s="683">
        <x:v>0</x:v>
      </x:c>
      <x:c r="E4" s="683">
        <x:v>0</x:v>
      </x:c>
      <x:c r="F4" s="683">
        <x:v>0</x:v>
      </x:c>
      <x:c r="G4" s="683">
        <x:v>0</x:v>
      </x:c>
      <x:c r="H4" s="683">
        <x:v>0</x:v>
      </x:c>
      <x:c r="I4" s="683">
        <x:v>0</x:v>
      </x:c>
      <x:c r="J4" s="683">
        <x:v>0</x:v>
      </x:c>
      <x:c r="K4" s="683">
        <x:v>0</x:v>
      </x:c>
      <x:c r="L4" s="683">
        <x:v>0</x:v>
      </x:c>
      <x:c r="M4" s="683">
        <x:v>0</x:v>
      </x:c>
      <x:c r="N4" s="683">
        <x:v>0</x:v>
      </x:c>
      <x:c r="O4" s="683">
        <x:v>0</x:v>
      </x:c>
      <x:c r="P4" s="683">
        <x:v>0</x:v>
      </x:c>
      <x:c r="Q4" s="683">
        <x:v>0</x:v>
      </x:c>
      <x:c r="R4" s="681">
        <x:v>0</x:v>
      </x:c>
      <x:c r="Z4" s="701"/>
    </x:row>
    <x:row r="5" spans="1:26" x14ac:dyDescent="0.2">
      <x:c r="A5" s="684"/>
      <x:c r="B5" s="685" t="s">
        <x:v>78</x:v>
      </x:c>
      <x:c r="C5" s="685" t="s">
        <x:v>70</x:v>
      </x:c>
      <x:c r="D5" s="685" t="n">
        <x:v>-48725.8</x:v>
      </x:c>
      <x:c r="E5" s="685" t="n">
        <x:v>-2974.76</x:v>
      </x:c>
      <x:c r="F5" s="685" t="n">
        <x:v>-1679.55</x:v>
      </x:c>
      <x:c r="G5" s="685" t="n">
        <x:v>-881.55</x:v>
      </x:c>
      <x:c r="H5" s="685" t="n">
        <x:v>-11542.33</x:v>
      </x:c>
      <x:c r="I5" s="685" t="n">
        <x:v>-391.85</x:v>
      </x:c>
      <x:c r="J5" s="685" t="n">
        <x:v>-3437.25</x:v>
      </x:c>
      <x:c r="K5" s="685" t="n">
        <x:v>-3322.9</x:v>
      </x:c>
      <x:c r="L5" s="685" t="n">
        <x:v>-15733.99</x:v>
      </x:c>
      <x:c r="M5" s="685" t="n">
        <x:v>-8124.53</x:v>
      </x:c>
      <x:c r="N5" s="685" t="n">
        <x:v>-639.32</x:v>
      </x:c>
      <x:c r="O5" s="685" t="n">
        <x:v>2.23</x:v>
      </x:c>
      <x:c r="P5" s="684">
        <x:v>0</x:v>
      </x:c>
      <x:c r="Q5" s="685">
        <x:v>0</x:v>
      </x:c>
      <x:c r="R5" s="685">
        <x:v>0</x:v>
      </x:c>
      <x:c r="S5" s="684"/>
      <x:c r="T5" s="684"/>
      <x:c r="U5" s="684"/>
      <x:c r="V5" s="684"/>
      <x:c r="W5" s="684"/>
      <x:c r="X5" s="684"/>
      <x:c r="Y5" s="684"/>
      <x:c r="Z5" s="701"/>
    </x:row>
    <x:row r="6" spans="1:26" x14ac:dyDescent="0.2">
      <x:c r="C6" s="681" t="s">
        <x:v>73</x:v>
      </x:c>
      <x:c r="D6" s="683" t="n">
        <x:v>-24364.2</x:v>
      </x:c>
      <x:c r="E6" s="683" t="n">
        <x:v>-1487.39</x:v>
      </x:c>
      <x:c r="F6" s="683" t="n">
        <x:v>-839.77</x:v>
      </x:c>
      <x:c r="G6" s="683" t="n">
        <x:v>-440.78</x:v>
      </x:c>
      <x:c r="H6" s="683" t="n">
        <x:v>-5771.33</x:v>
      </x:c>
      <x:c r="I6" s="683" t="n">
        <x:v>-195.93</x:v>
      </x:c>
      <x:c r="J6" s="683" t="n">
        <x:v>-1718.62</x:v>
      </x:c>
      <x:c r="K6" s="683" t="n">
        <x:v>-1661.45</x:v>
      </x:c>
      <x:c r="L6" s="683" t="n">
        <x:v>-7867</x:v>
      </x:c>
      <x:c r="M6" s="683" t="n">
        <x:v>-4062.27</x:v>
      </x:c>
      <x:c r="N6" s="683" t="n">
        <x:v>-319.66</x:v>
      </x:c>
      <x:c r="O6" s="683" t="n">
        <x:v>0</x:v>
      </x:c>
      <x:c r="P6" s="683">
        <x:v>0</x:v>
      </x:c>
      <x:c r="Q6" s="683">
        <x:v>0</x:v>
      </x:c>
      <x:c r="R6" s="681">
        <x:v>0</x:v>
      </x:c>
      <x:c r="Z6" s="701"/>
    </x:row>
    <x:row r="7" spans="1:26" x14ac:dyDescent="0.2">
      <x:c r="A7" s="686"/>
      <x:c r="B7" s="687" t="s">
        <x:v>79</x:v>
      </x:c>
      <x:c r="C7" s="687" t="s">
        <x:v>70</x:v>
      </x:c>
      <x:c r="D7" s="687" t="n">
        <x:v>-24364.2</x:v>
      </x:c>
      <x:c r="E7" s="687" t="n">
        <x:v>-1487.39</x:v>
      </x:c>
      <x:c r="F7" s="687" t="n">
        <x:v>-839.77</x:v>
      </x:c>
      <x:c r="G7" s="687" t="n">
        <x:v>-440.78</x:v>
      </x:c>
      <x:c r="H7" s="687" t="n">
        <x:v>-5771.33</x:v>
      </x:c>
      <x:c r="I7" s="687" t="n">
        <x:v>-195.93</x:v>
      </x:c>
      <x:c r="J7" s="687" t="n">
        <x:v>-1718.62</x:v>
      </x:c>
      <x:c r="K7" s="687" t="n">
        <x:v>-1661.45</x:v>
      </x:c>
      <x:c r="L7" s="687" t="n">
        <x:v>-7867</x:v>
      </x:c>
      <x:c r="M7" s="687" t="n">
        <x:v>-4062.27</x:v>
      </x:c>
      <x:c r="N7" s="687" t="n">
        <x:v>-319.66</x:v>
      </x:c>
      <x:c r="O7" s="687" t="n">
        <x:v>0</x:v>
      </x:c>
      <x:c r="P7" s="686">
        <x:v>0</x:v>
      </x:c>
      <x:c r="Q7" s="687">
        <x:v>0</x:v>
      </x:c>
      <x:c r="R7" s="687">
        <x:v>0</x:v>
      </x:c>
      <x:c r="S7" s="686"/>
      <x:c r="T7" s="686"/>
      <x:c r="U7" s="686"/>
      <x:c r="V7" s="686"/>
      <x:c r="W7" s="686"/>
      <x:c r="X7" s="686"/>
      <x:c r="Y7" s="686"/>
      <x:c r="Z7" s="701"/>
    </x:row>
    <x:row r="8" spans="1:26" x14ac:dyDescent="0.2">
      <x:c r="A8" s="688" t="s">
        <x:v>155</x:v>
      </x:c>
      <x:c r="B8" s="688" t="s">
        <x:v>70</x:v>
      </x:c>
      <x:c r="C8" s="688"/>
      <x:c r="D8" s="689" t="n">
        <x:v>-73090</x:v>
      </x:c>
      <x:c r="E8" s="689" t="n">
        <x:v>-4462.15</x:v>
      </x:c>
      <x:c r="F8" s="689" t="n">
        <x:v>-2519.32</x:v>
      </x:c>
      <x:c r="G8" s="689" t="n">
        <x:v>-1322.33</x:v>
      </x:c>
      <x:c r="H8" s="689" t="n">
        <x:v>-17313.66</x:v>
      </x:c>
      <x:c r="I8" s="689" t="n">
        <x:v>-587.78</x:v>
      </x:c>
      <x:c r="J8" s="689" t="n">
        <x:v>-5155.87</x:v>
      </x:c>
      <x:c r="K8" s="689" t="n">
        <x:v>-4984.35</x:v>
      </x:c>
      <x:c r="L8" s="689" t="n">
        <x:v>-23600.99</x:v>
      </x:c>
      <x:c r="M8" s="689" t="n">
        <x:v>-12186.8</x:v>
      </x:c>
      <x:c r="N8" s="689" t="n">
        <x:v>-958.98</x:v>
      </x:c>
      <x:c r="O8" s="689" t="n">
        <x:v>2.23</x:v>
      </x:c>
      <x:c r="P8" s="689">
        <x:v>0</x:v>
      </x:c>
      <x:c r="Q8" s="689">
        <x:v>0</x:v>
      </x:c>
      <x:c r="R8" s="688">
        <x:v>0</x:v>
      </x:c>
      <x:c r="S8" s="688"/>
      <x:c r="T8" s="688"/>
      <x:c r="U8" s="688"/>
      <x:c r="V8" s="688"/>
      <x:c r="W8" s="688"/>
      <x:c r="X8" s="688"/>
      <x:c r="Y8" s="688"/>
      <x:c r="Z8" s="701"/>
    </x:row>
    <x:row r="9" spans="1:26" x14ac:dyDescent="0.2">
      <x:c r="C9" s="681" t="s">
        <x:v>72</x:v>
      </x:c>
      <x:c r="D9" s="683">
        <x:v>0</x:v>
      </x:c>
      <x:c r="E9" s="683">
        <x:v>0</x:v>
      </x:c>
      <x:c r="F9" s="683">
        <x:v>0</x:v>
      </x:c>
      <x:c r="G9" s="683">
        <x:v>0</x:v>
      </x:c>
      <x:c r="H9" s="683">
        <x:v>0</x:v>
      </x:c>
      <x:c r="I9" s="683">
        <x:v>0</x:v>
      </x:c>
      <x:c r="J9" s="683">
        <x:v>0</x:v>
      </x:c>
      <x:c r="K9" s="683">
        <x:v>0</x:v>
      </x:c>
      <x:c r="L9" s="683">
        <x:v>0</x:v>
      </x:c>
      <x:c r="M9" s="683">
        <x:v>0</x:v>
      </x:c>
      <x:c r="N9" s="683">
        <x:v>0</x:v>
      </x:c>
      <x:c r="O9" s="683">
        <x:v>0</x:v>
      </x:c>
      <x:c r="P9" s="683">
        <x:v>0</x:v>
      </x:c>
      <x:c r="Q9" s="683">
        <x:v>0</x:v>
      </x:c>
      <x:c r="R9" s="681">
        <x:v>0</x:v>
      </x:c>
      <x:c r="Z9" s="701"/>
    </x:row>
    <x:row r="10" spans="1:26" x14ac:dyDescent="0.2">
      <x:c r="C10" s="681" t="s">
        <x:v>81</x:v>
      </x:c>
      <x:c r="D10" s="683">
        <x:v>0</x:v>
      </x:c>
      <x:c r="E10" s="683">
        <x:v>0</x:v>
      </x:c>
      <x:c r="F10" s="683">
        <x:v>0</x:v>
      </x:c>
      <x:c r="G10" s="683">
        <x:v>0</x:v>
      </x:c>
      <x:c r="H10" s="683">
        <x:v>0</x:v>
      </x:c>
      <x:c r="I10" s="683">
        <x:v>0</x:v>
      </x:c>
      <x:c r="J10" s="683">
        <x:v>0</x:v>
      </x:c>
      <x:c r="K10" s="683">
        <x:v>0</x:v>
      </x:c>
      <x:c r="L10" s="683">
        <x:v>0</x:v>
      </x:c>
      <x:c r="M10" s="683">
        <x:v>0</x:v>
      </x:c>
      <x:c r="N10" s="683">
        <x:v>0</x:v>
      </x:c>
      <x:c r="O10" s="683">
        <x:v>0</x:v>
      </x:c>
      <x:c r="P10" s="683">
        <x:v>0</x:v>
      </x:c>
      <x:c r="Q10" s="683">
        <x:v>0</x:v>
      </x:c>
      <x:c r="R10" s="681">
        <x:v>0</x:v>
      </x:c>
      <x:c r="Z10" s="701"/>
    </x:row>
    <x:row r="11" spans="1:26" x14ac:dyDescent="0.2">
      <x:c r="A11" s="684"/>
      <x:c r="B11" s="685" t="s">
        <x:v>78</x:v>
      </x:c>
      <x:c r="C11" s="685" t="s">
        <x:v>70</x:v>
      </x:c>
      <x:c r="D11" s="685">
        <x:v>0</x:v>
      </x:c>
      <x:c r="E11" s="685">
        <x:v>0</x:v>
      </x:c>
      <x:c r="F11" s="685">
        <x:v>0</x:v>
      </x:c>
      <x:c r="G11" s="685">
        <x:v>0</x:v>
      </x:c>
      <x:c r="H11" s="685">
        <x:v>0</x:v>
      </x:c>
      <x:c r="I11" s="685">
        <x:v>0</x:v>
      </x:c>
      <x:c r="J11" s="685">
        <x:v>0</x:v>
      </x:c>
      <x:c r="K11" s="685">
        <x:v>0</x:v>
      </x:c>
      <x:c r="L11" s="685">
        <x:v>0</x:v>
      </x:c>
      <x:c r="M11" s="685">
        <x:v>0</x:v>
      </x:c>
      <x:c r="N11" s="685">
        <x:v>0</x:v>
      </x:c>
      <x:c r="O11" s="685">
        <x:v>0</x:v>
      </x:c>
      <x:c r="P11" s="684">
        <x:v>0</x:v>
      </x:c>
      <x:c r="Q11" s="685">
        <x:v>0</x:v>
      </x:c>
      <x:c r="R11" s="685">
        <x:v>0</x:v>
      </x:c>
      <x:c r="S11" s="684"/>
      <x:c r="T11" s="684"/>
      <x:c r="U11" s="684"/>
      <x:c r="V11" s="684"/>
      <x:c r="W11" s="684"/>
      <x:c r="X11" s="684"/>
      <x:c r="Y11" s="684"/>
      <x:c r="Z11" s="701"/>
    </x:row>
    <x:row r="12" spans="1:26" x14ac:dyDescent="0.2">
      <x:c r="C12" s="681" t="s">
        <x:v>73</x:v>
      </x:c>
      <x:c r="D12" s="683">
        <x:v>0</x:v>
      </x:c>
      <x:c r="E12" s="683">
        <x:v>0</x:v>
      </x:c>
      <x:c r="F12" s="683">
        <x:v>0</x:v>
      </x:c>
      <x:c r="G12" s="683">
        <x:v>0</x:v>
      </x:c>
      <x:c r="H12" s="683">
        <x:v>0</x:v>
      </x:c>
      <x:c r="I12" s="683">
        <x:v>0</x:v>
      </x:c>
      <x:c r="J12" s="683">
        <x:v>0</x:v>
      </x:c>
      <x:c r="K12" s="683">
        <x:v>0</x:v>
      </x:c>
      <x:c r="L12" s="683">
        <x:v>0</x:v>
      </x:c>
      <x:c r="M12" s="683">
        <x:v>0</x:v>
      </x:c>
      <x:c r="N12" s="683">
        <x:v>0</x:v>
      </x:c>
      <x:c r="O12" s="683">
        <x:v>0</x:v>
      </x:c>
      <x:c r="P12" s="683">
        <x:v>0</x:v>
      </x:c>
      <x:c r="Q12" s="683">
        <x:v>0</x:v>
      </x:c>
      <x:c r="R12" s="681">
        <x:v>0</x:v>
      </x:c>
      <x:c r="Z12" s="701"/>
    </x:row>
    <x:row r="13" spans="1:26" x14ac:dyDescent="0.2">
      <x:c r="A13" s="686"/>
      <x:c r="B13" s="687" t="s">
        <x:v>79</x:v>
      </x:c>
      <x:c r="C13" s="687" t="s">
        <x:v>70</x:v>
      </x:c>
      <x:c r="D13" s="687">
        <x:v>0</x:v>
      </x:c>
      <x:c r="E13" s="687">
        <x:v>0</x:v>
      </x:c>
      <x:c r="F13" s="687">
        <x:v>0</x:v>
      </x:c>
      <x:c r="G13" s="687">
        <x:v>0</x:v>
      </x:c>
      <x:c r="H13" s="687">
        <x:v>0</x:v>
      </x:c>
      <x:c r="I13" s="687">
        <x:v>0</x:v>
      </x:c>
      <x:c r="J13" s="687">
        <x:v>0</x:v>
      </x:c>
      <x:c r="K13" s="687">
        <x:v>0</x:v>
      </x:c>
      <x:c r="L13" s="687">
        <x:v>0</x:v>
      </x:c>
      <x:c r="M13" s="687">
        <x:v>0</x:v>
      </x:c>
      <x:c r="N13" s="687">
        <x:v>0</x:v>
      </x:c>
      <x:c r="O13" s="687">
        <x:v>0</x:v>
      </x:c>
      <x:c r="P13" s="686">
        <x:v>0</x:v>
      </x:c>
      <x:c r="Q13" s="687">
        <x:v>0</x:v>
      </x:c>
      <x:c r="R13" s="687">
        <x:v>0</x:v>
      </x:c>
      <x:c r="S13" s="686"/>
      <x:c r="T13" s="686"/>
      <x:c r="U13" s="686"/>
      <x:c r="V13" s="686"/>
      <x:c r="W13" s="686"/>
      <x:c r="X13" s="686"/>
      <x:c r="Y13" s="686"/>
      <x:c r="Z13" s="701"/>
    </x:row>
    <x:row r="14" spans="1:26" x14ac:dyDescent="0.2">
      <x:c r="A14" s="690" t="s">
        <x:v>119</x:v>
      </x:c>
      <x:c r="B14" s="690" t="s">
        <x:v>70</x:v>
      </x:c>
      <x:c r="C14" s="690"/>
      <x:c r="D14" s="691">
        <x:v>0</x:v>
      </x:c>
      <x:c r="E14" s="691">
        <x:v>0</x:v>
      </x:c>
      <x:c r="F14" s="691">
        <x:v>0</x:v>
      </x:c>
      <x:c r="G14" s="691">
        <x:v>0</x:v>
      </x:c>
      <x:c r="H14" s="691">
        <x:v>0</x:v>
      </x:c>
      <x:c r="I14" s="691">
        <x:v>0</x:v>
      </x:c>
      <x:c r="J14" s="691">
        <x:v>0</x:v>
      </x:c>
      <x:c r="K14" s="691">
        <x:v>0</x:v>
      </x:c>
      <x:c r="L14" s="691">
        <x:v>0</x:v>
      </x:c>
      <x:c r="M14" s="691">
        <x:v>0</x:v>
      </x:c>
      <x:c r="N14" s="691">
        <x:v>0</x:v>
      </x:c>
      <x:c r="O14" s="691">
        <x:v>0</x:v>
      </x:c>
      <x:c r="P14" s="691">
        <x:v>0</x:v>
      </x:c>
      <x:c r="Q14" s="691">
        <x:v>0</x:v>
      </x:c>
      <x:c r="R14" s="690">
        <x:v>0</x:v>
      </x:c>
      <x:c r="S14" s="690"/>
      <x:c r="T14" s="690"/>
      <x:c r="U14" s="690"/>
      <x:c r="V14" s="690"/>
      <x:c r="W14" s="690"/>
      <x:c r="X14" s="690"/>
      <x:c r="Y14" s="690"/>
      <x:c r="Z14" s="701"/>
    </x:row>
    <x:row r="15" spans="1:26" x14ac:dyDescent="0.2">
      <x:c r="A15" s="692" t="s">
        <x:v>70</x:v>
      </x:c>
      <x:c r="B15" s="693"/>
      <x:c r="C15" s="693"/>
      <x:c r="D15" s="692" t="n">
        <x:v>-73090</x:v>
      </x:c>
      <x:c r="E15" s="692" t="n">
        <x:v>-4462.15</x:v>
      </x:c>
      <x:c r="F15" s="692" t="n">
        <x:v>-2519.32</x:v>
      </x:c>
      <x:c r="G15" s="692" t="n">
        <x:v>-1322.33</x:v>
      </x:c>
      <x:c r="H15" s="692" t="n">
        <x:v>-17313.66</x:v>
      </x:c>
      <x:c r="I15" s="692" t="n">
        <x:v>-587.78</x:v>
      </x:c>
      <x:c r="J15" s="692" t="n">
        <x:v>-5155.87</x:v>
      </x:c>
      <x:c r="K15" s="692" t="n">
        <x:v>-4984.35</x:v>
      </x:c>
      <x:c r="L15" s="692" t="n">
        <x:v>-23600.99</x:v>
      </x:c>
      <x:c r="M15" s="692" t="n">
        <x:v>-12186.8</x:v>
      </x:c>
      <x:c r="N15" s="692" t="n">
        <x:v>-958.98</x:v>
      </x:c>
      <x:c r="O15" s="692" t="n">
        <x:v>2.23</x:v>
      </x:c>
      <x:c r="P15" s="693" t="n">
        <x:v>0</x:v>
      </x:c>
      <x:c r="Q15" s="692">
        <x:v>0</x:v>
      </x:c>
      <x:c r="R15" s="692">
        <x:v>0</x:v>
      </x:c>
      <x:c r="S15" s="693"/>
      <x:c r="T15" s="693"/>
      <x:c r="U15" s="693"/>
      <x:c r="V15" s="693"/>
      <x:c r="W15" s="693"/>
      <x:c r="X15" s="693"/>
      <x:c r="Y15" s="693"/>
      <x:c r="Z15" s="701"/>
    </x:row>
    <x:row r="16" spans="1:26" x14ac:dyDescent="0.2">
      <x:c r="D16" s="683"/>
      <x:c r="E16" s="683"/>
      <x:c r="F16" s="683"/>
      <x:c r="G16" s="683"/>
      <x:c r="H16" s="683"/>
      <x:c r="I16" s="683"/>
      <x:c r="J16" s="683"/>
      <x:c r="K16" s="683"/>
      <x:c r="L16" s="683"/>
      <x:c r="M16" s="683"/>
      <x:c r="N16" s="683"/>
      <x:c r="O16" s="683"/>
      <x:c r="Z16" s="701"/>
    </x:row>
    <x:row r="17" spans="1:26" x14ac:dyDescent="0.2">
      <x:c r="A17" s="683"/>
      <x:c r="D17" s="683"/>
      <x:c r="E17" s="683"/>
      <x:c r="F17" s="683"/>
      <x:c r="G17" s="683"/>
      <x:c r="H17" s="683"/>
      <x:c r="I17" s="683"/>
      <x:c r="J17" s="683"/>
      <x:c r="K17" s="683"/>
      <x:c r="L17" s="683"/>
      <x:c r="M17" s="683"/>
      <x:c r="N17" s="683"/>
      <x:c r="O17" s="683"/>
      <x:c r="Z17" s="701"/>
    </x:row>
    <x:row r="18" spans="1:26" x14ac:dyDescent="0.2">
      <x:c r="A18" s="683"/>
      <x:c r="D18" s="683"/>
      <x:c r="E18" s="683"/>
      <x:c r="F18" s="683"/>
      <x:c r="G18" s="683"/>
      <x:c r="H18" s="683"/>
      <x:c r="I18" s="683"/>
      <x:c r="J18" s="683"/>
      <x:c r="K18" s="683"/>
      <x:c r="L18" s="683"/>
      <x:c r="M18" s="683"/>
      <x:c r="N18" s="683"/>
      <x:c r="O18" s="683"/>
      <x:c r="Z18" s="701"/>
    </x:row>
    <x:row r="19" spans="1:26" x14ac:dyDescent="0.2">
      <x:c r="A19" s="683"/>
      <x:c r="D19" s="683"/>
      <x:c r="E19" s="683"/>
      <x:c r="F19" s="683"/>
      <x:c r="G19" s="683"/>
      <x:c r="H19" s="683"/>
      <x:c r="I19" s="683"/>
      <x:c r="J19" s="683"/>
      <x:c r="K19" s="683"/>
      <x:c r="L19" s="683"/>
      <x:c r="M19" s="683"/>
      <x:c r="N19" s="683"/>
      <x:c r="O19" s="683"/>
      <x:c r="Z19" s="701"/>
    </x:row>
    <x:row r="20" spans="1:26" x14ac:dyDescent="0.2">
      <x:c r="A20" s="683"/>
      <x:c r="D20" s="683"/>
      <x:c r="E20" s="683"/>
      <x:c r="F20" s="683"/>
      <x:c r="G20" s="683"/>
      <x:c r="H20" s="683"/>
      <x:c r="I20" s="683"/>
      <x:c r="J20" s="683"/>
      <x:c r="K20" s="683"/>
      <x:c r="L20" s="683"/>
      <x:c r="M20" s="683"/>
      <x:c r="N20" s="683"/>
      <x:c r="O20" s="683"/>
      <x:c r="Z20" s="701"/>
    </x:row>
    <x:row r="21" spans="1:26" x14ac:dyDescent="0.2">
      <x:c r="A21" s="683"/>
      <x:c r="D21" s="683"/>
      <x:c r="E21" s="683"/>
      <x:c r="F21" s="683"/>
      <x:c r="G21" s="683"/>
      <x:c r="H21" s="683"/>
      <x:c r="I21" s="683"/>
      <x:c r="J21" s="683"/>
      <x:c r="K21" s="683"/>
      <x:c r="L21" s="683"/>
      <x:c r="M21" s="683"/>
      <x:c r="N21" s="683"/>
      <x:c r="O21" s="683"/>
      <x:c r="Z21" s="701"/>
    </x:row>
    <x:row r="22" spans="1:26" x14ac:dyDescent="0.2">
      <x:c r="A22" s="683"/>
      <x:c r="D22" s="683"/>
      <x:c r="E22" s="683"/>
      <x:c r="F22" s="683"/>
      <x:c r="G22" s="683"/>
      <x:c r="H22" s="683"/>
      <x:c r="I22" s="683"/>
      <x:c r="J22" s="683"/>
      <x:c r="K22" s="683"/>
      <x:c r="L22" s="683"/>
      <x:c r="M22" s="683"/>
      <x:c r="N22" s="683"/>
      <x:c r="O22" s="683"/>
      <x:c r="Z22" s="701"/>
    </x:row>
    <x:row r="23" spans="1:26" x14ac:dyDescent="0.2">
      <x:c r="A23" s="683"/>
      <x:c r="D23" s="683"/>
      <x:c r="E23" s="683"/>
      <x:c r="F23" s="683"/>
      <x:c r="G23" s="683"/>
      <x:c r="H23" s="683"/>
      <x:c r="I23" s="683"/>
      <x:c r="J23" s="683"/>
      <x:c r="K23" s="683"/>
      <x:c r="L23" s="683"/>
      <x:c r="M23" s="683"/>
      <x:c r="N23" s="683"/>
      <x:c r="O23" s="683"/>
      <x:c r="Z23" s="701"/>
    </x:row>
    <x:row r="24" spans="1:26" x14ac:dyDescent="0.2">
      <x:c r="A24" s="683"/>
      <x:c r="D24" s="683"/>
      <x:c r="E24" s="683"/>
      <x:c r="F24" s="683"/>
      <x:c r="G24" s="683"/>
      <x:c r="H24" s="683"/>
      <x:c r="I24" s="683"/>
      <x:c r="J24" s="683"/>
      <x:c r="K24" s="683"/>
      <x:c r="L24" s="683"/>
      <x:c r="M24" s="683"/>
      <x:c r="N24" s="683"/>
      <x:c r="O24" s="683"/>
      <x:c r="Z24" s="701"/>
    </x:row>
    <x:row r="25" spans="1:26" x14ac:dyDescent="0.2">
      <x:c r="A25" s="683"/>
      <x:c r="D25" s="683"/>
      <x:c r="E25" s="683"/>
      <x:c r="F25" s="683"/>
      <x:c r="G25" s="683"/>
      <x:c r="H25" s="683"/>
      <x:c r="I25" s="683"/>
      <x:c r="J25" s="683"/>
      <x:c r="K25" s="683"/>
      <x:c r="L25" s="683"/>
      <x:c r="M25" s="683"/>
      <x:c r="N25" s="683"/>
      <x:c r="O25" s="683"/>
      <x:c r="Z25" s="701"/>
    </x:row>
    <x:row r="26" spans="1:26" x14ac:dyDescent="0.2">
      <x:c r="A26" s="683"/>
      <x:c r="D26" s="683"/>
      <x:c r="E26" s="683"/>
      <x:c r="F26" s="683"/>
      <x:c r="G26" s="683"/>
      <x:c r="H26" s="683"/>
      <x:c r="I26" s="683"/>
      <x:c r="J26" s="683"/>
      <x:c r="K26" s="683"/>
      <x:c r="L26" s="683"/>
      <x:c r="M26" s="683"/>
      <x:c r="N26" s="683"/>
      <x:c r="O26" s="683"/>
      <x:c r="Z26" s="701"/>
    </x:row>
    <x:row r="27" spans="1:26" x14ac:dyDescent="0.2">
      <x:c r="A27" s="683"/>
      <x:c r="D27" s="683"/>
      <x:c r="E27" s="683"/>
      <x:c r="F27" s="683"/>
      <x:c r="G27" s="683"/>
      <x:c r="H27" s="683"/>
      <x:c r="I27" s="683"/>
      <x:c r="J27" s="683"/>
      <x:c r="K27" s="683"/>
      <x:c r="L27" s="683"/>
      <x:c r="M27" s="683"/>
      <x:c r="N27" s="683"/>
      <x:c r="O27" s="683"/>
      <x:c r="Z27" s="701"/>
    </x:row>
    <x:row r="28" spans="1:26" x14ac:dyDescent="0.2">
      <x:c r="A28" s="683"/>
      <x:c r="D28" s="683"/>
      <x:c r="E28" s="683"/>
      <x:c r="F28" s="683"/>
      <x:c r="G28" s="683"/>
      <x:c r="H28" s="683"/>
      <x:c r="I28" s="683"/>
      <x:c r="J28" s="683"/>
      <x:c r="K28" s="683"/>
      <x:c r="L28" s="683"/>
      <x:c r="M28" s="683"/>
      <x:c r="N28" s="683"/>
      <x:c r="O28" s="683"/>
      <x:c r="Z28" s="701"/>
    </x:row>
    <x:row r="29" spans="1:26" x14ac:dyDescent="0.2">
      <x:c r="A29" s="683"/>
      <x:c r="D29" s="683"/>
      <x:c r="E29" s="683"/>
      <x:c r="F29" s="683"/>
      <x:c r="G29" s="683"/>
      <x:c r="H29" s="683"/>
      <x:c r="I29" s="683"/>
      <x:c r="J29" s="683"/>
      <x:c r="K29" s="683"/>
      <x:c r="L29" s="683"/>
      <x:c r="M29" s="683"/>
      <x:c r="N29" s="683"/>
      <x:c r="O29" s="683"/>
      <x:c r="Z29" s="701"/>
    </x:row>
    <x:row r="30" spans="1:26" x14ac:dyDescent="0.2">
      <x:c r="A30" s="683"/>
      <x:c r="D30" s="683"/>
      <x:c r="E30" s="683"/>
      <x:c r="F30" s="683"/>
      <x:c r="G30" s="683"/>
      <x:c r="H30" s="683"/>
      <x:c r="I30" s="683"/>
      <x:c r="J30" s="683"/>
      <x:c r="K30" s="683"/>
      <x:c r="L30" s="683"/>
      <x:c r="M30" s="683"/>
      <x:c r="N30" s="683"/>
      <x:c r="O30" s="683"/>
      <x:c r="Z30" s="701"/>
    </x:row>
    <x:row r="31" spans="1:26" x14ac:dyDescent="0.2">
      <x:c r="A31" s="683"/>
      <x:c r="D31" s="683"/>
      <x:c r="E31" s="683"/>
      <x:c r="F31" s="683"/>
      <x:c r="G31" s="683"/>
      <x:c r="H31" s="683"/>
      <x:c r="I31" s="683"/>
      <x:c r="J31" s="683"/>
      <x:c r="K31" s="683"/>
      <x:c r="L31" s="683"/>
      <x:c r="M31" s="683"/>
      <x:c r="N31" s="683"/>
      <x:c r="O31" s="683"/>
      <x:c r="Z31" s="701"/>
    </x:row>
    <x:row r="32" spans="1:26" x14ac:dyDescent="0.2">
      <x:c r="A32" s="683"/>
      <x:c r="D32" s="683"/>
      <x:c r="E32" s="683"/>
      <x:c r="F32" s="683"/>
      <x:c r="G32" s="683"/>
      <x:c r="H32" s="683"/>
      <x:c r="I32" s="683"/>
      <x:c r="J32" s="683"/>
      <x:c r="K32" s="683"/>
      <x:c r="L32" s="683"/>
      <x:c r="M32" s="683"/>
      <x:c r="N32" s="683"/>
      <x:c r="O32" s="683"/>
      <x:c r="Z32" s="701"/>
    </x:row>
    <x:row r="33" spans="1:26" x14ac:dyDescent="0.2">
      <x:c r="A33" s="683"/>
      <x:c r="D33" s="683"/>
      <x:c r="E33" s="683"/>
      <x:c r="F33" s="683"/>
      <x:c r="G33" s="683"/>
      <x:c r="H33" s="683"/>
      <x:c r="I33" s="683"/>
      <x:c r="J33" s="683"/>
      <x:c r="K33" s="683"/>
      <x:c r="L33" s="683"/>
      <x:c r="M33" s="683"/>
      <x:c r="N33" s="683"/>
      <x:c r="O33" s="683"/>
      <x:c r="Z33" s="701"/>
    </x:row>
    <x:row r="34" spans="1:26" x14ac:dyDescent="0.2">
      <x:c r="A34" s="683"/>
      <x:c r="D34" s="683"/>
      <x:c r="E34" s="683"/>
      <x:c r="F34" s="683"/>
      <x:c r="G34" s="683"/>
      <x:c r="H34" s="683"/>
      <x:c r="I34" s="683"/>
      <x:c r="J34" s="683"/>
      <x:c r="K34" s="683"/>
      <x:c r="L34" s="683"/>
      <x:c r="M34" s="683"/>
      <x:c r="N34" s="683"/>
      <x:c r="O34" s="683"/>
      <x:c r="Z34" s="701"/>
    </x:row>
    <x:row r="35" spans="1:26" x14ac:dyDescent="0.2">
      <x:c r="A35" s="683"/>
      <x:c r="D35" s="683"/>
      <x:c r="E35" s="683"/>
      <x:c r="F35" s="683"/>
      <x:c r="G35" s="683"/>
      <x:c r="H35" s="683"/>
      <x:c r="I35" s="683"/>
      <x:c r="J35" s="683"/>
      <x:c r="K35" s="683"/>
      <x:c r="L35" s="683"/>
      <x:c r="M35" s="683"/>
      <x:c r="N35" s="683"/>
      <x:c r="O35" s="683"/>
      <x:c r="Z35" s="701"/>
    </x:row>
    <x:row r="36" spans="1:26" x14ac:dyDescent="0.2">
      <x:c r="A36" s="683"/>
      <x:c r="D36" s="683"/>
      <x:c r="E36" s="683"/>
      <x:c r="F36" s="683"/>
      <x:c r="G36" s="683"/>
      <x:c r="H36" s="683"/>
      <x:c r="I36" s="683"/>
      <x:c r="J36" s="683"/>
      <x:c r="K36" s="683"/>
      <x:c r="L36" s="683"/>
      <x:c r="M36" s="683"/>
      <x:c r="N36" s="683"/>
      <x:c r="O36" s="683"/>
      <x:c r="Z36" s="701"/>
    </x:row>
    <x:row r="37" spans="1:26" x14ac:dyDescent="0.2">
      <x:c r="A37" s="683"/>
      <x:c r="D37" s="683"/>
      <x:c r="E37" s="683"/>
      <x:c r="F37" s="683"/>
      <x:c r="G37" s="683"/>
      <x:c r="H37" s="683"/>
      <x:c r="I37" s="683"/>
      <x:c r="J37" s="683"/>
      <x:c r="K37" s="683"/>
      <x:c r="L37" s="683"/>
      <x:c r="M37" s="683"/>
      <x:c r="N37" s="683"/>
      <x:c r="O37" s="683"/>
      <x:c r="Z37" s="701"/>
    </x:row>
    <x:row r="38" spans="1:26" x14ac:dyDescent="0.2">
      <x:c r="A38" s="683"/>
      <x:c r="D38" s="683"/>
      <x:c r="E38" s="683"/>
      <x:c r="F38" s="683"/>
      <x:c r="G38" s="683"/>
      <x:c r="H38" s="683"/>
      <x:c r="I38" s="683"/>
      <x:c r="J38" s="683"/>
      <x:c r="K38" s="683"/>
      <x:c r="L38" s="683"/>
      <x:c r="M38" s="683"/>
      <x:c r="N38" s="683"/>
      <x:c r="O38" s="683"/>
      <x:c r="Z38" s="701"/>
    </x:row>
    <x:row r="39" spans="1:26" x14ac:dyDescent="0.2">
      <x:c r="A39" s="683"/>
      <x:c r="D39" s="683"/>
      <x:c r="E39" s="683"/>
      <x:c r="F39" s="683"/>
      <x:c r="G39" s="683"/>
      <x:c r="H39" s="683"/>
      <x:c r="I39" s="683"/>
      <x:c r="J39" s="683"/>
      <x:c r="K39" s="683"/>
      <x:c r="L39" s="683"/>
      <x:c r="M39" s="683"/>
      <x:c r="N39" s="683"/>
      <x:c r="O39" s="683"/>
      <x:c r="Z39" s="701"/>
    </x:row>
    <x:row r="40" spans="1:26" x14ac:dyDescent="0.2">
      <x:c r="A40" s="683"/>
      <x:c r="D40" s="683"/>
      <x:c r="E40" s="683"/>
      <x:c r="F40" s="683"/>
      <x:c r="G40" s="683"/>
      <x:c r="H40" s="683"/>
      <x:c r="I40" s="683"/>
      <x:c r="J40" s="683"/>
      <x:c r="K40" s="683"/>
      <x:c r="L40" s="683"/>
      <x:c r="M40" s="683"/>
      <x:c r="N40" s="683"/>
      <x:c r="O40" s="683"/>
      <x:c r="Z40" s="701"/>
    </x:row>
    <x:row r="41" spans="1:26" x14ac:dyDescent="0.2">
      <x:c r="A41" s="683"/>
      <x:c r="D41" s="683"/>
      <x:c r="E41" s="683"/>
      <x:c r="F41" s="683"/>
      <x:c r="G41" s="683"/>
      <x:c r="H41" s="683"/>
      <x:c r="I41" s="683"/>
      <x:c r="J41" s="683"/>
      <x:c r="K41" s="683"/>
      <x:c r="L41" s="683"/>
      <x:c r="M41" s="683"/>
      <x:c r="N41" s="683"/>
      <x:c r="O41" s="683"/>
      <x:c r="Z41" s="701"/>
    </x:row>
    <x:row r="42" spans="1:26" x14ac:dyDescent="0.2">
      <x:c r="A42" s="683"/>
      <x:c r="D42" s="683"/>
      <x:c r="E42" s="683"/>
      <x:c r="F42" s="683"/>
      <x:c r="G42" s="683"/>
      <x:c r="H42" s="683"/>
      <x:c r="I42" s="683"/>
      <x:c r="J42" s="683"/>
      <x:c r="K42" s="683"/>
      <x:c r="L42" s="683"/>
      <x:c r="M42" s="683"/>
      <x:c r="N42" s="683"/>
      <x:c r="O42" s="683"/>
      <x:c r="Z42" s="701"/>
    </x:row>
    <x:row r="43" spans="1:26" x14ac:dyDescent="0.2">
      <x:c r="A43" s="683"/>
      <x:c r="D43" s="683"/>
      <x:c r="E43" s="683"/>
      <x:c r="F43" s="683"/>
      <x:c r="G43" s="683"/>
      <x:c r="H43" s="683"/>
      <x:c r="I43" s="683"/>
      <x:c r="J43" s="683"/>
      <x:c r="K43" s="683"/>
      <x:c r="L43" s="683"/>
      <x:c r="M43" s="683"/>
      <x:c r="N43" s="683"/>
      <x:c r="O43" s="683"/>
      <x:c r="Z43" s="701"/>
    </x:row>
    <x:row r="44" spans="1:26" x14ac:dyDescent="0.2">
      <x:c r="A44" s="683"/>
      <x:c r="D44" s="683"/>
      <x:c r="E44" s="683"/>
      <x:c r="F44" s="683"/>
      <x:c r="G44" s="683"/>
      <x:c r="H44" s="683"/>
      <x:c r="I44" s="683"/>
      <x:c r="J44" s="683"/>
      <x:c r="K44" s="683"/>
      <x:c r="L44" s="683"/>
      <x:c r="M44" s="683"/>
      <x:c r="N44" s="683"/>
      <x:c r="O44" s="683"/>
      <x:c r="Z44" s="701"/>
    </x:row>
    <x:row r="45" spans="1:26" x14ac:dyDescent="0.2">
      <x:c r="A45" s="683"/>
      <x:c r="D45" s="683"/>
      <x:c r="E45" s="683"/>
      <x:c r="F45" s="683"/>
      <x:c r="G45" s="683"/>
      <x:c r="H45" s="683"/>
      <x:c r="I45" s="683"/>
      <x:c r="J45" s="683"/>
      <x:c r="K45" s="683"/>
      <x:c r="L45" s="683"/>
      <x:c r="M45" s="683"/>
      <x:c r="N45" s="683"/>
      <x:c r="O45" s="683"/>
      <x:c r="Z45" s="701"/>
    </x:row>
    <x:row r="46" spans="1:26" x14ac:dyDescent="0.2">
      <x:c r="A46" s="683"/>
      <x:c r="D46" s="683"/>
      <x:c r="E46" s="683"/>
      <x:c r="F46" s="683"/>
      <x:c r="G46" s="683"/>
      <x:c r="H46" s="683"/>
      <x:c r="I46" s="683"/>
      <x:c r="J46" s="683"/>
      <x:c r="K46" s="683"/>
      <x:c r="L46" s="683"/>
      <x:c r="M46" s="683"/>
      <x:c r="N46" s="683"/>
      <x:c r="O46" s="683"/>
      <x:c r="Z46" s="701"/>
    </x:row>
    <x:row r="47" spans="1:26" x14ac:dyDescent="0.2">
      <x:c r="A47" s="683"/>
      <x:c r="D47" s="683"/>
      <x:c r="E47" s="683"/>
      <x:c r="F47" s="683"/>
      <x:c r="G47" s="683"/>
      <x:c r="H47" s="683"/>
      <x:c r="I47" s="683"/>
      <x:c r="J47" s="683"/>
      <x:c r="K47" s="683"/>
      <x:c r="L47" s="683"/>
      <x:c r="M47" s="683"/>
      <x:c r="N47" s="683"/>
      <x:c r="O47" s="683"/>
      <x:c r="Z47" s="701"/>
    </x:row>
    <x:row r="48" spans="1:26" x14ac:dyDescent="0.2">
      <x:c r="A48" s="683"/>
      <x:c r="D48" s="683"/>
      <x:c r="E48" s="683"/>
      <x:c r="F48" s="683"/>
      <x:c r="G48" s="683"/>
      <x:c r="H48" s="683"/>
      <x:c r="I48" s="683"/>
      <x:c r="J48" s="683"/>
      <x:c r="K48" s="683"/>
      <x:c r="L48" s="683"/>
      <x:c r="M48" s="683"/>
      <x:c r="N48" s="683"/>
      <x:c r="O48" s="683"/>
      <x:c r="Z48" s="701"/>
    </x:row>
    <x:row r="49" spans="1:26" x14ac:dyDescent="0.2">
      <x:c r="A49" s="683"/>
      <x:c r="D49" s="683"/>
      <x:c r="E49" s="683"/>
      <x:c r="F49" s="683"/>
      <x:c r="G49" s="683"/>
      <x:c r="H49" s="683"/>
      <x:c r="I49" s="683"/>
      <x:c r="J49" s="683"/>
      <x:c r="K49" s="683"/>
      <x:c r="L49" s="683"/>
      <x:c r="M49" s="683"/>
      <x:c r="N49" s="683"/>
      <x:c r="O49" s="683"/>
      <x:c r="Z49" s="701"/>
    </x:row>
    <x:row r="50" spans="1:26" x14ac:dyDescent="0.2">
      <x:c r="A50" s="683"/>
      <x:c r="D50" s="683"/>
      <x:c r="E50" s="683"/>
      <x:c r="F50" s="683"/>
      <x:c r="G50" s="683"/>
      <x:c r="H50" s="683"/>
      <x:c r="I50" s="683"/>
      <x:c r="J50" s="683"/>
      <x:c r="K50" s="683"/>
      <x:c r="L50" s="683"/>
      <x:c r="M50" s="683"/>
      <x:c r="N50" s="683"/>
      <x:c r="O50" s="683"/>
      <x:c r="Z50" s="701"/>
    </x:row>
    <x:row r="51" spans="1:26" x14ac:dyDescent="0.2">
      <x:c r="A51" s="683"/>
      <x:c r="D51" s="683"/>
      <x:c r="E51" s="683"/>
      <x:c r="F51" s="683"/>
      <x:c r="G51" s="683"/>
      <x:c r="H51" s="683"/>
      <x:c r="I51" s="683"/>
      <x:c r="J51" s="683"/>
      <x:c r="K51" s="683"/>
      <x:c r="L51" s="683"/>
      <x:c r="M51" s="683"/>
      <x:c r="N51" s="683"/>
      <x:c r="O51" s="683"/>
      <x:c r="Z51" s="701"/>
    </x:row>
    <x:row r="52" spans="1:26" x14ac:dyDescent="0.2">
      <x:c r="A52" s="683"/>
      <x:c r="D52" s="683"/>
      <x:c r="E52" s="683"/>
      <x:c r="F52" s="683"/>
      <x:c r="G52" s="683"/>
      <x:c r="H52" s="683"/>
      <x:c r="I52" s="683"/>
      <x:c r="J52" s="683"/>
      <x:c r="K52" s="683"/>
      <x:c r="L52" s="683"/>
      <x:c r="M52" s="683"/>
      <x:c r="N52" s="683"/>
      <x:c r="O52" s="683"/>
      <x:c r="Z52" s="701"/>
    </x:row>
    <x:row r="53" spans="1:26" x14ac:dyDescent="0.2">
      <x:c r="A53" s="683"/>
      <x:c r="D53" s="683"/>
      <x:c r="E53" s="683"/>
      <x:c r="F53" s="683"/>
      <x:c r="G53" s="683"/>
      <x:c r="H53" s="683"/>
      <x:c r="I53" s="683"/>
      <x:c r="J53" s="683"/>
      <x:c r="K53" s="683"/>
      <x:c r="L53" s="683"/>
      <x:c r="M53" s="683"/>
      <x:c r="N53" s="683"/>
      <x:c r="O53" s="683"/>
      <x:c r="Z53" s="701"/>
    </x:row>
    <x:row r="54" spans="1:26" x14ac:dyDescent="0.2">
      <x:c r="A54" s="683"/>
      <x:c r="D54" s="683"/>
      <x:c r="E54" s="683"/>
      <x:c r="F54" s="683"/>
      <x:c r="G54" s="683"/>
      <x:c r="H54" s="683"/>
      <x:c r="I54" s="683"/>
      <x:c r="J54" s="683"/>
      <x:c r="K54" s="683"/>
      <x:c r="L54" s="683"/>
      <x:c r="M54" s="683"/>
      <x:c r="N54" s="683"/>
      <x:c r="O54" s="683"/>
      <x:c r="Z54" s="701"/>
    </x:row>
    <x:row r="55" spans="1:26" x14ac:dyDescent="0.2">
      <x:c r="A55" s="683"/>
      <x:c r="D55" s="683"/>
      <x:c r="E55" s="683"/>
      <x:c r="F55" s="683"/>
      <x:c r="G55" s="683"/>
      <x:c r="H55" s="683"/>
      <x:c r="I55" s="683"/>
      <x:c r="J55" s="683"/>
      <x:c r="K55" s="683"/>
      <x:c r="L55" s="683"/>
      <x:c r="M55" s="683"/>
      <x:c r="N55" s="683"/>
      <x:c r="O55" s="683"/>
      <x:c r="Z55" s="701"/>
    </x:row>
    <x:row r="56" spans="1:26" x14ac:dyDescent="0.2">
      <x:c r="A56" s="683"/>
      <x:c r="D56" s="683"/>
      <x:c r="E56" s="683"/>
      <x:c r="F56" s="683"/>
      <x:c r="G56" s="683"/>
      <x:c r="H56" s="683"/>
      <x:c r="I56" s="683"/>
      <x:c r="J56" s="683"/>
      <x:c r="K56" s="683"/>
      <x:c r="L56" s="683"/>
      <x:c r="M56" s="683"/>
      <x:c r="N56" s="683"/>
      <x:c r="O56" s="683"/>
      <x:c r="Z56" s="701"/>
    </x:row>
    <x:row r="57" spans="1:26" x14ac:dyDescent="0.2">
      <x:c r="A57" s="683"/>
      <x:c r="D57" s="683"/>
      <x:c r="E57" s="683"/>
      <x:c r="F57" s="683"/>
      <x:c r="G57" s="683"/>
      <x:c r="H57" s="683"/>
      <x:c r="I57" s="683"/>
      <x:c r="J57" s="683"/>
      <x:c r="K57" s="683"/>
      <x:c r="L57" s="683"/>
      <x:c r="M57" s="683"/>
      <x:c r="N57" s="683"/>
      <x:c r="O57" s="683"/>
      <x:c r="Z57" s="701"/>
    </x:row>
    <x:row r="58" spans="1:26" x14ac:dyDescent="0.2">
      <x:c r="A58" s="683"/>
      <x:c r="D58" s="683"/>
      <x:c r="E58" s="683"/>
      <x:c r="F58" s="683"/>
      <x:c r="G58" s="683"/>
      <x:c r="H58" s="683"/>
      <x:c r="I58" s="683"/>
      <x:c r="J58" s="683"/>
      <x:c r="K58" s="683"/>
      <x:c r="L58" s="683"/>
      <x:c r="M58" s="683"/>
      <x:c r="N58" s="683"/>
      <x:c r="O58" s="683"/>
      <x:c r="Z58" s="701"/>
    </x:row>
    <x:row r="59" spans="1:26" x14ac:dyDescent="0.2">
      <x:c r="A59" s="683"/>
      <x:c r="D59" s="683"/>
      <x:c r="E59" s="683"/>
      <x:c r="F59" s="683"/>
      <x:c r="G59" s="683"/>
      <x:c r="H59" s="683"/>
      <x:c r="I59" s="683"/>
      <x:c r="J59" s="683"/>
      <x:c r="K59" s="683"/>
      <x:c r="L59" s="683"/>
      <x:c r="M59" s="683"/>
      <x:c r="N59" s="683"/>
      <x:c r="O59" s="683"/>
      <x:c r="Z59" s="701"/>
    </x:row>
    <x:row r="60" spans="1:26" x14ac:dyDescent="0.2">
      <x:c r="A60" s="683"/>
      <x:c r="D60" s="683"/>
      <x:c r="E60" s="683"/>
      <x:c r="F60" s="683"/>
      <x:c r="G60" s="683"/>
      <x:c r="H60" s="683"/>
      <x:c r="I60" s="683"/>
      <x:c r="J60" s="683"/>
      <x:c r="K60" s="683"/>
      <x:c r="L60" s="683"/>
      <x:c r="M60" s="683"/>
      <x:c r="N60" s="683"/>
      <x:c r="O60" s="683"/>
      <x:c r="Z60" s="701"/>
    </x:row>
    <x:row r="61" spans="1:26" x14ac:dyDescent="0.2">
      <x:c r="A61" s="683"/>
      <x:c r="D61" s="683"/>
      <x:c r="E61" s="683"/>
      <x:c r="F61" s="683"/>
      <x:c r="G61" s="683"/>
      <x:c r="H61" s="683"/>
      <x:c r="I61" s="683"/>
      <x:c r="J61" s="683"/>
      <x:c r="K61" s="683"/>
      <x:c r="L61" s="683"/>
      <x:c r="M61" s="683"/>
      <x:c r="N61" s="683"/>
      <x:c r="O61" s="683"/>
      <x:c r="Z61" s="701"/>
    </x:row>
    <x:row r="62" spans="1:26" x14ac:dyDescent="0.2">
      <x:c r="A62" s="683"/>
      <x:c r="D62" s="683"/>
      <x:c r="E62" s="683"/>
      <x:c r="F62" s="683"/>
      <x:c r="G62" s="683"/>
      <x:c r="H62" s="683"/>
      <x:c r="I62" s="683"/>
      <x:c r="J62" s="683"/>
      <x:c r="K62" s="683"/>
      <x:c r="L62" s="683"/>
      <x:c r="M62" s="683"/>
      <x:c r="N62" s="683"/>
      <x:c r="O62" s="683"/>
      <x:c r="Z62" s="701"/>
    </x:row>
    <x:row r="63" spans="1:26" x14ac:dyDescent="0.2">
      <x:c r="A63" s="683"/>
      <x:c r="D63" s="683"/>
      <x:c r="E63" s="683"/>
      <x:c r="F63" s="683"/>
      <x:c r="G63" s="683"/>
      <x:c r="H63" s="683"/>
      <x:c r="I63" s="683"/>
      <x:c r="J63" s="683"/>
      <x:c r="K63" s="683"/>
      <x:c r="L63" s="683"/>
      <x:c r="M63" s="683"/>
      <x:c r="N63" s="683"/>
      <x:c r="O63" s="683"/>
      <x:c r="Z63" s="701"/>
    </x:row>
    <x:row r="64" spans="1:26" x14ac:dyDescent="0.2">
      <x:c r="A64" s="683"/>
      <x:c r="D64" s="683"/>
      <x:c r="E64" s="683"/>
      <x:c r="F64" s="683"/>
      <x:c r="G64" s="683"/>
      <x:c r="H64" s="683"/>
      <x:c r="I64" s="683"/>
      <x:c r="J64" s="683"/>
      <x:c r="K64" s="683"/>
      <x:c r="L64" s="683"/>
      <x:c r="M64" s="683"/>
      <x:c r="N64" s="683"/>
      <x:c r="O64" s="683"/>
      <x:c r="Z64" s="701"/>
    </x:row>
    <x:row r="65" spans="1:26" x14ac:dyDescent="0.2">
      <x:c r="A65" s="683"/>
      <x:c r="D65" s="683"/>
      <x:c r="E65" s="683"/>
      <x:c r="F65" s="683"/>
      <x:c r="G65" s="683"/>
      <x:c r="H65" s="683"/>
      <x:c r="I65" s="683"/>
      <x:c r="J65" s="683"/>
      <x:c r="K65" s="683"/>
      <x:c r="L65" s="683"/>
      <x:c r="M65" s="683"/>
      <x:c r="N65" s="683"/>
      <x:c r="O65" s="683"/>
      <x:c r="Z65" s="701"/>
    </x:row>
    <x:row r="66" spans="1:26" x14ac:dyDescent="0.2">
      <x:c r="A66" s="683"/>
      <x:c r="D66" s="683"/>
      <x:c r="E66" s="683"/>
      <x:c r="F66" s="683"/>
      <x:c r="G66" s="683"/>
      <x:c r="H66" s="683"/>
      <x:c r="I66" s="683"/>
      <x:c r="J66" s="683"/>
      <x:c r="K66" s="683"/>
      <x:c r="L66" s="683"/>
      <x:c r="M66" s="683"/>
      <x:c r="N66" s="683"/>
      <x:c r="O66" s="683"/>
      <x:c r="Z66" s="701"/>
    </x:row>
    <x:row r="67" spans="1:26" x14ac:dyDescent="0.2">
      <x:c r="A67" s="683"/>
      <x:c r="D67" s="683"/>
      <x:c r="E67" s="683"/>
      <x:c r="F67" s="683"/>
      <x:c r="G67" s="683"/>
      <x:c r="H67" s="683"/>
      <x:c r="I67" s="683"/>
      <x:c r="J67" s="683"/>
      <x:c r="K67" s="683"/>
      <x:c r="L67" s="683"/>
      <x:c r="M67" s="683"/>
      <x:c r="N67" s="683"/>
      <x:c r="O67" s="683"/>
      <x:c r="Z67" s="701"/>
    </x:row>
    <x:row r="68" spans="1:26" x14ac:dyDescent="0.2">
      <x:c r="A68" s="683"/>
      <x:c r="D68" s="683"/>
      <x:c r="E68" s="683"/>
      <x:c r="F68" s="683"/>
      <x:c r="G68" s="683"/>
      <x:c r="H68" s="683"/>
      <x:c r="I68" s="683"/>
      <x:c r="J68" s="683"/>
      <x:c r="K68" s="683"/>
      <x:c r="L68" s="683"/>
      <x:c r="M68" s="683"/>
      <x:c r="N68" s="683"/>
      <x:c r="O68" s="683"/>
      <x:c r="Z68" s="701"/>
    </x:row>
    <x:row r="69" spans="1:26" x14ac:dyDescent="0.2">
      <x:c r="A69" s="683"/>
      <x:c r="D69" s="683"/>
      <x:c r="E69" s="683"/>
      <x:c r="F69" s="683"/>
      <x:c r="G69" s="683"/>
      <x:c r="H69" s="683"/>
      <x:c r="I69" s="683"/>
      <x:c r="J69" s="683"/>
      <x:c r="K69" s="683"/>
      <x:c r="L69" s="683"/>
      <x:c r="M69" s="683"/>
      <x:c r="N69" s="683"/>
      <x:c r="O69" s="683"/>
      <x:c r="Z69" s="701"/>
    </x:row>
    <x:row r="70" spans="1:26" x14ac:dyDescent="0.2">
      <x:c r="A70" s="683"/>
      <x:c r="D70" s="683"/>
      <x:c r="E70" s="683"/>
      <x:c r="F70" s="683"/>
      <x:c r="G70" s="683"/>
      <x:c r="H70" s="683"/>
      <x:c r="I70" s="683"/>
      <x:c r="J70" s="683"/>
      <x:c r="K70" s="683"/>
      <x:c r="L70" s="683"/>
      <x:c r="M70" s="683"/>
      <x:c r="N70" s="683"/>
      <x:c r="O70" s="683"/>
      <x:c r="Z70" s="701"/>
    </x:row>
    <x:row r="71" spans="1:26" x14ac:dyDescent="0.2">
      <x:c r="A71" s="683"/>
      <x:c r="D71" s="683"/>
      <x:c r="E71" s="683"/>
      <x:c r="F71" s="683"/>
      <x:c r="G71" s="683"/>
      <x:c r="H71" s="683"/>
      <x:c r="I71" s="683"/>
      <x:c r="J71" s="683"/>
      <x:c r="K71" s="683"/>
      <x:c r="L71" s="683"/>
      <x:c r="M71" s="683"/>
      <x:c r="N71" s="683"/>
      <x:c r="O71" s="683"/>
      <x:c r="Z71" s="701"/>
    </x:row>
    <x:row r="72" spans="1:26" x14ac:dyDescent="0.2">
      <x:c r="A72" s="683"/>
      <x:c r="D72" s="683"/>
      <x:c r="E72" s="683"/>
      <x:c r="F72" s="683"/>
      <x:c r="G72" s="683"/>
      <x:c r="H72" s="683"/>
      <x:c r="I72" s="683"/>
      <x:c r="J72" s="683"/>
      <x:c r="K72" s="683"/>
      <x:c r="L72" s="683"/>
      <x:c r="M72" s="683"/>
      <x:c r="N72" s="683"/>
      <x:c r="O72" s="683"/>
      <x:c r="Z72" s="701"/>
    </x:row>
    <x:row r="73" spans="1:26" x14ac:dyDescent="0.2">
      <x:c r="A73" s="774" t="s">
        <x:v>2</x:v>
      </x:c>
      <x:c r="B73" s="773" t="s">
        <x:v>132</x:v>
      </x:c>
      <x:c r="C73" s="696" t="s">
        <x:v>70</x:v>
      </x:c>
      <x:c r="D73" s="696">
        <x:f>D15-P15</x:f>
        <x:v>0</x:v>
      </x:c>
      <x:c r="E73" s="696">
        <x:f>E5+E11</x:f>
        <x:v>0</x:v>
      </x:c>
      <x:c r="F73" s="696">
        <x:f t="shared" ref="F73:R73" si="0">F5+F11</x:f>
        <x:v>0</x:v>
      </x:c>
      <x:c r="G73" s="696">
        <x:f t="shared" si="0"/>
        <x:v>0</x:v>
      </x:c>
      <x:c r="H73" s="696">
        <x:f t="shared" si="0"/>
        <x:v>0</x:v>
      </x:c>
      <x:c r="I73" s="696">
        <x:f t="shared" si="0"/>
        <x:v>0</x:v>
      </x:c>
      <x:c r="J73" s="696">
        <x:f t="shared" si="0"/>
        <x:v>0</x:v>
      </x:c>
      <x:c r="K73" s="696">
        <x:f t="shared" si="0"/>
        <x:v>0</x:v>
      </x:c>
      <x:c r="L73" s="696">
        <x:f t="shared" si="0"/>
        <x:v>0</x:v>
      </x:c>
      <x:c r="M73" s="696">
        <x:f t="shared" si="0"/>
        <x:v>0</x:v>
      </x:c>
      <x:c r="N73" s="696">
        <x:f t="shared" si="0"/>
        <x:v>0</x:v>
      </x:c>
      <x:c r="O73" s="696">
        <x:f t="shared" si="0"/>
        <x:v>0</x:v>
      </x:c>
      <x:c r="P73" s="696">
        <x:f t="shared" si="0"/>
        <x:v>0</x:v>
      </x:c>
      <x:c r="Q73" s="696">
        <x:f t="shared" si="0"/>
        <x:v>0</x:v>
      </x:c>
      <x:c r="R73" s="696">
        <x:f t="shared" si="0"/>
        <x:v>0</x:v>
      </x:c>
      <x:c r="Z73" s="701"/>
    </x:row>
    <x:row r="74" spans="1:26" x14ac:dyDescent="0.2">
      <x:c r="A74" s="774"/>
      <x:c r="B74" s="773"/>
      <x:c r="C74" s="696" t="s">
        <x:v>73</x:v>
      </x:c>
      <x:c r="D74" s="696">
        <x:f>D7+D13</x:f>
        <x:v>0</x:v>
      </x:c>
      <x:c r="E74" s="683"/>
      <x:c r="F74" s="683"/>
      <x:c r="G74" s="683"/>
      <x:c r="H74" s="683"/>
      <x:c r="I74" s="683"/>
      <x:c r="J74" s="683"/>
      <x:c r="K74" s="683"/>
      <x:c r="L74" s="683"/>
      <x:c r="M74" s="683"/>
      <x:c r="N74" s="683"/>
      <x:c r="O74" s="683"/>
      <x:c r="P74" s="683"/>
      <x:c r="Q74" s="683"/>
      <x:c r="R74" s="683"/>
      <x:c r="Z74" s="701"/>
    </x:row>
    <x:row r="75" spans="1:26" ht="15" x14ac:dyDescent="0.25">
      <x:c r="A75" s="682"/>
      <x:c r="D75" s="683"/>
      <x:c r="E75" s="683"/>
      <x:c r="F75" s="683"/>
      <x:c r="G75" s="683"/>
      <x:c r="H75" s="683"/>
      <x:c r="I75" s="683"/>
      <x:c r="J75" s="683"/>
      <x:c r="K75" s="683"/>
      <x:c r="L75" s="683"/>
      <x:c r="M75" s="683"/>
      <x:c r="N75" s="683"/>
      <x:c r="O75" s="683"/>
      <x:c r="P75" s="683"/>
      <x:c r="Q75" s="683"/>
      <x:c r="R75" s="683"/>
      <x:c r="Z75" s="701"/>
    </x:row>
    <x:row r="76" spans="1:26" x14ac:dyDescent="0.2">
      <x:c r="A76" s="774" t="s">
        <x:v>160</x:v>
      </x:c>
      <x:c r="B76" s="773" t="s">
        <x:v>132</x:v>
      </x:c>
      <x:c r="C76" s="697" t="s">
        <x:v>70</x:v>
      </x:c>
      <x:c r="D76" s="697">
        <x:v>0</x:v>
      </x:c>
      <x:c r="E76" s="697">
        <x:v>0</x:v>
      </x:c>
      <x:c r="F76" s="697">
        <x:v>0</x:v>
      </x:c>
      <x:c r="G76" s="697">
        <x:v>0</x:v>
      </x:c>
      <x:c r="H76" s="697">
        <x:v>0</x:v>
      </x:c>
      <x:c r="I76" s="697">
        <x:v>0</x:v>
      </x:c>
      <x:c r="J76" s="697">
        <x:v>0</x:v>
      </x:c>
      <x:c r="K76" s="697">
        <x:v>0</x:v>
      </x:c>
      <x:c r="L76" s="697">
        <x:v>0</x:v>
      </x:c>
      <x:c r="M76" s="697">
        <x:v>0</x:v>
      </x:c>
      <x:c r="N76" s="697">
        <x:v>0</x:v>
      </x:c>
      <x:c r="O76" s="697">
        <x:v>0</x:v>
      </x:c>
      <x:c r="P76" s="697">
        <x:v>0</x:v>
      </x:c>
      <x:c r="Q76" s="697">
        <x:v>0</x:v>
      </x:c>
      <x:c r="R76" s="697">
        <x:v>0</x:v>
      </x:c>
      <x:c r="Z76" s="701"/>
    </x:row>
    <x:row r="77" spans="1:26" x14ac:dyDescent="0.2">
      <x:c r="A77" s="774"/>
      <x:c r="B77" s="773"/>
      <x:c r="C77" s="697" t="s">
        <x:v>73</x:v>
      </x:c>
      <x:c r="D77" s="697">
        <x:v>0</x:v>
      </x:c>
      <x:c r="E77" s="683"/>
      <x:c r="F77" s="683"/>
      <x:c r="G77" s="683"/>
      <x:c r="H77" s="683"/>
      <x:c r="I77" s="683"/>
      <x:c r="J77" s="683"/>
      <x:c r="K77" s="683"/>
      <x:c r="L77" s="683"/>
      <x:c r="M77" s="683"/>
      <x:c r="N77" s="683"/>
      <x:c r="O77" s="683"/>
      <x:c r="P77" s="683"/>
      <x:c r="Q77" s="683"/>
      <x:c r="R77" s="683"/>
      <x:c r="Z77" s="701"/>
    </x:row>
    <x:row r="78" spans="1:26" ht="15" x14ac:dyDescent="0.25">
      <x:c r="A78" s="682"/>
      <x:c r="D78" s="683"/>
      <x:c r="E78" s="683"/>
      <x:c r="F78" s="683"/>
      <x:c r="G78" s="683"/>
      <x:c r="H78" s="683"/>
      <x:c r="I78" s="683"/>
      <x:c r="J78" s="683"/>
      <x:c r="K78" s="683"/>
      <x:c r="L78" s="683"/>
      <x:c r="M78" s="683"/>
      <x:c r="N78" s="683"/>
      <x:c r="O78" s="683"/>
      <x:c r="P78" s="683"/>
      <x:c r="Q78" s="683"/>
      <x:c r="R78" s="683"/>
      <x:c r="Z78" s="701"/>
    </x:row>
    <x:row r="79" spans="1:26" x14ac:dyDescent="0.2">
      <x:c r="A79" s="774" t="s">
        <x:v>155</x:v>
      </x:c>
      <x:c r="B79" s="773" t="s">
        <x:v>132</x:v>
      </x:c>
      <x:c r="C79" s="698" t="s">
        <x:v>70</x:v>
      </x:c>
      <x:c r="D79" s="698">
        <x:f>D8-P8</x:f>
        <x:v>0</x:v>
      </x:c>
      <x:c r="E79" s="698">
        <x:f>E5</x:f>
        <x:v>0</x:v>
      </x:c>
      <x:c r="F79" s="698">
        <x:f t="shared" ref="F79:R79" si="1">F5</x:f>
        <x:v>0</x:v>
      </x:c>
      <x:c r="G79" s="698">
        <x:f t="shared" si="1"/>
        <x:v>0</x:v>
      </x:c>
      <x:c r="H79" s="698">
        <x:f t="shared" si="1"/>
        <x:v>0</x:v>
      </x:c>
      <x:c r="I79" s="698">
        <x:f t="shared" si="1"/>
        <x:v>0</x:v>
      </x:c>
      <x:c r="J79" s="698">
        <x:f t="shared" si="1"/>
        <x:v>0</x:v>
      </x:c>
      <x:c r="K79" s="698">
        <x:f t="shared" si="1"/>
        <x:v>0</x:v>
      </x:c>
      <x:c r="L79" s="698">
        <x:f t="shared" si="1"/>
        <x:v>0</x:v>
      </x:c>
      <x:c r="M79" s="698">
        <x:f t="shared" si="1"/>
        <x:v>0</x:v>
      </x:c>
      <x:c r="N79" s="698">
        <x:f t="shared" si="1"/>
        <x:v>0</x:v>
      </x:c>
      <x:c r="O79" s="698">
        <x:f t="shared" si="1"/>
        <x:v>0</x:v>
      </x:c>
      <x:c r="P79" s="698">
        <x:f t="shared" si="1"/>
        <x:v>0</x:v>
      </x:c>
      <x:c r="Q79" s="698">
        <x:f t="shared" si="1"/>
        <x:v>0</x:v>
      </x:c>
      <x:c r="R79" s="698">
        <x:f t="shared" si="1"/>
        <x:v>0</x:v>
      </x:c>
      <x:c r="Z79" s="701"/>
    </x:row>
    <x:row r="80" spans="1:26" x14ac:dyDescent="0.2">
      <x:c r="A80" s="774"/>
      <x:c r="B80" s="773"/>
      <x:c r="C80" s="698" t="s">
        <x:v>73</x:v>
      </x:c>
      <x:c r="D80" s="698">
        <x:f>D7</x:f>
        <x:v>0</x:v>
      </x:c>
      <x:c r="E80" s="683"/>
      <x:c r="F80" s="683"/>
      <x:c r="G80" s="683"/>
      <x:c r="H80" s="683"/>
      <x:c r="I80" s="683"/>
      <x:c r="J80" s="683"/>
      <x:c r="K80" s="683"/>
      <x:c r="L80" s="683"/>
      <x:c r="M80" s="683"/>
      <x:c r="N80" s="683"/>
      <x:c r="O80" s="683"/>
      <x:c r="P80" s="683"/>
      <x:c r="Q80" s="683"/>
      <x:c r="R80" s="683"/>
      <x:c r="Z80" s="701"/>
    </x:row>
    <x:row r="81" spans="1:26" ht="15" x14ac:dyDescent="0.2">
      <x:c r="A81" s="694"/>
      <x:c r="B81" s="695"/>
      <x:c r="C81" s="683"/>
      <x:c r="D81" s="683"/>
      <x:c r="E81" s="683"/>
      <x:c r="F81" s="683"/>
      <x:c r="G81" s="683"/>
      <x:c r="H81" s="683"/>
      <x:c r="I81" s="683"/>
      <x:c r="J81" s="683"/>
      <x:c r="K81" s="683"/>
      <x:c r="L81" s="683"/>
      <x:c r="M81" s="683"/>
      <x:c r="N81" s="683"/>
      <x:c r="O81" s="683"/>
      <x:c r="P81" s="683"/>
      <x:c r="Q81" s="683"/>
      <x:c r="R81" s="683"/>
      <x:c r="Z81" s="701"/>
    </x:row>
    <x:row r="82" spans="1:26" x14ac:dyDescent="0.2">
      <x:c r="A82" s="775" t="s">
        <x:v>326</x:v>
      </x:c>
      <x:c r="B82" s="773" t="s">
        <x:v>132</x:v>
      </x:c>
      <x:c r="C82" s="698" t="s">
        <x:v>70</x:v>
      </x:c>
      <x:c r="D82" s="699">
        <x:v>0</x:v>
      </x:c>
      <x:c r="E82" s="699">
        <x:v>0</x:v>
      </x:c>
      <x:c r="F82" s="699">
        <x:v>0</x:v>
      </x:c>
      <x:c r="G82" s="699">
        <x:v>0</x:v>
      </x:c>
      <x:c r="H82" s="699">
        <x:v>0</x:v>
      </x:c>
      <x:c r="I82" s="699">
        <x:v>0</x:v>
      </x:c>
      <x:c r="J82" s="699">
        <x:v>0</x:v>
      </x:c>
      <x:c r="K82" s="699">
        <x:v>0</x:v>
      </x:c>
      <x:c r="L82" s="699">
        <x:v>0</x:v>
      </x:c>
      <x:c r="M82" s="699">
        <x:v>0</x:v>
      </x:c>
      <x:c r="N82" s="699">
        <x:v>0</x:v>
      </x:c>
      <x:c r="O82" s="699">
        <x:v>0</x:v>
      </x:c>
      <x:c r="P82" s="699">
        <x:v>0</x:v>
      </x:c>
      <x:c r="Q82" s="699">
        <x:v>0</x:v>
      </x:c>
      <x:c r="R82" s="699">
        <x:v>0</x:v>
      </x:c>
      <x:c r="Z82" s="701"/>
    </x:row>
    <x:row r="83" spans="1:26" x14ac:dyDescent="0.2">
      <x:c r="A83" s="775"/>
      <x:c r="B83" s="773"/>
      <x:c r="C83" s="698" t="s">
        <x:v>73</x:v>
      </x:c>
      <x:c r="D83" s="699">
        <x:v>0</x:v>
      </x:c>
      <x:c r="E83" s="683"/>
      <x:c r="F83" s="683"/>
      <x:c r="G83" s="683"/>
      <x:c r="H83" s="683"/>
      <x:c r="I83" s="683"/>
      <x:c r="J83" s="683"/>
      <x:c r="K83" s="683"/>
      <x:c r="L83" s="683"/>
      <x:c r="M83" s="683"/>
      <x:c r="N83" s="683"/>
      <x:c r="O83" s="683"/>
      <x:c r="P83" s="683"/>
      <x:c r="Q83" s="683"/>
      <x:c r="Z83" s="701"/>
    </x:row>
    <x:row r="84" spans="1:26" ht="15" x14ac:dyDescent="0.25">
      <x:c r="A84" s="682"/>
      <x:c r="D84" s="683"/>
      <x:c r="E84" s="683"/>
      <x:c r="F84" s="683"/>
      <x:c r="G84" s="683"/>
      <x:c r="H84" s="683"/>
      <x:c r="I84" s="683"/>
      <x:c r="J84" s="683"/>
      <x:c r="K84" s="683"/>
      <x:c r="L84" s="683"/>
      <x:c r="M84" s="683"/>
      <x:c r="N84" s="683"/>
      <x:c r="O84" s="683"/>
      <x:c r="P84" s="683"/>
      <x:c r="Q84" s="683"/>
      <x:c r="R84" s="683"/>
      <x:c r="Z84" s="701"/>
    </x:row>
    <x:row r="85" spans="1:26" x14ac:dyDescent="0.2">
      <x:c r="A85" s="774" t="s">
        <x:v>119</x:v>
      </x:c>
      <x:c r="B85" s="773" t="s">
        <x:v>132</x:v>
      </x:c>
      <x:c r="C85" s="691" t="s">
        <x:v>70</x:v>
      </x:c>
      <x:c r="D85" s="691">
        <x:f>D14-P14</x:f>
        <x:v>0</x:v>
      </x:c>
      <x:c r="E85" s="691">
        <x:f>E11</x:f>
        <x:v>0</x:v>
      </x:c>
      <x:c r="F85" s="691">
        <x:f t="shared" ref="F85:R85" si="2">F11</x:f>
        <x:v>0</x:v>
      </x:c>
      <x:c r="G85" s="691">
        <x:f t="shared" si="2"/>
        <x:v>0</x:v>
      </x:c>
      <x:c r="H85" s="691">
        <x:f t="shared" si="2"/>
        <x:v>0</x:v>
      </x:c>
      <x:c r="I85" s="691">
        <x:f t="shared" si="2"/>
        <x:v>0</x:v>
      </x:c>
      <x:c r="J85" s="691">
        <x:f t="shared" si="2"/>
        <x:v>0</x:v>
      </x:c>
      <x:c r="K85" s="691">
        <x:f t="shared" si="2"/>
        <x:v>0</x:v>
      </x:c>
      <x:c r="L85" s="691">
        <x:f t="shared" si="2"/>
        <x:v>0</x:v>
      </x:c>
      <x:c r="M85" s="691">
        <x:f t="shared" si="2"/>
        <x:v>0</x:v>
      </x:c>
      <x:c r="N85" s="691">
        <x:f t="shared" si="2"/>
        <x:v>0</x:v>
      </x:c>
      <x:c r="O85" s="691">
        <x:f t="shared" si="2"/>
        <x:v>0</x:v>
      </x:c>
      <x:c r="P85" s="691">
        <x:f t="shared" si="2"/>
        <x:v>0</x:v>
      </x:c>
      <x:c r="Q85" s="691">
        <x:f t="shared" si="2"/>
        <x:v>0</x:v>
      </x:c>
      <x:c r="R85" s="691">
        <x:f t="shared" si="2"/>
        <x:v>0</x:v>
      </x:c>
      <x:c r="Z85" s="701"/>
    </x:row>
    <x:row r="86" spans="1:26" x14ac:dyDescent="0.2">
      <x:c r="A86" s="774"/>
      <x:c r="B86" s="773"/>
      <x:c r="C86" s="691" t="s">
        <x:v>73</x:v>
      </x:c>
      <x:c r="D86" s="691">
        <x:f>D13</x:f>
        <x:v>0</x:v>
      </x:c>
      <x:c r="E86" s="683"/>
      <x:c r="F86" s="683"/>
      <x:c r="G86" s="683"/>
      <x:c r="H86" s="683"/>
      <x:c r="I86" s="683"/>
      <x:c r="J86" s="683"/>
      <x:c r="K86" s="683"/>
      <x:c r="L86" s="683"/>
      <x:c r="M86" s="683"/>
      <x:c r="N86" s="683"/>
      <x:c r="O86" s="683"/>
      <x:c r="P86" s="683"/>
      <x:c r="Q86" s="683"/>
      <x:c r="R86" s="683"/>
      <x:c r="Z86" s="701"/>
    </x:row>
    <x:row r="87" spans="1:26" ht="15" x14ac:dyDescent="0.25">
      <x:c r="A87" s="682"/>
      <x:c r="D87" s="683"/>
      <x:c r="E87" s="683"/>
      <x:c r="F87" s="683"/>
      <x:c r="G87" s="683"/>
      <x:c r="H87" s="683"/>
      <x:c r="I87" s="683"/>
      <x:c r="J87" s="683"/>
      <x:c r="K87" s="683"/>
      <x:c r="L87" s="683"/>
      <x:c r="M87" s="683"/>
      <x:c r="N87" s="683"/>
      <x:c r="O87" s="683"/>
      <x:c r="P87" s="683"/>
      <x:c r="Q87" s="683"/>
      <x:c r="R87" s="683"/>
      <x:c r="Z87" s="701"/>
    </x:row>
    <x:row r="88" spans="1:26" x14ac:dyDescent="0.2">
      <x:c r="A88" s="772" t="s">
        <x:v>161</x:v>
      </x:c>
      <x:c r="B88" s="773" t="s">
        <x:v>132</x:v>
      </x:c>
      <x:c r="C88" s="700" t="s">
        <x:v>70</x:v>
      </x:c>
      <x:c r="D88" s="700">
        <x:v>0</x:v>
      </x:c>
      <x:c r="E88" s="700">
        <x:v>0</x:v>
      </x:c>
      <x:c r="F88" s="700">
        <x:v>0</x:v>
      </x:c>
      <x:c r="G88" s="700">
        <x:v>0</x:v>
      </x:c>
      <x:c r="H88" s="700">
        <x:v>0</x:v>
      </x:c>
      <x:c r="I88" s="700">
        <x:v>0</x:v>
      </x:c>
      <x:c r="J88" s="700">
        <x:v>0</x:v>
      </x:c>
      <x:c r="K88" s="700">
        <x:v>0</x:v>
      </x:c>
      <x:c r="L88" s="700">
        <x:v>0</x:v>
      </x:c>
      <x:c r="M88" s="700">
        <x:v>0</x:v>
      </x:c>
      <x:c r="N88" s="700">
        <x:v>0</x:v>
      </x:c>
      <x:c r="O88" s="700">
        <x:v>0</x:v>
      </x:c>
      <x:c r="P88" s="700">
        <x:v>0</x:v>
      </x:c>
      <x:c r="Q88" s="700">
        <x:v>0</x:v>
      </x:c>
      <x:c r="R88" s="700">
        <x:v>0</x:v>
      </x:c>
      <x:c r="Z88" s="701"/>
    </x:row>
    <x:row r="89" spans="1:26" x14ac:dyDescent="0.2">
      <x:c r="A89" s="772"/>
      <x:c r="B89" s="773"/>
      <x:c r="C89" s="700" t="s">
        <x:v>73</x:v>
      </x:c>
      <x:c r="D89" s="700">
        <x:v>0</x:v>
      </x:c>
      <x:c r="E89" s="683"/>
      <x:c r="F89" s="683"/>
      <x:c r="G89" s="683"/>
      <x:c r="H89" s="683"/>
      <x:c r="I89" s="683"/>
      <x:c r="J89" s="683"/>
      <x:c r="K89" s="683"/>
      <x:c r="L89" s="683"/>
      <x:c r="M89" s="683"/>
      <x:c r="N89" s="683"/>
      <x:c r="O89" s="683"/>
      <x:c r="P89" s="683"/>
      <x:c r="Q89" s="683"/>
      <x:c r="Z89" s="701"/>
    </x:row>
    <x:row r="90" spans="1:26" x14ac:dyDescent="0.2">
      <x:c r="A90" s="701"/>
      <x:c r="B90" s="701"/>
      <x:c r="C90" s="701"/>
      <x:c r="D90" s="701"/>
      <x:c r="E90" s="701"/>
      <x:c r="F90" s="701"/>
      <x:c r="G90" s="701"/>
      <x:c r="H90" s="701"/>
      <x:c r="I90" s="701"/>
      <x:c r="J90" s="701"/>
      <x:c r="K90" s="701"/>
      <x:c r="L90" s="701"/>
      <x:c r="M90" s="701"/>
      <x:c r="N90" s="701"/>
      <x:c r="O90" s="701"/>
      <x:c r="P90" s="701"/>
      <x:c r="Q90" s="701"/>
      <x:c r="R90" s="701"/>
      <x:c r="S90" s="701"/>
      <x:c r="T90" s="701"/>
      <x:c r="U90" s="701"/>
      <x:c r="V90" s="701"/>
      <x:c r="W90" s="701"/>
      <x:c r="X90" s="701"/>
      <x:c r="Y90" s="701"/>
      <x:c r="Z90" s="701"/>
    </x:row>
    <x:row r="91" spans="1:26" ht="15" x14ac:dyDescent="0.25">
      <x:c r="B91" s="707" t="s">
        <x:v>75</x:v>
      </x:c>
      <x:c r="Z91" s="701"/>
    </x:row>
    <x:row r="92" spans="1:26" s="682" customFormat="1" ht="15" x14ac:dyDescent="0.25">
      <x:c r="D92" s="704" t="s">
        <x:v>70</x:v>
      </x:c>
      <x:c r="E92" s="704" t="s">
        <x:v>64</x:v>
      </x:c>
      <x:c r="F92" s="704" t="s">
        <x:v>65</x:v>
      </x:c>
      <x:c r="G92" s="705" t="s">
        <x:v>164</x:v>
      </x:c>
      <x:c r="H92" s="704" t="s">
        <x:v>69</x:v>
      </x:c>
      <x:c r="I92" s="704" t="s">
        <x:v>68</x:v>
      </x:c>
      <x:c r="J92" s="704" t="s">
        <x:v>66</x:v>
      </x:c>
      <x:c r="K92" s="704" t="s">
        <x:v>63</x:v>
      </x:c>
      <x:c r="L92" s="704" t="s">
        <x:v>61</x:v>
      </x:c>
      <x:c r="M92" s="704" t="s">
        <x:v>62</x:v>
      </x:c>
      <x:c r="N92" s="704" t="s">
        <x:v>67</x:v>
      </x:c>
      <x:c r="O92" s="704" t="s">
        <x:v>77</x:v>
      </x:c>
      <x:c r="P92" s="682" t="s">
        <x:v>71</x:v>
      </x:c>
      <x:c r="Q92" s="704" t="s">
        <x:v>80</x:v>
      </x:c>
      <x:c r="R92" s="682" t="s">
        <x:v>167</x:v>
      </x:c>
      <x:c r="Z92" s="706"/>
    </x:row>
    <x:row r="93" spans="1:26" x14ac:dyDescent="0.2">
      <x:c r="C93" s="681" t="s">
        <x:v>72</x:v>
      </x:c>
      <x:c r="D93" s="683" t="n">
        <x:v>-13979536.23</x:v>
      </x:c>
      <x:c r="E93" s="683" t="n">
        <x:v>-1011020.96</x:v>
      </x:c>
      <x:c r="F93" s="683" t="n">
        <x:v>-569741.9</x:v>
      </x:c>
      <x:c r="G93" s="683" t="n">
        <x:v>-302808.68</x:v>
      </x:c>
      <x:c r="H93" s="683" t="n">
        <x:v>-3143579.34</x:v>
      </x:c>
      <x:c r="I93" s="683" t="n">
        <x:v>-114670.57</x:v>
      </x:c>
      <x:c r="J93" s="683" t="n">
        <x:v>-999077.71</x:v>
      </x:c>
      <x:c r="K93" s="683" t="n">
        <x:v>-992418.25</x:v>
      </x:c>
      <x:c r="L93" s="683" t="n">
        <x:v>-4654848.09</x:v>
      </x:c>
      <x:c r="M93" s="683" t="n">
        <x:v>-2004239.59</x:v>
      </x:c>
      <x:c r="N93" s="683" t="n">
        <x:v>-187093.83</x:v>
      </x:c>
      <x:c r="O93" s="683" t="n">
        <x:v>-37.31</x:v>
      </x:c>
      <x:c r="P93" s="681">
        <x:v>0</x:v>
      </x:c>
      <x:c r="Q93" s="683">
        <x:v>0</x:v>
      </x:c>
      <x:c r="R93" s="681">
        <x:v>0</x:v>
      </x:c>
      <x:c r="Z93" s="701"/>
    </x:row>
    <x:row r="94" spans="1:26" x14ac:dyDescent="0.2">
      <x:c r="C94" s="681" t="s">
        <x:v>81</x:v>
      </x:c>
      <x:c r="D94" s="683" t="n">
        <x:v>-233620.09</x:v>
      </x:c>
      <x:c r="E94" s="683" t="n">
        <x:v>-22452.42</x:v>
      </x:c>
      <x:c r="F94" s="683" t="n">
        <x:v>-8081.16</x:v>
      </x:c>
      <x:c r="G94" s="683" t="n">
        <x:v>-2654.63</x:v>
      </x:c>
      <x:c r="H94" s="683" t="n">
        <x:v>-44917.62</x:v>
      </x:c>
      <x:c r="I94" s="683" t="n">
        <x:v>-2082.42</x:v>
      </x:c>
      <x:c r="J94" s="683" t="n">
        <x:v>-18240.53</x:v>
      </x:c>
      <x:c r="K94" s="683" t="n">
        <x:v>-18956.12</x:v>
      </x:c>
      <x:c r="L94" s="683" t="n">
        <x:v>-65568.83</x:v>
      </x:c>
      <x:c r="M94" s="683" t="n">
        <x:v>-47271.83</x:v>
      </x:c>
      <x:c r="N94" s="683" t="n">
        <x:v>-3396.54</x:v>
      </x:c>
      <x:c r="O94" s="683" t="n">
        <x:v>2.01</x:v>
      </x:c>
      <x:c r="P94" s="681">
        <x:v>0</x:v>
      </x:c>
      <x:c r="Q94" s="683">
        <x:v>0</x:v>
      </x:c>
      <x:c r="R94" s="681">
        <x:v>0</x:v>
      </x:c>
      <x:c r="Z94" s="701"/>
    </x:row>
    <x:row r="95" spans="1:26" x14ac:dyDescent="0.2">
      <x:c r="A95" s="684"/>
      <x:c r="B95" s="685" t="s">
        <x:v>78</x:v>
      </x:c>
      <x:c r="C95" s="685" t="s">
        <x:v>70</x:v>
      </x:c>
      <x:c r="D95" s="685" t="n">
        <x:v>-14213156.32</x:v>
      </x:c>
      <x:c r="E95" s="685" t="n">
        <x:v>-1033473.38</x:v>
      </x:c>
      <x:c r="F95" s="685" t="n">
        <x:v>-577823.06</x:v>
      </x:c>
      <x:c r="G95" s="685" t="n">
        <x:v>-305463.31</x:v>
      </x:c>
      <x:c r="H95" s="685" t="n">
        <x:v>-3188496.96</x:v>
      </x:c>
      <x:c r="I95" s="685" t="n">
        <x:v>-116752.99</x:v>
      </x:c>
      <x:c r="J95" s="685" t="n">
        <x:v>-1017318.24</x:v>
      </x:c>
      <x:c r="K95" s="685" t="n">
        <x:v>-1011374.37</x:v>
      </x:c>
      <x:c r="L95" s="685" t="n">
        <x:v>-4720416.92</x:v>
      </x:c>
      <x:c r="M95" s="685" t="n">
        <x:v>-2051511.42</x:v>
      </x:c>
      <x:c r="N95" s="685" t="n">
        <x:v>-190490.37</x:v>
      </x:c>
      <x:c r="O95" s="685" t="n">
        <x:v>-35.3</x:v>
      </x:c>
      <x:c r="P95" s="684">
        <x:v>0</x:v>
      </x:c>
      <x:c r="Q95" s="685">
        <x:v>0</x:v>
      </x:c>
      <x:c r="R95" s="685">
        <x:v>0</x:v>
      </x:c>
      <x:c r="S95" s="684"/>
      <x:c r="T95" s="684"/>
      <x:c r="U95" s="684"/>
      <x:c r="V95" s="684"/>
      <x:c r="W95" s="684"/>
      <x:c r="X95" s="684"/>
      <x:c r="Y95" s="684"/>
      <x:c r="Z95" s="701"/>
    </x:row>
    <x:row r="96" spans="1:26" x14ac:dyDescent="0.2">
      <x:c r="C96" s="681" t="s">
        <x:v>73</x:v>
      </x:c>
      <x:c r="D96" s="683" t="n">
        <x:v>765564.32</x:v>
      </x:c>
      <x:c r="E96" s="683" t="n">
        <x:v>-205919.7</x:v>
      </x:c>
      <x:c r="F96" s="683" t="n">
        <x:v>-115649.85</x:v>
      </x:c>
      <x:c r="G96" s="683" t="n">
        <x:v>-63315.96</x:v>
      </x:c>
      <x:c r="H96" s="683" t="n">
        <x:v>488474.53</x:v>
      </x:c>
      <x:c r="I96" s="683" t="n">
        <x:v>18030.1</x:v>
      </x:c>
      <x:c r="J96" s="683" t="n">
        <x:v>158157.98</x:v>
      </x:c>
      <x:c r="K96" s="683" t="n">
        <x:v>154048.7</x:v>
      </x:c>
      <x:c r="L96" s="683" t="n">
        <x:v>723098.08</x:v>
      </x:c>
      <x:c r="M96" s="683" t="n">
        <x:v>-420776.85</x:v>
      </x:c>
      <x:c r="N96" s="683" t="n">
        <x:v>29417.29</x:v>
      </x:c>
      <x:c r="O96" s="683" t="n">
        <x:v>0</x:v>
      </x:c>
      <x:c r="P96" s="681">
        <x:v>0</x:v>
      </x:c>
      <x:c r="Q96" s="683">
        <x:v>0</x:v>
      </x:c>
      <x:c r="R96" s="681">
        <x:v>0</x:v>
      </x:c>
      <x:c r="Z96" s="701"/>
    </x:row>
    <x:row r="97" spans="1:26" x14ac:dyDescent="0.2">
      <x:c r="A97" s="686"/>
      <x:c r="B97" s="687" t="s">
        <x:v>79</x:v>
      </x:c>
      <x:c r="C97" s="687" t="s">
        <x:v>70</x:v>
      </x:c>
      <x:c r="D97" s="687" t="n">
        <x:v>765564.32</x:v>
      </x:c>
      <x:c r="E97" s="687" t="n">
        <x:v>-205919.7</x:v>
      </x:c>
      <x:c r="F97" s="687" t="n">
        <x:v>-115649.85</x:v>
      </x:c>
      <x:c r="G97" s="687" t="n">
        <x:v>-63315.96</x:v>
      </x:c>
      <x:c r="H97" s="687" t="n">
        <x:v>488474.53</x:v>
      </x:c>
      <x:c r="I97" s="687" t="n">
        <x:v>18030.1</x:v>
      </x:c>
      <x:c r="J97" s="687" t="n">
        <x:v>158157.98</x:v>
      </x:c>
      <x:c r="K97" s="687" t="n">
        <x:v>154048.7</x:v>
      </x:c>
      <x:c r="L97" s="687" t="n">
        <x:v>723098.08</x:v>
      </x:c>
      <x:c r="M97" s="687" t="n">
        <x:v>-420776.85</x:v>
      </x:c>
      <x:c r="N97" s="687" t="n">
        <x:v>29417.29</x:v>
      </x:c>
      <x:c r="O97" s="687" t="n">
        <x:v>0</x:v>
      </x:c>
      <x:c r="P97" s="686">
        <x:v>0</x:v>
      </x:c>
      <x:c r="Q97" s="687">
        <x:v>0</x:v>
      </x:c>
      <x:c r="R97" s="687">
        <x:v>0</x:v>
      </x:c>
      <x:c r="S97" s="686"/>
      <x:c r="T97" s="686"/>
      <x:c r="U97" s="686"/>
      <x:c r="V97" s="686"/>
      <x:c r="W97" s="686"/>
      <x:c r="X97" s="686"/>
      <x:c r="Y97" s="686"/>
      <x:c r="Z97" s="701"/>
    </x:row>
    <x:row r="98" spans="1:26" x14ac:dyDescent="0.2">
      <x:c r="A98" s="688" t="s">
        <x:v>155</x:v>
      </x:c>
      <x:c r="B98" s="688" t="s">
        <x:v>70</x:v>
      </x:c>
      <x:c r="C98" s="688"/>
      <x:c r="D98" s="689" t="n">
        <x:v>-13447592</x:v>
      </x:c>
      <x:c r="E98" s="689" t="n">
        <x:v>-1239393.08</x:v>
      </x:c>
      <x:c r="F98" s="689" t="n">
        <x:v>-693472.91</x:v>
      </x:c>
      <x:c r="G98" s="689" t="n">
        <x:v>-368779.27</x:v>
      </x:c>
      <x:c r="H98" s="689" t="n">
        <x:v>-2700022.43</x:v>
      </x:c>
      <x:c r="I98" s="689" t="n">
        <x:v>-98722.89</x:v>
      </x:c>
      <x:c r="J98" s="689" t="n">
        <x:v>-859160.26</x:v>
      </x:c>
      <x:c r="K98" s="689" t="n">
        <x:v>-857325.67</x:v>
      </x:c>
      <x:c r="L98" s="689" t="n">
        <x:v>-3997318.84</x:v>
      </x:c>
      <x:c r="M98" s="689" t="n">
        <x:v>-2472288.27</x:v>
      </x:c>
      <x:c r="N98" s="689" t="n">
        <x:v>-161073.08</x:v>
      </x:c>
      <x:c r="O98" s="689" t="n">
        <x:v>-35.3</x:v>
      </x:c>
      <x:c r="P98" s="689">
        <x:v>0</x:v>
      </x:c>
      <x:c r="Q98" s="689">
        <x:v>0</x:v>
      </x:c>
      <x:c r="R98" s="688">
        <x:v>0</x:v>
      </x:c>
      <x:c r="S98" s="688"/>
      <x:c r="T98" s="688"/>
      <x:c r="U98" s="688"/>
      <x:c r="V98" s="688"/>
      <x:c r="W98" s="688"/>
      <x:c r="X98" s="688"/>
      <x:c r="Y98" s="688"/>
      <x:c r="Z98" s="701"/>
    </x:row>
    <x:row r="99" spans="1:26" x14ac:dyDescent="0.2">
      <x:c r="C99" s="681" t="s">
        <x:v>72</x:v>
      </x:c>
      <x:c r="D99" s="683" t="n">
        <x:v>-58047.64</x:v>
      </x:c>
      <x:c r="E99" s="683" t="n">
        <x:v>-2786</x:v>
      </x:c>
      <x:c r="F99" s="683" t="n">
        <x:v>-1572.46</x:v>
      </x:c>
      <x:c r="G99" s="683" t="n">
        <x:v>-825.44</x:v>
      </x:c>
      <x:c r="H99" s="683" t="n">
        <x:v>-16700.46</x:v>
      </x:c>
      <x:c r="I99" s="683" t="n">
        <x:v>-517.68</x:v>
      </x:c>
      <x:c r="J99" s="683" t="n">
        <x:v>-4541.08</x:v>
      </x:c>
      <x:c r="K99" s="683" t="n">
        <x:v>-4465.33</x:v>
      </x:c>
      <x:c r="L99" s="683" t="n">
        <x:v>-20259.13</x:v>
      </x:c>
      <x:c r="M99" s="683" t="n">
        <x:v>-5531.04</x:v>
      </x:c>
      <x:c r="N99" s="683" t="n">
        <x:v>-844.64</x:v>
      </x:c>
      <x:c r="O99" s="683" t="n">
        <x:v>-4.38</x:v>
      </x:c>
      <x:c r="P99" s="681">
        <x:v>0</x:v>
      </x:c>
      <x:c r="Q99" s="683">
        <x:v>0</x:v>
      </x:c>
      <x:c r="R99" s="681">
        <x:v>0</x:v>
      </x:c>
      <x:c r="Z99" s="701"/>
    </x:row>
    <x:row r="100" spans="1:26" x14ac:dyDescent="0.2">
      <x:c r="C100" s="681" t="s">
        <x:v>81</x:v>
      </x:c>
      <x:c r="D100" s="683" t="n">
        <x:v>-15.66</x:v>
      </x:c>
      <x:c r="E100" s="683" t="n">
        <x:v>-0.76</x:v>
      </x:c>
      <x:c r="F100" s="683" t="n">
        <x:v>-0.43</x:v>
      </x:c>
      <x:c r="G100" s="683" t="n">
        <x:v>-0.23</x:v>
      </x:c>
      <x:c r="H100" s="683" t="n">
        <x:v>-4.05</x:v>
      </x:c>
      <x:c r="I100" s="683" t="n">
        <x:v>-0.15</x:v>
      </x:c>
      <x:c r="J100" s="683" t="n">
        <x:v>-1.28</x:v>
      </x:c>
      <x:c r="K100" s="683" t="n">
        <x:v>-1.25</x:v>
      </x:c>
      <x:c r="L100" s="683" t="n">
        <x:v>-5.71</x:v>
      </x:c>
      <x:c r="M100" s="683" t="n">
        <x:v>-1.56</x:v>
      </x:c>
      <x:c r="N100" s="683" t="n">
        <x:v>-0.24</x:v>
      </x:c>
      <x:c r="O100" s="683" t="n">
        <x:v>0</x:v>
      </x:c>
      <x:c r="P100" s="681">
        <x:v>0</x:v>
      </x:c>
      <x:c r="Q100" s="683">
        <x:v>0</x:v>
      </x:c>
      <x:c r="R100" s="681">
        <x:v>0</x:v>
      </x:c>
      <x:c r="Z100" s="701"/>
    </x:row>
    <x:row r="101" spans="1:26" x14ac:dyDescent="0.2">
      <x:c r="A101" s="684"/>
      <x:c r="B101" s="685" t="s">
        <x:v>78</x:v>
      </x:c>
      <x:c r="C101" s="685" t="s">
        <x:v>70</x:v>
      </x:c>
      <x:c r="D101" s="685" t="n">
        <x:v>-58063.3</x:v>
      </x:c>
      <x:c r="E101" s="685" t="n">
        <x:v>-2786.76</x:v>
      </x:c>
      <x:c r="F101" s="685" t="n">
        <x:v>-1572.89</x:v>
      </x:c>
      <x:c r="G101" s="685" t="n">
        <x:v>-825.67</x:v>
      </x:c>
      <x:c r="H101" s="685" t="n">
        <x:v>-16704.51</x:v>
      </x:c>
      <x:c r="I101" s="685" t="n">
        <x:v>-517.83</x:v>
      </x:c>
      <x:c r="J101" s="685" t="n">
        <x:v>-4542.36</x:v>
      </x:c>
      <x:c r="K101" s="685" t="n">
        <x:v>-4466.58</x:v>
      </x:c>
      <x:c r="L101" s="685" t="n">
        <x:v>-20264.84</x:v>
      </x:c>
      <x:c r="M101" s="685" t="n">
        <x:v>-5532.6</x:v>
      </x:c>
      <x:c r="N101" s="685" t="n">
        <x:v>-844.88</x:v>
      </x:c>
      <x:c r="O101" s="685" t="n">
        <x:v>-4.38</x:v>
      </x:c>
      <x:c r="P101" s="684">
        <x:v>0</x:v>
      </x:c>
      <x:c r="Q101" s="685">
        <x:v>0</x:v>
      </x:c>
      <x:c r="R101" s="685">
        <x:v>0</x:v>
      </x:c>
      <x:c r="S101" s="684"/>
      <x:c r="T101" s="684"/>
      <x:c r="U101" s="684"/>
      <x:c r="V101" s="684"/>
      <x:c r="W101" s="684"/>
      <x:c r="X101" s="684"/>
      <x:c r="Y101" s="684"/>
      <x:c r="Z101" s="701"/>
    </x:row>
    <x:row r="102" spans="1:26" x14ac:dyDescent="0.2">
      <x:c r="C102" s="681" t="s">
        <x:v>73</x:v>
      </x:c>
      <x:c r="D102" s="683" t="n">
        <x:v>33173.3</x:v>
      </x:c>
      <x:c r="E102" s="683" t="n">
        <x:v>1612.12</x:v>
      </x:c>
      <x:c r="F102" s="683" t="n">
        <x:v>910</x:v>
      </x:c>
      <x:c r="G102" s="683" t="n">
        <x:v>477.62</x:v>
      </x:c>
      <x:c r="H102" s="683" t="n">
        <x:v>9240.6</x:v>
      </x:c>
      <x:c r="I102" s="683" t="n">
        <x:v>299.72</x:v>
      </x:c>
      <x:c r="J102" s="683" t="n">
        <x:v>2629.12</x:v>
      </x:c>
      <x:c r="K102" s="683" t="n">
        <x:v>2585.26</x:v>
      </x:c>
      <x:c r="L102" s="683" t="n">
        <x:v>11729.28</x:v>
      </x:c>
      <x:c r="M102" s="683" t="n">
        <x:v>3200.56</x:v>
      </x:c>
      <x:c r="N102" s="683" t="n">
        <x:v>489.02</x:v>
      </x:c>
      <x:c r="O102" s="683" t="n">
        <x:v>0</x:v>
      </x:c>
      <x:c r="P102" s="681">
        <x:v>0</x:v>
      </x:c>
      <x:c r="Q102" s="683">
        <x:v>0</x:v>
      </x:c>
      <x:c r="R102" s="681">
        <x:v>0</x:v>
      </x:c>
      <x:c r="Z102" s="701"/>
    </x:row>
    <x:row r="103" spans="1:26" x14ac:dyDescent="0.2">
      <x:c r="A103" s="686"/>
      <x:c r="B103" s="687" t="s">
        <x:v>79</x:v>
      </x:c>
      <x:c r="C103" s="687" t="s">
        <x:v>70</x:v>
      </x:c>
      <x:c r="D103" s="687" t="n">
        <x:v>33173.3</x:v>
      </x:c>
      <x:c r="E103" s="687" t="n">
        <x:v>1612.12</x:v>
      </x:c>
      <x:c r="F103" s="687" t="n">
        <x:v>910</x:v>
      </x:c>
      <x:c r="G103" s="687" t="n">
        <x:v>477.62</x:v>
      </x:c>
      <x:c r="H103" s="687" t="n">
        <x:v>9240.6</x:v>
      </x:c>
      <x:c r="I103" s="687" t="n">
        <x:v>299.72</x:v>
      </x:c>
      <x:c r="J103" s="687" t="n">
        <x:v>2629.12</x:v>
      </x:c>
      <x:c r="K103" s="687" t="n">
        <x:v>2585.26</x:v>
      </x:c>
      <x:c r="L103" s="687" t="n">
        <x:v>11729.28</x:v>
      </x:c>
      <x:c r="M103" s="687" t="n">
        <x:v>3200.56</x:v>
      </x:c>
      <x:c r="N103" s="687" t="n">
        <x:v>489.02</x:v>
      </x:c>
      <x:c r="O103" s="687" t="n">
        <x:v>0</x:v>
      </x:c>
      <x:c r="P103" s="686">
        <x:v>0</x:v>
      </x:c>
      <x:c r="Q103" s="687">
        <x:v>0</x:v>
      </x:c>
      <x:c r="R103" s="687">
        <x:v>0</x:v>
      </x:c>
      <x:c r="S103" s="686"/>
      <x:c r="T103" s="686"/>
      <x:c r="U103" s="686"/>
      <x:c r="V103" s="686"/>
      <x:c r="W103" s="686"/>
      <x:c r="X103" s="686"/>
      <x:c r="Y103" s="686"/>
      <x:c r="Z103" s="701"/>
    </x:row>
    <x:row r="104" spans="1:26" x14ac:dyDescent="0.2">
      <x:c r="A104" s="690" t="s">
        <x:v>119</x:v>
      </x:c>
      <x:c r="B104" s="690" t="s">
        <x:v>70</x:v>
      </x:c>
      <x:c r="C104" s="690"/>
      <x:c r="D104" s="691" t="n">
        <x:v>-24890</x:v>
      </x:c>
      <x:c r="E104" s="691" t="n">
        <x:v>-1174.64</x:v>
      </x:c>
      <x:c r="F104" s="691" t="n">
        <x:v>-662.89</x:v>
      </x:c>
      <x:c r="G104" s="691" t="n">
        <x:v>-348.05</x:v>
      </x:c>
      <x:c r="H104" s="691" t="n">
        <x:v>-7463.91</x:v>
      </x:c>
      <x:c r="I104" s="691" t="n">
        <x:v>-218.11</x:v>
      </x:c>
      <x:c r="J104" s="691" t="n">
        <x:v>-1913.24</x:v>
      </x:c>
      <x:c r="K104" s="691" t="n">
        <x:v>-1881.32</x:v>
      </x:c>
      <x:c r="L104" s="691" t="n">
        <x:v>-8535.56</x:v>
      </x:c>
      <x:c r="M104" s="691" t="n">
        <x:v>-2332.04</x:v>
      </x:c>
      <x:c r="N104" s="691" t="n">
        <x:v>-355.86</x:v>
      </x:c>
      <x:c r="O104" s="691" t="n">
        <x:v>-4.38</x:v>
      </x:c>
      <x:c r="P104" s="691">
        <x:v>0</x:v>
      </x:c>
      <x:c r="Q104" s="691">
        <x:v>0</x:v>
      </x:c>
      <x:c r="R104" s="690">
        <x:v>0</x:v>
      </x:c>
      <x:c r="S104" s="690"/>
      <x:c r="T104" s="690"/>
      <x:c r="U104" s="690"/>
      <x:c r="V104" s="690"/>
      <x:c r="W104" s="690"/>
      <x:c r="X104" s="690"/>
      <x:c r="Y104" s="690"/>
      <x:c r="Z104" s="701"/>
    </x:row>
    <x:row r="105" spans="1:26" x14ac:dyDescent="0.2">
      <x:c r="A105" s="692" t="s">
        <x:v>70</x:v>
      </x:c>
      <x:c r="B105" s="693"/>
      <x:c r="C105" s="693"/>
      <x:c r="D105" s="692" t="n">
        <x:v>-13472482</x:v>
      </x:c>
      <x:c r="E105" s="692" t="n">
        <x:v>-1240567.72</x:v>
      </x:c>
      <x:c r="F105" s="692" t="n">
        <x:v>-694135.8</x:v>
      </x:c>
      <x:c r="G105" s="692" t="n">
        <x:v>-369127.32</x:v>
      </x:c>
      <x:c r="H105" s="692" t="n">
        <x:v>-2707486.34</x:v>
      </x:c>
      <x:c r="I105" s="692" t="n">
        <x:v>-98941</x:v>
      </x:c>
      <x:c r="J105" s="692" t="n">
        <x:v>-861073.5</x:v>
      </x:c>
      <x:c r="K105" s="692" t="n">
        <x:v>-859206.99</x:v>
      </x:c>
      <x:c r="L105" s="692" t="n">
        <x:v>-4005854.4</x:v>
      </x:c>
      <x:c r="M105" s="692" t="n">
        <x:v>-2474620.31</x:v>
      </x:c>
      <x:c r="N105" s="692" t="n">
        <x:v>-161428.94</x:v>
      </x:c>
      <x:c r="O105" s="692" t="n">
        <x:v>-39.68</x:v>
      </x:c>
      <x:c r="P105" s="693" t="n">
        <x:v>0</x:v>
      </x:c>
      <x:c r="Q105" s="692">
        <x:v>0</x:v>
      </x:c>
      <x:c r="R105" s="692">
        <x:v>0</x:v>
      </x:c>
      <x:c r="S105" s="693"/>
      <x:c r="T105" s="693"/>
      <x:c r="U105" s="693"/>
      <x:c r="V105" s="693"/>
      <x:c r="W105" s="693"/>
      <x:c r="X105" s="693"/>
      <x:c r="Y105" s="693"/>
      <x:c r="Z105" s="701"/>
    </x:row>
    <x:row r="106" spans="1:26" x14ac:dyDescent="0.2">
      <x:c r="A106" s="683"/>
      <x:c r="D106" s="683"/>
      <x:c r="E106" s="683"/>
      <x:c r="F106" s="683"/>
      <x:c r="G106" s="683"/>
      <x:c r="H106" s="683"/>
      <x:c r="I106" s="683"/>
      <x:c r="J106" s="683"/>
      <x:c r="K106" s="683"/>
      <x:c r="L106" s="683"/>
      <x:c r="M106" s="683"/>
      <x:c r="N106" s="683"/>
      <x:c r="O106" s="683"/>
      <x:c r="P106" s="683"/>
      <x:c r="Z106" s="701"/>
    </x:row>
    <x:row r="107" spans="1:26" x14ac:dyDescent="0.2">
      <x:c r="A107" s="683"/>
      <x:c r="D107" s="683"/>
      <x:c r="E107" s="683"/>
      <x:c r="F107" s="683"/>
      <x:c r="G107" s="683"/>
      <x:c r="H107" s="683"/>
      <x:c r="I107" s="683"/>
      <x:c r="J107" s="683"/>
      <x:c r="K107" s="683"/>
      <x:c r="L107" s="683"/>
      <x:c r="M107" s="683"/>
      <x:c r="N107" s="683"/>
      <x:c r="O107" s="683"/>
      <x:c r="P107" s="683"/>
      <x:c r="Z107" s="701"/>
    </x:row>
    <x:row r="108" spans="1:26" x14ac:dyDescent="0.2">
      <x:c r="A108" s="683"/>
      <x:c r="D108" s="683"/>
      <x:c r="E108" s="683"/>
      <x:c r="F108" s="683"/>
      <x:c r="G108" s="683"/>
      <x:c r="H108" s="683"/>
      <x:c r="I108" s="683"/>
      <x:c r="J108" s="683"/>
      <x:c r="K108" s="683"/>
      <x:c r="L108" s="683"/>
      <x:c r="M108" s="683"/>
      <x:c r="N108" s="683"/>
      <x:c r="O108" s="683"/>
      <x:c r="P108" s="683"/>
      <x:c r="Z108" s="701"/>
    </x:row>
    <x:row r="109" spans="1:26" x14ac:dyDescent="0.2">
      <x:c r="A109" s="683"/>
      <x:c r="D109" s="683"/>
      <x:c r="E109" s="683"/>
      <x:c r="F109" s="683"/>
      <x:c r="G109" s="683"/>
      <x:c r="H109" s="683"/>
      <x:c r="I109" s="683"/>
      <x:c r="J109" s="683"/>
      <x:c r="K109" s="683"/>
      <x:c r="L109" s="683"/>
      <x:c r="M109" s="683"/>
      <x:c r="N109" s="683"/>
      <x:c r="O109" s="683"/>
      <x:c r="P109" s="683"/>
      <x:c r="Z109" s="701"/>
    </x:row>
    <x:row r="110" spans="1:26" x14ac:dyDescent="0.2">
      <x:c r="A110" s="683"/>
      <x:c r="D110" s="683"/>
      <x:c r="E110" s="683"/>
      <x:c r="F110" s="683"/>
      <x:c r="G110" s="683"/>
      <x:c r="H110" s="683"/>
      <x:c r="I110" s="683"/>
      <x:c r="J110" s="683"/>
      <x:c r="K110" s="683"/>
      <x:c r="L110" s="683"/>
      <x:c r="M110" s="683"/>
      <x:c r="N110" s="683"/>
      <x:c r="O110" s="683"/>
      <x:c r="P110" s="683"/>
      <x:c r="Z110" s="701"/>
    </x:row>
    <x:row r="111" spans="1:26" x14ac:dyDescent="0.2">
      <x:c r="A111" s="683"/>
      <x:c r="D111" s="683"/>
      <x:c r="E111" s="683"/>
      <x:c r="F111" s="683"/>
      <x:c r="G111" s="683"/>
      <x:c r="H111" s="683"/>
      <x:c r="I111" s="683"/>
      <x:c r="J111" s="683"/>
      <x:c r="K111" s="683"/>
      <x:c r="L111" s="683"/>
      <x:c r="M111" s="683"/>
      <x:c r="N111" s="683"/>
      <x:c r="O111" s="683"/>
      <x:c r="P111" s="683"/>
      <x:c r="Z111" s="701"/>
    </x:row>
    <x:row r="112" spans="1:26" x14ac:dyDescent="0.2">
      <x:c r="A112" s="683"/>
      <x:c r="D112" s="683"/>
      <x:c r="E112" s="683"/>
      <x:c r="F112" s="683"/>
      <x:c r="G112" s="683"/>
      <x:c r="H112" s="683"/>
      <x:c r="I112" s="683"/>
      <x:c r="J112" s="683"/>
      <x:c r="K112" s="683"/>
      <x:c r="L112" s="683"/>
      <x:c r="M112" s="683"/>
      <x:c r="N112" s="683"/>
      <x:c r="O112" s="683"/>
      <x:c r="P112" s="683"/>
      <x:c r="Z112" s="701"/>
    </x:row>
    <x:row r="113" spans="1:26" x14ac:dyDescent="0.2">
      <x:c r="A113" s="683"/>
      <x:c r="D113" s="683"/>
      <x:c r="E113" s="683"/>
      <x:c r="F113" s="683"/>
      <x:c r="G113" s="683"/>
      <x:c r="H113" s="683"/>
      <x:c r="I113" s="683"/>
      <x:c r="J113" s="683"/>
      <x:c r="K113" s="683"/>
      <x:c r="L113" s="683"/>
      <x:c r="M113" s="683"/>
      <x:c r="N113" s="683"/>
      <x:c r="O113" s="683"/>
      <x:c r="P113" s="683"/>
      <x:c r="Z113" s="701"/>
    </x:row>
    <x:row r="114" spans="1:26" x14ac:dyDescent="0.2">
      <x:c r="A114" s="683"/>
      <x:c r="D114" s="683"/>
      <x:c r="E114" s="683"/>
      <x:c r="F114" s="683"/>
      <x:c r="G114" s="683"/>
      <x:c r="H114" s="683"/>
      <x:c r="I114" s="683"/>
      <x:c r="J114" s="683"/>
      <x:c r="K114" s="683"/>
      <x:c r="L114" s="683"/>
      <x:c r="M114" s="683"/>
      <x:c r="N114" s="683"/>
      <x:c r="O114" s="683"/>
      <x:c r="P114" s="683"/>
      <x:c r="Z114" s="701"/>
    </x:row>
    <x:row r="115" spans="1:26" x14ac:dyDescent="0.2">
      <x:c r="A115" s="683"/>
      <x:c r="D115" s="683"/>
      <x:c r="E115" s="683"/>
      <x:c r="F115" s="683"/>
      <x:c r="G115" s="683"/>
      <x:c r="H115" s="683"/>
      <x:c r="I115" s="683"/>
      <x:c r="J115" s="683"/>
      <x:c r="K115" s="683"/>
      <x:c r="L115" s="683"/>
      <x:c r="M115" s="683"/>
      <x:c r="N115" s="683"/>
      <x:c r="O115" s="683"/>
      <x:c r="P115" s="683"/>
      <x:c r="Z115" s="701"/>
    </x:row>
    <x:row r="116" spans="1:26" x14ac:dyDescent="0.2">
      <x:c r="A116" s="683"/>
      <x:c r="D116" s="683"/>
      <x:c r="E116" s="683"/>
      <x:c r="F116" s="683"/>
      <x:c r="G116" s="683"/>
      <x:c r="H116" s="683"/>
      <x:c r="I116" s="683"/>
      <x:c r="J116" s="683"/>
      <x:c r="K116" s="683"/>
      <x:c r="L116" s="683"/>
      <x:c r="M116" s="683"/>
      <x:c r="N116" s="683"/>
      <x:c r="O116" s="683"/>
      <x:c r="P116" s="683"/>
      <x:c r="Z116" s="701"/>
    </x:row>
    <x:row r="117" spans="1:26" x14ac:dyDescent="0.2">
      <x:c r="A117" s="683"/>
      <x:c r="D117" s="683"/>
      <x:c r="E117" s="683"/>
      <x:c r="F117" s="683"/>
      <x:c r="G117" s="683"/>
      <x:c r="H117" s="683"/>
      <x:c r="I117" s="683"/>
      <x:c r="J117" s="683"/>
      <x:c r="K117" s="683"/>
      <x:c r="L117" s="683"/>
      <x:c r="M117" s="683"/>
      <x:c r="N117" s="683"/>
      <x:c r="O117" s="683"/>
      <x:c r="P117" s="683"/>
      <x:c r="Z117" s="701"/>
    </x:row>
    <x:row r="118" spans="1:26" x14ac:dyDescent="0.2">
      <x:c r="A118" s="683"/>
      <x:c r="D118" s="683"/>
      <x:c r="E118" s="683"/>
      <x:c r="F118" s="683"/>
      <x:c r="G118" s="683"/>
      <x:c r="H118" s="683"/>
      <x:c r="I118" s="683"/>
      <x:c r="J118" s="683"/>
      <x:c r="K118" s="683"/>
      <x:c r="L118" s="683"/>
      <x:c r="M118" s="683"/>
      <x:c r="N118" s="683"/>
      <x:c r="O118" s="683"/>
      <x:c r="P118" s="683"/>
      <x:c r="Z118" s="701"/>
    </x:row>
    <x:row r="119" spans="1:26" x14ac:dyDescent="0.2">
      <x:c r="A119" s="683"/>
      <x:c r="D119" s="683"/>
      <x:c r="E119" s="683"/>
      <x:c r="F119" s="683"/>
      <x:c r="G119" s="683"/>
      <x:c r="H119" s="683"/>
      <x:c r="I119" s="683"/>
      <x:c r="J119" s="683"/>
      <x:c r="K119" s="683"/>
      <x:c r="L119" s="683"/>
      <x:c r="M119" s="683"/>
      <x:c r="N119" s="683"/>
      <x:c r="O119" s="683"/>
      <x:c r="P119" s="683"/>
      <x:c r="Z119" s="701"/>
    </x:row>
    <x:row r="120" spans="1:26" x14ac:dyDescent="0.2">
      <x:c r="A120" s="683"/>
      <x:c r="D120" s="683"/>
      <x:c r="E120" s="683"/>
      <x:c r="F120" s="683"/>
      <x:c r="G120" s="683"/>
      <x:c r="H120" s="683"/>
      <x:c r="I120" s="683"/>
      <x:c r="J120" s="683"/>
      <x:c r="K120" s="683"/>
      <x:c r="L120" s="683"/>
      <x:c r="M120" s="683"/>
      <x:c r="N120" s="683"/>
      <x:c r="O120" s="683"/>
      <x:c r="P120" s="683"/>
      <x:c r="Z120" s="701"/>
    </x:row>
    <x:row r="121" spans="1:26" x14ac:dyDescent="0.2">
      <x:c r="A121" s="683"/>
      <x:c r="D121" s="683"/>
      <x:c r="E121" s="683"/>
      <x:c r="F121" s="683"/>
      <x:c r="G121" s="683"/>
      <x:c r="H121" s="683"/>
      <x:c r="I121" s="683"/>
      <x:c r="J121" s="683"/>
      <x:c r="K121" s="683"/>
      <x:c r="L121" s="683"/>
      <x:c r="M121" s="683"/>
      <x:c r="N121" s="683"/>
      <x:c r="O121" s="683"/>
      <x:c r="P121" s="683"/>
      <x:c r="Z121" s="701"/>
    </x:row>
    <x:row r="122" spans="1:26" x14ac:dyDescent="0.2">
      <x:c r="A122" s="683"/>
      <x:c r="D122" s="683"/>
      <x:c r="E122" s="683"/>
      <x:c r="F122" s="683"/>
      <x:c r="G122" s="683"/>
      <x:c r="H122" s="683"/>
      <x:c r="I122" s="683"/>
      <x:c r="J122" s="683"/>
      <x:c r="K122" s="683"/>
      <x:c r="L122" s="683"/>
      <x:c r="M122" s="683"/>
      <x:c r="N122" s="683"/>
      <x:c r="O122" s="683"/>
      <x:c r="P122" s="683"/>
      <x:c r="Z122" s="701"/>
    </x:row>
    <x:row r="123" spans="1:26" x14ac:dyDescent="0.2">
      <x:c r="A123" s="683"/>
      <x:c r="D123" s="683"/>
      <x:c r="E123" s="683"/>
      <x:c r="F123" s="683"/>
      <x:c r="G123" s="683"/>
      <x:c r="H123" s="683"/>
      <x:c r="I123" s="683"/>
      <x:c r="J123" s="683"/>
      <x:c r="K123" s="683"/>
      <x:c r="L123" s="683"/>
      <x:c r="M123" s="683"/>
      <x:c r="N123" s="683"/>
      <x:c r="O123" s="683"/>
      <x:c r="P123" s="683"/>
      <x:c r="Z123" s="701"/>
    </x:row>
    <x:row r="124" spans="1:26" x14ac:dyDescent="0.2">
      <x:c r="A124" s="683"/>
      <x:c r="D124" s="683"/>
      <x:c r="E124" s="683"/>
      <x:c r="F124" s="683"/>
      <x:c r="G124" s="683"/>
      <x:c r="H124" s="683"/>
      <x:c r="I124" s="683"/>
      <x:c r="J124" s="683"/>
      <x:c r="K124" s="683"/>
      <x:c r="L124" s="683"/>
      <x:c r="M124" s="683"/>
      <x:c r="N124" s="683"/>
      <x:c r="O124" s="683"/>
      <x:c r="P124" s="683"/>
      <x:c r="Z124" s="701"/>
    </x:row>
    <x:row r="125" spans="1:26" x14ac:dyDescent="0.2">
      <x:c r="A125" s="683"/>
      <x:c r="D125" s="683"/>
      <x:c r="E125" s="683"/>
      <x:c r="F125" s="683"/>
      <x:c r="G125" s="683"/>
      <x:c r="H125" s="683"/>
      <x:c r="I125" s="683"/>
      <x:c r="J125" s="683"/>
      <x:c r="K125" s="683"/>
      <x:c r="L125" s="683"/>
      <x:c r="M125" s="683"/>
      <x:c r="N125" s="683"/>
      <x:c r="O125" s="683"/>
      <x:c r="P125" s="683"/>
      <x:c r="Z125" s="701"/>
    </x:row>
    <x:row r="126" spans="1:26" x14ac:dyDescent="0.2">
      <x:c r="A126" s="683"/>
      <x:c r="D126" s="683"/>
      <x:c r="E126" s="683"/>
      <x:c r="F126" s="683"/>
      <x:c r="G126" s="683"/>
      <x:c r="H126" s="683"/>
      <x:c r="I126" s="683"/>
      <x:c r="J126" s="683"/>
      <x:c r="K126" s="683"/>
      <x:c r="L126" s="683"/>
      <x:c r="M126" s="683"/>
      <x:c r="N126" s="683"/>
      <x:c r="O126" s="683"/>
      <x:c r="P126" s="683"/>
      <x:c r="Z126" s="701"/>
    </x:row>
    <x:row r="127" spans="1:26" x14ac:dyDescent="0.2">
      <x:c r="A127" s="683"/>
      <x:c r="D127" s="683"/>
      <x:c r="E127" s="683"/>
      <x:c r="F127" s="683"/>
      <x:c r="G127" s="683"/>
      <x:c r="H127" s="683"/>
      <x:c r="I127" s="683"/>
      <x:c r="J127" s="683"/>
      <x:c r="K127" s="683"/>
      <x:c r="L127" s="683"/>
      <x:c r="M127" s="683"/>
      <x:c r="N127" s="683"/>
      <x:c r="O127" s="683"/>
      <x:c r="P127" s="683"/>
      <x:c r="Z127" s="701"/>
    </x:row>
    <x:row r="128" spans="1:26" x14ac:dyDescent="0.2">
      <x:c r="A128" s="683"/>
      <x:c r="D128" s="683"/>
      <x:c r="E128" s="683"/>
      <x:c r="F128" s="683"/>
      <x:c r="G128" s="683"/>
      <x:c r="H128" s="683"/>
      <x:c r="I128" s="683"/>
      <x:c r="J128" s="683"/>
      <x:c r="K128" s="683"/>
      <x:c r="L128" s="683"/>
      <x:c r="M128" s="683"/>
      <x:c r="N128" s="683"/>
      <x:c r="O128" s="683"/>
      <x:c r="P128" s="683"/>
      <x:c r="Z128" s="701"/>
    </x:row>
    <x:row r="129" spans="1:26" x14ac:dyDescent="0.2">
      <x:c r="A129" s="683"/>
      <x:c r="D129" s="683"/>
      <x:c r="E129" s="683"/>
      <x:c r="F129" s="683"/>
      <x:c r="G129" s="683"/>
      <x:c r="H129" s="683"/>
      <x:c r="I129" s="683"/>
      <x:c r="J129" s="683"/>
      <x:c r="K129" s="683"/>
      <x:c r="L129" s="683"/>
      <x:c r="M129" s="683"/>
      <x:c r="N129" s="683"/>
      <x:c r="O129" s="683"/>
      <x:c r="P129" s="683"/>
      <x:c r="Z129" s="701"/>
    </x:row>
    <x:row r="130" spans="1:26" x14ac:dyDescent="0.2">
      <x:c r="A130" s="683"/>
      <x:c r="D130" s="683"/>
      <x:c r="E130" s="683"/>
      <x:c r="F130" s="683"/>
      <x:c r="G130" s="683"/>
      <x:c r="H130" s="683"/>
      <x:c r="I130" s="683"/>
      <x:c r="J130" s="683"/>
      <x:c r="K130" s="683"/>
      <x:c r="L130" s="683"/>
      <x:c r="M130" s="683"/>
      <x:c r="N130" s="683"/>
      <x:c r="O130" s="683"/>
      <x:c r="P130" s="683"/>
      <x:c r="Z130" s="701"/>
    </x:row>
    <x:row r="131" spans="1:26" x14ac:dyDescent="0.2">
      <x:c r="A131" s="683"/>
      <x:c r="D131" s="683"/>
      <x:c r="E131" s="683"/>
      <x:c r="F131" s="683"/>
      <x:c r="G131" s="683"/>
      <x:c r="H131" s="683"/>
      <x:c r="I131" s="683"/>
      <x:c r="J131" s="683"/>
      <x:c r="K131" s="683"/>
      <x:c r="L131" s="683"/>
      <x:c r="M131" s="683"/>
      <x:c r="N131" s="683"/>
      <x:c r="O131" s="683"/>
      <x:c r="P131" s="683"/>
      <x:c r="Z131" s="701"/>
    </x:row>
    <x:row r="132" spans="1:26" x14ac:dyDescent="0.2">
      <x:c r="A132" s="683"/>
      <x:c r="D132" s="683"/>
      <x:c r="E132" s="683"/>
      <x:c r="F132" s="683"/>
      <x:c r="G132" s="683"/>
      <x:c r="H132" s="683"/>
      <x:c r="I132" s="683"/>
      <x:c r="J132" s="683"/>
      <x:c r="K132" s="683"/>
      <x:c r="L132" s="683"/>
      <x:c r="M132" s="683"/>
      <x:c r="N132" s="683"/>
      <x:c r="O132" s="683"/>
      <x:c r="P132" s="683"/>
      <x:c r="Z132" s="701"/>
    </x:row>
    <x:row r="133" spans="1:26" x14ac:dyDescent="0.2">
      <x:c r="A133" s="683"/>
      <x:c r="D133" s="683"/>
      <x:c r="E133" s="683"/>
      <x:c r="F133" s="683"/>
      <x:c r="G133" s="683"/>
      <x:c r="H133" s="683"/>
      <x:c r="I133" s="683"/>
      <x:c r="J133" s="683"/>
      <x:c r="K133" s="683"/>
      <x:c r="L133" s="683"/>
      <x:c r="M133" s="683"/>
      <x:c r="N133" s="683"/>
      <x:c r="O133" s="683"/>
      <x:c r="P133" s="683"/>
      <x:c r="Z133" s="701"/>
    </x:row>
    <x:row r="134" spans="1:26" x14ac:dyDescent="0.2">
      <x:c r="A134" s="683"/>
      <x:c r="D134" s="683"/>
      <x:c r="E134" s="683"/>
      <x:c r="F134" s="683"/>
      <x:c r="G134" s="683"/>
      <x:c r="H134" s="683"/>
      <x:c r="I134" s="683"/>
      <x:c r="J134" s="683"/>
      <x:c r="K134" s="683"/>
      <x:c r="L134" s="683"/>
      <x:c r="M134" s="683"/>
      <x:c r="N134" s="683"/>
      <x:c r="O134" s="683"/>
      <x:c r="P134" s="683"/>
      <x:c r="Z134" s="701"/>
    </x:row>
    <x:row r="135" spans="1:26" x14ac:dyDescent="0.2">
      <x:c r="A135" s="683"/>
      <x:c r="D135" s="683"/>
      <x:c r="E135" s="683"/>
      <x:c r="F135" s="683"/>
      <x:c r="G135" s="683"/>
      <x:c r="H135" s="683"/>
      <x:c r="I135" s="683"/>
      <x:c r="J135" s="683"/>
      <x:c r="K135" s="683"/>
      <x:c r="L135" s="683"/>
      <x:c r="M135" s="683"/>
      <x:c r="N135" s="683"/>
      <x:c r="O135" s="683"/>
      <x:c r="P135" s="683"/>
      <x:c r="Z135" s="701"/>
    </x:row>
    <x:row r="136" spans="1:26" x14ac:dyDescent="0.2">
      <x:c r="A136" s="683"/>
      <x:c r="D136" s="683"/>
      <x:c r="E136" s="683"/>
      <x:c r="F136" s="683"/>
      <x:c r="G136" s="683"/>
      <x:c r="H136" s="683"/>
      <x:c r="I136" s="683"/>
      <x:c r="J136" s="683"/>
      <x:c r="K136" s="683"/>
      <x:c r="L136" s="683"/>
      <x:c r="M136" s="683"/>
      <x:c r="N136" s="683"/>
      <x:c r="O136" s="683"/>
      <x:c r="P136" s="683"/>
      <x:c r="Z136" s="701"/>
    </x:row>
    <x:row r="137" spans="1:26" x14ac:dyDescent="0.2">
      <x:c r="A137" s="683"/>
      <x:c r="D137" s="683"/>
      <x:c r="E137" s="683"/>
      <x:c r="F137" s="683"/>
      <x:c r="G137" s="683"/>
      <x:c r="H137" s="683"/>
      <x:c r="I137" s="683"/>
      <x:c r="J137" s="683"/>
      <x:c r="K137" s="683"/>
      <x:c r="L137" s="683"/>
      <x:c r="M137" s="683"/>
      <x:c r="N137" s="683"/>
      <x:c r="O137" s="683"/>
      <x:c r="P137" s="683"/>
      <x:c r="Z137" s="701"/>
    </x:row>
    <x:row r="138" spans="1:26" x14ac:dyDescent="0.2">
      <x:c r="A138" s="683"/>
      <x:c r="D138" s="683"/>
      <x:c r="E138" s="683"/>
      <x:c r="F138" s="683"/>
      <x:c r="G138" s="683"/>
      <x:c r="H138" s="683"/>
      <x:c r="I138" s="683"/>
      <x:c r="J138" s="683"/>
      <x:c r="K138" s="683"/>
      <x:c r="L138" s="683"/>
      <x:c r="M138" s="683"/>
      <x:c r="N138" s="683"/>
      <x:c r="O138" s="683"/>
      <x:c r="P138" s="683"/>
      <x:c r="Z138" s="701"/>
    </x:row>
    <x:row r="139" spans="1:26" x14ac:dyDescent="0.2">
      <x:c r="A139" s="683"/>
      <x:c r="D139" s="683"/>
      <x:c r="E139" s="683"/>
      <x:c r="F139" s="683"/>
      <x:c r="G139" s="683"/>
      <x:c r="H139" s="683"/>
      <x:c r="I139" s="683"/>
      <x:c r="J139" s="683"/>
      <x:c r="K139" s="683"/>
      <x:c r="L139" s="683"/>
      <x:c r="M139" s="683"/>
      <x:c r="N139" s="683"/>
      <x:c r="O139" s="683"/>
      <x:c r="P139" s="683"/>
      <x:c r="Z139" s="701"/>
    </x:row>
    <x:row r="140" spans="1:26" x14ac:dyDescent="0.2">
      <x:c r="A140" s="683"/>
      <x:c r="D140" s="683"/>
      <x:c r="E140" s="683"/>
      <x:c r="F140" s="683"/>
      <x:c r="G140" s="683"/>
      <x:c r="H140" s="683"/>
      <x:c r="I140" s="683"/>
      <x:c r="J140" s="683"/>
      <x:c r="K140" s="683"/>
      <x:c r="L140" s="683"/>
      <x:c r="M140" s="683"/>
      <x:c r="N140" s="683"/>
      <x:c r="O140" s="683"/>
      <x:c r="P140" s="683"/>
      <x:c r="Z140" s="701"/>
    </x:row>
    <x:row r="141" spans="1:26" x14ac:dyDescent="0.2">
      <x:c r="A141" s="683"/>
      <x:c r="D141" s="683"/>
      <x:c r="E141" s="683"/>
      <x:c r="F141" s="683"/>
      <x:c r="G141" s="683"/>
      <x:c r="H141" s="683"/>
      <x:c r="I141" s="683"/>
      <x:c r="J141" s="683"/>
      <x:c r="K141" s="683"/>
      <x:c r="L141" s="683"/>
      <x:c r="M141" s="683"/>
      <x:c r="N141" s="683"/>
      <x:c r="O141" s="683"/>
      <x:c r="P141" s="683"/>
      <x:c r="Z141" s="701"/>
    </x:row>
    <x:row r="142" spans="1:26" x14ac:dyDescent="0.2">
      <x:c r="A142" s="683"/>
      <x:c r="D142" s="683"/>
      <x:c r="E142" s="683"/>
      <x:c r="F142" s="683"/>
      <x:c r="G142" s="683"/>
      <x:c r="H142" s="683"/>
      <x:c r="I142" s="683"/>
      <x:c r="J142" s="683"/>
      <x:c r="K142" s="683"/>
      <x:c r="L142" s="683"/>
      <x:c r="M142" s="683"/>
      <x:c r="N142" s="683"/>
      <x:c r="O142" s="683"/>
      <x:c r="P142" s="683"/>
      <x:c r="Z142" s="701"/>
    </x:row>
    <x:row r="143" spans="1:26" x14ac:dyDescent="0.2">
      <x:c r="A143" s="683"/>
      <x:c r="D143" s="683"/>
      <x:c r="E143" s="683"/>
      <x:c r="F143" s="683"/>
      <x:c r="G143" s="683"/>
      <x:c r="H143" s="683"/>
      <x:c r="I143" s="683"/>
      <x:c r="J143" s="683"/>
      <x:c r="K143" s="683"/>
      <x:c r="L143" s="683"/>
      <x:c r="M143" s="683"/>
      <x:c r="N143" s="683"/>
      <x:c r="O143" s="683"/>
      <x:c r="P143" s="683"/>
      <x:c r="Z143" s="701"/>
    </x:row>
    <x:row r="144" spans="1:26" x14ac:dyDescent="0.2">
      <x:c r="A144" s="683"/>
      <x:c r="D144" s="683"/>
      <x:c r="E144" s="683"/>
      <x:c r="F144" s="683"/>
      <x:c r="G144" s="683"/>
      <x:c r="H144" s="683"/>
      <x:c r="I144" s="683"/>
      <x:c r="J144" s="683"/>
      <x:c r="K144" s="683"/>
      <x:c r="L144" s="683"/>
      <x:c r="M144" s="683"/>
      <x:c r="N144" s="683"/>
      <x:c r="O144" s="683"/>
      <x:c r="P144" s="683"/>
      <x:c r="Z144" s="701"/>
    </x:row>
    <x:row r="145" spans="1:26" x14ac:dyDescent="0.2">
      <x:c r="A145" s="683"/>
      <x:c r="D145" s="683"/>
      <x:c r="E145" s="683"/>
      <x:c r="F145" s="683"/>
      <x:c r="G145" s="683"/>
      <x:c r="H145" s="683"/>
      <x:c r="I145" s="683"/>
      <x:c r="J145" s="683"/>
      <x:c r="K145" s="683"/>
      <x:c r="L145" s="683"/>
      <x:c r="M145" s="683"/>
      <x:c r="N145" s="683"/>
      <x:c r="O145" s="683"/>
      <x:c r="P145" s="683"/>
      <x:c r="Z145" s="701"/>
    </x:row>
    <x:row r="146" spans="1:26" x14ac:dyDescent="0.2">
      <x:c r="A146" s="683"/>
      <x:c r="D146" s="683"/>
      <x:c r="E146" s="683"/>
      <x:c r="F146" s="683"/>
      <x:c r="G146" s="683"/>
      <x:c r="H146" s="683"/>
      <x:c r="I146" s="683"/>
      <x:c r="J146" s="683"/>
      <x:c r="K146" s="683"/>
      <x:c r="L146" s="683"/>
      <x:c r="M146" s="683"/>
      <x:c r="N146" s="683"/>
      <x:c r="O146" s="683"/>
      <x:c r="P146" s="683"/>
      <x:c r="Z146" s="701"/>
    </x:row>
    <x:row r="147" spans="1:26" x14ac:dyDescent="0.2">
      <x:c r="A147" s="683"/>
      <x:c r="D147" s="683"/>
      <x:c r="E147" s="683"/>
      <x:c r="F147" s="683"/>
      <x:c r="G147" s="683"/>
      <x:c r="H147" s="683"/>
      <x:c r="I147" s="683"/>
      <x:c r="J147" s="683"/>
      <x:c r="K147" s="683"/>
      <x:c r="L147" s="683"/>
      <x:c r="M147" s="683"/>
      <x:c r="N147" s="683"/>
      <x:c r="O147" s="683"/>
      <x:c r="P147" s="683"/>
      <x:c r="Z147" s="701"/>
    </x:row>
    <x:row r="148" spans="1:26" x14ac:dyDescent="0.2">
      <x:c r="A148" s="683"/>
      <x:c r="D148" s="683"/>
      <x:c r="E148" s="683"/>
      <x:c r="F148" s="683"/>
      <x:c r="G148" s="683"/>
      <x:c r="H148" s="683"/>
      <x:c r="I148" s="683"/>
      <x:c r="J148" s="683"/>
      <x:c r="K148" s="683"/>
      <x:c r="L148" s="683"/>
      <x:c r="M148" s="683"/>
      <x:c r="N148" s="683"/>
      <x:c r="O148" s="683"/>
      <x:c r="P148" s="683"/>
      <x:c r="Z148" s="701"/>
    </x:row>
    <x:row r="149" spans="1:26" x14ac:dyDescent="0.2">
      <x:c r="A149" s="683"/>
      <x:c r="D149" s="683"/>
      <x:c r="E149" s="683"/>
      <x:c r="F149" s="683"/>
      <x:c r="G149" s="683"/>
      <x:c r="H149" s="683"/>
      <x:c r="I149" s="683"/>
      <x:c r="J149" s="683"/>
      <x:c r="K149" s="683"/>
      <x:c r="L149" s="683"/>
      <x:c r="M149" s="683"/>
      <x:c r="N149" s="683"/>
      <x:c r="O149" s="683"/>
      <x:c r="P149" s="683"/>
      <x:c r="Z149" s="701"/>
    </x:row>
    <x:row r="150" spans="1:26" x14ac:dyDescent="0.2">
      <x:c r="A150" s="683"/>
      <x:c r="D150" s="683"/>
      <x:c r="E150" s="683"/>
      <x:c r="F150" s="683"/>
      <x:c r="G150" s="683"/>
      <x:c r="H150" s="683"/>
      <x:c r="I150" s="683"/>
      <x:c r="J150" s="683"/>
      <x:c r="K150" s="683"/>
      <x:c r="L150" s="683"/>
      <x:c r="M150" s="683"/>
      <x:c r="N150" s="683"/>
      <x:c r="O150" s="683"/>
      <x:c r="P150" s="683"/>
      <x:c r="Z150" s="701"/>
    </x:row>
    <x:row r="151" spans="1:26" x14ac:dyDescent="0.2">
      <x:c r="A151" s="683"/>
      <x:c r="D151" s="683"/>
      <x:c r="E151" s="683"/>
      <x:c r="F151" s="683"/>
      <x:c r="G151" s="683"/>
      <x:c r="H151" s="683"/>
      <x:c r="I151" s="683"/>
      <x:c r="J151" s="683"/>
      <x:c r="K151" s="683"/>
      <x:c r="L151" s="683"/>
      <x:c r="M151" s="683"/>
      <x:c r="N151" s="683"/>
      <x:c r="O151" s="683"/>
      <x:c r="P151" s="683"/>
      <x:c r="Z151" s="701"/>
    </x:row>
    <x:row r="152" spans="1:26" x14ac:dyDescent="0.2">
      <x:c r="A152" s="683"/>
      <x:c r="D152" s="683"/>
      <x:c r="E152" s="683"/>
      <x:c r="F152" s="683"/>
      <x:c r="G152" s="683"/>
      <x:c r="H152" s="683"/>
      <x:c r="I152" s="683"/>
      <x:c r="J152" s="683"/>
      <x:c r="K152" s="683"/>
      <x:c r="L152" s="683"/>
      <x:c r="M152" s="683"/>
      <x:c r="N152" s="683"/>
      <x:c r="O152" s="683"/>
      <x:c r="P152" s="683"/>
      <x:c r="Z152" s="701"/>
    </x:row>
    <x:row r="153" spans="1:26" x14ac:dyDescent="0.2">
      <x:c r="A153" s="683"/>
      <x:c r="D153" s="683"/>
      <x:c r="E153" s="683"/>
      <x:c r="F153" s="683"/>
      <x:c r="G153" s="683"/>
      <x:c r="H153" s="683"/>
      <x:c r="I153" s="683"/>
      <x:c r="J153" s="683"/>
      <x:c r="K153" s="683"/>
      <x:c r="L153" s="683"/>
      <x:c r="M153" s="683"/>
      <x:c r="N153" s="683"/>
      <x:c r="O153" s="683"/>
      <x:c r="P153" s="683"/>
      <x:c r="Z153" s="701"/>
    </x:row>
    <x:row r="154" spans="1:26" x14ac:dyDescent="0.2">
      <x:c r="A154" s="683"/>
      <x:c r="D154" s="683"/>
      <x:c r="E154" s="683"/>
      <x:c r="F154" s="683"/>
      <x:c r="G154" s="683"/>
      <x:c r="H154" s="683"/>
      <x:c r="I154" s="683"/>
      <x:c r="J154" s="683"/>
      <x:c r="K154" s="683"/>
      <x:c r="L154" s="683"/>
      <x:c r="M154" s="683"/>
      <x:c r="N154" s="683"/>
      <x:c r="O154" s="683"/>
      <x:c r="P154" s="683"/>
      <x:c r="Z154" s="701"/>
    </x:row>
    <x:row r="155" spans="1:26" x14ac:dyDescent="0.2">
      <x:c r="A155" s="683"/>
      <x:c r="D155" s="683"/>
      <x:c r="E155" s="683"/>
      <x:c r="F155" s="683"/>
      <x:c r="G155" s="683"/>
      <x:c r="H155" s="683"/>
      <x:c r="I155" s="683"/>
      <x:c r="J155" s="683"/>
      <x:c r="K155" s="683"/>
      <x:c r="L155" s="683"/>
      <x:c r="M155" s="683"/>
      <x:c r="N155" s="683"/>
      <x:c r="O155" s="683"/>
      <x:c r="P155" s="683"/>
      <x:c r="Z155" s="701"/>
    </x:row>
    <x:row r="156" spans="1:26" x14ac:dyDescent="0.2">
      <x:c r="A156" s="683"/>
      <x:c r="D156" s="683"/>
      <x:c r="E156" s="683"/>
      <x:c r="F156" s="683"/>
      <x:c r="G156" s="683"/>
      <x:c r="H156" s="683"/>
      <x:c r="I156" s="683"/>
      <x:c r="J156" s="683"/>
      <x:c r="K156" s="683"/>
      <x:c r="L156" s="683"/>
      <x:c r="M156" s="683"/>
      <x:c r="N156" s="683"/>
      <x:c r="O156" s="683"/>
      <x:c r="P156" s="683"/>
      <x:c r="Z156" s="701"/>
    </x:row>
    <x:row r="157" spans="1:26" x14ac:dyDescent="0.2">
      <x:c r="A157" s="683"/>
      <x:c r="D157" s="683"/>
      <x:c r="E157" s="683"/>
      <x:c r="F157" s="683"/>
      <x:c r="G157" s="683"/>
      <x:c r="H157" s="683"/>
      <x:c r="I157" s="683"/>
      <x:c r="J157" s="683"/>
      <x:c r="K157" s="683"/>
      <x:c r="L157" s="683"/>
      <x:c r="M157" s="683"/>
      <x:c r="N157" s="683"/>
      <x:c r="O157" s="683"/>
      <x:c r="P157" s="683"/>
      <x:c r="Z157" s="701"/>
    </x:row>
    <x:row r="158" spans="1:26" x14ac:dyDescent="0.2">
      <x:c r="A158" s="683"/>
      <x:c r="D158" s="683"/>
      <x:c r="E158" s="683"/>
      <x:c r="F158" s="683"/>
      <x:c r="G158" s="683"/>
      <x:c r="H158" s="683"/>
      <x:c r="I158" s="683"/>
      <x:c r="J158" s="683"/>
      <x:c r="K158" s="683"/>
      <x:c r="L158" s="683"/>
      <x:c r="M158" s="683"/>
      <x:c r="N158" s="683"/>
      <x:c r="O158" s="683"/>
      <x:c r="P158" s="683"/>
      <x:c r="Z158" s="701"/>
    </x:row>
    <x:row r="159" spans="1:26" x14ac:dyDescent="0.2">
      <x:c r="A159" s="683"/>
      <x:c r="D159" s="683"/>
      <x:c r="E159" s="683"/>
      <x:c r="F159" s="683"/>
      <x:c r="G159" s="683"/>
      <x:c r="H159" s="683"/>
      <x:c r="I159" s="683"/>
      <x:c r="J159" s="683"/>
      <x:c r="K159" s="683"/>
      <x:c r="L159" s="683"/>
      <x:c r="M159" s="683"/>
      <x:c r="N159" s="683"/>
      <x:c r="O159" s="683"/>
      <x:c r="P159" s="683"/>
      <x:c r="Z159" s="701"/>
    </x:row>
    <x:row r="160" spans="1:26" x14ac:dyDescent="0.2">
      <x:c r="A160" s="683"/>
      <x:c r="D160" s="683"/>
      <x:c r="E160" s="683"/>
      <x:c r="F160" s="683"/>
      <x:c r="G160" s="683"/>
      <x:c r="H160" s="683"/>
      <x:c r="I160" s="683"/>
      <x:c r="J160" s="683"/>
      <x:c r="K160" s="683"/>
      <x:c r="L160" s="683"/>
      <x:c r="M160" s="683"/>
      <x:c r="N160" s="683"/>
      <x:c r="O160" s="683"/>
      <x:c r="P160" s="683"/>
      <x:c r="Z160" s="701"/>
    </x:row>
    <x:row r="161" spans="1:26" x14ac:dyDescent="0.2">
      <x:c r="A161" s="683"/>
      <x:c r="D161" s="683"/>
      <x:c r="E161" s="683"/>
      <x:c r="F161" s="683"/>
      <x:c r="G161" s="683"/>
      <x:c r="H161" s="683"/>
      <x:c r="I161" s="683"/>
      <x:c r="J161" s="683"/>
      <x:c r="K161" s="683"/>
      <x:c r="L161" s="683"/>
      <x:c r="M161" s="683"/>
      <x:c r="N161" s="683"/>
      <x:c r="O161" s="683"/>
      <x:c r="P161" s="683"/>
      <x:c r="Z161" s="701"/>
    </x:row>
    <x:row r="162" spans="1:26" x14ac:dyDescent="0.2">
      <x:c r="A162" s="683"/>
      <x:c r="D162" s="683"/>
      <x:c r="E162" s="683"/>
      <x:c r="F162" s="683"/>
      <x:c r="G162" s="683"/>
      <x:c r="H162" s="683"/>
      <x:c r="I162" s="683"/>
      <x:c r="J162" s="683"/>
      <x:c r="K162" s="683"/>
      <x:c r="L162" s="683"/>
      <x:c r="M162" s="683"/>
      <x:c r="N162" s="683"/>
      <x:c r="O162" s="683"/>
      <x:c r="P162" s="683"/>
      <x:c r="Z162" s="701"/>
    </x:row>
    <x:row r="163" spans="1:26" x14ac:dyDescent="0.2">
      <x:c r="A163" s="683"/>
      <x:c r="D163" s="683"/>
      <x:c r="E163" s="683"/>
      <x:c r="F163" s="683"/>
      <x:c r="G163" s="683"/>
      <x:c r="H163" s="683"/>
      <x:c r="I163" s="683"/>
      <x:c r="J163" s="683"/>
      <x:c r="K163" s="683"/>
      <x:c r="L163" s="683"/>
      <x:c r="M163" s="683"/>
      <x:c r="N163" s="683"/>
      <x:c r="O163" s="683"/>
      <x:c r="P163" s="683"/>
      <x:c r="Z163" s="701"/>
    </x:row>
    <x:row r="164" spans="1:26" x14ac:dyDescent="0.2">
      <x:c r="A164" s="683"/>
      <x:c r="D164" s="683"/>
      <x:c r="E164" s="683"/>
      <x:c r="F164" s="683"/>
      <x:c r="G164" s="683"/>
      <x:c r="H164" s="683"/>
      <x:c r="I164" s="683"/>
      <x:c r="J164" s="683"/>
      <x:c r="K164" s="683"/>
      <x:c r="L164" s="683"/>
      <x:c r="M164" s="683"/>
      <x:c r="N164" s="683"/>
      <x:c r="O164" s="683"/>
      <x:c r="P164" s="683"/>
      <x:c r="Z164" s="701"/>
    </x:row>
    <x:row r="165" spans="1:26" x14ac:dyDescent="0.2">
      <x:c r="A165" s="683"/>
      <x:c r="D165" s="683"/>
      <x:c r="E165" s="683"/>
      <x:c r="F165" s="683"/>
      <x:c r="G165" s="683"/>
      <x:c r="H165" s="683"/>
      <x:c r="I165" s="683"/>
      <x:c r="J165" s="683"/>
      <x:c r="K165" s="683"/>
      <x:c r="L165" s="683"/>
      <x:c r="M165" s="683"/>
      <x:c r="N165" s="683"/>
      <x:c r="O165" s="683"/>
      <x:c r="P165" s="683"/>
      <x:c r="Z165" s="701"/>
    </x:row>
    <x:row r="166" spans="1:26" x14ac:dyDescent="0.2">
      <x:c r="A166" s="683"/>
      <x:c r="D166" s="683"/>
      <x:c r="E166" s="683"/>
      <x:c r="F166" s="683"/>
      <x:c r="G166" s="683"/>
      <x:c r="H166" s="683"/>
      <x:c r="I166" s="683"/>
      <x:c r="J166" s="683"/>
      <x:c r="K166" s="683"/>
      <x:c r="L166" s="683"/>
      <x:c r="M166" s="683"/>
      <x:c r="N166" s="683"/>
      <x:c r="O166" s="683"/>
      <x:c r="P166" s="683"/>
      <x:c r="Z166" s="701"/>
    </x:row>
    <x:row r="167" spans="1:26" x14ac:dyDescent="0.2">
      <x:c r="A167" s="683"/>
      <x:c r="D167" s="683"/>
      <x:c r="E167" s="683"/>
      <x:c r="F167" s="683"/>
      <x:c r="G167" s="683"/>
      <x:c r="H167" s="683"/>
      <x:c r="I167" s="683"/>
      <x:c r="J167" s="683"/>
      <x:c r="K167" s="683"/>
      <x:c r="L167" s="683"/>
      <x:c r="M167" s="683"/>
      <x:c r="N167" s="683"/>
      <x:c r="O167" s="683"/>
      <x:c r="P167" s="683"/>
      <x:c r="Z167" s="701"/>
    </x:row>
    <x:row r="168" spans="1:26" x14ac:dyDescent="0.2">
      <x:c r="A168" s="774" t="s">
        <x:v>2</x:v>
      </x:c>
      <x:c r="B168" s="773" t="s">
        <x:v>132</x:v>
      </x:c>
      <x:c r="C168" s="696" t="s">
        <x:v>70</x:v>
      </x:c>
      <x:c r="D168" s="696">
        <x:f>D105-P105</x:f>
        <x:v>0</x:v>
      </x:c>
      <x:c r="E168" s="696">
        <x:f>E101+E95</x:f>
        <x:v>0</x:v>
      </x:c>
      <x:c r="F168" s="696">
        <x:f t="shared" ref="F168:R168" si="3">F101+F95</x:f>
        <x:v>0</x:v>
      </x:c>
      <x:c r="G168" s="696">
        <x:f t="shared" si="3"/>
        <x:v>0</x:v>
      </x:c>
      <x:c r="H168" s="696">
        <x:f t="shared" si="3"/>
        <x:v>0</x:v>
      </x:c>
      <x:c r="I168" s="696">
        <x:f t="shared" si="3"/>
        <x:v>0</x:v>
      </x:c>
      <x:c r="J168" s="696">
        <x:f t="shared" si="3"/>
        <x:v>0</x:v>
      </x:c>
      <x:c r="K168" s="696">
        <x:f t="shared" si="3"/>
        <x:v>0</x:v>
      </x:c>
      <x:c r="L168" s="696">
        <x:f t="shared" si="3"/>
        <x:v>0</x:v>
      </x:c>
      <x:c r="M168" s="696">
        <x:f t="shared" si="3"/>
        <x:v>0</x:v>
      </x:c>
      <x:c r="N168" s="696">
        <x:f t="shared" si="3"/>
        <x:v>0</x:v>
      </x:c>
      <x:c r="O168" s="696">
        <x:f t="shared" si="3"/>
        <x:v>0</x:v>
      </x:c>
      <x:c r="P168" s="696">
        <x:f t="shared" si="3"/>
        <x:v>0</x:v>
      </x:c>
      <x:c r="Q168" s="696">
        <x:f t="shared" si="3"/>
        <x:v>0</x:v>
      </x:c>
      <x:c r="R168" s="696">
        <x:f t="shared" si="3"/>
        <x:v>0</x:v>
      </x:c>
      <x:c r="Z168" s="701"/>
    </x:row>
    <x:row r="169" spans="1:26" x14ac:dyDescent="0.2">
      <x:c r="A169" s="774"/>
      <x:c r="B169" s="773"/>
      <x:c r="C169" s="696" t="s">
        <x:v>73</x:v>
      </x:c>
      <x:c r="D169" s="696">
        <x:f>D103+D97</x:f>
        <x:v>0</x:v>
      </x:c>
      <x:c r="E169" s="683"/>
      <x:c r="F169" s="683"/>
      <x:c r="G169" s="683"/>
      <x:c r="H169" s="683"/>
      <x:c r="I169" s="683"/>
      <x:c r="J169" s="683"/>
      <x:c r="K169" s="683"/>
      <x:c r="L169" s="683"/>
      <x:c r="M169" s="683"/>
      <x:c r="N169" s="683"/>
      <x:c r="O169" s="683"/>
      <x:c r="P169" s="683"/>
      <x:c r="Q169" s="683"/>
      <x:c r="Z169" s="701"/>
    </x:row>
    <x:row r="170" spans="1:26" ht="15" x14ac:dyDescent="0.25">
      <x:c r="A170" s="682"/>
      <x:c r="D170" s="683"/>
      <x:c r="E170" s="683"/>
      <x:c r="F170" s="683"/>
      <x:c r="G170" s="683"/>
      <x:c r="H170" s="683"/>
      <x:c r="I170" s="683"/>
      <x:c r="J170" s="683"/>
      <x:c r="K170" s="683"/>
      <x:c r="L170" s="683"/>
      <x:c r="M170" s="683"/>
      <x:c r="N170" s="683"/>
      <x:c r="O170" s="683"/>
      <x:c r="P170" s="683"/>
      <x:c r="Q170" s="683"/>
      <x:c r="Z170" s="701"/>
    </x:row>
    <x:row r="171" spans="1:26" x14ac:dyDescent="0.2">
      <x:c r="A171" s="774" t="s">
        <x:v>160</x:v>
      </x:c>
      <x:c r="B171" s="773" t="s">
        <x:v>132</x:v>
      </x:c>
      <x:c r="C171" s="697" t="s">
        <x:v>70</x:v>
      </x:c>
      <x:c r="D171" s="697">
        <x:v>0</x:v>
      </x:c>
      <x:c r="E171" s="697">
        <x:v>0</x:v>
      </x:c>
      <x:c r="F171" s="697">
        <x:v>0</x:v>
      </x:c>
      <x:c r="G171" s="697">
        <x:v>0</x:v>
      </x:c>
      <x:c r="H171" s="697">
        <x:v>0</x:v>
      </x:c>
      <x:c r="I171" s="697">
        <x:v>0</x:v>
      </x:c>
      <x:c r="J171" s="697">
        <x:v>0</x:v>
      </x:c>
      <x:c r="K171" s="697">
        <x:v>0</x:v>
      </x:c>
      <x:c r="L171" s="697">
        <x:v>0</x:v>
      </x:c>
      <x:c r="M171" s="697">
        <x:v>0</x:v>
      </x:c>
      <x:c r="N171" s="697">
        <x:v>0</x:v>
      </x:c>
      <x:c r="O171" s="697">
        <x:v>0</x:v>
      </x:c>
      <x:c r="P171" s="697">
        <x:v>0</x:v>
      </x:c>
      <x:c r="Q171" s="697">
        <x:v>0</x:v>
      </x:c>
      <x:c r="R171" s="697">
        <x:v>0</x:v>
      </x:c>
      <x:c r="Z171" s="701"/>
    </x:row>
    <x:row r="172" spans="1:26" x14ac:dyDescent="0.2">
      <x:c r="A172" s="774"/>
      <x:c r="B172" s="773"/>
      <x:c r="C172" s="697" t="s">
        <x:v>73</x:v>
      </x:c>
      <x:c r="D172" s="697">
        <x:v>0</x:v>
      </x:c>
      <x:c r="E172" s="683"/>
      <x:c r="F172" s="683"/>
      <x:c r="G172" s="683"/>
      <x:c r="H172" s="683"/>
      <x:c r="I172" s="683"/>
      <x:c r="J172" s="683"/>
      <x:c r="K172" s="683"/>
      <x:c r="L172" s="683"/>
      <x:c r="M172" s="683"/>
      <x:c r="N172" s="683"/>
      <x:c r="O172" s="683"/>
      <x:c r="P172" s="683"/>
      <x:c r="Q172" s="683"/>
      <x:c r="Z172" s="701"/>
    </x:row>
    <x:row r="173" spans="1:26" ht="15" x14ac:dyDescent="0.25">
      <x:c r="A173" s="682"/>
      <x:c r="D173" s="683"/>
      <x:c r="E173" s="683"/>
      <x:c r="F173" s="683"/>
      <x:c r="G173" s="683"/>
      <x:c r="H173" s="683"/>
      <x:c r="I173" s="683"/>
      <x:c r="J173" s="683"/>
      <x:c r="K173" s="683"/>
      <x:c r="L173" s="683"/>
      <x:c r="M173" s="683"/>
      <x:c r="N173" s="683"/>
      <x:c r="O173" s="683"/>
      <x:c r="P173" s="683"/>
      <x:c r="Q173" s="683"/>
      <x:c r="Z173" s="701"/>
    </x:row>
    <x:row r="174" spans="1:26" x14ac:dyDescent="0.2">
      <x:c r="A174" s="774" t="s">
        <x:v>155</x:v>
      </x:c>
      <x:c r="B174" s="773" t="s">
        <x:v>132</x:v>
      </x:c>
      <x:c r="C174" s="698" t="s">
        <x:v>70</x:v>
      </x:c>
      <x:c r="D174" s="698">
        <x:f>D98-P98</x:f>
        <x:v>0</x:v>
      </x:c>
      <x:c r="E174" s="698">
        <x:f t="shared" ref="E174:R174" si="4">E95</x:f>
        <x:v>0</x:v>
      </x:c>
      <x:c r="F174" s="698">
        <x:f t="shared" si="4"/>
        <x:v>0</x:v>
      </x:c>
      <x:c r="G174" s="698">
        <x:f t="shared" si="4"/>
        <x:v>0</x:v>
      </x:c>
      <x:c r="H174" s="698">
        <x:f t="shared" si="4"/>
        <x:v>0</x:v>
      </x:c>
      <x:c r="I174" s="698">
        <x:f t="shared" si="4"/>
        <x:v>0</x:v>
      </x:c>
      <x:c r="J174" s="698">
        <x:f t="shared" si="4"/>
        <x:v>0</x:v>
      </x:c>
      <x:c r="K174" s="698">
        <x:f t="shared" si="4"/>
        <x:v>0</x:v>
      </x:c>
      <x:c r="L174" s="698">
        <x:f t="shared" si="4"/>
        <x:v>0</x:v>
      </x:c>
      <x:c r="M174" s="698">
        <x:f t="shared" si="4"/>
        <x:v>0</x:v>
      </x:c>
      <x:c r="N174" s="698">
        <x:f t="shared" si="4"/>
        <x:v>0</x:v>
      </x:c>
      <x:c r="O174" s="698">
        <x:f t="shared" si="4"/>
        <x:v>0</x:v>
      </x:c>
      <x:c r="P174" s="698">
        <x:f t="shared" si="4"/>
        <x:v>0</x:v>
      </x:c>
      <x:c r="Q174" s="698">
        <x:f t="shared" si="4"/>
        <x:v>0</x:v>
      </x:c>
      <x:c r="R174" s="698">
        <x:f t="shared" si="4"/>
        <x:v>0</x:v>
      </x:c>
      <x:c r="Z174" s="701"/>
    </x:row>
    <x:row r="175" spans="1:26" x14ac:dyDescent="0.2">
      <x:c r="A175" s="774"/>
      <x:c r="B175" s="773"/>
      <x:c r="C175" s="698" t="s">
        <x:v>73</x:v>
      </x:c>
      <x:c r="D175" s="698">
        <x:f>D97</x:f>
        <x:v>0</x:v>
      </x:c>
      <x:c r="E175" s="683"/>
      <x:c r="F175" s="683"/>
      <x:c r="G175" s="683"/>
      <x:c r="H175" s="683"/>
      <x:c r="I175" s="683"/>
      <x:c r="J175" s="683"/>
      <x:c r="K175" s="683"/>
      <x:c r="L175" s="683"/>
      <x:c r="M175" s="683"/>
      <x:c r="N175" s="683"/>
      <x:c r="O175" s="683"/>
      <x:c r="P175" s="683"/>
      <x:c r="Q175" s="683"/>
      <x:c r="Z175" s="701"/>
    </x:row>
    <x:row r="176" spans="1:26" ht="15" x14ac:dyDescent="0.2">
      <x:c r="A176" s="694"/>
      <x:c r="B176" s="695"/>
      <x:c r="C176" s="683"/>
      <x:c r="D176" s="683"/>
      <x:c r="E176" s="683"/>
      <x:c r="F176" s="683"/>
      <x:c r="G176" s="683"/>
      <x:c r="H176" s="683"/>
      <x:c r="I176" s="683"/>
      <x:c r="J176" s="683"/>
      <x:c r="K176" s="683"/>
      <x:c r="L176" s="683"/>
      <x:c r="M176" s="683"/>
      <x:c r="N176" s="683"/>
      <x:c r="O176" s="683"/>
      <x:c r="P176" s="683"/>
      <x:c r="Q176" s="683"/>
      <x:c r="Z176" s="701"/>
    </x:row>
    <x:row r="177" spans="1:26" x14ac:dyDescent="0.2">
      <x:c r="A177" s="775" t="s">
        <x:v>326</x:v>
      </x:c>
      <x:c r="B177" s="773" t="s">
        <x:v>132</x:v>
      </x:c>
      <x:c r="C177" s="698" t="s">
        <x:v>70</x:v>
      </x:c>
      <x:c r="D177" s="699">
        <x:v>0</x:v>
      </x:c>
      <x:c r="E177" s="699">
        <x:v>0</x:v>
      </x:c>
      <x:c r="F177" s="699">
        <x:v>0</x:v>
      </x:c>
      <x:c r="G177" s="699">
        <x:v>0</x:v>
      </x:c>
      <x:c r="H177" s="699">
        <x:v>0</x:v>
      </x:c>
      <x:c r="I177" s="699">
        <x:v>0</x:v>
      </x:c>
      <x:c r="J177" s="699">
        <x:v>0</x:v>
      </x:c>
      <x:c r="K177" s="699">
        <x:v>0</x:v>
      </x:c>
      <x:c r="L177" s="699">
        <x:v>0</x:v>
      </x:c>
      <x:c r="M177" s="699">
        <x:v>0</x:v>
      </x:c>
      <x:c r="N177" s="699">
        <x:v>0</x:v>
      </x:c>
      <x:c r="O177" s="699">
        <x:v>0</x:v>
      </x:c>
      <x:c r="P177" s="699">
        <x:v>0</x:v>
      </x:c>
      <x:c r="Q177" s="699">
        <x:v>0</x:v>
      </x:c>
      <x:c r="R177" s="699">
        <x:v>0</x:v>
      </x:c>
      <x:c r="Z177" s="701"/>
    </x:row>
    <x:row r="178" spans="1:26" x14ac:dyDescent="0.2">
      <x:c r="A178" s="775"/>
      <x:c r="B178" s="773"/>
      <x:c r="C178" s="698" t="s">
        <x:v>73</x:v>
      </x:c>
      <x:c r="D178" s="699">
        <x:v>0</x:v>
      </x:c>
      <x:c r="E178" s="683"/>
      <x:c r="F178" s="683"/>
      <x:c r="G178" s="683"/>
      <x:c r="H178" s="683"/>
      <x:c r="I178" s="683"/>
      <x:c r="J178" s="683"/>
      <x:c r="K178" s="683"/>
      <x:c r="L178" s="683"/>
      <x:c r="M178" s="683"/>
      <x:c r="N178" s="683"/>
      <x:c r="O178" s="683"/>
      <x:c r="P178" s="683"/>
      <x:c r="Q178" s="683"/>
      <x:c r="Z178" s="701"/>
    </x:row>
    <x:row r="179" spans="1:26" ht="15" x14ac:dyDescent="0.25">
      <x:c r="A179" s="682"/>
      <x:c r="D179" s="683"/>
      <x:c r="E179" s="683"/>
      <x:c r="F179" s="683"/>
      <x:c r="G179" s="683"/>
      <x:c r="H179" s="683"/>
      <x:c r="I179" s="683"/>
      <x:c r="J179" s="683"/>
      <x:c r="K179" s="683"/>
      <x:c r="L179" s="683"/>
      <x:c r="M179" s="683"/>
      <x:c r="N179" s="683"/>
      <x:c r="O179" s="683"/>
      <x:c r="P179" s="683"/>
      <x:c r="Q179" s="683"/>
      <x:c r="Z179" s="701"/>
    </x:row>
    <x:row r="180" spans="1:26" x14ac:dyDescent="0.2">
      <x:c r="A180" s="774" t="s">
        <x:v>119</x:v>
      </x:c>
      <x:c r="B180" s="773" t="s">
        <x:v>132</x:v>
      </x:c>
      <x:c r="C180" s="691" t="s">
        <x:v>70</x:v>
      </x:c>
      <x:c r="D180" s="691">
        <x:f>D104-P104</x:f>
        <x:v>0</x:v>
      </x:c>
      <x:c r="E180" s="691">
        <x:f>E101</x:f>
        <x:v>0</x:v>
      </x:c>
      <x:c r="F180" s="691">
        <x:f t="shared" ref="F180:R180" si="5">F101</x:f>
        <x:v>0</x:v>
      </x:c>
      <x:c r="G180" s="691">
        <x:f t="shared" si="5"/>
        <x:v>0</x:v>
      </x:c>
      <x:c r="H180" s="691">
        <x:f t="shared" si="5"/>
        <x:v>0</x:v>
      </x:c>
      <x:c r="I180" s="691">
        <x:f t="shared" si="5"/>
        <x:v>0</x:v>
      </x:c>
      <x:c r="J180" s="691">
        <x:f t="shared" si="5"/>
        <x:v>0</x:v>
      </x:c>
      <x:c r="K180" s="691">
        <x:f t="shared" si="5"/>
        <x:v>0</x:v>
      </x:c>
      <x:c r="L180" s="691">
        <x:f t="shared" si="5"/>
        <x:v>0</x:v>
      </x:c>
      <x:c r="M180" s="691">
        <x:f t="shared" si="5"/>
        <x:v>0</x:v>
      </x:c>
      <x:c r="N180" s="691">
        <x:f t="shared" si="5"/>
        <x:v>0</x:v>
      </x:c>
      <x:c r="O180" s="691">
        <x:f t="shared" si="5"/>
        <x:v>0</x:v>
      </x:c>
      <x:c r="P180" s="691">
        <x:f t="shared" si="5"/>
        <x:v>0</x:v>
      </x:c>
      <x:c r="Q180" s="691">
        <x:f t="shared" si="5"/>
        <x:v>0</x:v>
      </x:c>
      <x:c r="R180" s="691">
        <x:f t="shared" si="5"/>
        <x:v>0</x:v>
      </x:c>
      <x:c r="Z180" s="701"/>
    </x:row>
    <x:row r="181" spans="1:26" x14ac:dyDescent="0.2">
      <x:c r="A181" s="774"/>
      <x:c r="B181" s="773"/>
      <x:c r="C181" s="691" t="s">
        <x:v>73</x:v>
      </x:c>
      <x:c r="D181" s="691">
        <x:f>D103</x:f>
        <x:v>0</x:v>
      </x:c>
      <x:c r="E181" s="683"/>
      <x:c r="F181" s="683"/>
      <x:c r="G181" s="683"/>
      <x:c r="H181" s="683"/>
      <x:c r="I181" s="683"/>
      <x:c r="J181" s="683"/>
      <x:c r="K181" s="683"/>
      <x:c r="L181" s="683"/>
      <x:c r="M181" s="683"/>
      <x:c r="N181" s="683"/>
      <x:c r="O181" s="683"/>
      <x:c r="P181" s="683"/>
      <x:c r="Q181" s="683"/>
      <x:c r="R181" s="683"/>
      <x:c r="Z181" s="701"/>
    </x:row>
    <x:row r="182" spans="1:26" ht="15" x14ac:dyDescent="0.25">
      <x:c r="A182" s="682"/>
      <x:c r="D182" s="683"/>
      <x:c r="E182" s="683"/>
      <x:c r="F182" s="683"/>
      <x:c r="G182" s="683"/>
      <x:c r="H182" s="683"/>
      <x:c r="I182" s="683"/>
      <x:c r="J182" s="683"/>
      <x:c r="K182" s="683"/>
      <x:c r="L182" s="683"/>
      <x:c r="M182" s="683"/>
      <x:c r="N182" s="683"/>
      <x:c r="O182" s="683"/>
      <x:c r="P182" s="683"/>
      <x:c r="Q182" s="683"/>
      <x:c r="R182" s="683"/>
      <x:c r="Z182" s="701"/>
    </x:row>
    <x:row r="183" spans="1:26" x14ac:dyDescent="0.2">
      <x:c r="A183" s="772" t="s">
        <x:v>161</x:v>
      </x:c>
      <x:c r="B183" s="773" t="s">
        <x:v>132</x:v>
      </x:c>
      <x:c r="C183" s="700" t="s">
        <x:v>70</x:v>
      </x:c>
      <x:c r="D183" s="700">
        <x:v>0</x:v>
      </x:c>
      <x:c r="E183" s="700">
        <x:v>0</x:v>
      </x:c>
      <x:c r="F183" s="700">
        <x:v>0</x:v>
      </x:c>
      <x:c r="G183" s="700">
        <x:v>0</x:v>
      </x:c>
      <x:c r="H183" s="700">
        <x:v>0</x:v>
      </x:c>
      <x:c r="I183" s="700">
        <x:v>0</x:v>
      </x:c>
      <x:c r="J183" s="700">
        <x:v>0</x:v>
      </x:c>
      <x:c r="K183" s="700">
        <x:v>0</x:v>
      </x:c>
      <x:c r="L183" s="700">
        <x:v>0</x:v>
      </x:c>
      <x:c r="M183" s="700">
        <x:v>0</x:v>
      </x:c>
      <x:c r="N183" s="700">
        <x:v>0</x:v>
      </x:c>
      <x:c r="O183" s="700">
        <x:v>0</x:v>
      </x:c>
      <x:c r="P183" s="700">
        <x:v>0</x:v>
      </x:c>
      <x:c r="Q183" s="700">
        <x:v>0</x:v>
      </x:c>
      <x:c r="R183" s="700">
        <x:v>0</x:v>
      </x:c>
      <x:c r="Z183" s="701"/>
    </x:row>
    <x:row r="184" spans="1:26" x14ac:dyDescent="0.2">
      <x:c r="A184" s="772"/>
      <x:c r="B184" s="773"/>
      <x:c r="C184" s="700" t="s">
        <x:v>73</x:v>
      </x:c>
      <x:c r="D184" s="700">
        <x:v>0</x:v>
      </x:c>
      <x:c r="E184" s="683"/>
      <x:c r="F184" s="683"/>
      <x:c r="G184" s="683"/>
      <x:c r="H184" s="683"/>
      <x:c r="I184" s="683"/>
      <x:c r="J184" s="683"/>
      <x:c r="K184" s="683"/>
      <x:c r="L184" s="683"/>
      <x:c r="M184" s="683"/>
      <x:c r="N184" s="683"/>
      <x:c r="O184" s="683"/>
      <x:c r="P184" s="683"/>
      <x:c r="Q184" s="683"/>
      <x:c r="Z184" s="701"/>
    </x:row>
    <x:row r="185" spans="1:26" x14ac:dyDescent="0.2">
      <x:c r="A185" s="701"/>
      <x:c r="B185" s="701"/>
      <x:c r="C185" s="701"/>
      <x:c r="D185" s="701"/>
      <x:c r="E185" s="701"/>
      <x:c r="F185" s="701"/>
      <x:c r="G185" s="701"/>
      <x:c r="H185" s="701"/>
      <x:c r="I185" s="701"/>
      <x:c r="J185" s="701"/>
      <x:c r="K185" s="701"/>
      <x:c r="L185" s="701"/>
      <x:c r="M185" s="701"/>
      <x:c r="N185" s="701"/>
      <x:c r="O185" s="701"/>
      <x:c r="P185" s="701"/>
      <x:c r="Q185" s="701"/>
      <x:c r="R185" s="701"/>
      <x:c r="S185" s="701"/>
      <x:c r="T185" s="701"/>
      <x:c r="U185" s="701"/>
      <x:c r="V185" s="701"/>
      <x:c r="W185" s="701"/>
      <x:c r="X185" s="701"/>
      <x:c r="Y185" s="701"/>
      <x:c r="Z185" s="701"/>
    </x:row>
    <x:row r="186" spans="1:26" ht="15" x14ac:dyDescent="0.25">
      <x:c r="B186" s="707" t="s">
        <x:v>76</x:v>
      </x:c>
      <x:c r="Z186" s="701"/>
    </x:row>
    <x:row r="187" spans="1:26" s="682" customFormat="1" ht="15" x14ac:dyDescent="0.25">
      <x:c r="D187" s="704" t="s">
        <x:v>70</x:v>
      </x:c>
      <x:c r="E187" s="704" t="s">
        <x:v>64</x:v>
      </x:c>
      <x:c r="F187" s="704" t="s">
        <x:v>65</x:v>
      </x:c>
      <x:c r="G187" s="705" t="s">
        <x:v>164</x:v>
      </x:c>
      <x:c r="H187" s="704" t="s">
        <x:v>69</x:v>
      </x:c>
      <x:c r="I187" s="704" t="s">
        <x:v>68</x:v>
      </x:c>
      <x:c r="J187" s="704" t="s">
        <x:v>66</x:v>
      </x:c>
      <x:c r="K187" s="704" t="s">
        <x:v>63</x:v>
      </x:c>
      <x:c r="L187" s="704" t="s">
        <x:v>61</x:v>
      </x:c>
      <x:c r="M187" s="704" t="s">
        <x:v>62</x:v>
      </x:c>
      <x:c r="N187" s="704" t="s">
        <x:v>67</x:v>
      </x:c>
      <x:c r="O187" s="704" t="s">
        <x:v>77</x:v>
      </x:c>
      <x:c r="P187" s="682" t="s">
        <x:v>71</x:v>
      </x:c>
      <x:c r="Q187" s="704" t="s">
        <x:v>80</x:v>
      </x:c>
      <x:c r="R187" s="682" t="s">
        <x:v>167</x:v>
      </x:c>
      <x:c r="Z187" s="706"/>
    </x:row>
    <x:row r="188" spans="1:26" x14ac:dyDescent="0.2">
      <x:c r="B188" s="683"/>
      <x:c r="C188" s="683" t="s">
        <x:v>72</x:v>
      </x:c>
      <x:c r="D188" s="683" t="n">
        <x:v>-5300396.56</x:v>
      </x:c>
      <x:c r="E188" s="683" t="n">
        <x:v>-266920.99</x:v>
      </x:c>
      <x:c r="F188" s="683" t="n">
        <x:v>-151747.72</x:v>
      </x:c>
      <x:c r="G188" s="683" t="n">
        <x:v>-79709.62</x:v>
      </x:c>
      <x:c r="H188" s="683" t="n">
        <x:v>-1324855.65</x:v>
      </x:c>
      <x:c r="I188" s="683" t="n">
        <x:v>-47299.87</x:v>
      </x:c>
      <x:c r="J188" s="683" t="n">
        <x:v>-411237.59</x:v>
      </x:c>
      <x:c r="K188" s="683" t="n">
        <x:v>-406044.91</x:v>
      </x:c>
      <x:c r="L188" s="683" t="n">
        <x:v>-1913952.83</x:v>
      </x:c>
      <x:c r="M188" s="683" t="n">
        <x:v>-621177.47</x:v>
      </x:c>
      <x:c r="N188" s="683" t="n">
        <x:v>-77374.18</x:v>
      </x:c>
      <x:c r="O188" s="683" t="n">
        <x:v>-75.73</x:v>
      </x:c>
      <x:c r="P188" s="681">
        <x:v>0</x:v>
      </x:c>
      <x:c r="Q188" s="683">
        <x:v>0</x:v>
      </x:c>
      <x:c r="R188" s="683">
        <x:v>0</x:v>
      </x:c>
      <x:c r="Z188" s="701"/>
    </x:row>
    <x:row r="189" spans="1:26" x14ac:dyDescent="0.2">
      <x:c r="B189" s="683"/>
      <x:c r="C189" s="683" t="s">
        <x:v>81</x:v>
      </x:c>
      <x:c r="D189" s="683" t="n">
        <x:v>-13190.83</x:v>
      </x:c>
      <x:c r="E189" s="683" t="n">
        <x:v>-1425.35</x:v>
      </x:c>
      <x:c r="F189" s="683" t="n">
        <x:v>-806.4</x:v>
      </x:c>
      <x:c r="G189" s="683" t="n">
        <x:v>-429.71</x:v>
      </x:c>
      <x:c r="H189" s="683" t="n">
        <x:v>-2212.35</x:v>
      </x:c>
      <x:c r="I189" s="683" t="n">
        <x:v>-83.37</x:v>
      </x:c>
      <x:c r="J189" s="683" t="n">
        <x:v>-731.34</x:v>
      </x:c>
      <x:c r="K189" s="683" t="n">
        <x:v>-716.14</x:v>
      </x:c>
      <x:c r="L189" s="683" t="n">
        <x:v>-3293.42</x:v>
      </x:c>
      <x:c r="M189" s="683" t="n">
        <x:v>-3354.87</x:v>
      </x:c>
      <x:c r="N189" s="683" t="n">
        <x:v>-138</x:v>
      </x:c>
      <x:c r="O189" s="683" t="n">
        <x:v>0.12</x:v>
      </x:c>
      <x:c r="P189" s="681">
        <x:v>0</x:v>
      </x:c>
      <x:c r="Q189" s="683">
        <x:v>0</x:v>
      </x:c>
      <x:c r="R189" s="683">
        <x:v>0</x:v>
      </x:c>
      <x:c r="Z189" s="701"/>
    </x:row>
    <x:row r="190" spans="1:26" x14ac:dyDescent="0.2">
      <x:c r="A190" s="684"/>
      <x:c r="B190" s="685" t="s">
        <x:v>78</x:v>
      </x:c>
      <x:c r="C190" s="685" t="s">
        <x:v>70</x:v>
      </x:c>
      <x:c r="D190" s="685" t="n">
        <x:v>-5313587.39</x:v>
      </x:c>
      <x:c r="E190" s="685" t="n">
        <x:v>-268346.34</x:v>
      </x:c>
      <x:c r="F190" s="685" t="n">
        <x:v>-152554.12</x:v>
      </x:c>
      <x:c r="G190" s="685" t="n">
        <x:v>-80139.33</x:v>
      </x:c>
      <x:c r="H190" s="685" t="n">
        <x:v>-1327068</x:v>
      </x:c>
      <x:c r="I190" s="685" t="n">
        <x:v>-47383.24</x:v>
      </x:c>
      <x:c r="J190" s="685" t="n">
        <x:v>-411968.93</x:v>
      </x:c>
      <x:c r="K190" s="685" t="n">
        <x:v>-406761.05</x:v>
      </x:c>
      <x:c r="L190" s="685" t="n">
        <x:v>-1917246.25</x:v>
      </x:c>
      <x:c r="M190" s="685" t="n">
        <x:v>-624532.34</x:v>
      </x:c>
      <x:c r="N190" s="685" t="n">
        <x:v>-77512.18</x:v>
      </x:c>
      <x:c r="O190" s="685" t="n">
        <x:v>-75.61</x:v>
      </x:c>
      <x:c r="P190" s="684">
        <x:v>0</x:v>
      </x:c>
      <x:c r="Q190" s="685">
        <x:v>0</x:v>
      </x:c>
      <x:c r="R190" s="685">
        <x:v>0</x:v>
      </x:c>
      <x:c r="S190" s="684"/>
      <x:c r="T190" s="684"/>
      <x:c r="U190" s="684"/>
      <x:c r="V190" s="684"/>
      <x:c r="W190" s="684"/>
      <x:c r="X190" s="684"/>
      <x:c r="Y190" s="684"/>
      <x:c r="Z190" s="701"/>
    </x:row>
    <x:row r="191" spans="1:26" x14ac:dyDescent="0.2">
      <x:c r="B191" s="683"/>
      <x:c r="C191" s="683" t="s">
        <x:v>73</x:v>
      </x:c>
      <x:c r="D191" s="683" t="n">
        <x:v>696233.39</x:v>
      </x:c>
      <x:c r="E191" s="683" t="n">
        <x:v>17764.59</x:v>
      </x:c>
      <x:c r="F191" s="683" t="n">
        <x:v>10022.19</x:v>
      </x:c>
      <x:c r="G191" s="683" t="n">
        <x:v>5230.07</x:v>
      </x:c>
      <x:c r="H191" s="683" t="n">
        <x:v>200028.75</x:v>
      </x:c>
      <x:c r="I191" s="683" t="n">
        <x:v>6936.39</x:v>
      </x:c>
      <x:c r="J191" s="683" t="n">
        <x:v>60845.81</x:v>
      </x:c>
      <x:c r="K191" s="683" t="n">
        <x:v>59558.35</x:v>
      </x:c>
      <x:c r="L191" s="683" t="n">
        <x:v>282324.82</x:v>
      </x:c>
      <x:c r="M191" s="683" t="n">
        <x:v>42205.1</x:v>
      </x:c>
      <x:c r="N191" s="683" t="n">
        <x:v>11317.32</x:v>
      </x:c>
      <x:c r="O191" s="683" t="n">
        <x:v>0</x:v>
      </x:c>
      <x:c r="P191" s="681">
        <x:v>0</x:v>
      </x:c>
      <x:c r="Q191" s="683">
        <x:v>0</x:v>
      </x:c>
      <x:c r="R191" s="683">
        <x:v>0</x:v>
      </x:c>
      <x:c r="Z191" s="701"/>
    </x:row>
    <x:row r="192" spans="1:26" x14ac:dyDescent="0.2">
      <x:c r="A192" s="686"/>
      <x:c r="B192" s="687" t="s">
        <x:v>79</x:v>
      </x:c>
      <x:c r="C192" s="687" t="s">
        <x:v>70</x:v>
      </x:c>
      <x:c r="D192" s="687" t="n">
        <x:v>696233.39</x:v>
      </x:c>
      <x:c r="E192" s="687" t="n">
        <x:v>17764.59</x:v>
      </x:c>
      <x:c r="F192" s="687" t="n">
        <x:v>10022.19</x:v>
      </x:c>
      <x:c r="G192" s="687" t="n">
        <x:v>5230.07</x:v>
      </x:c>
      <x:c r="H192" s="687" t="n">
        <x:v>200028.75</x:v>
      </x:c>
      <x:c r="I192" s="687" t="n">
        <x:v>6936.39</x:v>
      </x:c>
      <x:c r="J192" s="687" t="n">
        <x:v>60845.81</x:v>
      </x:c>
      <x:c r="K192" s="687" t="n">
        <x:v>59558.35</x:v>
      </x:c>
      <x:c r="L192" s="687" t="n">
        <x:v>282324.82</x:v>
      </x:c>
      <x:c r="M192" s="687" t="n">
        <x:v>42205.1</x:v>
      </x:c>
      <x:c r="N192" s="687" t="n">
        <x:v>11317.32</x:v>
      </x:c>
      <x:c r="O192" s="687" t="n">
        <x:v>0</x:v>
      </x:c>
      <x:c r="P192" s="686">
        <x:v>0</x:v>
      </x:c>
      <x:c r="Q192" s="687">
        <x:v>0</x:v>
      </x:c>
      <x:c r="R192" s="687">
        <x:v>0</x:v>
      </x:c>
      <x:c r="S192" s="686"/>
      <x:c r="T192" s="686"/>
      <x:c r="U192" s="686"/>
      <x:c r="V192" s="686"/>
      <x:c r="W192" s="686"/>
      <x:c r="X192" s="686"/>
      <x:c r="Y192" s="686"/>
      <x:c r="Z192" s="701"/>
    </x:row>
    <x:row r="193" spans="1:26" x14ac:dyDescent="0.2">
      <x:c r="A193" s="688" t="s">
        <x:v>155</x:v>
      </x:c>
      <x:c r="B193" s="688" t="s">
        <x:v>70</x:v>
      </x:c>
      <x:c r="C193" s="688"/>
      <x:c r="D193" s="689" t="n">
        <x:v>-4617354</x:v>
      </x:c>
      <x:c r="E193" s="689" t="n">
        <x:v>-250581.75</x:v>
      </x:c>
      <x:c r="F193" s="689" t="n">
        <x:v>-142531.93</x:v>
      </x:c>
      <x:c r="G193" s="689" t="n">
        <x:v>-74909.26</x:v>
      </x:c>
      <x:c r="H193" s="689" t="n">
        <x:v>-1127039.25</x:v>
      </x:c>
      <x:c r="I193" s="689" t="n">
        <x:v>-40446.85</x:v>
      </x:c>
      <x:c r="J193" s="689" t="n">
        <x:v>-351123.12</x:v>
      </x:c>
      <x:c r="K193" s="689" t="n">
        <x:v>-347202.7</x:v>
      </x:c>
      <x:c r="L193" s="689" t="n">
        <x:v>-1634921.43</x:v>
      </x:c>
      <x:c r="M193" s="689" t="n">
        <x:v>-582327.24</x:v>
      </x:c>
      <x:c r="N193" s="689" t="n">
        <x:v>-66194.86</x:v>
      </x:c>
      <x:c r="O193" s="689" t="n">
        <x:v>-75.61</x:v>
      </x:c>
      <x:c r="P193" s="689">
        <x:v>0</x:v>
      </x:c>
      <x:c r="Q193" s="689">
        <x:v>0</x:v>
      </x:c>
      <x:c r="R193" s="688">
        <x:v>0</x:v>
      </x:c>
      <x:c r="S193" s="688"/>
      <x:c r="T193" s="688"/>
      <x:c r="U193" s="688"/>
      <x:c r="V193" s="688"/>
      <x:c r="W193" s="688"/>
      <x:c r="X193" s="688"/>
      <x:c r="Y193" s="688"/>
      <x:c r="Z193" s="701"/>
    </x:row>
    <x:row r="194" spans="1:26" x14ac:dyDescent="0.2">
      <x:c r="B194" s="683"/>
      <x:c r="C194" s="683" t="s">
        <x:v>72</x:v>
      </x:c>
      <x:c r="D194" s="683">
        <x:v>0</x:v>
      </x:c>
      <x:c r="E194" s="683">
        <x:v>0</x:v>
      </x:c>
      <x:c r="F194" s="683">
        <x:v>0</x:v>
      </x:c>
      <x:c r="G194" s="683">
        <x:v>0</x:v>
      </x:c>
      <x:c r="H194" s="683">
        <x:v>0</x:v>
      </x:c>
      <x:c r="I194" s="683">
        <x:v>0</x:v>
      </x:c>
      <x:c r="J194" s="683">
        <x:v>0</x:v>
      </x:c>
      <x:c r="K194" s="683">
        <x:v>0</x:v>
      </x:c>
      <x:c r="L194" s="683">
        <x:v>0</x:v>
      </x:c>
      <x:c r="M194" s="683">
        <x:v>0</x:v>
      </x:c>
      <x:c r="N194" s="683">
        <x:v>0</x:v>
      </x:c>
      <x:c r="O194" s="683">
        <x:v>0</x:v>
      </x:c>
      <x:c r="P194" s="681">
        <x:v>0</x:v>
      </x:c>
      <x:c r="Q194" s="683">
        <x:v>0</x:v>
      </x:c>
      <x:c r="R194" s="683">
        <x:v>0</x:v>
      </x:c>
      <x:c r="Z194" s="701"/>
    </x:row>
    <x:row r="195" spans="1:26" x14ac:dyDescent="0.2">
      <x:c r="B195" s="683"/>
      <x:c r="C195" s="683" t="s">
        <x:v>81</x:v>
      </x:c>
      <x:c r="D195" s="683">
        <x:v>0</x:v>
      </x:c>
      <x:c r="E195" s="683">
        <x:v>0</x:v>
      </x:c>
      <x:c r="F195" s="683">
        <x:v>0</x:v>
      </x:c>
      <x:c r="G195" s="683">
        <x:v>0</x:v>
      </x:c>
      <x:c r="H195" s="683">
        <x:v>0</x:v>
      </x:c>
      <x:c r="I195" s="683">
        <x:v>0</x:v>
      </x:c>
      <x:c r="J195" s="683">
        <x:v>0</x:v>
      </x:c>
      <x:c r="K195" s="683">
        <x:v>0</x:v>
      </x:c>
      <x:c r="L195" s="683">
        <x:v>0</x:v>
      </x:c>
      <x:c r="M195" s="683">
        <x:v>0</x:v>
      </x:c>
      <x:c r="N195" s="683">
        <x:v>0</x:v>
      </x:c>
      <x:c r="O195" s="683">
        <x:v>0</x:v>
      </x:c>
      <x:c r="P195" s="681">
        <x:v>0</x:v>
      </x:c>
      <x:c r="Q195" s="683">
        <x:v>0</x:v>
      </x:c>
      <x:c r="R195" s="683">
        <x:v>0</x:v>
      </x:c>
      <x:c r="Z195" s="701"/>
    </x:row>
    <x:row r="196" spans="1:26" x14ac:dyDescent="0.2">
      <x:c r="A196" s="684"/>
      <x:c r="B196" s="685" t="s">
        <x:v>78</x:v>
      </x:c>
      <x:c r="C196" s="685" t="s">
        <x:v>70</x:v>
      </x:c>
      <x:c r="D196" s="685">
        <x:v>0</x:v>
      </x:c>
      <x:c r="E196" s="685">
        <x:v>0</x:v>
      </x:c>
      <x:c r="F196" s="685">
        <x:v>0</x:v>
      </x:c>
      <x:c r="G196" s="685">
        <x:v>0</x:v>
      </x:c>
      <x:c r="H196" s="685">
        <x:v>0</x:v>
      </x:c>
      <x:c r="I196" s="685">
        <x:v>0</x:v>
      </x:c>
      <x:c r="J196" s="685">
        <x:v>0</x:v>
      </x:c>
      <x:c r="K196" s="685">
        <x:v>0</x:v>
      </x:c>
      <x:c r="L196" s="685">
        <x:v>0</x:v>
      </x:c>
      <x:c r="M196" s="685">
        <x:v>0</x:v>
      </x:c>
      <x:c r="N196" s="685">
        <x:v>0</x:v>
      </x:c>
      <x:c r="O196" s="685">
        <x:v>0</x:v>
      </x:c>
      <x:c r="P196" s="684">
        <x:v>0</x:v>
      </x:c>
      <x:c r="Q196" s="685">
        <x:v>0</x:v>
      </x:c>
      <x:c r="R196" s="685">
        <x:v>0</x:v>
      </x:c>
      <x:c r="S196" s="684"/>
      <x:c r="T196" s="684"/>
      <x:c r="U196" s="684"/>
      <x:c r="V196" s="684"/>
      <x:c r="W196" s="684"/>
      <x:c r="X196" s="684"/>
      <x:c r="Y196" s="684"/>
      <x:c r="Z196" s="701"/>
    </x:row>
    <x:row r="197" spans="1:26" x14ac:dyDescent="0.2">
      <x:c r="B197" s="683"/>
      <x:c r="C197" s="683" t="s">
        <x:v>73</x:v>
      </x:c>
      <x:c r="D197" s="683">
        <x:v>0</x:v>
      </x:c>
      <x:c r="E197" s="683">
        <x:v>0</x:v>
      </x:c>
      <x:c r="F197" s="683">
        <x:v>0</x:v>
      </x:c>
      <x:c r="G197" s="683">
        <x:v>0</x:v>
      </x:c>
      <x:c r="H197" s="683">
        <x:v>0</x:v>
      </x:c>
      <x:c r="I197" s="683">
        <x:v>0</x:v>
      </x:c>
      <x:c r="J197" s="683">
        <x:v>0</x:v>
      </x:c>
      <x:c r="K197" s="683">
        <x:v>0</x:v>
      </x:c>
      <x:c r="L197" s="683">
        <x:v>0</x:v>
      </x:c>
      <x:c r="M197" s="683">
        <x:v>0</x:v>
      </x:c>
      <x:c r="N197" s="683">
        <x:v>0</x:v>
      </x:c>
      <x:c r="O197" s="683">
        <x:v>0</x:v>
      </x:c>
      <x:c r="P197" s="681">
        <x:v>0</x:v>
      </x:c>
      <x:c r="Q197" s="683">
        <x:v>0</x:v>
      </x:c>
      <x:c r="R197" s="683">
        <x:v>0</x:v>
      </x:c>
      <x:c r="Z197" s="701"/>
    </x:row>
    <x:row r="198" spans="1:26" x14ac:dyDescent="0.2">
      <x:c r="A198" s="686"/>
      <x:c r="B198" s="687" t="s">
        <x:v>79</x:v>
      </x:c>
      <x:c r="C198" s="687" t="s">
        <x:v>70</x:v>
      </x:c>
      <x:c r="D198" s="687">
        <x:v>0</x:v>
      </x:c>
      <x:c r="E198" s="687">
        <x:v>0</x:v>
      </x:c>
      <x:c r="F198" s="687">
        <x:v>0</x:v>
      </x:c>
      <x:c r="G198" s="687">
        <x:v>0</x:v>
      </x:c>
      <x:c r="H198" s="687">
        <x:v>0</x:v>
      </x:c>
      <x:c r="I198" s="687">
        <x:v>0</x:v>
      </x:c>
      <x:c r="J198" s="687">
        <x:v>0</x:v>
      </x:c>
      <x:c r="K198" s="687">
        <x:v>0</x:v>
      </x:c>
      <x:c r="L198" s="687">
        <x:v>0</x:v>
      </x:c>
      <x:c r="M198" s="687">
        <x:v>0</x:v>
      </x:c>
      <x:c r="N198" s="687">
        <x:v>0</x:v>
      </x:c>
      <x:c r="O198" s="687">
        <x:v>0</x:v>
      </x:c>
      <x:c r="P198" s="686">
        <x:v>0</x:v>
      </x:c>
      <x:c r="Q198" s="687">
        <x:v>0</x:v>
      </x:c>
      <x:c r="R198" s="687">
        <x:v>0</x:v>
      </x:c>
      <x:c r="S198" s="686"/>
      <x:c r="T198" s="686"/>
      <x:c r="U198" s="686"/>
      <x:c r="V198" s="686"/>
      <x:c r="W198" s="686"/>
      <x:c r="X198" s="686"/>
      <x:c r="Y198" s="686"/>
      <x:c r="Z198" s="701"/>
    </x:row>
    <x:row r="199" spans="1:26" x14ac:dyDescent="0.2">
      <x:c r="A199" s="690" t="s">
        <x:v>119</x:v>
      </x:c>
      <x:c r="B199" s="690" t="s">
        <x:v>70</x:v>
      </x:c>
      <x:c r="C199" s="690"/>
      <x:c r="D199" s="691">
        <x:v>0</x:v>
      </x:c>
      <x:c r="E199" s="691">
        <x:v>0</x:v>
      </x:c>
      <x:c r="F199" s="691">
        <x:v>0</x:v>
      </x:c>
      <x:c r="G199" s="691">
        <x:v>0</x:v>
      </x:c>
      <x:c r="H199" s="691">
        <x:v>0</x:v>
      </x:c>
      <x:c r="I199" s="691">
        <x:v>0</x:v>
      </x:c>
      <x:c r="J199" s="691">
        <x:v>0</x:v>
      </x:c>
      <x:c r="K199" s="691">
        <x:v>0</x:v>
      </x:c>
      <x:c r="L199" s="691">
        <x:v>0</x:v>
      </x:c>
      <x:c r="M199" s="691">
        <x:v>0</x:v>
      </x:c>
      <x:c r="N199" s="691">
        <x:v>0</x:v>
      </x:c>
      <x:c r="O199" s="691">
        <x:v>0</x:v>
      </x:c>
      <x:c r="P199" s="691">
        <x:v>0</x:v>
      </x:c>
      <x:c r="Q199" s="691">
        <x:v>0</x:v>
      </x:c>
      <x:c r="R199" s="690">
        <x:v>0</x:v>
      </x:c>
      <x:c r="S199" s="690"/>
      <x:c r="T199" s="690"/>
      <x:c r="U199" s="690"/>
      <x:c r="V199" s="690"/>
      <x:c r="W199" s="690"/>
      <x:c r="X199" s="690"/>
      <x:c r="Y199" s="690"/>
      <x:c r="Z199" s="701"/>
    </x:row>
    <x:row r="200" spans="1:26" x14ac:dyDescent="0.2">
      <x:c r="A200" s="692" t="s">
        <x:v>70</x:v>
      </x:c>
      <x:c r="B200" s="693"/>
      <x:c r="C200" s="693"/>
      <x:c r="D200" s="692" t="n">
        <x:v>-4617354</x:v>
      </x:c>
      <x:c r="E200" s="692" t="n">
        <x:v>-250581.75</x:v>
      </x:c>
      <x:c r="F200" s="692" t="n">
        <x:v>-142531.93</x:v>
      </x:c>
      <x:c r="G200" s="692" t="n">
        <x:v>-74909.26</x:v>
      </x:c>
      <x:c r="H200" s="692" t="n">
        <x:v>-1127039.25</x:v>
      </x:c>
      <x:c r="I200" s="692" t="n">
        <x:v>-40446.85</x:v>
      </x:c>
      <x:c r="J200" s="692" t="n">
        <x:v>-351123.12</x:v>
      </x:c>
      <x:c r="K200" s="692" t="n">
        <x:v>-347202.7</x:v>
      </x:c>
      <x:c r="L200" s="692" t="n">
        <x:v>-1634921.43</x:v>
      </x:c>
      <x:c r="M200" s="692" t="n">
        <x:v>-582327.24</x:v>
      </x:c>
      <x:c r="N200" s="692" t="n">
        <x:v>-66194.86</x:v>
      </x:c>
      <x:c r="O200" s="692" t="n">
        <x:v>-75.61</x:v>
      </x:c>
      <x:c r="P200" s="693" t="n">
        <x:v>0</x:v>
      </x:c>
      <x:c r="Q200" s="692">
        <x:v>0</x:v>
      </x:c>
      <x:c r="R200" s="692">
        <x:v>0</x:v>
      </x:c>
      <x:c r="S200" s="693"/>
      <x:c r="T200" s="693"/>
      <x:c r="U200" s="693"/>
      <x:c r="V200" s="693"/>
      <x:c r="W200" s="693"/>
      <x:c r="X200" s="693"/>
      <x:c r="Y200" s="693"/>
      <x:c r="Z200" s="701"/>
    </x:row>
    <x:row r="201" spans="1:26" x14ac:dyDescent="0.2">
      <x:c r="A201" s="683"/>
      <x:c r="D201" s="683"/>
      <x:c r="E201" s="683"/>
      <x:c r="F201" s="683"/>
      <x:c r="G201" s="683"/>
      <x:c r="H201" s="683"/>
      <x:c r="I201" s="683"/>
      <x:c r="J201" s="683"/>
      <x:c r="K201" s="683"/>
      <x:c r="L201" s="683"/>
      <x:c r="M201" s="683"/>
      <x:c r="N201" s="683"/>
      <x:c r="O201" s="683"/>
      <x:c r="Z201" s="701"/>
    </x:row>
    <x:row r="202" spans="1:26" x14ac:dyDescent="0.2">
      <x:c r="A202" s="683"/>
      <x:c r="D202" s="683"/>
      <x:c r="E202" s="683"/>
      <x:c r="F202" s="683"/>
      <x:c r="G202" s="683"/>
      <x:c r="H202" s="683"/>
      <x:c r="I202" s="683"/>
      <x:c r="J202" s="683"/>
      <x:c r="K202" s="683"/>
      <x:c r="L202" s="683"/>
      <x:c r="M202" s="683"/>
      <x:c r="N202" s="683"/>
      <x:c r="O202" s="683"/>
      <x:c r="Z202" s="701"/>
    </x:row>
    <x:row r="203" spans="1:26" x14ac:dyDescent="0.2">
      <x:c r="A203" s="683"/>
      <x:c r="D203" s="683"/>
      <x:c r="E203" s="683"/>
      <x:c r="F203" s="683"/>
      <x:c r="G203" s="683"/>
      <x:c r="H203" s="683"/>
      <x:c r="I203" s="683"/>
      <x:c r="J203" s="683"/>
      <x:c r="K203" s="683"/>
      <x:c r="L203" s="683"/>
      <x:c r="M203" s="683"/>
      <x:c r="N203" s="683"/>
      <x:c r="O203" s="683"/>
      <x:c r="Z203" s="701"/>
    </x:row>
    <x:row r="204" spans="1:26" x14ac:dyDescent="0.2">
      <x:c r="A204" s="683"/>
      <x:c r="D204" s="683"/>
      <x:c r="E204" s="683"/>
      <x:c r="F204" s="683"/>
      <x:c r="G204" s="683"/>
      <x:c r="H204" s="683"/>
      <x:c r="I204" s="683"/>
      <x:c r="J204" s="683"/>
      <x:c r="K204" s="683"/>
      <x:c r="L204" s="683"/>
      <x:c r="M204" s="683"/>
      <x:c r="N204" s="683"/>
      <x:c r="O204" s="683"/>
      <x:c r="Z204" s="701"/>
    </x:row>
    <x:row r="205" spans="1:26" x14ac:dyDescent="0.2">
      <x:c r="A205" s="774" t="s">
        <x:v>2</x:v>
      </x:c>
      <x:c r="B205" s="773" t="s">
        <x:v>132</x:v>
      </x:c>
      <x:c r="C205" s="696" t="s">
        <x:v>70</x:v>
      </x:c>
      <x:c r="D205" s="696">
        <x:f>D200-P200</x:f>
        <x:v>0</x:v>
      </x:c>
      <x:c r="E205" s="696">
        <x:f>E196+E190</x:f>
        <x:v>0</x:v>
      </x:c>
      <x:c r="F205" s="696">
        <x:f t="shared" ref="F205:R205" si="6">F196+F190</x:f>
        <x:v>0</x:v>
      </x:c>
      <x:c r="G205" s="696">
        <x:f t="shared" si="6"/>
        <x:v>0</x:v>
      </x:c>
      <x:c r="H205" s="696">
        <x:f t="shared" si="6"/>
        <x:v>0</x:v>
      </x:c>
      <x:c r="I205" s="696">
        <x:f t="shared" si="6"/>
        <x:v>0</x:v>
      </x:c>
      <x:c r="J205" s="696">
        <x:f t="shared" si="6"/>
        <x:v>0</x:v>
      </x:c>
      <x:c r="K205" s="696">
        <x:f t="shared" si="6"/>
        <x:v>0</x:v>
      </x:c>
      <x:c r="L205" s="696">
        <x:f t="shared" si="6"/>
        <x:v>0</x:v>
      </x:c>
      <x:c r="M205" s="696">
        <x:f t="shared" si="6"/>
        <x:v>0</x:v>
      </x:c>
      <x:c r="N205" s="696">
        <x:f t="shared" si="6"/>
        <x:v>0</x:v>
      </x:c>
      <x:c r="O205" s="696">
        <x:f t="shared" si="6"/>
        <x:v>0</x:v>
      </x:c>
      <x:c r="P205" s="696">
        <x:f t="shared" si="6"/>
        <x:v>0</x:v>
      </x:c>
      <x:c r="Q205" s="696">
        <x:f t="shared" si="6"/>
        <x:v>0</x:v>
      </x:c>
      <x:c r="R205" s="696">
        <x:f t="shared" si="6"/>
        <x:v>0</x:v>
      </x:c>
      <x:c r="Z205" s="701"/>
    </x:row>
    <x:row r="206" spans="1:26" x14ac:dyDescent="0.2">
      <x:c r="A206" s="774"/>
      <x:c r="B206" s="773"/>
      <x:c r="C206" s="696" t="s">
        <x:v>73</x:v>
      </x:c>
      <x:c r="D206" s="696">
        <x:f>D198+D192</x:f>
        <x:v>0</x:v>
      </x:c>
      <x:c r="E206" s="683"/>
      <x:c r="F206" s="683"/>
      <x:c r="G206" s="683"/>
      <x:c r="H206" s="683"/>
      <x:c r="I206" s="683"/>
      <x:c r="J206" s="683"/>
      <x:c r="K206" s="683"/>
      <x:c r="L206" s="683"/>
      <x:c r="M206" s="683"/>
      <x:c r="N206" s="683"/>
      <x:c r="O206" s="683"/>
      <x:c r="P206" s="683"/>
      <x:c r="Q206" s="683"/>
      <x:c r="R206" s="683"/>
      <x:c r="Z206" s="701"/>
    </x:row>
    <x:row r="207" spans="1:26" ht="15" x14ac:dyDescent="0.25">
      <x:c r="A207" s="682"/>
      <x:c r="D207" s="683"/>
      <x:c r="E207" s="683"/>
      <x:c r="F207" s="683"/>
      <x:c r="G207" s="683"/>
      <x:c r="H207" s="683"/>
      <x:c r="I207" s="683"/>
      <x:c r="J207" s="683"/>
      <x:c r="K207" s="683"/>
      <x:c r="L207" s="683"/>
      <x:c r="M207" s="683"/>
      <x:c r="N207" s="683"/>
      <x:c r="O207" s="683"/>
      <x:c r="P207" s="683"/>
      <x:c r="Q207" s="683"/>
      <x:c r="R207" s="683"/>
      <x:c r="Z207" s="701"/>
    </x:row>
    <x:row r="208" spans="1:26" x14ac:dyDescent="0.2">
      <x:c r="A208" s="774" t="s">
        <x:v>160</x:v>
      </x:c>
      <x:c r="B208" s="773" t="s">
        <x:v>132</x:v>
      </x:c>
      <x:c r="C208" s="697" t="s">
        <x:v>70</x:v>
      </x:c>
      <x:c r="D208" s="697">
        <x:v>0</x:v>
      </x:c>
      <x:c r="E208" s="697">
        <x:v>0</x:v>
      </x:c>
      <x:c r="F208" s="697">
        <x:v>0</x:v>
      </x:c>
      <x:c r="G208" s="697">
        <x:v>0</x:v>
      </x:c>
      <x:c r="H208" s="697">
        <x:v>0</x:v>
      </x:c>
      <x:c r="I208" s="697">
        <x:v>0</x:v>
      </x:c>
      <x:c r="J208" s="697">
        <x:v>0</x:v>
      </x:c>
      <x:c r="K208" s="697">
        <x:v>0</x:v>
      </x:c>
      <x:c r="L208" s="697">
        <x:v>0</x:v>
      </x:c>
      <x:c r="M208" s="697">
        <x:v>0</x:v>
      </x:c>
      <x:c r="N208" s="697">
        <x:v>0</x:v>
      </x:c>
      <x:c r="O208" s="697">
        <x:v>0</x:v>
      </x:c>
      <x:c r="P208" s="697">
        <x:v>0</x:v>
      </x:c>
      <x:c r="Q208" s="697">
        <x:v>0</x:v>
      </x:c>
      <x:c r="R208" s="697">
        <x:v>0</x:v>
      </x:c>
      <x:c r="Z208" s="701"/>
    </x:row>
    <x:row r="209" spans="1:26" x14ac:dyDescent="0.2">
      <x:c r="A209" s="774"/>
      <x:c r="B209" s="773"/>
      <x:c r="C209" s="697" t="s">
        <x:v>73</x:v>
      </x:c>
      <x:c r="D209" s="697">
        <x:v>0</x:v>
      </x:c>
      <x:c r="E209" s="683"/>
      <x:c r="F209" s="683"/>
      <x:c r="G209" s="683"/>
      <x:c r="H209" s="683"/>
      <x:c r="I209" s="683"/>
      <x:c r="J209" s="683"/>
      <x:c r="K209" s="683"/>
      <x:c r="L209" s="683"/>
      <x:c r="M209" s="683"/>
      <x:c r="N209" s="683"/>
      <x:c r="O209" s="683"/>
      <x:c r="P209" s="683"/>
      <x:c r="Q209" s="683"/>
      <x:c r="R209" s="683"/>
      <x:c r="Z209" s="701"/>
    </x:row>
    <x:row r="210" spans="1:26" ht="15" x14ac:dyDescent="0.25">
      <x:c r="A210" s="682"/>
      <x:c r="D210" s="683"/>
      <x:c r="E210" s="683"/>
      <x:c r="F210" s="683"/>
      <x:c r="G210" s="683"/>
      <x:c r="H210" s="683"/>
      <x:c r="I210" s="683"/>
      <x:c r="J210" s="683"/>
      <x:c r="K210" s="683"/>
      <x:c r="L210" s="683"/>
      <x:c r="M210" s="683"/>
      <x:c r="N210" s="683"/>
      <x:c r="O210" s="683"/>
      <x:c r="P210" s="683"/>
      <x:c r="Q210" s="683"/>
      <x:c r="R210" s="683"/>
      <x:c r="Z210" s="701"/>
    </x:row>
    <x:row r="211" spans="1:26" x14ac:dyDescent="0.2">
      <x:c r="A211" s="774" t="s">
        <x:v>155</x:v>
      </x:c>
      <x:c r="B211" s="773" t="s">
        <x:v>132</x:v>
      </x:c>
      <x:c r="C211" s="698" t="s">
        <x:v>70</x:v>
      </x:c>
      <x:c r="D211" s="698">
        <x:f>D193-P193</x:f>
        <x:v>0</x:v>
      </x:c>
      <x:c r="E211" s="698">
        <x:f>E190</x:f>
        <x:v>0</x:v>
      </x:c>
      <x:c r="F211" s="698">
        <x:f t="shared" ref="F211:R211" si="7">F190</x:f>
        <x:v>0</x:v>
      </x:c>
      <x:c r="G211" s="698">
        <x:f t="shared" si="7"/>
        <x:v>0</x:v>
      </x:c>
      <x:c r="H211" s="698">
        <x:f t="shared" si="7"/>
        <x:v>0</x:v>
      </x:c>
      <x:c r="I211" s="698">
        <x:f t="shared" si="7"/>
        <x:v>0</x:v>
      </x:c>
      <x:c r="J211" s="698">
        <x:f t="shared" si="7"/>
        <x:v>0</x:v>
      </x:c>
      <x:c r="K211" s="698">
        <x:f t="shared" si="7"/>
        <x:v>0</x:v>
      </x:c>
      <x:c r="L211" s="698">
        <x:f t="shared" si="7"/>
        <x:v>0</x:v>
      </x:c>
      <x:c r="M211" s="698">
        <x:f t="shared" si="7"/>
        <x:v>0</x:v>
      </x:c>
      <x:c r="N211" s="698">
        <x:f t="shared" si="7"/>
        <x:v>0</x:v>
      </x:c>
      <x:c r="O211" s="698">
        <x:f t="shared" si="7"/>
        <x:v>0</x:v>
      </x:c>
      <x:c r="P211" s="698">
        <x:f t="shared" si="7"/>
        <x:v>0</x:v>
      </x:c>
      <x:c r="Q211" s="698">
        <x:f t="shared" si="7"/>
        <x:v>0</x:v>
      </x:c>
      <x:c r="R211" s="698">
        <x:f t="shared" si="7"/>
        <x:v>0</x:v>
      </x:c>
      <x:c r="Z211" s="701"/>
    </x:row>
    <x:row r="212" spans="1:26" x14ac:dyDescent="0.2">
      <x:c r="A212" s="774"/>
      <x:c r="B212" s="773"/>
      <x:c r="C212" s="698" t="s">
        <x:v>73</x:v>
      </x:c>
      <x:c r="D212" s="698">
        <x:f>D192</x:f>
        <x:v>0</x:v>
      </x:c>
      <x:c r="E212" s="683"/>
      <x:c r="F212" s="683"/>
      <x:c r="G212" s="683"/>
      <x:c r="H212" s="683"/>
      <x:c r="I212" s="683"/>
      <x:c r="J212" s="683"/>
      <x:c r="K212" s="683"/>
      <x:c r="L212" s="683"/>
      <x:c r="M212" s="683"/>
      <x:c r="N212" s="683"/>
      <x:c r="O212" s="683"/>
      <x:c r="P212" s="683"/>
      <x:c r="Q212" s="683"/>
      <x:c r="R212" s="683"/>
      <x:c r="Z212" s="701"/>
    </x:row>
    <x:row r="213" spans="1:26" ht="15" x14ac:dyDescent="0.2">
      <x:c r="A213" s="694"/>
      <x:c r="B213" s="695"/>
      <x:c r="C213" s="683"/>
      <x:c r="D213" s="683"/>
      <x:c r="E213" s="683"/>
      <x:c r="F213" s="683"/>
      <x:c r="G213" s="683"/>
      <x:c r="H213" s="683"/>
      <x:c r="I213" s="683"/>
      <x:c r="J213" s="683"/>
      <x:c r="K213" s="683"/>
      <x:c r="L213" s="683"/>
      <x:c r="M213" s="683"/>
      <x:c r="N213" s="683"/>
      <x:c r="O213" s="683"/>
      <x:c r="P213" s="683"/>
      <x:c r="Q213" s="683"/>
      <x:c r="R213" s="683"/>
      <x:c r="Z213" s="701"/>
    </x:row>
    <x:row r="214" spans="1:26" x14ac:dyDescent="0.2">
      <x:c r="A214" s="775" t="s">
        <x:v>326</x:v>
      </x:c>
      <x:c r="B214" s="773" t="s">
        <x:v>132</x:v>
      </x:c>
      <x:c r="C214" s="698" t="s">
        <x:v>70</x:v>
      </x:c>
      <x:c r="D214" s="699">
        <x:v>0</x:v>
      </x:c>
      <x:c r="E214" s="699">
        <x:v>0</x:v>
      </x:c>
      <x:c r="F214" s="699">
        <x:v>0</x:v>
      </x:c>
      <x:c r="G214" s="699">
        <x:v>0</x:v>
      </x:c>
      <x:c r="H214" s="699">
        <x:v>0</x:v>
      </x:c>
      <x:c r="I214" s="699">
        <x:v>0</x:v>
      </x:c>
      <x:c r="J214" s="699">
        <x:v>0</x:v>
      </x:c>
      <x:c r="K214" s="699">
        <x:v>0</x:v>
      </x:c>
      <x:c r="L214" s="699">
        <x:v>0</x:v>
      </x:c>
      <x:c r="M214" s="699">
        <x:v>0</x:v>
      </x:c>
      <x:c r="N214" s="699">
        <x:v>0</x:v>
      </x:c>
      <x:c r="O214" s="699">
        <x:v>0</x:v>
      </x:c>
      <x:c r="P214" s="699">
        <x:v>0</x:v>
      </x:c>
      <x:c r="Q214" s="699">
        <x:v>0</x:v>
      </x:c>
      <x:c r="R214" s="699">
        <x:v>0</x:v>
      </x:c>
      <x:c r="Z214" s="701"/>
    </x:row>
    <x:row r="215" spans="1:26" x14ac:dyDescent="0.2">
      <x:c r="A215" s="775"/>
      <x:c r="B215" s="773"/>
      <x:c r="C215" s="698" t="s">
        <x:v>73</x:v>
      </x:c>
      <x:c r="D215" s="699">
        <x:v>0</x:v>
      </x:c>
      <x:c r="E215" s="683"/>
      <x:c r="F215" s="683"/>
      <x:c r="G215" s="683"/>
      <x:c r="H215" s="683"/>
      <x:c r="I215" s="683"/>
      <x:c r="J215" s="683"/>
      <x:c r="K215" s="683"/>
      <x:c r="L215" s="683"/>
      <x:c r="M215" s="683"/>
      <x:c r="N215" s="683"/>
      <x:c r="O215" s="683"/>
      <x:c r="P215" s="683"/>
      <x:c r="Q215" s="683"/>
      <x:c r="Z215" s="701"/>
    </x:row>
    <x:row r="216" spans="1:26" ht="15" x14ac:dyDescent="0.25">
      <x:c r="A216" s="682"/>
      <x:c r="D216" s="683"/>
      <x:c r="E216" s="683"/>
      <x:c r="F216" s="683"/>
      <x:c r="G216" s="683"/>
      <x:c r="H216" s="683"/>
      <x:c r="I216" s="683"/>
      <x:c r="J216" s="683"/>
      <x:c r="K216" s="683"/>
      <x:c r="L216" s="683"/>
      <x:c r="M216" s="683"/>
      <x:c r="N216" s="683"/>
      <x:c r="O216" s="683"/>
      <x:c r="P216" s="683"/>
      <x:c r="Q216" s="683"/>
      <x:c r="R216" s="683"/>
      <x:c r="Z216" s="701"/>
    </x:row>
    <x:row r="217" spans="1:26" x14ac:dyDescent="0.2">
      <x:c r="A217" s="774" t="s">
        <x:v>119</x:v>
      </x:c>
      <x:c r="B217" s="773" t="s">
        <x:v>132</x:v>
      </x:c>
      <x:c r="C217" s="691" t="s">
        <x:v>70</x:v>
      </x:c>
      <x:c r="D217" s="691">
        <x:f>D199-P199</x:f>
        <x:v>0</x:v>
      </x:c>
      <x:c r="E217" s="691">
        <x:f>E196</x:f>
        <x:v>0</x:v>
      </x:c>
      <x:c r="F217" s="691">
        <x:f t="shared" ref="F217:R217" si="8">F196</x:f>
        <x:v>0</x:v>
      </x:c>
      <x:c r="G217" s="691">
        <x:f t="shared" si="8"/>
        <x:v>0</x:v>
      </x:c>
      <x:c r="H217" s="691">
        <x:f t="shared" si="8"/>
        <x:v>0</x:v>
      </x:c>
      <x:c r="I217" s="691">
        <x:f t="shared" si="8"/>
        <x:v>0</x:v>
      </x:c>
      <x:c r="J217" s="691">
        <x:f t="shared" si="8"/>
        <x:v>0</x:v>
      </x:c>
      <x:c r="K217" s="691">
        <x:f t="shared" si="8"/>
        <x:v>0</x:v>
      </x:c>
      <x:c r="L217" s="691">
        <x:f t="shared" si="8"/>
        <x:v>0</x:v>
      </x:c>
      <x:c r="M217" s="691">
        <x:f t="shared" si="8"/>
        <x:v>0</x:v>
      </x:c>
      <x:c r="N217" s="691">
        <x:f t="shared" si="8"/>
        <x:v>0</x:v>
      </x:c>
      <x:c r="O217" s="691">
        <x:f t="shared" si="8"/>
        <x:v>0</x:v>
      </x:c>
      <x:c r="P217" s="691">
        <x:f t="shared" si="8"/>
        <x:v>0</x:v>
      </x:c>
      <x:c r="Q217" s="691">
        <x:f t="shared" si="8"/>
        <x:v>0</x:v>
      </x:c>
      <x:c r="R217" s="691">
        <x:f t="shared" si="8"/>
        <x:v>0</x:v>
      </x:c>
      <x:c r="Z217" s="701"/>
    </x:row>
    <x:row r="218" spans="1:26" x14ac:dyDescent="0.2">
      <x:c r="A218" s="774"/>
      <x:c r="B218" s="773"/>
      <x:c r="C218" s="691" t="s">
        <x:v>73</x:v>
      </x:c>
      <x:c r="D218" s="691">
        <x:f>D198</x:f>
        <x:v>0</x:v>
      </x:c>
      <x:c r="E218" s="683"/>
      <x:c r="F218" s="683"/>
      <x:c r="G218" s="683"/>
      <x:c r="H218" s="683"/>
      <x:c r="I218" s="683"/>
      <x:c r="J218" s="683"/>
      <x:c r="K218" s="683"/>
      <x:c r="L218" s="683"/>
      <x:c r="M218" s="683"/>
      <x:c r="N218" s="683"/>
      <x:c r="O218" s="683"/>
      <x:c r="P218" s="683"/>
      <x:c r="Q218" s="683"/>
      <x:c r="R218" s="683"/>
      <x:c r="Z218" s="701"/>
    </x:row>
    <x:row r="219" spans="1:26" ht="15" x14ac:dyDescent="0.25">
      <x:c r="A219" s="682"/>
      <x:c r="D219" s="683"/>
      <x:c r="E219" s="683"/>
      <x:c r="F219" s="683"/>
      <x:c r="G219" s="683"/>
      <x:c r="H219" s="683"/>
      <x:c r="I219" s="683"/>
      <x:c r="J219" s="683"/>
      <x:c r="K219" s="683"/>
      <x:c r="L219" s="683"/>
      <x:c r="M219" s="683"/>
      <x:c r="N219" s="683"/>
      <x:c r="O219" s="683"/>
      <x:c r="P219" s="683"/>
      <x:c r="Q219" s="683"/>
      <x:c r="R219" s="683"/>
      <x:c r="Z219" s="701"/>
    </x:row>
    <x:row r="220" spans="1:26" x14ac:dyDescent="0.2">
      <x:c r="A220" s="772" t="s">
        <x:v>161</x:v>
      </x:c>
      <x:c r="B220" s="773" t="s">
        <x:v>132</x:v>
      </x:c>
      <x:c r="C220" s="700" t="s">
        <x:v>70</x:v>
      </x:c>
      <x:c r="D220" s="700">
        <x:v>0</x:v>
      </x:c>
      <x:c r="E220" s="700">
        <x:v>0</x:v>
      </x:c>
      <x:c r="F220" s="700">
        <x:v>0</x:v>
      </x:c>
      <x:c r="G220" s="700">
        <x:v>0</x:v>
      </x:c>
      <x:c r="H220" s="700">
        <x:v>0</x:v>
      </x:c>
      <x:c r="I220" s="700">
        <x:v>0</x:v>
      </x:c>
      <x:c r="J220" s="700">
        <x:v>0</x:v>
      </x:c>
      <x:c r="K220" s="700">
        <x:v>0</x:v>
      </x:c>
      <x:c r="L220" s="700">
        <x:v>0</x:v>
      </x:c>
      <x:c r="M220" s="700">
        <x:v>0</x:v>
      </x:c>
      <x:c r="N220" s="700">
        <x:v>0</x:v>
      </x:c>
      <x:c r="O220" s="700">
        <x:v>0</x:v>
      </x:c>
      <x:c r="P220" s="700">
        <x:v>0</x:v>
      </x:c>
      <x:c r="Q220" s="700">
        <x:v>0</x:v>
      </x:c>
      <x:c r="R220" s="700">
        <x:v>0</x:v>
      </x:c>
      <x:c r="Z220" s="701"/>
    </x:row>
    <x:row r="221" spans="1:26" x14ac:dyDescent="0.2">
      <x:c r="A221" s="772"/>
      <x:c r="B221" s="773"/>
      <x:c r="C221" s="700" t="s">
        <x:v>73</x:v>
      </x:c>
      <x:c r="D221" s="700">
        <x:v>0</x:v>
      </x:c>
      <x:c r="E221" s="683"/>
      <x:c r="F221" s="683"/>
      <x:c r="G221" s="683"/>
      <x:c r="H221" s="683"/>
      <x:c r="I221" s="683"/>
      <x:c r="J221" s="683"/>
      <x:c r="K221" s="683"/>
      <x:c r="L221" s="683"/>
      <x:c r="M221" s="683"/>
      <x:c r="N221" s="683"/>
      <x:c r="O221" s="683"/>
      <x:c r="P221" s="683"/>
      <x:c r="Q221" s="683"/>
      <x:c r="Z221" s="701"/>
    </x:row>
    <x:row r="222" spans="1:26" x14ac:dyDescent="0.2">
      <x:c r="A222" s="701"/>
      <x:c r="B222" s="701"/>
      <x:c r="C222" s="701"/>
      <x:c r="D222" s="701"/>
      <x:c r="E222" s="701"/>
      <x:c r="F222" s="701"/>
      <x:c r="G222" s="701"/>
      <x:c r="H222" s="701"/>
      <x:c r="I222" s="701"/>
      <x:c r="J222" s="701"/>
      <x:c r="K222" s="701"/>
      <x:c r="L222" s="701"/>
      <x:c r="M222" s="701"/>
      <x:c r="N222" s="701"/>
      <x:c r="O222" s="701"/>
      <x:c r="P222" s="701"/>
      <x:c r="Q222" s="701"/>
      <x:c r="R222" s="701"/>
      <x:c r="S222" s="701"/>
      <x:c r="T222" s="701"/>
      <x:c r="U222" s="701"/>
      <x:c r="V222" s="701"/>
      <x:c r="W222" s="701"/>
      <x:c r="X222" s="701"/>
      <x:c r="Y222" s="701"/>
      <x:c r="Z222" s="701"/>
    </x:row>
    <x:row r="223" spans="1:26" ht="15" x14ac:dyDescent="0.25">
      <x:c r="B223" s="707" t="s">
        <x:v>88</x:v>
      </x:c>
      <x:c r="Z223" s="701"/>
    </x:row>
    <x:row r="224" spans="1:26" s="682" customFormat="1" ht="15" x14ac:dyDescent="0.25">
      <x:c r="D224" s="704" t="s">
        <x:v>70</x:v>
      </x:c>
      <x:c r="E224" s="704" t="s">
        <x:v>64</x:v>
      </x:c>
      <x:c r="F224" s="704" t="s">
        <x:v>65</x:v>
      </x:c>
      <x:c r="G224" s="705" t="s">
        <x:v>164</x:v>
      </x:c>
      <x:c r="H224" s="704" t="s">
        <x:v>69</x:v>
      </x:c>
      <x:c r="I224" s="704" t="s">
        <x:v>68</x:v>
      </x:c>
      <x:c r="J224" s="704" t="s">
        <x:v>66</x:v>
      </x:c>
      <x:c r="K224" s="704" t="s">
        <x:v>63</x:v>
      </x:c>
      <x:c r="L224" s="704" t="s">
        <x:v>61</x:v>
      </x:c>
      <x:c r="M224" s="704" t="s">
        <x:v>62</x:v>
      </x:c>
      <x:c r="N224" s="704" t="s">
        <x:v>67</x:v>
      </x:c>
      <x:c r="O224" s="704" t="s">
        <x:v>77</x:v>
      </x:c>
      <x:c r="P224" s="682" t="s">
        <x:v>71</x:v>
      </x:c>
      <x:c r="Q224" s="704" t="s">
        <x:v>80</x:v>
      </x:c>
      <x:c r="R224" s="682" t="s">
        <x:v>167</x:v>
      </x:c>
      <x:c r="Z224" s="706"/>
    </x:row>
    <x:row r="225" spans="1:26" x14ac:dyDescent="0.2">
      <x:c r="C225" s="681" t="s">
        <x:v>72</x:v>
      </x:c>
      <x:c r="D225" s="683" t="n">
        <x:v>-16028063.95</x:v>
      </x:c>
      <x:c r="E225" s="683" t="n">
        <x:v>-894905.66</x:v>
      </x:c>
      <x:c r="F225" s="683" t="n">
        <x:v>-492355.87</x:v>
      </x:c>
      <x:c r="G225" s="683" t="n">
        <x:v>-260069.56</x:v>
      </x:c>
      <x:c r="H225" s="683" t="n">
        <x:v>-3577229.84</x:v>
      </x:c>
      <x:c r="I225" s="683" t="n">
        <x:v>-128056.41</x:v>
      </x:c>
      <x:c r="J225" s="683" t="n">
        <x:v>-1134137.25</x:v>
      </x:c>
      <x:c r="K225" s="683" t="n">
        <x:v>-1154847.25</x:v>
      </x:c>
      <x:c r="L225" s="683" t="n">
        <x:v>-5786675.89</x:v>
      </x:c>
      <x:c r="M225" s="683" t="n">
        <x:v>-2388637.95</x:v>
      </x:c>
      <x:c r="N225" s="683" t="n">
        <x:v>-211133.08</x:v>
      </x:c>
      <x:c r="O225" s="683" t="n">
        <x:v>-15.19</x:v>
      </x:c>
      <x:c r="P225" s="683">
        <x:v>0</x:v>
      </x:c>
      <x:c r="Q225" s="683">
        <x:v>0</x:v>
      </x:c>
      <x:c r="R225" s="681">
        <x:v>0</x:v>
      </x:c>
      <x:c r="Z225" s="701"/>
    </x:row>
    <x:row r="226" spans="1:26" x14ac:dyDescent="0.2">
      <x:c r="C226" s="681" t="s">
        <x:v>81</x:v>
      </x:c>
      <x:c r="D226" s="683" t="n">
        <x:v>-873377.98</x:v>
      </x:c>
      <x:c r="E226" s="683" t="n">
        <x:v>-87078.56</x:v>
      </x:c>
      <x:c r="F226" s="683" t="n">
        <x:v>-39363.66</x:v>
      </x:c>
      <x:c r="G226" s="683" t="n">
        <x:v>-16918.14</x:v>
      </x:c>
      <x:c r="H226" s="683" t="n">
        <x:v>-156091.38</x:v>
      </x:c>
      <x:c r="I226" s="683" t="n">
        <x:v>-5880.81</x:v>
      </x:c>
      <x:c r="J226" s="683" t="n">
        <x:v>-52156.61</x:v>
      </x:c>
      <x:c r="K226" s="683" t="n">
        <x:v>-64640.54</x:v>
      </x:c>
      <x:c r="L226" s="683" t="n">
        <x:v>-223252.32</x:v>
      </x:c>
      <x:c r="M226" s="683" t="n">
        <x:v>-218532.37</x:v>
      </x:c>
      <x:c r="N226" s="683" t="n">
        <x:v>-9702.68</x:v>
      </x:c>
      <x:c r="O226" s="683" t="n">
        <x:v>6.65</x:v>
      </x:c>
      <x:c r="P226" s="683">
        <x:v>0</x:v>
      </x:c>
      <x:c r="Q226" s="683">
        <x:v>0</x:v>
      </x:c>
      <x:c r="R226" s="681">
        <x:v>0</x:v>
      </x:c>
      <x:c r="Z226" s="701"/>
    </x:row>
    <x:row r="227" spans="1:26" x14ac:dyDescent="0.2">
      <x:c r="A227" s="684"/>
      <x:c r="B227" s="685" t="s">
        <x:v>78</x:v>
      </x:c>
      <x:c r="C227" s="685" t="s">
        <x:v>70</x:v>
      </x:c>
      <x:c r="D227" s="685" t="n">
        <x:v>-16901441.93</x:v>
      </x:c>
      <x:c r="E227" s="685" t="n">
        <x:v>-981984.22</x:v>
      </x:c>
      <x:c r="F227" s="685" t="n">
        <x:v>-531719.53</x:v>
      </x:c>
      <x:c r="G227" s="685" t="n">
        <x:v>-276987.7</x:v>
      </x:c>
      <x:c r="H227" s="685" t="n">
        <x:v>-3733321.22</x:v>
      </x:c>
      <x:c r="I227" s="685" t="n">
        <x:v>-133937.22</x:v>
      </x:c>
      <x:c r="J227" s="685" t="n">
        <x:v>-1186293.86</x:v>
      </x:c>
      <x:c r="K227" s="685" t="n">
        <x:v>-1219487.79</x:v>
      </x:c>
      <x:c r="L227" s="685" t="n">
        <x:v>-6009928.21</x:v>
      </x:c>
      <x:c r="M227" s="685" t="n">
        <x:v>-2607170.32</x:v>
      </x:c>
      <x:c r="N227" s="685" t="n">
        <x:v>-220835.76</x:v>
      </x:c>
      <x:c r="O227" s="685" t="n">
        <x:v>-8.54</x:v>
      </x:c>
      <x:c r="P227" s="684">
        <x:v>0</x:v>
      </x:c>
      <x:c r="Q227" s="685">
        <x:v>0</x:v>
      </x:c>
      <x:c r="R227" s="685">
        <x:v>0</x:v>
      </x:c>
      <x:c r="S227" s="684"/>
      <x:c r="T227" s="684"/>
      <x:c r="U227" s="684"/>
      <x:c r="V227" s="684"/>
      <x:c r="W227" s="684"/>
      <x:c r="X227" s="684"/>
      <x:c r="Y227" s="684"/>
      <x:c r="Z227" s="701"/>
    </x:row>
    <x:row r="228" spans="1:26" x14ac:dyDescent="0.2">
      <x:c r="C228" s="681" t="s">
        <x:v>73</x:v>
      </x:c>
      <x:c r="D228" s="683" t="n">
        <x:v>2262595.93</x:v>
      </x:c>
      <x:c r="E228" s="683" t="n">
        <x:v>33634.28</x:v>
      </x:c>
      <x:c r="F228" s="683" t="n">
        <x:v>15223.86</x:v>
      </x:c>
      <x:c r="G228" s="683" t="n">
        <x:v>8043.35</x:v>
      </x:c>
      <x:c r="H228" s="683" t="n">
        <x:v>652911.02</x:v>
      </x:c>
      <x:c r="I228" s="683" t="n">
        <x:v>21769</x:v>
      </x:c>
      <x:c r="J228" s="683" t="n">
        <x:v>190935.03</x:v>
      </x:c>
      <x:c r="K228" s="683" t="n">
        <x:v>209235.4</x:v>
      </x:c>
      <x:c r="L228" s="683" t="n">
        <x:v>1005246.76</x:v>
      </x:c>
      <x:c r="M228" s="683" t="n">
        <x:v>90086.02</x:v>
      </x:c>
      <x:c r="N228" s="683" t="n">
        <x:v>35511.21</x:v>
      </x:c>
      <x:c r="O228" s="683" t="n">
        <x:v>0</x:v>
      </x:c>
      <x:c r="P228" s="683">
        <x:v>0</x:v>
      </x:c>
      <x:c r="Q228" s="683">
        <x:v>0</x:v>
      </x:c>
      <x:c r="R228" s="681">
        <x:v>0</x:v>
      </x:c>
      <x:c r="Z228" s="701"/>
    </x:row>
    <x:row r="229" spans="1:26" x14ac:dyDescent="0.2">
      <x:c r="A229" s="686"/>
      <x:c r="B229" s="687" t="s">
        <x:v>79</x:v>
      </x:c>
      <x:c r="C229" s="687" t="s">
        <x:v>70</x:v>
      </x:c>
      <x:c r="D229" s="687" t="n">
        <x:v>2262595.93</x:v>
      </x:c>
      <x:c r="E229" s="687" t="n">
        <x:v>33634.28</x:v>
      </x:c>
      <x:c r="F229" s="687" t="n">
        <x:v>15223.86</x:v>
      </x:c>
      <x:c r="G229" s="687" t="n">
        <x:v>8043.35</x:v>
      </x:c>
      <x:c r="H229" s="687" t="n">
        <x:v>652911.02</x:v>
      </x:c>
      <x:c r="I229" s="687" t="n">
        <x:v>21769</x:v>
      </x:c>
      <x:c r="J229" s="687" t="n">
        <x:v>190935.03</x:v>
      </x:c>
      <x:c r="K229" s="687" t="n">
        <x:v>209235.4</x:v>
      </x:c>
      <x:c r="L229" s="687" t="n">
        <x:v>1005246.76</x:v>
      </x:c>
      <x:c r="M229" s="687" t="n">
        <x:v>90086.02</x:v>
      </x:c>
      <x:c r="N229" s="687" t="n">
        <x:v>35511.21</x:v>
      </x:c>
      <x:c r="O229" s="687" t="n">
        <x:v>0</x:v>
      </x:c>
      <x:c r="P229" s="686">
        <x:v>0</x:v>
      </x:c>
      <x:c r="Q229" s="687">
        <x:v>0</x:v>
      </x:c>
      <x:c r="R229" s="687">
        <x:v>0</x:v>
      </x:c>
      <x:c r="S229" s="686"/>
      <x:c r="T229" s="686"/>
      <x:c r="U229" s="686"/>
      <x:c r="V229" s="686"/>
      <x:c r="W229" s="686"/>
      <x:c r="X229" s="686"/>
      <x:c r="Y229" s="686"/>
      <x:c r="Z229" s="701"/>
    </x:row>
    <x:row r="230" spans="1:26" x14ac:dyDescent="0.2">
      <x:c r="A230" s="688" t="s">
        <x:v>155</x:v>
      </x:c>
      <x:c r="B230" s="688" t="s">
        <x:v>70</x:v>
      </x:c>
      <x:c r="C230" s="688"/>
      <x:c r="D230" s="689" t="n">
        <x:v>-14638846</x:v>
      </x:c>
      <x:c r="E230" s="689" t="n">
        <x:v>-948349.94</x:v>
      </x:c>
      <x:c r="F230" s="689" t="n">
        <x:v>-516495.67</x:v>
      </x:c>
      <x:c r="G230" s="689" t="n">
        <x:v>-268944.35</x:v>
      </x:c>
      <x:c r="H230" s="689" t="n">
        <x:v>-3080410.2</x:v>
      </x:c>
      <x:c r="I230" s="689" t="n">
        <x:v>-112168.22</x:v>
      </x:c>
      <x:c r="J230" s="689" t="n">
        <x:v>-995358.83</x:v>
      </x:c>
      <x:c r="K230" s="689" t="n">
        <x:v>-1010252.39</x:v>
      </x:c>
      <x:c r="L230" s="689" t="n">
        <x:v>-5004681.45</x:v>
      </x:c>
      <x:c r="M230" s="689" t="n">
        <x:v>-2517084.3</x:v>
      </x:c>
      <x:c r="N230" s="689" t="n">
        <x:v>-185324.55</x:v>
      </x:c>
      <x:c r="O230" s="689" t="n">
        <x:v>-8.54</x:v>
      </x:c>
      <x:c r="P230" s="689">
        <x:v>0</x:v>
      </x:c>
      <x:c r="Q230" s="689">
        <x:v>0</x:v>
      </x:c>
      <x:c r="R230" s="688">
        <x:v>0</x:v>
      </x:c>
      <x:c r="S230" s="688"/>
      <x:c r="T230" s="688"/>
      <x:c r="U230" s="688"/>
      <x:c r="V230" s="688"/>
      <x:c r="W230" s="688"/>
      <x:c r="X230" s="688"/>
      <x:c r="Y230" s="688"/>
      <x:c r="Z230" s="701"/>
    </x:row>
    <x:row r="231" spans="1:26" x14ac:dyDescent="0.2">
      <x:c r="C231" s="681" t="s">
        <x:v>72</x:v>
      </x:c>
      <x:c r="D231" s="683" t="n">
        <x:v>-565175.82</x:v>
      </x:c>
      <x:c r="E231" s="683" t="n">
        <x:v>-37306.34</x:v>
      </x:c>
      <x:c r="F231" s="683" t="n">
        <x:v>-19442.38</x:v>
      </x:c>
      <x:c r="G231" s="683" t="n">
        <x:v>-11255.47</x:v>
      </x:c>
      <x:c r="H231" s="683" t="n">
        <x:v>-125115.98</x:v>
      </x:c>
      <x:c r="I231" s="683" t="n">
        <x:v>-3102.84</x:v>
      </x:c>
      <x:c r="J231" s="683" t="n">
        <x:v>-27218.32</x:v>
      </x:c>
      <x:c r="K231" s="683" t="n">
        <x:v>-39044.45</x:v>
      </x:c>
      <x:c r="L231" s="683" t="n">
        <x:v>-198435.12</x:v>
      </x:c>
      <x:c r="M231" s="683" t="n">
        <x:v>-99198.9</x:v>
      </x:c>
      <x:c r="N231" s="683" t="n">
        <x:v>-5062.58</x:v>
      </x:c>
      <x:c r="O231" s="683" t="n">
        <x:v>6.56</x:v>
      </x:c>
      <x:c r="P231" s="683">
        <x:v>0</x:v>
      </x:c>
      <x:c r="Q231" s="683">
        <x:v>0</x:v>
      </x:c>
      <x:c r="R231" s="681">
        <x:v>0</x:v>
      </x:c>
      <x:c r="Z231" s="701"/>
    </x:row>
    <x:row r="232" spans="1:26" x14ac:dyDescent="0.2">
      <x:c r="C232" s="681" t="s">
        <x:v>81</x:v>
      </x:c>
      <x:c r="D232" s="683" t="n">
        <x:v>-8.36</x:v>
      </x:c>
      <x:c r="E232" s="683" t="n">
        <x:v>-0.84</x:v>
      </x:c>
      <x:c r="F232" s="683" t="n">
        <x:v>-0.39</x:v>
      </x:c>
      <x:c r="G232" s="683" t="n">
        <x:v>-0.21</x:v>
      </x:c>
      <x:c r="H232" s="683" t="n">
        <x:v>-1.63</x:v>
      </x:c>
      <x:c r="I232" s="683" t="n">
        <x:v>-0.04</x:v>
      </x:c>
      <x:c r="J232" s="683" t="n">
        <x:v>-0.35</x:v>
      </x:c>
      <x:c r="K232" s="683" t="n">
        <x:v>-0.43</x:v>
      </x:c>
      <x:c r="L232" s="683" t="n">
        <x:v>-2.12</x:v>
      </x:c>
      <x:c r="M232" s="683" t="n">
        <x:v>-2.28</x:v>
      </x:c>
      <x:c r="N232" s="683" t="n">
        <x:v>-0.07</x:v>
      </x:c>
      <x:c r="O232" s="683" t="n">
        <x:v>0</x:v>
      </x:c>
      <x:c r="P232" s="683">
        <x:v>0</x:v>
      </x:c>
      <x:c r="Q232" s="683">
        <x:v>0</x:v>
      </x:c>
      <x:c r="R232" s="681">
        <x:v>0</x:v>
      </x:c>
      <x:c r="Z232" s="701"/>
    </x:row>
    <x:row r="233" spans="1:26" x14ac:dyDescent="0.2">
      <x:c r="A233" s="684"/>
      <x:c r="B233" s="685" t="s">
        <x:v>78</x:v>
      </x:c>
      <x:c r="C233" s="685" t="s">
        <x:v>70</x:v>
      </x:c>
      <x:c r="D233" s="685" t="n">
        <x:v>-565184.18</x:v>
      </x:c>
      <x:c r="E233" s="685" t="n">
        <x:v>-37307.18</x:v>
      </x:c>
      <x:c r="F233" s="685" t="n">
        <x:v>-19442.77</x:v>
      </x:c>
      <x:c r="G233" s="685" t="n">
        <x:v>-11255.68</x:v>
      </x:c>
      <x:c r="H233" s="685" t="n">
        <x:v>-125117.61</x:v>
      </x:c>
      <x:c r="I233" s="685" t="n">
        <x:v>-3102.88</x:v>
      </x:c>
      <x:c r="J233" s="685" t="n">
        <x:v>-27218.67</x:v>
      </x:c>
      <x:c r="K233" s="685" t="n">
        <x:v>-39044.88</x:v>
      </x:c>
      <x:c r="L233" s="685" t="n">
        <x:v>-198437.24</x:v>
      </x:c>
      <x:c r="M233" s="685" t="n">
        <x:v>-99201.18</x:v>
      </x:c>
      <x:c r="N233" s="685" t="n">
        <x:v>-5062.65</x:v>
      </x:c>
      <x:c r="O233" s="685" t="n">
        <x:v>6.56</x:v>
      </x:c>
      <x:c r="P233" s="684">
        <x:v>0</x:v>
      </x:c>
      <x:c r="Q233" s="685">
        <x:v>0</x:v>
      </x:c>
      <x:c r="R233" s="685">
        <x:v>0</x:v>
      </x:c>
      <x:c r="S233" s="684"/>
      <x:c r="T233" s="684"/>
      <x:c r="U233" s="684"/>
      <x:c r="V233" s="684"/>
      <x:c r="W233" s="684"/>
      <x:c r="X233" s="684"/>
      <x:c r="Y233" s="684"/>
      <x:c r="Z233" s="701"/>
    </x:row>
    <x:row r="234" spans="1:26" x14ac:dyDescent="0.2">
      <x:c r="C234" s="681" t="s">
        <x:v>73</x:v>
      </x:c>
      <x:c r="D234" s="683" t="n">
        <x:v>15644.18</x:v>
      </x:c>
      <x:c r="E234" s="683" t="n">
        <x:v>-3723.05</x:v>
      </x:c>
      <x:c r="F234" s="683" t="n">
        <x:v>-2050.97</x:v>
      </x:c>
      <x:c r="G234" s="683" t="n">
        <x:v>-1232.73</x:v>
      </x:c>
      <x:c r="H234" s="683" t="n">
        <x:v>10995.31</x:v>
      </x:c>
      <x:c r="I234" s="683" t="n">
        <x:v>269.17</x:v>
      </x:c>
      <x:c r="J234" s="683" t="n">
        <x:v>2361.18</x:v>
      </x:c>
      <x:c r="K234" s="683" t="n">
        <x:v>3071.33</x:v>
      </x:c>
      <x:c r="L234" s="683" t="n">
        <x:v>15308.82</x:v>
      </x:c>
      <x:c r="M234" s="683" t="n">
        <x:v>-9794.02</x:v>
      </x:c>
      <x:c r="N234" s="683" t="n">
        <x:v>439.14</x:v>
      </x:c>
      <x:c r="O234" s="683" t="n">
        <x:v>0</x:v>
      </x:c>
      <x:c r="P234" s="683">
        <x:v>0</x:v>
      </x:c>
      <x:c r="Q234" s="683">
        <x:v>0</x:v>
      </x:c>
      <x:c r="R234" s="681">
        <x:v>0</x:v>
      </x:c>
      <x:c r="Z234" s="701"/>
    </x:row>
    <x:row r="235" spans="1:26" x14ac:dyDescent="0.2">
      <x:c r="A235" s="686"/>
      <x:c r="B235" s="687" t="s">
        <x:v>79</x:v>
      </x:c>
      <x:c r="C235" s="687" t="s">
        <x:v>70</x:v>
      </x:c>
      <x:c r="D235" s="687" t="n">
        <x:v>15644.18</x:v>
      </x:c>
      <x:c r="E235" s="687" t="n">
        <x:v>-3723.05</x:v>
      </x:c>
      <x:c r="F235" s="687" t="n">
        <x:v>-2050.97</x:v>
      </x:c>
      <x:c r="G235" s="687" t="n">
        <x:v>-1232.73</x:v>
      </x:c>
      <x:c r="H235" s="687" t="n">
        <x:v>10995.31</x:v>
      </x:c>
      <x:c r="I235" s="687" t="n">
        <x:v>269.17</x:v>
      </x:c>
      <x:c r="J235" s="687" t="n">
        <x:v>2361.18</x:v>
      </x:c>
      <x:c r="K235" s="687" t="n">
        <x:v>3071.33</x:v>
      </x:c>
      <x:c r="L235" s="687" t="n">
        <x:v>15308.82</x:v>
      </x:c>
      <x:c r="M235" s="687" t="n">
        <x:v>-9794.02</x:v>
      </x:c>
      <x:c r="N235" s="687" t="n">
        <x:v>439.14</x:v>
      </x:c>
      <x:c r="O235" s="687" t="n">
        <x:v>0</x:v>
      </x:c>
      <x:c r="P235" s="686">
        <x:v>0</x:v>
      </x:c>
      <x:c r="Q235" s="687">
        <x:v>0</x:v>
      </x:c>
      <x:c r="R235" s="687">
        <x:v>0</x:v>
      </x:c>
      <x:c r="S235" s="686"/>
      <x:c r="T235" s="686"/>
      <x:c r="U235" s="686"/>
      <x:c r="V235" s="686"/>
      <x:c r="W235" s="686"/>
      <x:c r="X235" s="686"/>
      <x:c r="Y235" s="686"/>
      <x:c r="Z235" s="701"/>
    </x:row>
    <x:row r="236" spans="1:26" x14ac:dyDescent="0.2">
      <x:c r="A236" s="702" t="s">
        <x:v>120</x:v>
      </x:c>
      <x:c r="B236" s="702" t="s">
        <x:v>70</x:v>
      </x:c>
      <x:c r="C236" s="702"/>
      <x:c r="D236" s="703" t="n">
        <x:v>-549540</x:v>
      </x:c>
      <x:c r="E236" s="703" t="n">
        <x:v>-41030.23</x:v>
      </x:c>
      <x:c r="F236" s="703" t="n">
        <x:v>-21493.74</x:v>
      </x:c>
      <x:c r="G236" s="703" t="n">
        <x:v>-12488.41</x:v>
      </x:c>
      <x:c r="H236" s="703" t="n">
        <x:v>-114122.3</x:v>
      </x:c>
      <x:c r="I236" s="703" t="n">
        <x:v>-2833.71</x:v>
      </x:c>
      <x:c r="J236" s="703" t="n">
        <x:v>-24857.49</x:v>
      </x:c>
      <x:c r="K236" s="703" t="n">
        <x:v>-35973.55</x:v>
      </x:c>
      <x:c r="L236" s="703" t="n">
        <x:v>-183128.42</x:v>
      </x:c>
      <x:c r="M236" s="703" t="n">
        <x:v>-108995.2</x:v>
      </x:c>
      <x:c r="N236" s="703" t="n">
        <x:v>-4623.51</x:v>
      </x:c>
      <x:c r="O236" s="703" t="n">
        <x:v>6.56</x:v>
      </x:c>
      <x:c r="P236" s="703">
        <x:v>0</x:v>
      </x:c>
      <x:c r="Q236" s="703">
        <x:v>0</x:v>
      </x:c>
      <x:c r="R236" s="702">
        <x:v>0</x:v>
      </x:c>
      <x:c r="S236" s="702"/>
      <x:c r="T236" s="702"/>
      <x:c r="U236" s="702"/>
      <x:c r="V236" s="702"/>
      <x:c r="W236" s="702"/>
      <x:c r="X236" s="702"/>
      <x:c r="Y236" s="702"/>
      <x:c r="Z236" s="701"/>
    </x:row>
    <x:row r="237" spans="1:26" x14ac:dyDescent="0.2">
      <x:c r="C237" s="681" t="s">
        <x:v>72</x:v>
      </x:c>
      <x:c r="D237" s="683" t="n">
        <x:v>-862480.46</x:v>
      </x:c>
      <x:c r="E237" s="683" t="n">
        <x:v>-39715.51</x:v>
      </x:c>
      <x:c r="F237" s="683" t="n">
        <x:v>-22469.48</x:v>
      </x:c>
      <x:c r="G237" s="683" t="n">
        <x:v>-11974.92</x:v>
      </x:c>
      <x:c r="H237" s="683" t="n">
        <x:v>-209441.11</x:v>
      </x:c>
      <x:c r="I237" s="683" t="n">
        <x:v>-7713.34</x:v>
      </x:c>
      <x:c r="J237" s="683" t="n">
        <x:v>-64306.22</x:v>
      </x:c>
      <x:c r="K237" s="683" t="n">
        <x:v>-62901.08</x:v>
      </x:c>
      <x:c r="L237" s="683" t="n">
        <x:v>-325046.79</x:v>
      </x:c>
      <x:c r="M237" s="683" t="n">
        <x:v>-106961.73</x:v>
      </x:c>
      <x:c r="N237" s="683" t="n">
        <x:v>-11960.9</x:v>
      </x:c>
      <x:c r="O237" s="683" t="n">
        <x:v>10.62</x:v>
      </x:c>
      <x:c r="P237" s="683">
        <x:v>0</x:v>
      </x:c>
      <x:c r="Q237" s="683">
        <x:v>0</x:v>
      </x:c>
      <x:c r="R237" s="681">
        <x:v>0</x:v>
      </x:c>
      <x:c r="Z237" s="701"/>
    </x:row>
    <x:row r="238" spans="1:26" x14ac:dyDescent="0.2">
      <x:c r="C238" s="681" t="s">
        <x:v>81</x:v>
      </x:c>
      <x:c r="D238" s="683">
        <x:v>0</x:v>
      </x:c>
      <x:c r="E238" s="683">
        <x:v>0</x:v>
      </x:c>
      <x:c r="F238" s="683">
        <x:v>0</x:v>
      </x:c>
      <x:c r="G238" s="683">
        <x:v>0</x:v>
      </x:c>
      <x:c r="H238" s="683">
        <x:v>0</x:v>
      </x:c>
      <x:c r="I238" s="683">
        <x:v>0</x:v>
      </x:c>
      <x:c r="J238" s="683">
        <x:v>0</x:v>
      </x:c>
      <x:c r="K238" s="683">
        <x:v>0</x:v>
      </x:c>
      <x:c r="L238" s="683">
        <x:v>0</x:v>
      </x:c>
      <x:c r="M238" s="683">
        <x:v>0</x:v>
      </x:c>
      <x:c r="N238" s="683">
        <x:v>0</x:v>
      </x:c>
      <x:c r="O238" s="683">
        <x:v>0</x:v>
      </x:c>
      <x:c r="P238" s="683">
        <x:v>0</x:v>
      </x:c>
      <x:c r="Q238" s="683">
        <x:v>0</x:v>
      </x:c>
      <x:c r="R238" s="681">
        <x:v>0</x:v>
      </x:c>
      <x:c r="Z238" s="701"/>
    </x:row>
    <x:row r="239" spans="1:26" x14ac:dyDescent="0.2">
      <x:c r="A239" s="684"/>
      <x:c r="B239" s="685" t="s">
        <x:v>78</x:v>
      </x:c>
      <x:c r="C239" s="685" t="s">
        <x:v>70</x:v>
      </x:c>
      <x:c r="D239" s="685" t="n">
        <x:v>-862480.46</x:v>
      </x:c>
      <x:c r="E239" s="685" t="n">
        <x:v>-39715.51</x:v>
      </x:c>
      <x:c r="F239" s="685" t="n">
        <x:v>-22469.48</x:v>
      </x:c>
      <x:c r="G239" s="685" t="n">
        <x:v>-11974.92</x:v>
      </x:c>
      <x:c r="H239" s="685" t="n">
        <x:v>-209441.11</x:v>
      </x:c>
      <x:c r="I239" s="685" t="n">
        <x:v>-7713.34</x:v>
      </x:c>
      <x:c r="J239" s="685" t="n">
        <x:v>-64306.22</x:v>
      </x:c>
      <x:c r="K239" s="685" t="n">
        <x:v>-62901.08</x:v>
      </x:c>
      <x:c r="L239" s="685" t="n">
        <x:v>-325046.79</x:v>
      </x:c>
      <x:c r="M239" s="685" t="n">
        <x:v>-106961.73</x:v>
      </x:c>
      <x:c r="N239" s="685" t="n">
        <x:v>-11960.9</x:v>
      </x:c>
      <x:c r="O239" s="685" t="n">
        <x:v>10.62</x:v>
      </x:c>
      <x:c r="P239" s="684">
        <x:v>0</x:v>
      </x:c>
      <x:c r="Q239" s="685">
        <x:v>0</x:v>
      </x:c>
      <x:c r="R239" s="685">
        <x:v>0</x:v>
      </x:c>
      <x:c r="S239" s="684"/>
      <x:c r="T239" s="684"/>
      <x:c r="U239" s="684"/>
      <x:c r="V239" s="684"/>
      <x:c r="W239" s="684"/>
      <x:c r="X239" s="684"/>
      <x:c r="Y239" s="684"/>
      <x:c r="Z239" s="701"/>
    </x:row>
    <x:row r="240" spans="1:26" x14ac:dyDescent="0.2">
      <x:c r="C240" s="681" t="s">
        <x:v>73</x:v>
      </x:c>
      <x:c r="D240" s="683" t="n">
        <x:v>387536.46</x:v>
      </x:c>
      <x:c r="E240" s="683" t="n">
        <x:v>18163.82</x:v>
      </x:c>
      <x:c r="F240" s="683" t="n">
        <x:v>10270.54</x:v>
      </x:c>
      <x:c r="G240" s="683" t="n">
        <x:v>5450.54</x:v>
      </x:c>
      <x:c r="H240" s="683" t="n">
        <x:v>92818.77</x:v>
      </x:c>
      <x:c r="I240" s="683" t="n">
        <x:v>3350.44</x:v>
      </x:c>
      <x:c r="J240" s="683" t="n">
        <x:v>29390.52</x:v>
      </x:c>
      <x:c r="K240" s="683" t="n">
        <x:v>28751.18</x:v>
      </x:c>
      <x:c r="L240" s="683" t="n">
        <x:v>145188.92</x:v>
      </x:c>
      <x:c r="M240" s="683" t="n">
        <x:v>48685.04</x:v>
      </x:c>
      <x:c r="N240" s="683" t="n">
        <x:v>5466.69</x:v>
      </x:c>
      <x:c r="O240" s="683" t="n">
        <x:v>0</x:v>
      </x:c>
      <x:c r="P240" s="683">
        <x:v>0</x:v>
      </x:c>
      <x:c r="Q240" s="683">
        <x:v>0</x:v>
      </x:c>
      <x:c r="R240" s="681">
        <x:v>0</x:v>
      </x:c>
      <x:c r="Z240" s="701"/>
    </x:row>
    <x:row r="241" spans="1:26" x14ac:dyDescent="0.2">
      <x:c r="A241" s="686"/>
      <x:c r="B241" s="687" t="s">
        <x:v>79</x:v>
      </x:c>
      <x:c r="C241" s="687" t="s">
        <x:v>70</x:v>
      </x:c>
      <x:c r="D241" s="687" t="n">
        <x:v>387536.46</x:v>
      </x:c>
      <x:c r="E241" s="687" t="n">
        <x:v>18163.82</x:v>
      </x:c>
      <x:c r="F241" s="687" t="n">
        <x:v>10270.54</x:v>
      </x:c>
      <x:c r="G241" s="687" t="n">
        <x:v>5450.54</x:v>
      </x:c>
      <x:c r="H241" s="687" t="n">
        <x:v>92818.77</x:v>
      </x:c>
      <x:c r="I241" s="687" t="n">
        <x:v>3350.44</x:v>
      </x:c>
      <x:c r="J241" s="687" t="n">
        <x:v>29390.52</x:v>
      </x:c>
      <x:c r="K241" s="687" t="n">
        <x:v>28751.18</x:v>
      </x:c>
      <x:c r="L241" s="687" t="n">
        <x:v>145188.92</x:v>
      </x:c>
      <x:c r="M241" s="687" t="n">
        <x:v>48685.04</x:v>
      </x:c>
      <x:c r="N241" s="687" t="n">
        <x:v>5466.69</x:v>
      </x:c>
      <x:c r="O241" s="687" t="n">
        <x:v>0</x:v>
      </x:c>
      <x:c r="P241" s="686">
        <x:v>0</x:v>
      </x:c>
      <x:c r="Q241" s="687">
        <x:v>0</x:v>
      </x:c>
      <x:c r="R241" s="687">
        <x:v>0</x:v>
      </x:c>
      <x:c r="S241" s="686"/>
      <x:c r="T241" s="686"/>
      <x:c r="U241" s="686"/>
      <x:c r="V241" s="686"/>
      <x:c r="W241" s="686"/>
      <x:c r="X241" s="686"/>
      <x:c r="Y241" s="686"/>
      <x:c r="Z241" s="701"/>
    </x:row>
    <x:row r="242" spans="1:26" x14ac:dyDescent="0.2">
      <x:c r="A242" s="690" t="s">
        <x:v>119</x:v>
      </x:c>
      <x:c r="B242" s="690" t="s">
        <x:v>70</x:v>
      </x:c>
      <x:c r="C242" s="690"/>
      <x:c r="D242" s="691" t="n">
        <x:v>-474944</x:v>
      </x:c>
      <x:c r="E242" s="691" t="n">
        <x:v>-21551.69</x:v>
      </x:c>
      <x:c r="F242" s="691" t="n">
        <x:v>-12198.94</x:v>
      </x:c>
      <x:c r="G242" s="691" t="n">
        <x:v>-6524.38</x:v>
      </x:c>
      <x:c r="H242" s="691" t="n">
        <x:v>-116622.34</x:v>
      </x:c>
      <x:c r="I242" s="691" t="n">
        <x:v>-4362.9</x:v>
      </x:c>
      <x:c r="J242" s="691" t="n">
        <x:v>-34915.7</x:v>
      </x:c>
      <x:c r="K242" s="691" t="n">
        <x:v>-34149.9</x:v>
      </x:c>
      <x:c r="L242" s="691" t="n">
        <x:v>-179857.87</x:v>
      </x:c>
      <x:c r="M242" s="691" t="n">
        <x:v>-58276.69</x:v>
      </x:c>
      <x:c r="N242" s="691" t="n">
        <x:v>-6494.21</x:v>
      </x:c>
      <x:c r="O242" s="691" t="n">
        <x:v>10.62</x:v>
      </x:c>
      <x:c r="P242" s="691">
        <x:v>0</x:v>
      </x:c>
      <x:c r="Q242" s="691">
        <x:v>0</x:v>
      </x:c>
      <x:c r="R242" s="690">
        <x:v>0</x:v>
      </x:c>
      <x:c r="S242" s="690"/>
      <x:c r="T242" s="690"/>
      <x:c r="U242" s="690"/>
      <x:c r="V242" s="690"/>
      <x:c r="W242" s="690"/>
      <x:c r="X242" s="690"/>
      <x:c r="Y242" s="690"/>
      <x:c r="Z242" s="701"/>
    </x:row>
    <x:row r="243" spans="1:26" x14ac:dyDescent="0.2">
      <x:c r="A243" s="692" t="s">
        <x:v>70</x:v>
      </x:c>
      <x:c r="B243" s="693"/>
      <x:c r="C243" s="693"/>
      <x:c r="D243" s="692" t="n">
        <x:v>-15663330</x:v>
      </x:c>
      <x:c r="E243" s="692" t="n">
        <x:v>-1010931.86</x:v>
      </x:c>
      <x:c r="F243" s="692" t="n">
        <x:v>-550188.35</x:v>
      </x:c>
      <x:c r="G243" s="692" t="n">
        <x:v>-287957.14</x:v>
      </x:c>
      <x:c r="H243" s="692" t="n">
        <x:v>-3311154.84</x:v>
      </x:c>
      <x:c r="I243" s="692" t="n">
        <x:v>-119364.83</x:v>
      </x:c>
      <x:c r="J243" s="692" t="n">
        <x:v>-1055132.02</x:v>
      </x:c>
      <x:c r="K243" s="692" t="n">
        <x:v>-1080375.84</x:v>
      </x:c>
      <x:c r="L243" s="692" t="n">
        <x:v>-5367667.74</x:v>
      </x:c>
      <x:c r="M243" s="692" t="n">
        <x:v>-2684356.19</x:v>
      </x:c>
      <x:c r="N243" s="692" t="n">
        <x:v>-196442.27</x:v>
      </x:c>
      <x:c r="O243" s="692" t="n">
        <x:v>8.64</x:v>
      </x:c>
      <x:c r="P243" s="693" t="n">
        <x:v>0</x:v>
      </x:c>
      <x:c r="Q243" s="692">
        <x:v>0</x:v>
      </x:c>
      <x:c r="R243" s="692">
        <x:v>0</x:v>
      </x:c>
      <x:c r="S243" s="693"/>
      <x:c r="T243" s="693"/>
      <x:c r="U243" s="693"/>
      <x:c r="V243" s="693"/>
      <x:c r="W243" s="693"/>
      <x:c r="X243" s="693"/>
      <x:c r="Y243" s="693"/>
      <x:c r="Z243" s="701"/>
    </x:row>
    <x:row r="244" spans="1:26" x14ac:dyDescent="0.2">
      <x:c r="A244" s="683"/>
      <x:c r="B244" s="683"/>
      <x:c r="D244" s="683"/>
      <x:c r="E244" s="683"/>
      <x:c r="F244" s="683"/>
      <x:c r="G244" s="683"/>
      <x:c r="H244" s="683"/>
      <x:c r="I244" s="683"/>
      <x:c r="J244" s="683"/>
      <x:c r="K244" s="683"/>
      <x:c r="L244" s="683"/>
      <x:c r="M244" s="683"/>
      <x:c r="N244" s="683"/>
      <x:c r="O244" s="683"/>
      <x:c r="Z244" s="701"/>
    </x:row>
    <x:row r="245" spans="1:26" x14ac:dyDescent="0.2">
      <x:c r="A245" s="683"/>
      <x:c r="D245" s="683"/>
      <x:c r="E245" s="683"/>
      <x:c r="F245" s="683"/>
      <x:c r="G245" s="683"/>
      <x:c r="H245" s="683"/>
      <x:c r="I245" s="683"/>
      <x:c r="J245" s="683"/>
      <x:c r="K245" s="683"/>
      <x:c r="L245" s="683"/>
      <x:c r="M245" s="683"/>
      <x:c r="N245" s="683"/>
      <x:c r="O245" s="683"/>
      <x:c r="Z245" s="701"/>
    </x:row>
    <x:row r="246" spans="1:26" x14ac:dyDescent="0.2">
      <x:c r="B246" s="683"/>
      <x:c r="C246" s="683"/>
      <x:c r="D246" s="683"/>
      <x:c r="E246" s="683"/>
      <x:c r="F246" s="683"/>
      <x:c r="G246" s="683"/>
      <x:c r="H246" s="683"/>
      <x:c r="I246" s="683"/>
      <x:c r="J246" s="683"/>
      <x:c r="K246" s="683"/>
      <x:c r="L246" s="683"/>
      <x:c r="M246" s="683"/>
      <x:c r="N246" s="683"/>
      <x:c r="O246" s="683"/>
      <x:c r="Z246" s="701"/>
    </x:row>
    <x:row r="247" spans="1:26" x14ac:dyDescent="0.2">
      <x:c r="B247" s="683"/>
      <x:c r="C247" s="683"/>
      <x:c r="D247" s="683"/>
      <x:c r="E247" s="683"/>
      <x:c r="F247" s="683"/>
      <x:c r="G247" s="683"/>
      <x:c r="H247" s="683"/>
      <x:c r="I247" s="683"/>
      <x:c r="J247" s="683"/>
      <x:c r="K247" s="683"/>
      <x:c r="L247" s="683"/>
      <x:c r="M247" s="683"/>
      <x:c r="N247" s="683"/>
      <x:c r="O247" s="683"/>
      <x:c r="Z247" s="701"/>
    </x:row>
    <x:row r="248" spans="1:26" x14ac:dyDescent="0.2">
      <x:c r="B248" s="683"/>
      <x:c r="C248" s="683"/>
      <x:c r="D248" s="683"/>
      <x:c r="E248" s="683"/>
      <x:c r="F248" s="683"/>
      <x:c r="G248" s="683"/>
      <x:c r="H248" s="683"/>
      <x:c r="I248" s="683"/>
      <x:c r="J248" s="683"/>
      <x:c r="K248" s="683"/>
      <x:c r="L248" s="683"/>
      <x:c r="M248" s="683"/>
      <x:c r="N248" s="683"/>
      <x:c r="O248" s="683"/>
      <x:c r="Z248" s="701"/>
    </x:row>
    <x:row r="249" spans="1:26" x14ac:dyDescent="0.2">
      <x:c r="B249" s="683"/>
      <x:c r="C249" s="683"/>
      <x:c r="D249" s="683"/>
      <x:c r="E249" s="683"/>
      <x:c r="F249" s="683"/>
      <x:c r="G249" s="683"/>
      <x:c r="H249" s="683"/>
      <x:c r="I249" s="683"/>
      <x:c r="J249" s="683"/>
      <x:c r="K249" s="683"/>
      <x:c r="L249" s="683"/>
      <x:c r="M249" s="683"/>
      <x:c r="N249" s="683"/>
      <x:c r="O249" s="683"/>
      <x:c r="Z249" s="701"/>
    </x:row>
    <x:row r="250" spans="1:26" x14ac:dyDescent="0.2">
      <x:c r="B250" s="683"/>
      <x:c r="C250" s="683"/>
      <x:c r="D250" s="683"/>
      <x:c r="E250" s="683"/>
      <x:c r="F250" s="683"/>
      <x:c r="G250" s="683"/>
      <x:c r="H250" s="683"/>
      <x:c r="I250" s="683"/>
      <x:c r="J250" s="683"/>
      <x:c r="K250" s="683"/>
      <x:c r="L250" s="683"/>
      <x:c r="M250" s="683"/>
      <x:c r="N250" s="683"/>
      <x:c r="O250" s="683"/>
      <x:c r="Z250" s="701"/>
    </x:row>
    <x:row r="251" spans="1:26" x14ac:dyDescent="0.2">
      <x:c r="B251" s="683"/>
      <x:c r="C251" s="683"/>
      <x:c r="D251" s="683"/>
      <x:c r="E251" s="683"/>
      <x:c r="F251" s="683"/>
      <x:c r="G251" s="683"/>
      <x:c r="H251" s="683"/>
      <x:c r="I251" s="683"/>
      <x:c r="J251" s="683"/>
      <x:c r="K251" s="683"/>
      <x:c r="L251" s="683"/>
      <x:c r="M251" s="683"/>
      <x:c r="N251" s="683"/>
      <x:c r="O251" s="683"/>
      <x:c r="Z251" s="701"/>
    </x:row>
    <x:row r="252" spans="1:26" x14ac:dyDescent="0.2">
      <x:c r="B252" s="683"/>
      <x:c r="C252" s="683"/>
      <x:c r="D252" s="683"/>
      <x:c r="E252" s="683"/>
      <x:c r="F252" s="683"/>
      <x:c r="G252" s="683"/>
      <x:c r="H252" s="683"/>
      <x:c r="I252" s="683"/>
      <x:c r="J252" s="683"/>
      <x:c r="K252" s="683"/>
      <x:c r="L252" s="683"/>
      <x:c r="M252" s="683"/>
      <x:c r="N252" s="683"/>
      <x:c r="O252" s="683"/>
      <x:c r="Z252" s="701"/>
    </x:row>
    <x:row r="253" spans="1:26" x14ac:dyDescent="0.2">
      <x:c r="B253" s="683"/>
      <x:c r="C253" s="683"/>
      <x:c r="D253" s="683"/>
      <x:c r="E253" s="683"/>
      <x:c r="F253" s="683"/>
      <x:c r="G253" s="683"/>
      <x:c r="H253" s="683"/>
      <x:c r="I253" s="683"/>
      <x:c r="J253" s="683"/>
      <x:c r="K253" s="683"/>
      <x:c r="L253" s="683"/>
      <x:c r="M253" s="683"/>
      <x:c r="N253" s="683"/>
      <x:c r="O253" s="683"/>
      <x:c r="Z253" s="701"/>
    </x:row>
    <x:row r="254" spans="1:26" x14ac:dyDescent="0.2">
      <x:c r="B254" s="683"/>
      <x:c r="C254" s="683"/>
      <x:c r="D254" s="683"/>
      <x:c r="E254" s="683"/>
      <x:c r="F254" s="683"/>
      <x:c r="G254" s="683"/>
      <x:c r="H254" s="683"/>
      <x:c r="I254" s="683"/>
      <x:c r="J254" s="683"/>
      <x:c r="K254" s="683"/>
      <x:c r="L254" s="683"/>
      <x:c r="M254" s="683"/>
      <x:c r="N254" s="683"/>
      <x:c r="O254" s="683"/>
      <x:c r="Z254" s="701"/>
    </x:row>
    <x:row r="255" spans="1:26" x14ac:dyDescent="0.2">
      <x:c r="B255" s="683"/>
      <x:c r="C255" s="683"/>
      <x:c r="D255" s="683"/>
      <x:c r="E255" s="683"/>
      <x:c r="F255" s="683"/>
      <x:c r="G255" s="683"/>
      <x:c r="H255" s="683"/>
      <x:c r="I255" s="683"/>
      <x:c r="J255" s="683"/>
      <x:c r="K255" s="683"/>
      <x:c r="L255" s="683"/>
      <x:c r="M255" s="683"/>
      <x:c r="N255" s="683"/>
      <x:c r="O255" s="683"/>
      <x:c r="Z255" s="701"/>
    </x:row>
    <x:row r="256" spans="1:26" x14ac:dyDescent="0.2">
      <x:c r="B256" s="683"/>
      <x:c r="C256" s="683"/>
      <x:c r="D256" s="683"/>
      <x:c r="E256" s="683"/>
      <x:c r="F256" s="683"/>
      <x:c r="G256" s="683"/>
      <x:c r="H256" s="683"/>
      <x:c r="I256" s="683"/>
      <x:c r="J256" s="683"/>
      <x:c r="K256" s="683"/>
      <x:c r="L256" s="683"/>
      <x:c r="M256" s="683"/>
      <x:c r="N256" s="683"/>
      <x:c r="O256" s="683"/>
      <x:c r="Z256" s="701"/>
    </x:row>
    <x:row r="257" spans="2:26" x14ac:dyDescent="0.2">
      <x:c r="B257" s="683"/>
      <x:c r="C257" s="683"/>
      <x:c r="D257" s="683"/>
      <x:c r="E257" s="683"/>
      <x:c r="F257" s="683"/>
      <x:c r="G257" s="683"/>
      <x:c r="H257" s="683"/>
      <x:c r="I257" s="683"/>
      <x:c r="J257" s="683"/>
      <x:c r="K257" s="683"/>
      <x:c r="L257" s="683"/>
      <x:c r="M257" s="683"/>
      <x:c r="N257" s="683"/>
      <x:c r="O257" s="683"/>
      <x:c r="Z257" s="701"/>
    </x:row>
    <x:row r="258" spans="2:26" x14ac:dyDescent="0.2">
      <x:c r="B258" s="683"/>
      <x:c r="C258" s="683"/>
      <x:c r="D258" s="683"/>
      <x:c r="E258" s="683"/>
      <x:c r="F258" s="683"/>
      <x:c r="G258" s="683"/>
      <x:c r="H258" s="683"/>
      <x:c r="I258" s="683"/>
      <x:c r="J258" s="683"/>
      <x:c r="K258" s="683"/>
      <x:c r="L258" s="683"/>
      <x:c r="M258" s="683"/>
      <x:c r="N258" s="683"/>
      <x:c r="O258" s="683"/>
      <x:c r="Z258" s="701"/>
    </x:row>
    <x:row r="259" spans="2:26" x14ac:dyDescent="0.2">
      <x:c r="B259" s="683"/>
      <x:c r="C259" s="683"/>
      <x:c r="D259" s="683"/>
      <x:c r="E259" s="683"/>
      <x:c r="F259" s="683"/>
      <x:c r="G259" s="683"/>
      <x:c r="H259" s="683"/>
      <x:c r="I259" s="683"/>
      <x:c r="J259" s="683"/>
      <x:c r="K259" s="683"/>
      <x:c r="L259" s="683"/>
      <x:c r="M259" s="683"/>
      <x:c r="N259" s="683"/>
      <x:c r="O259" s="683"/>
      <x:c r="Z259" s="701"/>
    </x:row>
    <x:row r="260" spans="2:26" x14ac:dyDescent="0.2">
      <x:c r="B260" s="683"/>
      <x:c r="C260" s="683"/>
      <x:c r="D260" s="683"/>
      <x:c r="E260" s="683"/>
      <x:c r="F260" s="683"/>
      <x:c r="G260" s="683"/>
      <x:c r="H260" s="683"/>
      <x:c r="I260" s="683"/>
      <x:c r="J260" s="683"/>
      <x:c r="K260" s="683"/>
      <x:c r="L260" s="683"/>
      <x:c r="M260" s="683"/>
      <x:c r="N260" s="683"/>
      <x:c r="O260" s="683"/>
      <x:c r="Z260" s="701"/>
    </x:row>
    <x:row r="261" spans="2:26" x14ac:dyDescent="0.2">
      <x:c r="B261" s="683"/>
      <x:c r="C261" s="683"/>
      <x:c r="D261" s="683"/>
      <x:c r="E261" s="683"/>
      <x:c r="F261" s="683"/>
      <x:c r="G261" s="683"/>
      <x:c r="H261" s="683"/>
      <x:c r="I261" s="683"/>
      <x:c r="J261" s="683"/>
      <x:c r="K261" s="683"/>
      <x:c r="L261" s="683"/>
      <x:c r="M261" s="683"/>
      <x:c r="N261" s="683"/>
      <x:c r="O261" s="683"/>
      <x:c r="Z261" s="701"/>
    </x:row>
    <x:row r="262" spans="2:26" x14ac:dyDescent="0.2">
      <x:c r="B262" s="683"/>
      <x:c r="C262" s="683"/>
      <x:c r="D262" s="683"/>
      <x:c r="E262" s="683"/>
      <x:c r="F262" s="683"/>
      <x:c r="G262" s="683"/>
      <x:c r="H262" s="683"/>
      <x:c r="I262" s="683"/>
      <x:c r="J262" s="683"/>
      <x:c r="K262" s="683"/>
      <x:c r="L262" s="683"/>
      <x:c r="M262" s="683"/>
      <x:c r="N262" s="683"/>
      <x:c r="O262" s="683"/>
      <x:c r="Z262" s="701"/>
    </x:row>
    <x:row r="263" spans="2:26" x14ac:dyDescent="0.2">
      <x:c r="B263" s="683"/>
      <x:c r="C263" s="683"/>
      <x:c r="D263" s="683"/>
      <x:c r="E263" s="683"/>
      <x:c r="F263" s="683"/>
      <x:c r="G263" s="683"/>
      <x:c r="H263" s="683"/>
      <x:c r="I263" s="683"/>
      <x:c r="J263" s="683"/>
      <x:c r="K263" s="683"/>
      <x:c r="L263" s="683"/>
      <x:c r="M263" s="683"/>
      <x:c r="N263" s="683"/>
      <x:c r="O263" s="683"/>
      <x:c r="Z263" s="701"/>
    </x:row>
    <x:row r="264" spans="2:26" x14ac:dyDescent="0.2">
      <x:c r="B264" s="683"/>
      <x:c r="C264" s="683"/>
      <x:c r="D264" s="683"/>
      <x:c r="E264" s="683"/>
      <x:c r="F264" s="683"/>
      <x:c r="G264" s="683"/>
      <x:c r="H264" s="683"/>
      <x:c r="I264" s="683"/>
      <x:c r="J264" s="683"/>
      <x:c r="K264" s="683"/>
      <x:c r="L264" s="683"/>
      <x:c r="M264" s="683"/>
      <x:c r="N264" s="683"/>
      <x:c r="O264" s="683"/>
      <x:c r="Z264" s="701"/>
    </x:row>
    <x:row r="265" spans="2:26" x14ac:dyDescent="0.2">
      <x:c r="B265" s="683"/>
      <x:c r="C265" s="683"/>
      <x:c r="D265" s="683"/>
      <x:c r="E265" s="683"/>
      <x:c r="F265" s="683"/>
      <x:c r="G265" s="683"/>
      <x:c r="H265" s="683"/>
      <x:c r="I265" s="683"/>
      <x:c r="J265" s="683"/>
      <x:c r="K265" s="683"/>
      <x:c r="L265" s="683"/>
      <x:c r="M265" s="683"/>
      <x:c r="N265" s="683"/>
      <x:c r="O265" s="683"/>
      <x:c r="Z265" s="701"/>
    </x:row>
    <x:row r="266" spans="2:26" x14ac:dyDescent="0.2">
      <x:c r="B266" s="683"/>
      <x:c r="C266" s="683"/>
      <x:c r="D266" s="683"/>
      <x:c r="E266" s="683"/>
      <x:c r="F266" s="683"/>
      <x:c r="G266" s="683"/>
      <x:c r="H266" s="683"/>
      <x:c r="I266" s="683"/>
      <x:c r="J266" s="683"/>
      <x:c r="K266" s="683"/>
      <x:c r="L266" s="683"/>
      <x:c r="M266" s="683"/>
      <x:c r="N266" s="683"/>
      <x:c r="O266" s="683"/>
      <x:c r="Z266" s="701"/>
    </x:row>
    <x:row r="267" spans="2:26" x14ac:dyDescent="0.2">
      <x:c r="B267" s="683"/>
      <x:c r="C267" s="683"/>
      <x:c r="D267" s="683"/>
      <x:c r="E267" s="683"/>
      <x:c r="F267" s="683"/>
      <x:c r="G267" s="683"/>
      <x:c r="H267" s="683"/>
      <x:c r="I267" s="683"/>
      <x:c r="J267" s="683"/>
      <x:c r="K267" s="683"/>
      <x:c r="L267" s="683"/>
      <x:c r="M267" s="683"/>
      <x:c r="N267" s="683"/>
      <x:c r="O267" s="683"/>
      <x:c r="Z267" s="701"/>
    </x:row>
    <x:row r="268" spans="2:26" x14ac:dyDescent="0.2">
      <x:c r="B268" s="683"/>
      <x:c r="C268" s="683"/>
      <x:c r="D268" s="683"/>
      <x:c r="E268" s="683"/>
      <x:c r="F268" s="683"/>
      <x:c r="G268" s="683"/>
      <x:c r="H268" s="683"/>
      <x:c r="I268" s="683"/>
      <x:c r="J268" s="683"/>
      <x:c r="K268" s="683"/>
      <x:c r="L268" s="683"/>
      <x:c r="M268" s="683"/>
      <x:c r="N268" s="683"/>
      <x:c r="O268" s="683"/>
      <x:c r="Z268" s="701"/>
    </x:row>
    <x:row r="269" spans="2:26" x14ac:dyDescent="0.2">
      <x:c r="B269" s="683"/>
      <x:c r="C269" s="683"/>
      <x:c r="D269" s="683"/>
      <x:c r="E269" s="683"/>
      <x:c r="F269" s="683"/>
      <x:c r="G269" s="683"/>
      <x:c r="H269" s="683"/>
      <x:c r="I269" s="683"/>
      <x:c r="J269" s="683"/>
      <x:c r="K269" s="683"/>
      <x:c r="L269" s="683"/>
      <x:c r="M269" s="683"/>
      <x:c r="N269" s="683"/>
      <x:c r="O269" s="683"/>
      <x:c r="Z269" s="701"/>
    </x:row>
    <x:row r="270" spans="2:26" x14ac:dyDescent="0.2">
      <x:c r="B270" s="683"/>
      <x:c r="C270" s="683"/>
      <x:c r="D270" s="683"/>
      <x:c r="E270" s="683"/>
      <x:c r="F270" s="683"/>
      <x:c r="G270" s="683"/>
      <x:c r="H270" s="683"/>
      <x:c r="I270" s="683"/>
      <x:c r="J270" s="683"/>
      <x:c r="K270" s="683"/>
      <x:c r="L270" s="683"/>
      <x:c r="M270" s="683"/>
      <x:c r="N270" s="683"/>
      <x:c r="O270" s="683"/>
      <x:c r="Z270" s="701"/>
    </x:row>
    <x:row r="271" spans="2:26" x14ac:dyDescent="0.2">
      <x:c r="B271" s="683"/>
      <x:c r="C271" s="683"/>
      <x:c r="D271" s="683"/>
      <x:c r="E271" s="683"/>
      <x:c r="F271" s="683"/>
      <x:c r="G271" s="683"/>
      <x:c r="H271" s="683"/>
      <x:c r="I271" s="683"/>
      <x:c r="J271" s="683"/>
      <x:c r="K271" s="683"/>
      <x:c r="L271" s="683"/>
      <x:c r="M271" s="683"/>
      <x:c r="N271" s="683"/>
      <x:c r="O271" s="683"/>
      <x:c r="Z271" s="701"/>
    </x:row>
    <x:row r="272" spans="2:26" x14ac:dyDescent="0.2">
      <x:c r="B272" s="683"/>
      <x:c r="C272" s="683"/>
      <x:c r="D272" s="683"/>
      <x:c r="E272" s="683"/>
      <x:c r="F272" s="683"/>
      <x:c r="G272" s="683"/>
      <x:c r="H272" s="683"/>
      <x:c r="I272" s="683"/>
      <x:c r="J272" s="683"/>
      <x:c r="K272" s="683"/>
      <x:c r="L272" s="683"/>
      <x:c r="M272" s="683"/>
      <x:c r="N272" s="683"/>
      <x:c r="O272" s="683"/>
      <x:c r="Z272" s="701"/>
    </x:row>
    <x:row r="273" spans="2:26" x14ac:dyDescent="0.2">
      <x:c r="B273" s="683"/>
      <x:c r="C273" s="683"/>
      <x:c r="D273" s="683"/>
      <x:c r="E273" s="683"/>
      <x:c r="F273" s="683"/>
      <x:c r="G273" s="683"/>
      <x:c r="H273" s="683"/>
      <x:c r="I273" s="683"/>
      <x:c r="J273" s="683"/>
      <x:c r="K273" s="683"/>
      <x:c r="L273" s="683"/>
      <x:c r="M273" s="683"/>
      <x:c r="N273" s="683"/>
      <x:c r="O273" s="683"/>
      <x:c r="Z273" s="701"/>
    </x:row>
    <x:row r="274" spans="2:26" x14ac:dyDescent="0.2">
      <x:c r="B274" s="683"/>
      <x:c r="C274" s="683"/>
      <x:c r="D274" s="683"/>
      <x:c r="E274" s="683"/>
      <x:c r="F274" s="683"/>
      <x:c r="G274" s="683"/>
      <x:c r="H274" s="683"/>
      <x:c r="I274" s="683"/>
      <x:c r="J274" s="683"/>
      <x:c r="K274" s="683"/>
      <x:c r="L274" s="683"/>
      <x:c r="M274" s="683"/>
      <x:c r="N274" s="683"/>
      <x:c r="O274" s="683"/>
      <x:c r="Z274" s="701"/>
    </x:row>
    <x:row r="275" spans="2:26" x14ac:dyDescent="0.2">
      <x:c r="B275" s="683"/>
      <x:c r="C275" s="683"/>
      <x:c r="D275" s="683"/>
      <x:c r="E275" s="683"/>
      <x:c r="F275" s="683"/>
      <x:c r="G275" s="683"/>
      <x:c r="H275" s="683"/>
      <x:c r="I275" s="683"/>
      <x:c r="J275" s="683"/>
      <x:c r="K275" s="683"/>
      <x:c r="L275" s="683"/>
      <x:c r="M275" s="683"/>
      <x:c r="N275" s="683"/>
      <x:c r="O275" s="683"/>
      <x:c r="Z275" s="701"/>
    </x:row>
    <x:row r="276" spans="2:26" x14ac:dyDescent="0.2">
      <x:c r="B276" s="683"/>
      <x:c r="C276" s="683"/>
      <x:c r="D276" s="683"/>
      <x:c r="E276" s="683"/>
      <x:c r="F276" s="683"/>
      <x:c r="G276" s="683"/>
      <x:c r="H276" s="683"/>
      <x:c r="I276" s="683"/>
      <x:c r="J276" s="683"/>
      <x:c r="K276" s="683"/>
      <x:c r="L276" s="683"/>
      <x:c r="M276" s="683"/>
      <x:c r="N276" s="683"/>
      <x:c r="O276" s="683"/>
      <x:c r="Z276" s="701"/>
    </x:row>
    <x:row r="277" spans="2:26" x14ac:dyDescent="0.2">
      <x:c r="B277" s="683"/>
      <x:c r="C277" s="683"/>
      <x:c r="D277" s="683"/>
      <x:c r="E277" s="683"/>
      <x:c r="F277" s="683"/>
      <x:c r="G277" s="683"/>
      <x:c r="H277" s="683"/>
      <x:c r="I277" s="683"/>
      <x:c r="J277" s="683"/>
      <x:c r="K277" s="683"/>
      <x:c r="L277" s="683"/>
      <x:c r="M277" s="683"/>
      <x:c r="N277" s="683"/>
      <x:c r="O277" s="683"/>
      <x:c r="Z277" s="701"/>
    </x:row>
    <x:row r="278" spans="2:26" x14ac:dyDescent="0.2">
      <x:c r="B278" s="683"/>
      <x:c r="C278" s="683"/>
      <x:c r="D278" s="683"/>
      <x:c r="E278" s="683"/>
      <x:c r="F278" s="683"/>
      <x:c r="G278" s="683"/>
      <x:c r="H278" s="683"/>
      <x:c r="I278" s="683"/>
      <x:c r="J278" s="683"/>
      <x:c r="K278" s="683"/>
      <x:c r="L278" s="683"/>
      <x:c r="M278" s="683"/>
      <x:c r="N278" s="683"/>
      <x:c r="O278" s="683"/>
      <x:c r="Z278" s="701"/>
    </x:row>
    <x:row r="279" spans="2:26" x14ac:dyDescent="0.2">
      <x:c r="B279" s="683"/>
      <x:c r="C279" s="683"/>
      <x:c r="D279" s="683"/>
      <x:c r="E279" s="683"/>
      <x:c r="F279" s="683"/>
      <x:c r="G279" s="683"/>
      <x:c r="H279" s="683"/>
      <x:c r="I279" s="683"/>
      <x:c r="J279" s="683"/>
      <x:c r="K279" s="683"/>
      <x:c r="L279" s="683"/>
      <x:c r="M279" s="683"/>
      <x:c r="N279" s="683"/>
      <x:c r="O279" s="683"/>
      <x:c r="Z279" s="701"/>
    </x:row>
    <x:row r="280" spans="2:26" x14ac:dyDescent="0.2">
      <x:c r="B280" s="683"/>
      <x:c r="C280" s="683"/>
      <x:c r="D280" s="683"/>
      <x:c r="E280" s="683"/>
      <x:c r="F280" s="683"/>
      <x:c r="G280" s="683"/>
      <x:c r="H280" s="683"/>
      <x:c r="I280" s="683"/>
      <x:c r="J280" s="683"/>
      <x:c r="K280" s="683"/>
      <x:c r="L280" s="683"/>
      <x:c r="M280" s="683"/>
      <x:c r="N280" s="683"/>
      <x:c r="O280" s="683"/>
      <x:c r="Z280" s="701"/>
    </x:row>
    <x:row r="281" spans="2:26" x14ac:dyDescent="0.2">
      <x:c r="B281" s="683"/>
      <x:c r="C281" s="683"/>
      <x:c r="D281" s="683"/>
      <x:c r="E281" s="683"/>
      <x:c r="F281" s="683"/>
      <x:c r="G281" s="683"/>
      <x:c r="H281" s="683"/>
      <x:c r="I281" s="683"/>
      <x:c r="J281" s="683"/>
      <x:c r="K281" s="683"/>
      <x:c r="L281" s="683"/>
      <x:c r="M281" s="683"/>
      <x:c r="N281" s="683"/>
      <x:c r="O281" s="683"/>
      <x:c r="Z281" s="701"/>
    </x:row>
    <x:row r="282" spans="2:26" x14ac:dyDescent="0.2">
      <x:c r="B282" s="683"/>
      <x:c r="C282" s="683"/>
      <x:c r="D282" s="683"/>
      <x:c r="E282" s="683"/>
      <x:c r="F282" s="683"/>
      <x:c r="G282" s="683"/>
      <x:c r="H282" s="683"/>
      <x:c r="I282" s="683"/>
      <x:c r="J282" s="683"/>
      <x:c r="K282" s="683"/>
      <x:c r="L282" s="683"/>
      <x:c r="M282" s="683"/>
      <x:c r="N282" s="683"/>
      <x:c r="O282" s="683"/>
      <x:c r="Z282" s="701"/>
    </x:row>
    <x:row r="283" spans="2:26" x14ac:dyDescent="0.2">
      <x:c r="B283" s="683"/>
      <x:c r="C283" s="683"/>
      <x:c r="D283" s="683"/>
      <x:c r="E283" s="683"/>
      <x:c r="F283" s="683"/>
      <x:c r="G283" s="683"/>
      <x:c r="H283" s="683"/>
      <x:c r="I283" s="683"/>
      <x:c r="J283" s="683"/>
      <x:c r="K283" s="683"/>
      <x:c r="L283" s="683"/>
      <x:c r="M283" s="683"/>
      <x:c r="N283" s="683"/>
      <x:c r="O283" s="683"/>
      <x:c r="Z283" s="701"/>
    </x:row>
    <x:row r="284" spans="2:26" x14ac:dyDescent="0.2">
      <x:c r="B284" s="683"/>
      <x:c r="C284" s="683"/>
      <x:c r="D284" s="683"/>
      <x:c r="E284" s="683"/>
      <x:c r="F284" s="683"/>
      <x:c r="G284" s="683"/>
      <x:c r="H284" s="683"/>
      <x:c r="I284" s="683"/>
      <x:c r="J284" s="683"/>
      <x:c r="K284" s="683"/>
      <x:c r="L284" s="683"/>
      <x:c r="M284" s="683"/>
      <x:c r="N284" s="683"/>
      <x:c r="O284" s="683"/>
      <x:c r="Z284" s="701"/>
    </x:row>
    <x:row r="285" spans="2:26" x14ac:dyDescent="0.2">
      <x:c r="B285" s="683"/>
      <x:c r="C285" s="683"/>
      <x:c r="D285" s="683"/>
      <x:c r="E285" s="683"/>
      <x:c r="F285" s="683"/>
      <x:c r="G285" s="683"/>
      <x:c r="H285" s="683"/>
      <x:c r="I285" s="683"/>
      <x:c r="J285" s="683"/>
      <x:c r="K285" s="683"/>
      <x:c r="L285" s="683"/>
      <x:c r="M285" s="683"/>
      <x:c r="N285" s="683"/>
      <x:c r="O285" s="683"/>
      <x:c r="Z285" s="701"/>
    </x:row>
    <x:row r="286" spans="2:26" x14ac:dyDescent="0.2">
      <x:c r="B286" s="683"/>
      <x:c r="C286" s="683"/>
      <x:c r="D286" s="683"/>
      <x:c r="E286" s="683"/>
      <x:c r="F286" s="683"/>
      <x:c r="G286" s="683"/>
      <x:c r="H286" s="683"/>
      <x:c r="I286" s="683"/>
      <x:c r="J286" s="683"/>
      <x:c r="K286" s="683"/>
      <x:c r="L286" s="683"/>
      <x:c r="M286" s="683"/>
      <x:c r="N286" s="683"/>
      <x:c r="O286" s="683"/>
      <x:c r="Z286" s="701"/>
    </x:row>
    <x:row r="287" spans="2:26" x14ac:dyDescent="0.2">
      <x:c r="B287" s="683"/>
      <x:c r="C287" s="683"/>
      <x:c r="D287" s="683"/>
      <x:c r="E287" s="683"/>
      <x:c r="F287" s="683"/>
      <x:c r="G287" s="683"/>
      <x:c r="H287" s="683"/>
      <x:c r="I287" s="683"/>
      <x:c r="J287" s="683"/>
      <x:c r="K287" s="683"/>
      <x:c r="L287" s="683"/>
      <x:c r="M287" s="683"/>
      <x:c r="N287" s="683"/>
      <x:c r="O287" s="683"/>
      <x:c r="Z287" s="701"/>
    </x:row>
    <x:row r="288" spans="2:26" x14ac:dyDescent="0.2">
      <x:c r="B288" s="683"/>
      <x:c r="C288" s="683"/>
      <x:c r="D288" s="683"/>
      <x:c r="E288" s="683"/>
      <x:c r="F288" s="683"/>
      <x:c r="G288" s="683"/>
      <x:c r="H288" s="683"/>
      <x:c r="I288" s="683"/>
      <x:c r="J288" s="683"/>
      <x:c r="K288" s="683"/>
      <x:c r="L288" s="683"/>
      <x:c r="M288" s="683"/>
      <x:c r="N288" s="683"/>
      <x:c r="O288" s="683"/>
      <x:c r="Z288" s="701"/>
    </x:row>
    <x:row r="289" spans="2:26" x14ac:dyDescent="0.2">
      <x:c r="B289" s="683"/>
      <x:c r="C289" s="683"/>
      <x:c r="D289" s="683"/>
      <x:c r="E289" s="683"/>
      <x:c r="F289" s="683"/>
      <x:c r="G289" s="683"/>
      <x:c r="H289" s="683"/>
      <x:c r="I289" s="683"/>
      <x:c r="J289" s="683"/>
      <x:c r="K289" s="683"/>
      <x:c r="L289" s="683"/>
      <x:c r="M289" s="683"/>
      <x:c r="N289" s="683"/>
      <x:c r="O289" s="683"/>
      <x:c r="Z289" s="701"/>
    </x:row>
    <x:row r="290" spans="2:26" x14ac:dyDescent="0.2">
      <x:c r="B290" s="683"/>
      <x:c r="C290" s="683"/>
      <x:c r="D290" s="683"/>
      <x:c r="E290" s="683"/>
      <x:c r="F290" s="683"/>
      <x:c r="G290" s="683"/>
      <x:c r="H290" s="683"/>
      <x:c r="I290" s="683"/>
      <x:c r="J290" s="683"/>
      <x:c r="K290" s="683"/>
      <x:c r="L290" s="683"/>
      <x:c r="M290" s="683"/>
      <x:c r="N290" s="683"/>
      <x:c r="O290" s="683"/>
      <x:c r="Z290" s="701"/>
    </x:row>
    <x:row r="291" spans="2:26" x14ac:dyDescent="0.2">
      <x:c r="B291" s="683"/>
      <x:c r="C291" s="683"/>
      <x:c r="D291" s="683"/>
      <x:c r="E291" s="683"/>
      <x:c r="F291" s="683"/>
      <x:c r="G291" s="683"/>
      <x:c r="H291" s="683"/>
      <x:c r="I291" s="683"/>
      <x:c r="J291" s="683"/>
      <x:c r="K291" s="683"/>
      <x:c r="L291" s="683"/>
      <x:c r="M291" s="683"/>
      <x:c r="N291" s="683"/>
      <x:c r="O291" s="683"/>
      <x:c r="Z291" s="701"/>
    </x:row>
    <x:row r="292" spans="2:26" x14ac:dyDescent="0.2">
      <x:c r="B292" s="683"/>
      <x:c r="C292" s="683"/>
      <x:c r="D292" s="683"/>
      <x:c r="E292" s="683"/>
      <x:c r="F292" s="683"/>
      <x:c r="G292" s="683"/>
      <x:c r="H292" s="683"/>
      <x:c r="I292" s="683"/>
      <x:c r="J292" s="683"/>
      <x:c r="K292" s="683"/>
      <x:c r="L292" s="683"/>
      <x:c r="M292" s="683"/>
      <x:c r="N292" s="683"/>
      <x:c r="O292" s="683"/>
      <x:c r="Z292" s="701"/>
    </x:row>
    <x:row r="293" spans="2:26" x14ac:dyDescent="0.2">
      <x:c r="B293" s="683"/>
      <x:c r="C293" s="683"/>
      <x:c r="D293" s="683"/>
      <x:c r="E293" s="683"/>
      <x:c r="F293" s="683"/>
      <x:c r="G293" s="683"/>
      <x:c r="H293" s="683"/>
      <x:c r="I293" s="683"/>
      <x:c r="J293" s="683"/>
      <x:c r="K293" s="683"/>
      <x:c r="L293" s="683"/>
      <x:c r="M293" s="683"/>
      <x:c r="N293" s="683"/>
      <x:c r="O293" s="683"/>
      <x:c r="Z293" s="701"/>
    </x:row>
    <x:row r="294" spans="2:26" x14ac:dyDescent="0.2">
      <x:c r="B294" s="683"/>
      <x:c r="C294" s="683"/>
      <x:c r="D294" s="683"/>
      <x:c r="E294" s="683"/>
      <x:c r="F294" s="683"/>
      <x:c r="G294" s="683"/>
      <x:c r="H294" s="683"/>
      <x:c r="I294" s="683"/>
      <x:c r="J294" s="683"/>
      <x:c r="K294" s="683"/>
      <x:c r="L294" s="683"/>
      <x:c r="M294" s="683"/>
      <x:c r="N294" s="683"/>
      <x:c r="O294" s="683"/>
      <x:c r="Z294" s="701"/>
    </x:row>
    <x:row r="295" spans="2:26" x14ac:dyDescent="0.2">
      <x:c r="B295" s="683"/>
      <x:c r="C295" s="683"/>
      <x:c r="D295" s="683"/>
      <x:c r="E295" s="683"/>
      <x:c r="F295" s="683"/>
      <x:c r="G295" s="683"/>
      <x:c r="H295" s="683"/>
      <x:c r="I295" s="683"/>
      <x:c r="J295" s="683"/>
      <x:c r="K295" s="683"/>
      <x:c r="L295" s="683"/>
      <x:c r="M295" s="683"/>
      <x:c r="N295" s="683"/>
      <x:c r="O295" s="683"/>
      <x:c r="Z295" s="701"/>
    </x:row>
    <x:row r="296" spans="2:26" x14ac:dyDescent="0.2">
      <x:c r="B296" s="683"/>
      <x:c r="C296" s="683"/>
      <x:c r="D296" s="683"/>
      <x:c r="E296" s="683"/>
      <x:c r="F296" s="683"/>
      <x:c r="G296" s="683"/>
      <x:c r="H296" s="683"/>
      <x:c r="I296" s="683"/>
      <x:c r="J296" s="683"/>
      <x:c r="K296" s="683"/>
      <x:c r="L296" s="683"/>
      <x:c r="M296" s="683"/>
      <x:c r="N296" s="683"/>
      <x:c r="O296" s="683"/>
      <x:c r="Z296" s="701"/>
    </x:row>
    <x:row r="297" spans="2:26" x14ac:dyDescent="0.2">
      <x:c r="B297" s="683"/>
      <x:c r="C297" s="683"/>
      <x:c r="D297" s="683"/>
      <x:c r="E297" s="683"/>
      <x:c r="F297" s="683"/>
      <x:c r="G297" s="683"/>
      <x:c r="H297" s="683"/>
      <x:c r="I297" s="683"/>
      <x:c r="J297" s="683"/>
      <x:c r="K297" s="683"/>
      <x:c r="L297" s="683"/>
      <x:c r="M297" s="683"/>
      <x:c r="N297" s="683"/>
      <x:c r="O297" s="683"/>
      <x:c r="Z297" s="701"/>
    </x:row>
    <x:row r="298" spans="2:26" x14ac:dyDescent="0.2">
      <x:c r="B298" s="683"/>
      <x:c r="C298" s="683"/>
      <x:c r="D298" s="683"/>
      <x:c r="E298" s="683"/>
      <x:c r="F298" s="683"/>
      <x:c r="G298" s="683"/>
      <x:c r="H298" s="683"/>
      <x:c r="I298" s="683"/>
      <x:c r="J298" s="683"/>
      <x:c r="K298" s="683"/>
      <x:c r="L298" s="683"/>
      <x:c r="M298" s="683"/>
      <x:c r="N298" s="683"/>
      <x:c r="O298" s="683"/>
      <x:c r="Z298" s="701"/>
    </x:row>
    <x:row r="299" spans="2:26" x14ac:dyDescent="0.2">
      <x:c r="B299" s="683"/>
      <x:c r="C299" s="683"/>
      <x:c r="D299" s="683"/>
      <x:c r="E299" s="683"/>
      <x:c r="F299" s="683"/>
      <x:c r="G299" s="683"/>
      <x:c r="H299" s="683"/>
      <x:c r="I299" s="683"/>
      <x:c r="J299" s="683"/>
      <x:c r="K299" s="683"/>
      <x:c r="L299" s="683"/>
      <x:c r="M299" s="683"/>
      <x:c r="N299" s="683"/>
      <x:c r="O299" s="683"/>
      <x:c r="Z299" s="701"/>
    </x:row>
    <x:row r="300" spans="2:26" x14ac:dyDescent="0.2">
      <x:c r="B300" s="683"/>
      <x:c r="C300" s="683"/>
      <x:c r="D300" s="683"/>
      <x:c r="E300" s="683"/>
      <x:c r="F300" s="683"/>
      <x:c r="G300" s="683"/>
      <x:c r="H300" s="683"/>
      <x:c r="I300" s="683"/>
      <x:c r="J300" s="683"/>
      <x:c r="K300" s="683"/>
      <x:c r="L300" s="683"/>
      <x:c r="M300" s="683"/>
      <x:c r="N300" s="683"/>
      <x:c r="O300" s="683"/>
      <x:c r="Z300" s="701"/>
    </x:row>
    <x:row r="301" spans="2:26" x14ac:dyDescent="0.2">
      <x:c r="B301" s="683"/>
      <x:c r="C301" s="683"/>
      <x:c r="D301" s="683"/>
      <x:c r="E301" s="683"/>
      <x:c r="F301" s="683"/>
      <x:c r="G301" s="683"/>
      <x:c r="H301" s="683"/>
      <x:c r="I301" s="683"/>
      <x:c r="J301" s="683"/>
      <x:c r="K301" s="683"/>
      <x:c r="L301" s="683"/>
      <x:c r="M301" s="683"/>
      <x:c r="N301" s="683"/>
      <x:c r="O301" s="683"/>
      <x:c r="Z301" s="701"/>
    </x:row>
    <x:row r="302" spans="2:26" x14ac:dyDescent="0.2">
      <x:c r="B302" s="683"/>
      <x:c r="C302" s="683"/>
      <x:c r="D302" s="683"/>
      <x:c r="E302" s="683"/>
      <x:c r="F302" s="683"/>
      <x:c r="G302" s="683"/>
      <x:c r="H302" s="683"/>
      <x:c r="I302" s="683"/>
      <x:c r="J302" s="683"/>
      <x:c r="K302" s="683"/>
      <x:c r="L302" s="683"/>
      <x:c r="M302" s="683"/>
      <x:c r="N302" s="683"/>
      <x:c r="O302" s="683"/>
      <x:c r="Z302" s="701"/>
    </x:row>
    <x:row r="303" spans="2:26" x14ac:dyDescent="0.2">
      <x:c r="B303" s="683"/>
      <x:c r="C303" s="683"/>
      <x:c r="D303" s="683"/>
      <x:c r="E303" s="683"/>
      <x:c r="F303" s="683"/>
      <x:c r="G303" s="683"/>
      <x:c r="H303" s="683"/>
      <x:c r="I303" s="683"/>
      <x:c r="J303" s="683"/>
      <x:c r="K303" s="683"/>
      <x:c r="L303" s="683"/>
      <x:c r="M303" s="683"/>
      <x:c r="N303" s="683"/>
      <x:c r="O303" s="683"/>
      <x:c r="Z303" s="701"/>
    </x:row>
    <x:row r="304" spans="2:26" x14ac:dyDescent="0.2">
      <x:c r="B304" s="683"/>
      <x:c r="C304" s="683"/>
      <x:c r="D304" s="683"/>
      <x:c r="E304" s="683"/>
      <x:c r="F304" s="683"/>
      <x:c r="G304" s="683"/>
      <x:c r="H304" s="683"/>
      <x:c r="I304" s="683"/>
      <x:c r="J304" s="683"/>
      <x:c r="K304" s="683"/>
      <x:c r="L304" s="683"/>
      <x:c r="M304" s="683"/>
      <x:c r="N304" s="683"/>
      <x:c r="O304" s="683"/>
      <x:c r="Z304" s="701"/>
    </x:row>
    <x:row r="305" spans="1:26" x14ac:dyDescent="0.2">
      <x:c r="B305" s="683"/>
      <x:c r="C305" s="683"/>
      <x:c r="D305" s="683"/>
      <x:c r="E305" s="683"/>
      <x:c r="F305" s="683"/>
      <x:c r="G305" s="683"/>
      <x:c r="H305" s="683"/>
      <x:c r="I305" s="683"/>
      <x:c r="J305" s="683"/>
      <x:c r="K305" s="683"/>
      <x:c r="L305" s="683"/>
      <x:c r="M305" s="683"/>
      <x:c r="N305" s="683"/>
      <x:c r="O305" s="683"/>
      <x:c r="Z305" s="701"/>
    </x:row>
    <x:row r="306" spans="1:26" x14ac:dyDescent="0.2">
      <x:c r="B306" s="683"/>
      <x:c r="C306" s="683"/>
      <x:c r="D306" s="683"/>
      <x:c r="E306" s="683"/>
      <x:c r="F306" s="683"/>
      <x:c r="G306" s="683"/>
      <x:c r="H306" s="683"/>
      <x:c r="I306" s="683"/>
      <x:c r="J306" s="683"/>
      <x:c r="K306" s="683"/>
      <x:c r="L306" s="683"/>
      <x:c r="M306" s="683"/>
      <x:c r="N306" s="683"/>
      <x:c r="O306" s="683"/>
      <x:c r="Z306" s="701"/>
    </x:row>
    <x:row r="307" spans="1:26" x14ac:dyDescent="0.2">
      <x:c r="B307" s="683"/>
      <x:c r="C307" s="683"/>
      <x:c r="D307" s="683"/>
      <x:c r="E307" s="683"/>
      <x:c r="F307" s="683"/>
      <x:c r="G307" s="683"/>
      <x:c r="H307" s="683"/>
      <x:c r="I307" s="683"/>
      <x:c r="J307" s="683"/>
      <x:c r="K307" s="683"/>
      <x:c r="L307" s="683"/>
      <x:c r="M307" s="683"/>
      <x:c r="N307" s="683"/>
      <x:c r="O307" s="683"/>
      <x:c r="Z307" s="701"/>
    </x:row>
    <x:row r="308" spans="1:26" x14ac:dyDescent="0.2">
      <x:c r="B308" s="683"/>
      <x:c r="C308" s="683"/>
      <x:c r="D308" s="683"/>
      <x:c r="E308" s="683"/>
      <x:c r="F308" s="683"/>
      <x:c r="G308" s="683"/>
      <x:c r="H308" s="683"/>
      <x:c r="I308" s="683"/>
      <x:c r="J308" s="683"/>
      <x:c r="K308" s="683"/>
      <x:c r="L308" s="683"/>
      <x:c r="M308" s="683"/>
      <x:c r="N308" s="683"/>
      <x:c r="O308" s="683"/>
      <x:c r="Z308" s="701"/>
    </x:row>
    <x:row r="309" spans="1:26" x14ac:dyDescent="0.2">
      <x:c r="B309" s="683"/>
      <x:c r="C309" s="683"/>
      <x:c r="D309" s="683"/>
      <x:c r="E309" s="683"/>
      <x:c r="F309" s="683"/>
      <x:c r="G309" s="683"/>
      <x:c r="H309" s="683"/>
      <x:c r="I309" s="683"/>
      <x:c r="J309" s="683"/>
      <x:c r="K309" s="683"/>
      <x:c r="L309" s="683"/>
      <x:c r="M309" s="683"/>
      <x:c r="N309" s="683"/>
      <x:c r="O309" s="683"/>
      <x:c r="Z309" s="701"/>
    </x:row>
    <x:row r="310" spans="1:26" x14ac:dyDescent="0.2">
      <x:c r="B310" s="683"/>
      <x:c r="C310" s="683"/>
      <x:c r="D310" s="683"/>
      <x:c r="E310" s="683"/>
      <x:c r="F310" s="683"/>
      <x:c r="G310" s="683"/>
      <x:c r="H310" s="683"/>
      <x:c r="I310" s="683"/>
      <x:c r="J310" s="683"/>
      <x:c r="K310" s="683"/>
      <x:c r="L310" s="683"/>
      <x:c r="M310" s="683"/>
      <x:c r="N310" s="683"/>
      <x:c r="O310" s="683"/>
      <x:c r="Z310" s="701"/>
    </x:row>
    <x:row r="311" spans="1:26" x14ac:dyDescent="0.2">
      <x:c r="B311" s="683"/>
      <x:c r="C311" s="683"/>
      <x:c r="D311" s="683"/>
      <x:c r="E311" s="683"/>
      <x:c r="F311" s="683"/>
      <x:c r="G311" s="683"/>
      <x:c r="H311" s="683"/>
      <x:c r="I311" s="683"/>
      <x:c r="J311" s="683"/>
      <x:c r="K311" s="683"/>
      <x:c r="L311" s="683"/>
      <x:c r="M311" s="683"/>
      <x:c r="N311" s="683"/>
      <x:c r="O311" s="683"/>
      <x:c r="Z311" s="701"/>
    </x:row>
    <x:row r="312" spans="1:26" x14ac:dyDescent="0.2">
      <x:c r="B312" s="683"/>
      <x:c r="C312" s="683"/>
      <x:c r="D312" s="683"/>
      <x:c r="E312" s="683"/>
      <x:c r="F312" s="683"/>
      <x:c r="G312" s="683"/>
      <x:c r="H312" s="683"/>
      <x:c r="I312" s="683"/>
      <x:c r="J312" s="683"/>
      <x:c r="K312" s="683"/>
      <x:c r="L312" s="683"/>
      <x:c r="M312" s="683"/>
      <x:c r="N312" s="683"/>
      <x:c r="O312" s="683"/>
      <x:c r="Z312" s="701"/>
    </x:row>
    <x:row r="313" spans="1:26" x14ac:dyDescent="0.2">
      <x:c r="B313" s="683"/>
      <x:c r="C313" s="683"/>
      <x:c r="D313" s="683"/>
      <x:c r="E313" s="683"/>
      <x:c r="F313" s="683"/>
      <x:c r="G313" s="683"/>
      <x:c r="H313" s="683"/>
      <x:c r="I313" s="683"/>
      <x:c r="J313" s="683"/>
      <x:c r="K313" s="683"/>
      <x:c r="L313" s="683"/>
      <x:c r="M313" s="683"/>
      <x:c r="N313" s="683"/>
      <x:c r="O313" s="683"/>
      <x:c r="Z313" s="701"/>
    </x:row>
    <x:row r="314" spans="1:26" x14ac:dyDescent="0.2">
      <x:c r="B314" s="683"/>
      <x:c r="C314" s="683"/>
      <x:c r="D314" s="683"/>
      <x:c r="E314" s="683"/>
      <x:c r="F314" s="683"/>
      <x:c r="G314" s="683"/>
      <x:c r="H314" s="683"/>
      <x:c r="I314" s="683"/>
      <x:c r="J314" s="683"/>
      <x:c r="K314" s="683"/>
      <x:c r="L314" s="683"/>
      <x:c r="M314" s="683"/>
      <x:c r="N314" s="683"/>
      <x:c r="O314" s="683"/>
      <x:c r="Z314" s="701"/>
    </x:row>
    <x:row r="315" spans="1:26" x14ac:dyDescent="0.2">
      <x:c r="B315" s="683"/>
      <x:c r="C315" s="683"/>
      <x:c r="D315" s="683"/>
      <x:c r="E315" s="683"/>
      <x:c r="F315" s="683"/>
      <x:c r="G315" s="683"/>
      <x:c r="H315" s="683"/>
      <x:c r="I315" s="683"/>
      <x:c r="J315" s="683"/>
      <x:c r="K315" s="683"/>
      <x:c r="L315" s="683"/>
      <x:c r="M315" s="683"/>
      <x:c r="N315" s="683"/>
      <x:c r="O315" s="683"/>
      <x:c r="Z315" s="701"/>
    </x:row>
    <x:row r="316" spans="1:26" x14ac:dyDescent="0.2">
      <x:c r="B316" s="683"/>
      <x:c r="C316" s="683"/>
      <x:c r="D316" s="683"/>
      <x:c r="E316" s="683"/>
      <x:c r="F316" s="683"/>
      <x:c r="G316" s="683"/>
      <x:c r="H316" s="683"/>
      <x:c r="I316" s="683"/>
      <x:c r="J316" s="683"/>
      <x:c r="K316" s="683"/>
      <x:c r="L316" s="683"/>
      <x:c r="M316" s="683"/>
      <x:c r="N316" s="683"/>
      <x:c r="O316" s="683"/>
      <x:c r="Z316" s="701"/>
    </x:row>
    <x:row r="317" spans="1:26" x14ac:dyDescent="0.2">
      <x:c r="B317" s="683"/>
      <x:c r="C317" s="683"/>
      <x:c r="D317" s="683"/>
      <x:c r="E317" s="683"/>
      <x:c r="F317" s="683"/>
      <x:c r="G317" s="683"/>
      <x:c r="H317" s="683"/>
      <x:c r="I317" s="683"/>
      <x:c r="J317" s="683"/>
      <x:c r="K317" s="683"/>
      <x:c r="L317" s="683"/>
      <x:c r="M317" s="683"/>
      <x:c r="N317" s="683"/>
      <x:c r="O317" s="683"/>
      <x:c r="Z317" s="701"/>
    </x:row>
    <x:row r="318" spans="1:26" x14ac:dyDescent="0.2">
      <x:c r="B318" s="683"/>
      <x:c r="C318" s="683"/>
      <x:c r="D318" s="683"/>
      <x:c r="E318" s="683"/>
      <x:c r="F318" s="683"/>
      <x:c r="G318" s="683"/>
      <x:c r="H318" s="683"/>
      <x:c r="I318" s="683"/>
      <x:c r="J318" s="683"/>
      <x:c r="K318" s="683"/>
      <x:c r="L318" s="683"/>
      <x:c r="M318" s="683"/>
      <x:c r="N318" s="683"/>
      <x:c r="O318" s="683"/>
      <x:c r="Z318" s="701"/>
    </x:row>
    <x:row r="319" spans="1:26" x14ac:dyDescent="0.2">
      <x:c r="B319" s="683"/>
      <x:c r="C319" s="683"/>
      <x:c r="D319" s="683"/>
      <x:c r="E319" s="683"/>
      <x:c r="F319" s="683"/>
      <x:c r="G319" s="683"/>
      <x:c r="H319" s="683"/>
      <x:c r="I319" s="683"/>
      <x:c r="J319" s="683"/>
      <x:c r="K319" s="683"/>
      <x:c r="L319" s="683"/>
      <x:c r="M319" s="683"/>
      <x:c r="N319" s="683"/>
      <x:c r="O319" s="683"/>
      <x:c r="Z319" s="701"/>
    </x:row>
    <x:row r="320" spans="1:26" x14ac:dyDescent="0.2">
      <x:c r="A320" s="774" t="s">
        <x:v>2</x:v>
      </x:c>
      <x:c r="B320" s="773" t="s">
        <x:v>132</x:v>
      </x:c>
      <x:c r="C320" s="696" t="s">
        <x:v>70</x:v>
      </x:c>
      <x:c r="D320" s="696">
        <x:f>D243-P243</x:f>
        <x:v>0</x:v>
      </x:c>
      <x:c r="E320" s="696">
        <x:f>E239+E233+E227</x:f>
        <x:v>0</x:v>
      </x:c>
      <x:c r="F320" s="696">
        <x:f t="shared" ref="F320:R320" si="9">F239+F233+F227</x:f>
        <x:v>0</x:v>
      </x:c>
      <x:c r="G320" s="696">
        <x:f t="shared" si="9"/>
        <x:v>0</x:v>
      </x:c>
      <x:c r="H320" s="696">
        <x:f t="shared" si="9"/>
        <x:v>0</x:v>
      </x:c>
      <x:c r="I320" s="696">
        <x:f t="shared" si="9"/>
        <x:v>0</x:v>
      </x:c>
      <x:c r="J320" s="696">
        <x:f t="shared" si="9"/>
        <x:v>0</x:v>
      </x:c>
      <x:c r="K320" s="696">
        <x:f t="shared" si="9"/>
        <x:v>0</x:v>
      </x:c>
      <x:c r="L320" s="696">
        <x:f t="shared" si="9"/>
        <x:v>0</x:v>
      </x:c>
      <x:c r="M320" s="696">
        <x:f t="shared" si="9"/>
        <x:v>0</x:v>
      </x:c>
      <x:c r="N320" s="696">
        <x:f t="shared" si="9"/>
        <x:v>0</x:v>
      </x:c>
      <x:c r="O320" s="696">
        <x:f t="shared" si="9"/>
        <x:v>0</x:v>
      </x:c>
      <x:c r="P320" s="696">
        <x:f t="shared" si="9"/>
        <x:v>0</x:v>
      </x:c>
      <x:c r="Q320" s="696">
        <x:f t="shared" si="9"/>
        <x:v>0</x:v>
      </x:c>
      <x:c r="R320" s="696">
        <x:f t="shared" si="9"/>
        <x:v>0</x:v>
      </x:c>
      <x:c r="Z320" s="701"/>
    </x:row>
    <x:row r="321" spans="1:26" x14ac:dyDescent="0.2">
      <x:c r="A321" s="774"/>
      <x:c r="B321" s="773"/>
      <x:c r="C321" s="696" t="s">
        <x:v>73</x:v>
      </x:c>
      <x:c r="D321" s="696">
        <x:f>D241+D235+D229</x:f>
        <x:v>0</x:v>
      </x:c>
      <x:c r="E321" s="683"/>
      <x:c r="F321" s="683"/>
      <x:c r="G321" s="683"/>
      <x:c r="H321" s="683"/>
      <x:c r="I321" s="683"/>
      <x:c r="J321" s="683"/>
      <x:c r="K321" s="683"/>
      <x:c r="L321" s="683"/>
      <x:c r="M321" s="683"/>
      <x:c r="N321" s="683"/>
      <x:c r="O321" s="683"/>
      <x:c r="P321" s="683"/>
      <x:c r="Q321" s="683"/>
      <x:c r="R321" s="683"/>
      <x:c r="Z321" s="701"/>
    </x:row>
    <x:row r="322" spans="1:26" ht="15" x14ac:dyDescent="0.25">
      <x:c r="A322" s="682"/>
      <x:c r="D322" s="683"/>
      <x:c r="E322" s="683"/>
      <x:c r="F322" s="683"/>
      <x:c r="G322" s="683"/>
      <x:c r="H322" s="683"/>
      <x:c r="I322" s="683"/>
      <x:c r="J322" s="683"/>
      <x:c r="K322" s="683"/>
      <x:c r="L322" s="683"/>
      <x:c r="M322" s="683"/>
      <x:c r="N322" s="683"/>
      <x:c r="O322" s="683"/>
      <x:c r="P322" s="683"/>
      <x:c r="Q322" s="683"/>
      <x:c r="R322" s="683"/>
      <x:c r="Z322" s="701"/>
    </x:row>
    <x:row r="323" spans="1:26" x14ac:dyDescent="0.2">
      <x:c r="A323" s="774" t="s">
        <x:v>160</x:v>
      </x:c>
      <x:c r="B323" s="773" t="s">
        <x:v>132</x:v>
      </x:c>
      <x:c r="C323" s="697" t="s">
        <x:v>70</x:v>
      </x:c>
      <x:c r="D323" s="697">
        <x:f>D236-P236</x:f>
        <x:v>0</x:v>
      </x:c>
      <x:c r="E323" s="697">
        <x:f>E233</x:f>
        <x:v>0</x:v>
      </x:c>
      <x:c r="F323" s="697">
        <x:f t="shared" ref="F323:R323" si="10">F233</x:f>
        <x:v>0</x:v>
      </x:c>
      <x:c r="G323" s="697">
        <x:f t="shared" si="10"/>
        <x:v>0</x:v>
      </x:c>
      <x:c r="H323" s="697">
        <x:f t="shared" si="10"/>
        <x:v>0</x:v>
      </x:c>
      <x:c r="I323" s="697">
        <x:f t="shared" si="10"/>
        <x:v>0</x:v>
      </x:c>
      <x:c r="J323" s="697">
        <x:f t="shared" si="10"/>
        <x:v>0</x:v>
      </x:c>
      <x:c r="K323" s="697">
        <x:f t="shared" si="10"/>
        <x:v>0</x:v>
      </x:c>
      <x:c r="L323" s="697">
        <x:f t="shared" si="10"/>
        <x:v>0</x:v>
      </x:c>
      <x:c r="M323" s="697">
        <x:f t="shared" si="10"/>
        <x:v>0</x:v>
      </x:c>
      <x:c r="N323" s="697">
        <x:f t="shared" si="10"/>
        <x:v>0</x:v>
      </x:c>
      <x:c r="O323" s="697">
        <x:f t="shared" si="10"/>
        <x:v>0</x:v>
      </x:c>
      <x:c r="P323" s="697">
        <x:f t="shared" si="10"/>
        <x:v>0</x:v>
      </x:c>
      <x:c r="Q323" s="697">
        <x:f t="shared" si="10"/>
        <x:v>0</x:v>
      </x:c>
      <x:c r="R323" s="697">
        <x:f t="shared" si="10"/>
        <x:v>0</x:v>
      </x:c>
      <x:c r="Z323" s="701"/>
    </x:row>
    <x:row r="324" spans="1:26" x14ac:dyDescent="0.2">
      <x:c r="A324" s="774"/>
      <x:c r="B324" s="773"/>
      <x:c r="C324" s="697" t="s">
        <x:v>73</x:v>
      </x:c>
      <x:c r="D324" s="697">
        <x:f>D235</x:f>
        <x:v>0</x:v>
      </x:c>
      <x:c r="E324" s="683"/>
      <x:c r="F324" s="683"/>
      <x:c r="G324" s="683"/>
      <x:c r="H324" s="683"/>
      <x:c r="I324" s="683"/>
      <x:c r="J324" s="683"/>
      <x:c r="K324" s="683"/>
      <x:c r="L324" s="683"/>
      <x:c r="M324" s="683"/>
      <x:c r="N324" s="683"/>
      <x:c r="O324" s="683"/>
      <x:c r="P324" s="683"/>
      <x:c r="Q324" s="683"/>
      <x:c r="R324" s="683"/>
      <x:c r="Z324" s="701"/>
    </x:row>
    <x:row r="325" spans="1:26" ht="15" x14ac:dyDescent="0.25">
      <x:c r="A325" s="682"/>
      <x:c r="D325" s="683"/>
      <x:c r="E325" s="683"/>
      <x:c r="F325" s="683"/>
      <x:c r="G325" s="683"/>
      <x:c r="H325" s="683"/>
      <x:c r="I325" s="683"/>
      <x:c r="J325" s="683"/>
      <x:c r="K325" s="683"/>
      <x:c r="L325" s="683"/>
      <x:c r="M325" s="683"/>
      <x:c r="N325" s="683"/>
      <x:c r="O325" s="683"/>
      <x:c r="P325" s="683"/>
      <x:c r="Q325" s="683"/>
      <x:c r="R325" s="683"/>
      <x:c r="Z325" s="701"/>
    </x:row>
    <x:row r="326" spans="1:26" x14ac:dyDescent="0.2">
      <x:c r="A326" s="774" t="s">
        <x:v>155</x:v>
      </x:c>
      <x:c r="B326" s="773" t="s">
        <x:v>132</x:v>
      </x:c>
      <x:c r="C326" s="698" t="s">
        <x:v>70</x:v>
      </x:c>
      <x:c r="D326" s="698">
        <x:f>D230-P230</x:f>
        <x:v>0</x:v>
      </x:c>
      <x:c r="E326" s="698">
        <x:f>E227</x:f>
        <x:v>0</x:v>
      </x:c>
      <x:c r="F326" s="698">
        <x:f t="shared" ref="F326:R326" si="11">F227</x:f>
        <x:v>0</x:v>
      </x:c>
      <x:c r="G326" s="698">
        <x:f t="shared" si="11"/>
        <x:v>0</x:v>
      </x:c>
      <x:c r="H326" s="698">
        <x:f t="shared" si="11"/>
        <x:v>0</x:v>
      </x:c>
      <x:c r="I326" s="698">
        <x:f t="shared" si="11"/>
        <x:v>0</x:v>
      </x:c>
      <x:c r="J326" s="698">
        <x:f t="shared" si="11"/>
        <x:v>0</x:v>
      </x:c>
      <x:c r="K326" s="698">
        <x:f t="shared" si="11"/>
        <x:v>0</x:v>
      </x:c>
      <x:c r="L326" s="698">
        <x:f t="shared" si="11"/>
        <x:v>0</x:v>
      </x:c>
      <x:c r="M326" s="698">
        <x:f t="shared" si="11"/>
        <x:v>0</x:v>
      </x:c>
      <x:c r="N326" s="698">
        <x:f t="shared" si="11"/>
        <x:v>0</x:v>
      </x:c>
      <x:c r="O326" s="698">
        <x:f t="shared" si="11"/>
        <x:v>0</x:v>
      </x:c>
      <x:c r="P326" s="698">
        <x:f t="shared" si="11"/>
        <x:v>0</x:v>
      </x:c>
      <x:c r="Q326" s="698">
        <x:f t="shared" si="11"/>
        <x:v>0</x:v>
      </x:c>
      <x:c r="R326" s="698">
        <x:f t="shared" si="11"/>
        <x:v>0</x:v>
      </x:c>
      <x:c r="Z326" s="701"/>
    </x:row>
    <x:row r="327" spans="1:26" x14ac:dyDescent="0.2">
      <x:c r="A327" s="774"/>
      <x:c r="B327" s="773"/>
      <x:c r="C327" s="698" t="s">
        <x:v>73</x:v>
      </x:c>
      <x:c r="D327" s="698">
        <x:f>D229</x:f>
        <x:v>0</x:v>
      </x:c>
      <x:c r="E327" s="683"/>
      <x:c r="F327" s="683"/>
      <x:c r="G327" s="683"/>
      <x:c r="H327" s="683"/>
      <x:c r="I327" s="683"/>
      <x:c r="J327" s="683"/>
      <x:c r="K327" s="683"/>
      <x:c r="L327" s="683"/>
      <x:c r="M327" s="683"/>
      <x:c r="N327" s="683"/>
      <x:c r="O327" s="683"/>
      <x:c r="P327" s="683"/>
      <x:c r="Q327" s="683"/>
      <x:c r="R327" s="683"/>
      <x:c r="Z327" s="701"/>
    </x:row>
    <x:row r="328" spans="1:26" ht="15" x14ac:dyDescent="0.2">
      <x:c r="A328" s="694"/>
      <x:c r="B328" s="695"/>
      <x:c r="C328" s="683"/>
      <x:c r="D328" s="683"/>
      <x:c r="E328" s="683"/>
      <x:c r="F328" s="683"/>
      <x:c r="G328" s="683"/>
      <x:c r="H328" s="683"/>
      <x:c r="I328" s="683"/>
      <x:c r="J328" s="683"/>
      <x:c r="K328" s="683"/>
      <x:c r="L328" s="683"/>
      <x:c r="M328" s="683"/>
      <x:c r="N328" s="683"/>
      <x:c r="O328" s="683"/>
      <x:c r="P328" s="683"/>
      <x:c r="Q328" s="683"/>
      <x:c r="R328" s="683"/>
      <x:c r="Z328" s="701"/>
    </x:row>
    <x:row r="329" spans="1:26" x14ac:dyDescent="0.2">
      <x:c r="A329" s="775" t="s">
        <x:v>326</x:v>
      </x:c>
      <x:c r="B329" s="773" t="s">
        <x:v>132</x:v>
      </x:c>
      <x:c r="C329" s="698" t="s">
        <x:v>70</x:v>
      </x:c>
      <x:c r="D329" s="699">
        <x:v>0</x:v>
      </x:c>
      <x:c r="E329" s="699">
        <x:v>0</x:v>
      </x:c>
      <x:c r="F329" s="699">
        <x:v>0</x:v>
      </x:c>
      <x:c r="G329" s="699">
        <x:v>0</x:v>
      </x:c>
      <x:c r="H329" s="699">
        <x:v>0</x:v>
      </x:c>
      <x:c r="I329" s="699">
        <x:v>0</x:v>
      </x:c>
      <x:c r="J329" s="699">
        <x:v>0</x:v>
      </x:c>
      <x:c r="K329" s="699">
        <x:v>0</x:v>
      </x:c>
      <x:c r="L329" s="699">
        <x:v>0</x:v>
      </x:c>
      <x:c r="M329" s="699">
        <x:v>0</x:v>
      </x:c>
      <x:c r="N329" s="699">
        <x:v>0</x:v>
      </x:c>
      <x:c r="O329" s="699">
        <x:v>0</x:v>
      </x:c>
      <x:c r="P329" s="699">
        <x:v>0</x:v>
      </x:c>
      <x:c r="Q329" s="699">
        <x:v>0</x:v>
      </x:c>
      <x:c r="R329" s="699">
        <x:v>0</x:v>
      </x:c>
      <x:c r="Z329" s="701"/>
    </x:row>
    <x:row r="330" spans="1:26" x14ac:dyDescent="0.2">
      <x:c r="A330" s="775"/>
      <x:c r="B330" s="773"/>
      <x:c r="C330" s="698" t="s">
        <x:v>73</x:v>
      </x:c>
      <x:c r="D330" s="699">
        <x:v>0</x:v>
      </x:c>
      <x:c r="E330" s="683"/>
      <x:c r="F330" s="683"/>
      <x:c r="G330" s="683"/>
      <x:c r="H330" s="683"/>
      <x:c r="I330" s="683"/>
      <x:c r="J330" s="683"/>
      <x:c r="K330" s="683"/>
      <x:c r="L330" s="683"/>
      <x:c r="M330" s="683"/>
      <x:c r="N330" s="683"/>
      <x:c r="O330" s="683"/>
      <x:c r="P330" s="683"/>
      <x:c r="Q330" s="683"/>
      <x:c r="Z330" s="701"/>
    </x:row>
    <x:row r="331" spans="1:26" ht="15" x14ac:dyDescent="0.25">
      <x:c r="A331" s="682"/>
      <x:c r="D331" s="683"/>
      <x:c r="E331" s="683"/>
      <x:c r="F331" s="683"/>
      <x:c r="G331" s="683"/>
      <x:c r="H331" s="683"/>
      <x:c r="I331" s="683"/>
      <x:c r="J331" s="683"/>
      <x:c r="K331" s="683"/>
      <x:c r="L331" s="683"/>
      <x:c r="M331" s="683"/>
      <x:c r="N331" s="683"/>
      <x:c r="O331" s="683"/>
      <x:c r="P331" s="683"/>
      <x:c r="Q331" s="683"/>
      <x:c r="R331" s="683"/>
      <x:c r="Z331" s="701"/>
    </x:row>
    <x:row r="332" spans="1:26" x14ac:dyDescent="0.2">
      <x:c r="A332" s="774" t="s">
        <x:v>119</x:v>
      </x:c>
      <x:c r="B332" s="773" t="s">
        <x:v>132</x:v>
      </x:c>
      <x:c r="C332" s="691" t="s">
        <x:v>70</x:v>
      </x:c>
      <x:c r="D332" s="691">
        <x:f>D242-P242</x:f>
        <x:v>0</x:v>
      </x:c>
      <x:c r="E332" s="691">
        <x:f>E239</x:f>
        <x:v>0</x:v>
      </x:c>
      <x:c r="F332" s="691">
        <x:f t="shared" ref="F332:R332" si="12">F239</x:f>
        <x:v>0</x:v>
      </x:c>
      <x:c r="G332" s="691">
        <x:f t="shared" si="12"/>
        <x:v>0</x:v>
      </x:c>
      <x:c r="H332" s="691">
        <x:f t="shared" si="12"/>
        <x:v>0</x:v>
      </x:c>
      <x:c r="I332" s="691">
        <x:f t="shared" si="12"/>
        <x:v>0</x:v>
      </x:c>
      <x:c r="J332" s="691">
        <x:f t="shared" si="12"/>
        <x:v>0</x:v>
      </x:c>
      <x:c r="K332" s="691">
        <x:f t="shared" si="12"/>
        <x:v>0</x:v>
      </x:c>
      <x:c r="L332" s="691">
        <x:f t="shared" si="12"/>
        <x:v>0</x:v>
      </x:c>
      <x:c r="M332" s="691">
        <x:f t="shared" si="12"/>
        <x:v>0</x:v>
      </x:c>
      <x:c r="N332" s="691">
        <x:f t="shared" si="12"/>
        <x:v>0</x:v>
      </x:c>
      <x:c r="O332" s="691">
        <x:f t="shared" si="12"/>
        <x:v>0</x:v>
      </x:c>
      <x:c r="P332" s="691">
        <x:f t="shared" si="12"/>
        <x:v>0</x:v>
      </x:c>
      <x:c r="Q332" s="691">
        <x:f t="shared" si="12"/>
        <x:v>0</x:v>
      </x:c>
      <x:c r="R332" s="691">
        <x:f t="shared" si="12"/>
        <x:v>0</x:v>
      </x:c>
      <x:c r="Z332" s="701"/>
    </x:row>
    <x:row r="333" spans="1:26" x14ac:dyDescent="0.2">
      <x:c r="A333" s="774"/>
      <x:c r="B333" s="773"/>
      <x:c r="C333" s="691" t="s">
        <x:v>73</x:v>
      </x:c>
      <x:c r="D333" s="691">
        <x:f>D241</x:f>
        <x:v>0</x:v>
      </x:c>
      <x:c r="E333" s="683"/>
      <x:c r="F333" s="683"/>
      <x:c r="G333" s="683"/>
      <x:c r="H333" s="683"/>
      <x:c r="I333" s="683"/>
      <x:c r="J333" s="683"/>
      <x:c r="K333" s="683"/>
      <x:c r="L333" s="683"/>
      <x:c r="M333" s="683"/>
      <x:c r="N333" s="683"/>
      <x:c r="O333" s="683"/>
      <x:c r="P333" s="683"/>
      <x:c r="Q333" s="683"/>
      <x:c r="R333" s="683"/>
      <x:c r="Z333" s="701"/>
    </x:row>
    <x:row r="334" spans="1:26" ht="15" x14ac:dyDescent="0.25">
      <x:c r="A334" s="682"/>
      <x:c r="D334" s="683"/>
      <x:c r="E334" s="683"/>
      <x:c r="F334" s="683"/>
      <x:c r="G334" s="683"/>
      <x:c r="H334" s="683"/>
      <x:c r="I334" s="683"/>
      <x:c r="J334" s="683"/>
      <x:c r="K334" s="683"/>
      <x:c r="L334" s="683"/>
      <x:c r="M334" s="683"/>
      <x:c r="N334" s="683"/>
      <x:c r="O334" s="683"/>
      <x:c r="P334" s="683"/>
      <x:c r="Q334" s="683"/>
      <x:c r="R334" s="683"/>
      <x:c r="Z334" s="701"/>
    </x:row>
    <x:row r="335" spans="1:26" x14ac:dyDescent="0.2">
      <x:c r="A335" s="772" t="s">
        <x:v>161</x:v>
      </x:c>
      <x:c r="B335" s="773" t="s">
        <x:v>132</x:v>
      </x:c>
      <x:c r="C335" s="700" t="s">
        <x:v>70</x:v>
      </x:c>
      <x:c r="D335" s="700">
        <x:v>0</x:v>
      </x:c>
      <x:c r="E335" s="700">
        <x:v>0</x:v>
      </x:c>
      <x:c r="F335" s="700">
        <x:v>0</x:v>
      </x:c>
      <x:c r="G335" s="700">
        <x:v>0</x:v>
      </x:c>
      <x:c r="H335" s="700">
        <x:v>0</x:v>
      </x:c>
      <x:c r="I335" s="700">
        <x:v>0</x:v>
      </x:c>
      <x:c r="J335" s="700">
        <x:v>0</x:v>
      </x:c>
      <x:c r="K335" s="700">
        <x:v>0</x:v>
      </x:c>
      <x:c r="L335" s="700">
        <x:v>0</x:v>
      </x:c>
      <x:c r="M335" s="700">
        <x:v>0</x:v>
      </x:c>
      <x:c r="N335" s="700">
        <x:v>0</x:v>
      </x:c>
      <x:c r="O335" s="700">
        <x:v>0</x:v>
      </x:c>
      <x:c r="P335" s="700">
        <x:v>0</x:v>
      </x:c>
      <x:c r="Q335" s="700">
        <x:v>0</x:v>
      </x:c>
      <x:c r="R335" s="700">
        <x:v>0</x:v>
      </x:c>
      <x:c r="Z335" s="701"/>
    </x:row>
    <x:row r="336" spans="1:26" x14ac:dyDescent="0.2">
      <x:c r="A336" s="772"/>
      <x:c r="B336" s="773"/>
      <x:c r="C336" s="700" t="s">
        <x:v>73</x:v>
      </x:c>
      <x:c r="D336" s="700">
        <x:v>0</x:v>
      </x:c>
      <x:c r="E336" s="683"/>
      <x:c r="F336" s="683"/>
      <x:c r="G336" s="683"/>
      <x:c r="H336" s="683"/>
      <x:c r="I336" s="683"/>
      <x:c r="J336" s="683"/>
      <x:c r="K336" s="683"/>
      <x:c r="L336" s="683"/>
      <x:c r="M336" s="683"/>
      <x:c r="N336" s="683"/>
      <x:c r="O336" s="683"/>
      <x:c r="P336" s="683"/>
      <x:c r="Q336" s="683"/>
      <x:c r="Z336" s="701"/>
    </x:row>
    <x:row r="337" spans="1:26" x14ac:dyDescent="0.2">
      <x:c r="A337" s="701"/>
      <x:c r="B337" s="701"/>
      <x:c r="C337" s="701"/>
      <x:c r="D337" s="701"/>
      <x:c r="E337" s="701"/>
      <x:c r="F337" s="701"/>
      <x:c r="G337" s="701"/>
      <x:c r="H337" s="701"/>
      <x:c r="I337" s="701"/>
      <x:c r="J337" s="701"/>
      <x:c r="K337" s="701"/>
      <x:c r="L337" s="701"/>
      <x:c r="M337" s="701"/>
      <x:c r="N337" s="701"/>
      <x:c r="O337" s="701"/>
      <x:c r="P337" s="701"/>
      <x:c r="Q337" s="701"/>
      <x:c r="R337" s="701"/>
      <x:c r="S337" s="701"/>
      <x:c r="T337" s="701"/>
      <x:c r="U337" s="701"/>
      <x:c r="V337" s="701"/>
      <x:c r="W337" s="701"/>
      <x:c r="X337" s="701"/>
      <x:c r="Y337" s="701"/>
      <x:c r="Z337" s="701"/>
    </x:row>
    <x:row r="338" spans="1:26" ht="15" x14ac:dyDescent="0.25">
      <x:c r="B338" s="707" t="s">
        <x:v>93</x:v>
      </x:c>
      <x:c r="Z338" s="701"/>
    </x:row>
    <x:row r="339" spans="1:26" s="682" customFormat="1" ht="15" x14ac:dyDescent="0.25">
      <x:c r="D339" s="704" t="s">
        <x:v>70</x:v>
      </x:c>
      <x:c r="E339" s="704" t="s">
        <x:v>64</x:v>
      </x:c>
      <x:c r="F339" s="704" t="s">
        <x:v>65</x:v>
      </x:c>
      <x:c r="G339" s="705" t="s">
        <x:v>164</x:v>
      </x:c>
      <x:c r="H339" s="704" t="s">
        <x:v>69</x:v>
      </x:c>
      <x:c r="I339" s="704" t="s">
        <x:v>68</x:v>
      </x:c>
      <x:c r="J339" s="704" t="s">
        <x:v>66</x:v>
      </x:c>
      <x:c r="K339" s="704" t="s">
        <x:v>63</x:v>
      </x:c>
      <x:c r="L339" s="704" t="s">
        <x:v>61</x:v>
      </x:c>
      <x:c r="M339" s="704" t="s">
        <x:v>62</x:v>
      </x:c>
      <x:c r="N339" s="704" t="s">
        <x:v>67</x:v>
      </x:c>
      <x:c r="O339" s="704" t="s">
        <x:v>77</x:v>
      </x:c>
      <x:c r="P339" s="682" t="s">
        <x:v>71</x:v>
      </x:c>
      <x:c r="Q339" s="704" t="s">
        <x:v>80</x:v>
      </x:c>
      <x:c r="R339" s="682" t="s">
        <x:v>167</x:v>
      </x:c>
      <x:c r="Z339" s="706"/>
    </x:row>
    <x:row r="340" spans="1:26" x14ac:dyDescent="0.2">
      <x:c r="C340" s="683" t="s">
        <x:v>72</x:v>
      </x:c>
      <x:c r="D340" s="683" t="n">
        <x:v>-1706689.32</x:v>
      </x:c>
      <x:c r="E340" s="683" t="n">
        <x:v>-94482.4</x:v>
      </x:c>
      <x:c r="F340" s="683" t="n">
        <x:v>-53308.05</x:v>
      </x:c>
      <x:c r="G340" s="683" t="n">
        <x:v>-27834.64</x:v>
      </x:c>
      <x:c r="H340" s="683" t="n">
        <x:v>-369040.04</x:v>
      </x:c>
      <x:c r="I340" s="683" t="n">
        <x:v>-13788.77</x:v>
      </x:c>
      <x:c r="J340" s="683" t="n">
        <x:v>-120953.3</x:v>
      </x:c>
      <x:c r="K340" s="683" t="n">
        <x:v>-114901.98</x:v>
      </x:c>
      <x:c r="L340" s="683" t="n">
        <x:v>-608077.97</x:v>
      </x:c>
      <x:c r="M340" s="683" t="n">
        <x:v>-281789.78</x:v>
      </x:c>
      <x:c r="N340" s="683" t="n">
        <x:v>-22497.42</x:v>
      </x:c>
      <x:c r="O340" s="683" t="n">
        <x:v>-14.97</x:v>
      </x:c>
      <x:c r="P340" s="681">
        <x:v>0</x:v>
      </x:c>
      <x:c r="Q340" s="683">
        <x:v>0</x:v>
      </x:c>
      <x:c r="R340" s="681">
        <x:v>0</x:v>
      </x:c>
      <x:c r="Z340" s="701"/>
    </x:row>
    <x:row r="341" spans="1:26" x14ac:dyDescent="0.2">
      <x:c r="C341" s="683" t="s">
        <x:v>81</x:v>
      </x:c>
      <x:c r="D341" s="683" t="n">
        <x:v>-456.61</x:v>
      </x:c>
      <x:c r="E341" s="683" t="n">
        <x:v>-47.8</x:v>
      </x:c>
      <x:c r="F341" s="683" t="n">
        <x:v>-26.97</x:v>
      </x:c>
      <x:c r="G341" s="683" t="n">
        <x:v>-14.11</x:v>
      </x:c>
      <x:c r="H341" s="683" t="n">
        <x:v>-65.69</x:v>
      </x:c>
      <x:c r="I341" s="683" t="n">
        <x:v>-2.49</x:v>
      </x:c>
      <x:c r="J341" s="683" t="n">
        <x:v>-21.9</x:v>
      </x:c>
      <x:c r="K341" s="683" t="n">
        <x:v>-21.51</x:v>
      </x:c>
      <x:c r="L341" s="683" t="n">
        <x:v>-110</x:v>
      </x:c>
      <x:c r="M341" s="683" t="n">
        <x:v>-142.07</x:v>
      </x:c>
      <x:c r="N341" s="683" t="n">
        <x:v>-4.08</x:v>
      </x:c>
      <x:c r="O341" s="683" t="n">
        <x:v>0.01</x:v>
      </x:c>
      <x:c r="P341" s="681">
        <x:v>0</x:v>
      </x:c>
      <x:c r="Q341" s="683">
        <x:v>0</x:v>
      </x:c>
      <x:c r="R341" s="681">
        <x:v>0</x:v>
      </x:c>
      <x:c r="Z341" s="701"/>
    </x:row>
    <x:row r="342" spans="1:26" x14ac:dyDescent="0.2">
      <x:c r="A342" s="684"/>
      <x:c r="B342" s="685" t="s">
        <x:v>78</x:v>
      </x:c>
      <x:c r="C342" s="685" t="s">
        <x:v>70</x:v>
      </x:c>
      <x:c r="D342" s="685" t="n">
        <x:v>-1707145.93</x:v>
      </x:c>
      <x:c r="E342" s="685" t="n">
        <x:v>-94530.2</x:v>
      </x:c>
      <x:c r="F342" s="685" t="n">
        <x:v>-53335.02</x:v>
      </x:c>
      <x:c r="G342" s="685" t="n">
        <x:v>-27848.75</x:v>
      </x:c>
      <x:c r="H342" s="685" t="n">
        <x:v>-369105.73</x:v>
      </x:c>
      <x:c r="I342" s="685" t="n">
        <x:v>-13791.26</x:v>
      </x:c>
      <x:c r="J342" s="685" t="n">
        <x:v>-120975.2</x:v>
      </x:c>
      <x:c r="K342" s="685" t="n">
        <x:v>-114923.49</x:v>
      </x:c>
      <x:c r="L342" s="685" t="n">
        <x:v>-608187.97</x:v>
      </x:c>
      <x:c r="M342" s="685" t="n">
        <x:v>-281931.85</x:v>
      </x:c>
      <x:c r="N342" s="685" t="n">
        <x:v>-22501.5</x:v>
      </x:c>
      <x:c r="O342" s="685" t="n">
        <x:v>-14.96</x:v>
      </x:c>
      <x:c r="P342" s="684">
        <x:v>0</x:v>
      </x:c>
      <x:c r="Q342" s="685">
        <x:v>0</x:v>
      </x:c>
      <x:c r="R342" s="685">
        <x:v>0</x:v>
      </x:c>
      <x:c r="S342" s="684"/>
      <x:c r="T342" s="684"/>
      <x:c r="U342" s="684"/>
      <x:c r="V342" s="684"/>
      <x:c r="W342" s="684"/>
      <x:c r="X342" s="684"/>
      <x:c r="Y342" s="684"/>
      <x:c r="Z342" s="701"/>
    </x:row>
    <x:row r="343" spans="1:26" x14ac:dyDescent="0.2">
      <x:c r="C343" s="683" t="s">
        <x:v>73</x:v>
      </x:c>
      <x:c r="D343" s="683" t="n">
        <x:v>252595.93</x:v>
      </x:c>
      <x:c r="E343" s="683" t="n">
        <x:v>11832.72</x:v>
      </x:c>
      <x:c r="F343" s="683" t="n">
        <x:v>6669.12</x:v>
      </x:c>
      <x:c r="G343" s="683" t="n">
        <x:v>3454.83</x:v>
      </x:c>
      <x:c r="H343" s="683" t="n">
        <x:v>57250.88</x:v>
      </x:c>
      <x:c r="I343" s="683" t="n">
        <x:v>2188.66</x:v>
      </x:c>
      <x:c r="J343" s="683" t="n">
        <x:v>19197.88</x:v>
      </x:c>
      <x:c r="K343" s="683" t="n">
        <x:v>17533.08</x:v>
      </x:c>
      <x:c r="L343" s="683" t="n">
        <x:v>96412.03</x:v>
      </x:c>
      <x:c r="M343" s="683" t="n">
        <x:v>34485.89</x:v>
      </x:c>
      <x:c r="N343" s="683" t="n">
        <x:v>3570.84</x:v>
      </x:c>
      <x:c r="O343" s="683" t="n">
        <x:v>0</x:v>
      </x:c>
      <x:c r="P343" s="681">
        <x:v>0</x:v>
      </x:c>
      <x:c r="Q343" s="683">
        <x:v>0</x:v>
      </x:c>
      <x:c r="R343" s="681">
        <x:v>0</x:v>
      </x:c>
      <x:c r="Z343" s="701"/>
    </x:row>
    <x:row r="344" spans="1:26" x14ac:dyDescent="0.2">
      <x:c r="A344" s="686"/>
      <x:c r="B344" s="687" t="s">
        <x:v>79</x:v>
      </x:c>
      <x:c r="C344" s="687" t="s">
        <x:v>70</x:v>
      </x:c>
      <x:c r="D344" s="687" t="n">
        <x:v>252595.93</x:v>
      </x:c>
      <x:c r="E344" s="687" t="n">
        <x:v>11832.72</x:v>
      </x:c>
      <x:c r="F344" s="687" t="n">
        <x:v>6669.12</x:v>
      </x:c>
      <x:c r="G344" s="687" t="n">
        <x:v>3454.83</x:v>
      </x:c>
      <x:c r="H344" s="687" t="n">
        <x:v>57250.88</x:v>
      </x:c>
      <x:c r="I344" s="687" t="n">
        <x:v>2188.66</x:v>
      </x:c>
      <x:c r="J344" s="687" t="n">
        <x:v>19197.88</x:v>
      </x:c>
      <x:c r="K344" s="687" t="n">
        <x:v>17533.08</x:v>
      </x:c>
      <x:c r="L344" s="687" t="n">
        <x:v>96412.03</x:v>
      </x:c>
      <x:c r="M344" s="687" t="n">
        <x:v>34485.89</x:v>
      </x:c>
      <x:c r="N344" s="687" t="n">
        <x:v>3570.84</x:v>
      </x:c>
      <x:c r="O344" s="687" t="n">
        <x:v>0</x:v>
      </x:c>
      <x:c r="P344" s="686">
        <x:v>0</x:v>
      </x:c>
      <x:c r="Q344" s="687">
        <x:v>0</x:v>
      </x:c>
      <x:c r="R344" s="687">
        <x:v>0</x:v>
      </x:c>
      <x:c r="S344" s="686"/>
      <x:c r="T344" s="686"/>
      <x:c r="U344" s="686"/>
      <x:c r="V344" s="686"/>
      <x:c r="W344" s="686"/>
      <x:c r="X344" s="686"/>
      <x:c r="Y344" s="686"/>
      <x:c r="Z344" s="701"/>
    </x:row>
    <x:row r="345" spans="1:26" x14ac:dyDescent="0.2">
      <x:c r="A345" s="688" t="s">
        <x:v>155</x:v>
      </x:c>
      <x:c r="B345" s="688" t="s">
        <x:v>70</x:v>
      </x:c>
      <x:c r="C345" s="688"/>
      <x:c r="D345" s="689" t="n">
        <x:v>-1454550</x:v>
      </x:c>
      <x:c r="E345" s="689" t="n">
        <x:v>-82697.48</x:v>
      </x:c>
      <x:c r="F345" s="689" t="n">
        <x:v>-46665.9</x:v>
      </x:c>
      <x:c r="G345" s="689" t="n">
        <x:v>-24393.92</x:v>
      </x:c>
      <x:c r="H345" s="689" t="n">
        <x:v>-311854.85</x:v>
      </x:c>
      <x:c r="I345" s="689" t="n">
        <x:v>-11602.6</x:v>
      </x:c>
      <x:c r="J345" s="689" t="n">
        <x:v>-101777.32</x:v>
      </x:c>
      <x:c r="K345" s="689" t="n">
        <x:v>-97390.41</x:v>
      </x:c>
      <x:c r="L345" s="689" t="n">
        <x:v>-511775.94</x:v>
      </x:c>
      <x:c r="M345" s="689" t="n">
        <x:v>-247445.96</x:v>
      </x:c>
      <x:c r="N345" s="689" t="n">
        <x:v>-18930.66</x:v>
      </x:c>
      <x:c r="O345" s="689" t="n">
        <x:v>-14.96</x:v>
      </x:c>
      <x:c r="P345" s="689">
        <x:v>0</x:v>
      </x:c>
      <x:c r="Q345" s="689">
        <x:v>0</x:v>
      </x:c>
      <x:c r="R345" s="688">
        <x:v>0</x:v>
      </x:c>
      <x:c r="S345" s="688"/>
      <x:c r="T345" s="688"/>
      <x:c r="U345" s="688"/>
      <x:c r="V345" s="688"/>
      <x:c r="W345" s="688"/>
      <x:c r="X345" s="688"/>
      <x:c r="Y345" s="688"/>
      <x:c r="Z345" s="701"/>
    </x:row>
    <x:row r="346" spans="1:26" x14ac:dyDescent="0.2">
      <x:c r="C346" s="681" t="s">
        <x:v>72</x:v>
      </x:c>
      <x:c r="D346" s="683" t="n">
        <x:v>-2862889.72</x:v>
      </x:c>
      <x:c r="E346" s="683" t="n">
        <x:v>-179668.09</x:v>
      </x:c>
      <x:c r="F346" s="683" t="n">
        <x:v>-82974.25</x:v>
      </x:c>
      <x:c r="G346" s="683" t="n">
        <x:v>-45392.65</x:v>
      </x:c>
      <x:c r="H346" s="683" t="n">
        <x:v>-673487.67</x:v>
      </x:c>
      <x:c r="I346" s="683" t="n">
        <x:v>-17742.75</x:v>
      </x:c>
      <x:c r="J346" s="683" t="n">
        <x:v>-155636.23</x:v>
      </x:c>
      <x:c r="K346" s="683" t="n">
        <x:v>-193184.12</x:v>
      </x:c>
      <x:c r="L346" s="683" t="n">
        <x:v>-948866.03</x:v>
      </x:c>
      <x:c r="M346" s="683" t="n">
        <x:v>-536960.47</x:v>
      </x:c>
      <x:c r="N346" s="683" t="n">
        <x:v>-28948.27</x:v>
      </x:c>
      <x:c r="O346" s="683" t="n">
        <x:v>-29.19</x:v>
      </x:c>
      <x:c r="P346" s="683">
        <x:v>0</x:v>
      </x:c>
      <x:c r="Q346" s="683">
        <x:v>0</x:v>
      </x:c>
      <x:c r="R346" s="681">
        <x:v>0</x:v>
      </x:c>
      <x:c r="Z346" s="701"/>
    </x:row>
    <x:row r="347" spans="1:26" x14ac:dyDescent="0.2">
      <x:c r="C347" s="681" t="s">
        <x:v>81</x:v>
      </x:c>
      <x:c r="D347" s="683" t="n">
        <x:v>-7202.5</x:v>
      </x:c>
      <x:c r="E347" s="683" t="n">
        <x:v>-472.72</x:v>
      </x:c>
      <x:c r="F347" s="683" t="n">
        <x:v>-217.35</x:v>
      </x:c>
      <x:c r="G347" s="683" t="n">
        <x:v>-118.11</x:v>
      </x:c>
      <x:c r="H347" s="683" t="n">
        <x:v>-1668.72</x:v>
      </x:c>
      <x:c r="I347" s="683" t="n">
        <x:v>-44.26</x:v>
      </x:c>
      <x:c r="J347" s="683" t="n">
        <x:v>-386.59</x:v>
      </x:c>
      <x:c r="K347" s="683" t="n">
        <x:v>-478.13</x:v>
      </x:c>
      <x:c r="L347" s="683" t="n">
        <x:v>-2330.63</x:v>
      </x:c>
      <x:c r="M347" s="683" t="n">
        <x:v>-1414.2</x:v>
      </x:c>
      <x:c r="N347" s="683" t="n">
        <x:v>-71.87</x:v>
      </x:c>
      <x:c r="O347" s="683" t="n">
        <x:v>0.08</x:v>
      </x:c>
      <x:c r="P347" s="683">
        <x:v>0</x:v>
      </x:c>
      <x:c r="Q347" s="683">
        <x:v>0</x:v>
      </x:c>
      <x:c r="R347" s="681">
        <x:v>0</x:v>
      </x:c>
      <x:c r="Z347" s="701"/>
    </x:row>
    <x:row r="348" spans="1:26" x14ac:dyDescent="0.2">
      <x:c r="A348" s="684"/>
      <x:c r="B348" s="685" t="s">
        <x:v>78</x:v>
      </x:c>
      <x:c r="C348" s="685" t="s">
        <x:v>70</x:v>
      </x:c>
      <x:c r="D348" s="685" t="n">
        <x:v>-2870092.22</x:v>
      </x:c>
      <x:c r="E348" s="685" t="n">
        <x:v>-180140.81</x:v>
      </x:c>
      <x:c r="F348" s="685" t="n">
        <x:v>-83191.6</x:v>
      </x:c>
      <x:c r="G348" s="685" t="n">
        <x:v>-45510.76</x:v>
      </x:c>
      <x:c r="H348" s="685" t="n">
        <x:v>-675156.39</x:v>
      </x:c>
      <x:c r="I348" s="685" t="n">
        <x:v>-17787.01</x:v>
      </x:c>
      <x:c r="J348" s="685" t="n">
        <x:v>-156022.82</x:v>
      </x:c>
      <x:c r="K348" s="685" t="n">
        <x:v>-193662.25</x:v>
      </x:c>
      <x:c r="L348" s="685" t="n">
        <x:v>-951196.66</x:v>
      </x:c>
      <x:c r="M348" s="685" t="n">
        <x:v>-538374.67</x:v>
      </x:c>
      <x:c r="N348" s="685" t="n">
        <x:v>-29020.14</x:v>
      </x:c>
      <x:c r="O348" s="685" t="n">
        <x:v>-29.11</x:v>
      </x:c>
      <x:c r="P348" s="684">
        <x:v>0</x:v>
      </x:c>
      <x:c r="Q348" s="685">
        <x:v>0</x:v>
      </x:c>
      <x:c r="R348" s="685">
        <x:v>0</x:v>
      </x:c>
      <x:c r="S348" s="684"/>
      <x:c r="T348" s="684"/>
      <x:c r="U348" s="684"/>
      <x:c r="V348" s="684"/>
      <x:c r="W348" s="684"/>
      <x:c r="X348" s="684"/>
      <x:c r="Y348" s="684"/>
      <x:c r="Z348" s="701"/>
    </x:row>
    <x:row r="349" spans="1:26" x14ac:dyDescent="0.2">
      <x:c r="C349" s="681" t="s">
        <x:v>73</x:v>
      </x:c>
      <x:c r="D349" s="683" t="n">
        <x:v>313270.57</x:v>
      </x:c>
      <x:c r="E349" s="683" t="n">
        <x:v>18281.23</x:v>
      </x:c>
      <x:c r="F349" s="683" t="n">
        <x:v>8411.29</x:v>
      </x:c>
      <x:c r="G349" s="683" t="n">
        <x:v>4624.02</x:v>
      </x:c>
      <x:c r="H349" s="683" t="n">
        <x:v>75908.12</x:v>
      </x:c>
      <x:c r="I349" s="683" t="n">
        <x:v>1999.2</x:v>
      </x:c>
      <x:c r="J349" s="683" t="n">
        <x:v>17539.47</x:v>
      </x:c>
      <x:c r="K349" s="683" t="n">
        <x:v>21753.17</x:v>
      </x:c>
      <x:c r="L349" s="683" t="n">
        <x:v>106827.34</x:v>
      </x:c>
      <x:c r="M349" s="683" t="n">
        <x:v>54664.01</x:v>
      </x:c>
      <x:c r="N349" s="683" t="n">
        <x:v>3262.72</x:v>
      </x:c>
      <x:c r="O349" s="683" t="n">
        <x:v>0</x:v>
      </x:c>
      <x:c r="P349" s="683">
        <x:v>0</x:v>
      </x:c>
      <x:c r="Q349" s="683">
        <x:v>0</x:v>
      </x:c>
      <x:c r="R349" s="681">
        <x:v>0</x:v>
      </x:c>
      <x:c r="Z349" s="701"/>
    </x:row>
    <x:row r="350" spans="1:26" x14ac:dyDescent="0.2">
      <x:c r="A350" s="686"/>
      <x:c r="B350" s="687" t="s">
        <x:v>79</x:v>
      </x:c>
      <x:c r="C350" s="687" t="s">
        <x:v>70</x:v>
      </x:c>
      <x:c r="D350" s="687" t="n">
        <x:v>313270.57</x:v>
      </x:c>
      <x:c r="E350" s="687" t="n">
        <x:v>18281.23</x:v>
      </x:c>
      <x:c r="F350" s="687" t="n">
        <x:v>8411.29</x:v>
      </x:c>
      <x:c r="G350" s="687" t="n">
        <x:v>4624.02</x:v>
      </x:c>
      <x:c r="H350" s="687" t="n">
        <x:v>75908.12</x:v>
      </x:c>
      <x:c r="I350" s="687" t="n">
        <x:v>1999.2</x:v>
      </x:c>
      <x:c r="J350" s="687" t="n">
        <x:v>17539.47</x:v>
      </x:c>
      <x:c r="K350" s="687" t="n">
        <x:v>21753.17</x:v>
      </x:c>
      <x:c r="L350" s="687" t="n">
        <x:v>106827.34</x:v>
      </x:c>
      <x:c r="M350" s="687" t="n">
        <x:v>54664.01</x:v>
      </x:c>
      <x:c r="N350" s="687" t="n">
        <x:v>3262.72</x:v>
      </x:c>
      <x:c r="O350" s="687" t="n">
        <x:v>0</x:v>
      </x:c>
      <x:c r="P350" s="686">
        <x:v>0</x:v>
      </x:c>
      <x:c r="Q350" s="687">
        <x:v>0</x:v>
      </x:c>
      <x:c r="R350" s="687">
        <x:v>0</x:v>
      </x:c>
      <x:c r="S350" s="686"/>
      <x:c r="T350" s="686"/>
      <x:c r="U350" s="686"/>
      <x:c r="V350" s="686"/>
      <x:c r="W350" s="686"/>
      <x:c r="X350" s="686"/>
      <x:c r="Y350" s="686"/>
      <x:c r="Z350" s="701"/>
    </x:row>
    <x:row r="351" spans="1:26" x14ac:dyDescent="0.2">
      <x:c r="A351" s="690" t="s">
        <x:v>119</x:v>
      </x:c>
      <x:c r="B351" s="690" t="s">
        <x:v>70</x:v>
      </x:c>
      <x:c r="C351" s="690"/>
      <x:c r="D351" s="691" t="n">
        <x:v>-2556821.65</x:v>
      </x:c>
      <x:c r="E351" s="691" t="n">
        <x:v>-161859.58</x:v>
      </x:c>
      <x:c r="F351" s="691" t="n">
        <x:v>-74780.31</x:v>
      </x:c>
      <x:c r="G351" s="691" t="n">
        <x:v>-40886.74</x:v>
      </x:c>
      <x:c r="H351" s="691" t="n">
        <x:v>-599248.27</x:v>
      </x:c>
      <x:c r="I351" s="691" t="n">
        <x:v>-15787.81</x:v>
      </x:c>
      <x:c r="J351" s="691" t="n">
        <x:v>-138483.35</x:v>
      </x:c>
      <x:c r="K351" s="691" t="n">
        <x:v>-171909.08</x:v>
      </x:c>
      <x:c r="L351" s="691" t="n">
        <x:v>-844369.32</x:v>
      </x:c>
      <x:c r="M351" s="691" t="n">
        <x:v>-483710.66</x:v>
      </x:c>
      <x:c r="N351" s="691" t="n">
        <x:v>-25757.42</x:v>
      </x:c>
      <x:c r="O351" s="691" t="n">
        <x:v>-29.11</x:v>
      </x:c>
      <x:c r="P351" s="691">
        <x:v>0</x:v>
      </x:c>
      <x:c r="Q351" s="691">
        <x:v>0</x:v>
      </x:c>
      <x:c r="R351" s="690">
        <x:v>0</x:v>
      </x:c>
      <x:c r="S351" s="690"/>
      <x:c r="T351" s="690"/>
      <x:c r="U351" s="690"/>
      <x:c r="V351" s="690"/>
      <x:c r="W351" s="690"/>
      <x:c r="X351" s="690"/>
      <x:c r="Y351" s="690"/>
      <x:c r="Z351" s="701"/>
    </x:row>
    <x:row r="352" spans="1:26" x14ac:dyDescent="0.2">
      <x:c r="A352" s="692" t="s">
        <x:v>70</x:v>
      </x:c>
      <x:c r="B352" s="693"/>
      <x:c r="C352" s="693"/>
      <x:c r="D352" s="692" t="n">
        <x:v>-4011371.65</x:v>
      </x:c>
      <x:c r="E352" s="692" t="n">
        <x:v>-244557.06</x:v>
      </x:c>
      <x:c r="F352" s="692" t="n">
        <x:v>-121446.21</x:v>
      </x:c>
      <x:c r="G352" s="692" t="n">
        <x:v>-65280.66</x:v>
      </x:c>
      <x:c r="H352" s="692" t="n">
        <x:v>-911103.12</x:v>
      </x:c>
      <x:c r="I352" s="692" t="n">
        <x:v>-27390.41</x:v>
      </x:c>
      <x:c r="J352" s="692" t="n">
        <x:v>-240260.67</x:v>
      </x:c>
      <x:c r="K352" s="692" t="n">
        <x:v>-269299.49</x:v>
      </x:c>
      <x:c r="L352" s="692" t="n">
        <x:v>-1356145.26</x:v>
      </x:c>
      <x:c r="M352" s="692" t="n">
        <x:v>-731156.62</x:v>
      </x:c>
      <x:c r="N352" s="692" t="n">
        <x:v>-44688.08</x:v>
      </x:c>
      <x:c r="O352" s="692" t="n">
        <x:v>-44.07</x:v>
      </x:c>
      <x:c r="P352" s="693" t="n">
        <x:v>0</x:v>
      </x:c>
      <x:c r="Q352" s="692">
        <x:v>0</x:v>
      </x:c>
      <x:c r="R352" s="692">
        <x:v>0</x:v>
      </x:c>
      <x:c r="S352" s="693"/>
      <x:c r="T352" s="693"/>
      <x:c r="U352" s="693"/>
      <x:c r="V352" s="693"/>
      <x:c r="W352" s="693"/>
      <x:c r="X352" s="693"/>
      <x:c r="Y352" s="693"/>
      <x:c r="Z352" s="701"/>
    </x:row>
    <x:row r="353" spans="1:26" x14ac:dyDescent="0.2">
      <x:c r="C353" s="683"/>
      <x:c r="D353" s="683"/>
      <x:c r="E353" s="683"/>
      <x:c r="F353" s="683"/>
      <x:c r="G353" s="683"/>
      <x:c r="H353" s="683"/>
      <x:c r="I353" s="683"/>
      <x:c r="J353" s="683"/>
      <x:c r="K353" s="683"/>
      <x:c r="L353" s="683"/>
      <x:c r="M353" s="683"/>
      <x:c r="N353" s="683"/>
      <x:c r="O353" s="683"/>
      <x:c r="Q353" s="683"/>
      <x:c r="Z353" s="701"/>
    </x:row>
    <x:row r="354" spans="1:26" x14ac:dyDescent="0.2">
      <x:c r="C354" s="683"/>
      <x:c r="D354" s="683"/>
      <x:c r="E354" s="683"/>
      <x:c r="F354" s="683"/>
      <x:c r="G354" s="683"/>
      <x:c r="H354" s="683"/>
      <x:c r="I354" s="683"/>
      <x:c r="J354" s="683"/>
      <x:c r="K354" s="683"/>
      <x:c r="L354" s="683"/>
      <x:c r="M354" s="683"/>
      <x:c r="N354" s="683"/>
      <x:c r="O354" s="683"/>
      <x:c r="Q354" s="683"/>
      <x:c r="Z354" s="701"/>
    </x:row>
    <x:row r="355" spans="1:26" x14ac:dyDescent="0.2">
      <x:c r="A355" s="774" t="s">
        <x:v>2</x:v>
      </x:c>
      <x:c r="B355" s="773" t="s">
        <x:v>132</x:v>
      </x:c>
      <x:c r="C355" s="696" t="s">
        <x:v>70</x:v>
      </x:c>
      <x:c r="D355" s="696">
        <x:f>D352-P352</x:f>
        <x:v>0</x:v>
      </x:c>
      <x:c r="E355" s="696">
        <x:f>E342+E348</x:f>
        <x:v>0</x:v>
      </x:c>
      <x:c r="F355" s="696">
        <x:f t="shared" ref="F355:R355" si="13">F342+F348</x:f>
        <x:v>0</x:v>
      </x:c>
      <x:c r="G355" s="696">
        <x:f t="shared" si="13"/>
        <x:v>0</x:v>
      </x:c>
      <x:c r="H355" s="696">
        <x:f t="shared" si="13"/>
        <x:v>0</x:v>
      </x:c>
      <x:c r="I355" s="696">
        <x:f t="shared" si="13"/>
        <x:v>0</x:v>
      </x:c>
      <x:c r="J355" s="696">
        <x:f t="shared" si="13"/>
        <x:v>0</x:v>
      </x:c>
      <x:c r="K355" s="696">
        <x:f t="shared" si="13"/>
        <x:v>0</x:v>
      </x:c>
      <x:c r="L355" s="696">
        <x:f t="shared" si="13"/>
        <x:v>0</x:v>
      </x:c>
      <x:c r="M355" s="696">
        <x:f t="shared" si="13"/>
        <x:v>0</x:v>
      </x:c>
      <x:c r="N355" s="696">
        <x:f t="shared" si="13"/>
        <x:v>0</x:v>
      </x:c>
      <x:c r="O355" s="696">
        <x:f t="shared" si="13"/>
        <x:v>0</x:v>
      </x:c>
      <x:c r="P355" s="696">
        <x:f t="shared" si="13"/>
        <x:v>0</x:v>
      </x:c>
      <x:c r="Q355" s="696">
        <x:f t="shared" si="13"/>
        <x:v>0</x:v>
      </x:c>
      <x:c r="R355" s="696">
        <x:f t="shared" si="13"/>
        <x:v>0</x:v>
      </x:c>
      <x:c r="Z355" s="701"/>
    </x:row>
    <x:row r="356" spans="1:26" x14ac:dyDescent="0.2">
      <x:c r="A356" s="774"/>
      <x:c r="B356" s="773"/>
      <x:c r="C356" s="696" t="s">
        <x:v>73</x:v>
      </x:c>
      <x:c r="D356" s="696">
        <x:f>D344+D350</x:f>
        <x:v>0</x:v>
      </x:c>
      <x:c r="E356" s="683"/>
      <x:c r="F356" s="683"/>
      <x:c r="G356" s="683"/>
      <x:c r="H356" s="683"/>
      <x:c r="I356" s="683"/>
      <x:c r="J356" s="683"/>
      <x:c r="K356" s="683"/>
      <x:c r="L356" s="683"/>
      <x:c r="M356" s="683"/>
      <x:c r="N356" s="683"/>
      <x:c r="O356" s="683"/>
      <x:c r="P356" s="683"/>
      <x:c r="Q356" s="683"/>
      <x:c r="R356" s="683"/>
      <x:c r="Z356" s="701"/>
    </x:row>
    <x:row r="357" spans="1:26" ht="15" x14ac:dyDescent="0.25">
      <x:c r="A357" s="682"/>
      <x:c r="D357" s="683"/>
      <x:c r="E357" s="683"/>
      <x:c r="F357" s="683"/>
      <x:c r="G357" s="683"/>
      <x:c r="H357" s="683"/>
      <x:c r="I357" s="683"/>
      <x:c r="J357" s="683"/>
      <x:c r="K357" s="683"/>
      <x:c r="L357" s="683"/>
      <x:c r="M357" s="683"/>
      <x:c r="N357" s="683"/>
      <x:c r="O357" s="683"/>
      <x:c r="P357" s="683"/>
      <x:c r="Q357" s="683"/>
      <x:c r="R357" s="683"/>
      <x:c r="Z357" s="701"/>
    </x:row>
    <x:row r="358" spans="1:26" x14ac:dyDescent="0.2">
      <x:c r="A358" s="774" t="s">
        <x:v>160</x:v>
      </x:c>
      <x:c r="B358" s="773" t="s">
        <x:v>132</x:v>
      </x:c>
      <x:c r="C358" s="697" t="s">
        <x:v>70</x:v>
      </x:c>
      <x:c r="D358" s="697">
        <x:v>0</x:v>
      </x:c>
      <x:c r="E358" s="697">
        <x:v>0</x:v>
      </x:c>
      <x:c r="F358" s="697">
        <x:v>0</x:v>
      </x:c>
      <x:c r="G358" s="697">
        <x:v>0</x:v>
      </x:c>
      <x:c r="H358" s="697">
        <x:v>0</x:v>
      </x:c>
      <x:c r="I358" s="697">
        <x:v>0</x:v>
      </x:c>
      <x:c r="J358" s="697">
        <x:v>0</x:v>
      </x:c>
      <x:c r="K358" s="697">
        <x:v>0</x:v>
      </x:c>
      <x:c r="L358" s="697">
        <x:v>0</x:v>
      </x:c>
      <x:c r="M358" s="697">
        <x:v>0</x:v>
      </x:c>
      <x:c r="N358" s="697">
        <x:v>0</x:v>
      </x:c>
      <x:c r="O358" s="697">
        <x:v>0</x:v>
      </x:c>
      <x:c r="P358" s="697">
        <x:v>0</x:v>
      </x:c>
      <x:c r="Q358" s="697">
        <x:v>0</x:v>
      </x:c>
      <x:c r="R358" s="697">
        <x:v>0</x:v>
      </x:c>
      <x:c r="Z358" s="701"/>
    </x:row>
    <x:row r="359" spans="1:26" x14ac:dyDescent="0.2">
      <x:c r="A359" s="774"/>
      <x:c r="B359" s="773"/>
      <x:c r="C359" s="697" t="s">
        <x:v>73</x:v>
      </x:c>
      <x:c r="D359" s="697">
        <x:v>0</x:v>
      </x:c>
      <x:c r="E359" s="683"/>
      <x:c r="F359" s="683"/>
      <x:c r="G359" s="683"/>
      <x:c r="H359" s="683"/>
      <x:c r="I359" s="683"/>
      <x:c r="J359" s="683"/>
      <x:c r="K359" s="683"/>
      <x:c r="L359" s="683"/>
      <x:c r="M359" s="683"/>
      <x:c r="N359" s="683"/>
      <x:c r="O359" s="683"/>
      <x:c r="P359" s="683"/>
      <x:c r="Q359" s="683"/>
      <x:c r="R359" s="683"/>
      <x:c r="Z359" s="701"/>
    </x:row>
    <x:row r="360" spans="1:26" ht="15" x14ac:dyDescent="0.25">
      <x:c r="A360" s="682"/>
      <x:c r="D360" s="683"/>
      <x:c r="E360" s="683"/>
      <x:c r="F360" s="683"/>
      <x:c r="G360" s="683"/>
      <x:c r="H360" s="683"/>
      <x:c r="I360" s="683"/>
      <x:c r="J360" s="683"/>
      <x:c r="K360" s="683"/>
      <x:c r="L360" s="683"/>
      <x:c r="M360" s="683"/>
      <x:c r="N360" s="683"/>
      <x:c r="O360" s="683"/>
      <x:c r="P360" s="683"/>
      <x:c r="Q360" s="683"/>
      <x:c r="R360" s="683"/>
      <x:c r="Z360" s="701"/>
    </x:row>
    <x:row r="361" spans="1:26" x14ac:dyDescent="0.2">
      <x:c r="A361" s="774" t="s">
        <x:v>155</x:v>
      </x:c>
      <x:c r="B361" s="773" t="s">
        <x:v>132</x:v>
      </x:c>
      <x:c r="C361" s="698" t="s">
        <x:v>70</x:v>
      </x:c>
      <x:c r="D361" s="698">
        <x:f>D345-P345</x:f>
        <x:v>0</x:v>
      </x:c>
      <x:c r="E361" s="698">
        <x:f t="shared" ref="E361:R361" si="14">E342</x:f>
        <x:v>0</x:v>
      </x:c>
      <x:c r="F361" s="698">
        <x:f t="shared" si="14"/>
        <x:v>0</x:v>
      </x:c>
      <x:c r="G361" s="698">
        <x:f t="shared" si="14"/>
        <x:v>0</x:v>
      </x:c>
      <x:c r="H361" s="698">
        <x:f t="shared" si="14"/>
        <x:v>0</x:v>
      </x:c>
      <x:c r="I361" s="698">
        <x:f t="shared" si="14"/>
        <x:v>0</x:v>
      </x:c>
      <x:c r="J361" s="698">
        <x:f t="shared" si="14"/>
        <x:v>0</x:v>
      </x:c>
      <x:c r="K361" s="698">
        <x:f t="shared" si="14"/>
        <x:v>0</x:v>
      </x:c>
      <x:c r="L361" s="698">
        <x:f t="shared" si="14"/>
        <x:v>0</x:v>
      </x:c>
      <x:c r="M361" s="698">
        <x:f t="shared" si="14"/>
        <x:v>0</x:v>
      </x:c>
      <x:c r="N361" s="698">
        <x:f t="shared" si="14"/>
        <x:v>0</x:v>
      </x:c>
      <x:c r="O361" s="698">
        <x:f t="shared" si="14"/>
        <x:v>0</x:v>
      </x:c>
      <x:c r="P361" s="698">
        <x:f t="shared" si="14"/>
        <x:v>0</x:v>
      </x:c>
      <x:c r="Q361" s="698">
        <x:f t="shared" si="14"/>
        <x:v>0</x:v>
      </x:c>
      <x:c r="R361" s="698">
        <x:f t="shared" si="14"/>
        <x:v>0</x:v>
      </x:c>
      <x:c r="Z361" s="701"/>
    </x:row>
    <x:row r="362" spans="1:26" x14ac:dyDescent="0.2">
      <x:c r="A362" s="774"/>
      <x:c r="B362" s="773"/>
      <x:c r="C362" s="698" t="s">
        <x:v>73</x:v>
      </x:c>
      <x:c r="D362" s="698">
        <x:f>D344</x:f>
        <x:v>0</x:v>
      </x:c>
      <x:c r="E362" s="683"/>
      <x:c r="F362" s="683"/>
      <x:c r="G362" s="683"/>
      <x:c r="H362" s="683"/>
      <x:c r="I362" s="683"/>
      <x:c r="J362" s="683"/>
      <x:c r="K362" s="683"/>
      <x:c r="L362" s="683"/>
      <x:c r="M362" s="683"/>
      <x:c r="N362" s="683"/>
      <x:c r="O362" s="683"/>
      <x:c r="P362" s="683"/>
      <x:c r="Q362" s="683"/>
      <x:c r="Z362" s="701"/>
    </x:row>
    <x:row r="363" spans="1:26" ht="15" x14ac:dyDescent="0.25">
      <x:c r="A363" s="682"/>
      <x:c r="D363" s="683"/>
      <x:c r="E363" s="683"/>
      <x:c r="F363" s="683"/>
      <x:c r="G363" s="683"/>
      <x:c r="H363" s="683"/>
      <x:c r="I363" s="683"/>
      <x:c r="J363" s="683"/>
      <x:c r="K363" s="683"/>
      <x:c r="L363" s="683"/>
      <x:c r="M363" s="683"/>
      <x:c r="N363" s="683"/>
      <x:c r="O363" s="683"/>
      <x:c r="P363" s="683"/>
      <x:c r="Q363" s="683"/>
      <x:c r="Z363" s="701"/>
    </x:row>
    <x:row r="364" spans="1:26" x14ac:dyDescent="0.2">
      <x:c r="A364" s="775" t="s">
        <x:v>326</x:v>
      </x:c>
      <x:c r="B364" s="773" t="s">
        <x:v>132</x:v>
      </x:c>
      <x:c r="C364" s="698" t="s">
        <x:v>70</x:v>
      </x:c>
      <x:c r="D364" s="699">
        <x:v>0</x:v>
      </x:c>
      <x:c r="E364" s="699">
        <x:v>0</x:v>
      </x:c>
      <x:c r="F364" s="699">
        <x:v>0</x:v>
      </x:c>
      <x:c r="G364" s="699">
        <x:v>0</x:v>
      </x:c>
      <x:c r="H364" s="699">
        <x:v>0</x:v>
      </x:c>
      <x:c r="I364" s="699">
        <x:v>0</x:v>
      </x:c>
      <x:c r="J364" s="699">
        <x:v>0</x:v>
      </x:c>
      <x:c r="K364" s="699">
        <x:v>0</x:v>
      </x:c>
      <x:c r="L364" s="699">
        <x:v>0</x:v>
      </x:c>
      <x:c r="M364" s="699">
        <x:v>0</x:v>
      </x:c>
      <x:c r="N364" s="699">
        <x:v>0</x:v>
      </x:c>
      <x:c r="O364" s="699">
        <x:v>0</x:v>
      </x:c>
      <x:c r="P364" s="699">
        <x:v>0</x:v>
      </x:c>
      <x:c r="Q364" s="699">
        <x:v>0</x:v>
      </x:c>
      <x:c r="R364" s="699">
        <x:v>0</x:v>
      </x:c>
      <x:c r="Z364" s="701"/>
    </x:row>
    <x:row r="365" spans="1:26" x14ac:dyDescent="0.2">
      <x:c r="A365" s="775"/>
      <x:c r="B365" s="773"/>
      <x:c r="C365" s="698" t="s">
        <x:v>73</x:v>
      </x:c>
      <x:c r="D365" s="699">
        <x:v>0</x:v>
      </x:c>
      <x:c r="E365" s="683"/>
      <x:c r="F365" s="683"/>
      <x:c r="G365" s="683"/>
      <x:c r="H365" s="683"/>
      <x:c r="I365" s="683"/>
      <x:c r="J365" s="683"/>
      <x:c r="K365" s="683"/>
      <x:c r="L365" s="683"/>
      <x:c r="M365" s="683"/>
      <x:c r="N365" s="683"/>
      <x:c r="O365" s="683"/>
      <x:c r="P365" s="683"/>
      <x:c r="Q365" s="683"/>
      <x:c r="Z365" s="701"/>
    </x:row>
    <x:row r="366" spans="1:26" ht="15" x14ac:dyDescent="0.25">
      <x:c r="A366" s="682"/>
      <x:c r="D366" s="683"/>
      <x:c r="E366" s="683"/>
      <x:c r="F366" s="683"/>
      <x:c r="G366" s="683"/>
      <x:c r="H366" s="683"/>
      <x:c r="I366" s="683"/>
      <x:c r="J366" s="683"/>
      <x:c r="K366" s="683"/>
      <x:c r="L366" s="683"/>
      <x:c r="M366" s="683"/>
      <x:c r="N366" s="683"/>
      <x:c r="O366" s="683"/>
      <x:c r="P366" s="683"/>
      <x:c r="Q366" s="683"/>
      <x:c r="Z366" s="701"/>
    </x:row>
    <x:row r="367" spans="1:26" x14ac:dyDescent="0.2">
      <x:c r="A367" s="774" t="s">
        <x:v>119</x:v>
      </x:c>
      <x:c r="B367" s="773" t="s">
        <x:v>132</x:v>
      </x:c>
      <x:c r="C367" s="691" t="s">
        <x:v>70</x:v>
      </x:c>
      <x:c r="D367" s="691">
        <x:f>D351-P351</x:f>
        <x:v>0</x:v>
      </x:c>
      <x:c r="E367" s="691">
        <x:f>E348</x:f>
        <x:v>0</x:v>
      </x:c>
      <x:c r="F367" s="691">
        <x:f t="shared" ref="F367:R367" si="15">F348</x:f>
        <x:v>0</x:v>
      </x:c>
      <x:c r="G367" s="691">
        <x:f t="shared" si="15"/>
        <x:v>0</x:v>
      </x:c>
      <x:c r="H367" s="691">
        <x:f t="shared" si="15"/>
        <x:v>0</x:v>
      </x:c>
      <x:c r="I367" s="691">
        <x:f t="shared" si="15"/>
        <x:v>0</x:v>
      </x:c>
      <x:c r="J367" s="691">
        <x:f t="shared" si="15"/>
        <x:v>0</x:v>
      </x:c>
      <x:c r="K367" s="691">
        <x:f t="shared" si="15"/>
        <x:v>0</x:v>
      </x:c>
      <x:c r="L367" s="691">
        <x:f t="shared" si="15"/>
        <x:v>0</x:v>
      </x:c>
      <x:c r="M367" s="691">
        <x:f t="shared" si="15"/>
        <x:v>0</x:v>
      </x:c>
      <x:c r="N367" s="691">
        <x:f t="shared" si="15"/>
        <x:v>0</x:v>
      </x:c>
      <x:c r="O367" s="691">
        <x:f t="shared" si="15"/>
        <x:v>0</x:v>
      </x:c>
      <x:c r="P367" s="691">
        <x:f t="shared" si="15"/>
        <x:v>0</x:v>
      </x:c>
      <x:c r="Q367" s="691">
        <x:f t="shared" si="15"/>
        <x:v>0</x:v>
      </x:c>
      <x:c r="R367" s="691">
        <x:f t="shared" si="15"/>
        <x:v>0</x:v>
      </x:c>
      <x:c r="Z367" s="701"/>
    </x:row>
    <x:row r="368" spans="1:26" x14ac:dyDescent="0.2">
      <x:c r="A368" s="774"/>
      <x:c r="B368" s="773"/>
      <x:c r="C368" s="691" t="s">
        <x:v>73</x:v>
      </x:c>
      <x:c r="D368" s="691">
        <x:f>D350</x:f>
        <x:v>0</x:v>
      </x:c>
      <x:c r="E368" s="683"/>
      <x:c r="F368" s="683"/>
      <x:c r="G368" s="683"/>
      <x:c r="H368" s="683"/>
      <x:c r="I368" s="683"/>
      <x:c r="J368" s="683"/>
      <x:c r="K368" s="683"/>
      <x:c r="L368" s="683"/>
      <x:c r="M368" s="683"/>
      <x:c r="N368" s="683"/>
      <x:c r="O368" s="683"/>
      <x:c r="P368" s="683"/>
      <x:c r="Q368" s="683"/>
      <x:c r="Z368" s="701"/>
    </x:row>
    <x:row r="369" spans="1:26" ht="15" x14ac:dyDescent="0.25">
      <x:c r="A369" s="682"/>
      <x:c r="D369" s="683"/>
      <x:c r="E369" s="683"/>
      <x:c r="F369" s="683"/>
      <x:c r="G369" s="683"/>
      <x:c r="H369" s="683"/>
      <x:c r="I369" s="683"/>
      <x:c r="J369" s="683"/>
      <x:c r="K369" s="683"/>
      <x:c r="L369" s="683"/>
      <x:c r="M369" s="683"/>
      <x:c r="N369" s="683"/>
      <x:c r="O369" s="683"/>
      <x:c r="P369" s="683"/>
      <x:c r="Q369" s="683"/>
      <x:c r="Z369" s="701"/>
    </x:row>
    <x:row r="370" spans="1:26" x14ac:dyDescent="0.2">
      <x:c r="A370" s="772" t="s">
        <x:v>161</x:v>
      </x:c>
      <x:c r="B370" s="773" t="s">
        <x:v>132</x:v>
      </x:c>
      <x:c r="C370" s="700" t="s">
        <x:v>70</x:v>
      </x:c>
      <x:c r="D370" s="700">
        <x:v>0</x:v>
      </x:c>
      <x:c r="E370" s="700">
        <x:v>0</x:v>
      </x:c>
      <x:c r="F370" s="700">
        <x:v>0</x:v>
      </x:c>
      <x:c r="G370" s="700">
        <x:v>0</x:v>
      </x:c>
      <x:c r="H370" s="700">
        <x:v>0</x:v>
      </x:c>
      <x:c r="I370" s="700">
        <x:v>0</x:v>
      </x:c>
      <x:c r="J370" s="700">
        <x:v>0</x:v>
      </x:c>
      <x:c r="K370" s="700">
        <x:v>0</x:v>
      </x:c>
      <x:c r="L370" s="700">
        <x:v>0</x:v>
      </x:c>
      <x:c r="M370" s="700">
        <x:v>0</x:v>
      </x:c>
      <x:c r="N370" s="700">
        <x:v>0</x:v>
      </x:c>
      <x:c r="O370" s="700">
        <x:v>0</x:v>
      </x:c>
      <x:c r="P370" s="700">
        <x:v>0</x:v>
      </x:c>
      <x:c r="Q370" s="700">
        <x:v>0</x:v>
      </x:c>
      <x:c r="R370" s="700">
        <x:v>0</x:v>
      </x:c>
      <x:c r="Z370" s="701"/>
    </x:row>
    <x:row r="371" spans="1:26" x14ac:dyDescent="0.2">
      <x:c r="A371" s="772"/>
      <x:c r="B371" s="773"/>
      <x:c r="C371" s="700" t="s">
        <x:v>73</x:v>
      </x:c>
      <x:c r="D371" s="700">
        <x:v>0</x:v>
      </x:c>
      <x:c r="E371" s="683"/>
      <x:c r="F371" s="683"/>
      <x:c r="G371" s="683"/>
      <x:c r="H371" s="683"/>
      <x:c r="I371" s="683"/>
      <x:c r="J371" s="683"/>
      <x:c r="K371" s="683"/>
      <x:c r="L371" s="683"/>
      <x:c r="M371" s="683"/>
      <x:c r="N371" s="683"/>
      <x:c r="O371" s="683"/>
      <x:c r="P371" s="683"/>
      <x:c r="Q371" s="683"/>
      <x:c r="Z371" s="701"/>
    </x:row>
    <x:row r="372" spans="1:26" x14ac:dyDescent="0.2">
      <x:c r="A372" s="701"/>
      <x:c r="B372" s="701"/>
      <x:c r="C372" s="701"/>
      <x:c r="D372" s="701"/>
      <x:c r="E372" s="701"/>
      <x:c r="F372" s="701"/>
      <x:c r="G372" s="701"/>
      <x:c r="H372" s="701"/>
      <x:c r="I372" s="701"/>
      <x:c r="J372" s="701"/>
      <x:c r="K372" s="701"/>
      <x:c r="L372" s="701"/>
      <x:c r="M372" s="701"/>
      <x:c r="N372" s="701"/>
      <x:c r="O372" s="701"/>
      <x:c r="P372" s="701"/>
      <x:c r="Q372" s="701"/>
      <x:c r="R372" s="701"/>
      <x:c r="S372" s="701"/>
      <x:c r="T372" s="701"/>
      <x:c r="U372" s="701"/>
      <x:c r="V372" s="701"/>
      <x:c r="W372" s="701"/>
      <x:c r="X372" s="701"/>
      <x:c r="Y372" s="701"/>
      <x:c r="Z372" s="701"/>
    </x:row>
    <x:row r="375" spans="1:26" x14ac:dyDescent="0.2">
      <x:c r="D375" s="681">
        <x:f t="shared" ref="D375:R375" si="16">D73+D168+D205+D320+D355</x:f>
        <x:v>0</x:v>
      </x:c>
      <x:c r="E375" s="681">
        <x:f t="shared" si="16"/>
        <x:v>0</x:v>
      </x:c>
      <x:c r="F375" s="681">
        <x:f t="shared" si="16"/>
        <x:v>0</x:v>
      </x:c>
      <x:c r="G375" s="681">
        <x:f t="shared" si="16"/>
        <x:v>0</x:v>
      </x:c>
      <x:c r="H375" s="681">
        <x:f t="shared" si="16"/>
        <x:v>0</x:v>
      </x:c>
      <x:c r="I375" s="681">
        <x:f t="shared" si="16"/>
        <x:v>0</x:v>
      </x:c>
      <x:c r="J375" s="681">
        <x:f t="shared" si="16"/>
        <x:v>0</x:v>
      </x:c>
      <x:c r="K375" s="681">
        <x:f t="shared" si="16"/>
        <x:v>0</x:v>
      </x:c>
      <x:c r="L375" s="681">
        <x:f t="shared" si="16"/>
        <x:v>0</x:v>
      </x:c>
      <x:c r="M375" s="681">
        <x:f t="shared" si="16"/>
        <x:v>0</x:v>
      </x:c>
      <x:c r="N375" s="681">
        <x:f t="shared" si="16"/>
        <x:v>0</x:v>
      </x:c>
      <x:c r="O375" s="681">
        <x:f t="shared" si="16"/>
        <x:v>0</x:v>
      </x:c>
      <x:c r="P375" s="681">
        <x:f t="shared" si="16"/>
        <x:v>0</x:v>
      </x:c>
      <x:c r="Q375" s="681">
        <x:f t="shared" si="16"/>
        <x:v>0</x:v>
      </x:c>
      <x:c r="R375" s="681">
        <x:f t="shared" si="16"/>
        <x:v>0</x:v>
      </x:c>
    </x:row>
    <x:row r="376" spans="1:26" x14ac:dyDescent="0.2">
      <x:c r="D376" s="681">
        <x:f>D74+D169+D206+D321+D356</x:f>
        <x:v>0</x:v>
      </x:c>
    </x:row>
  </x:sheetData>
  <x:mergeCells count="60">
    <x:mergeCell ref="A82:A83"/>
    <x:mergeCell ref="B82:B83"/>
    <x:mergeCell ref="A177:A178"/>
    <x:mergeCell ref="B177:B178"/>
    <x:mergeCell ref="A214:A215"/>
    <x:mergeCell ref="B214:B215"/>
    <x:mergeCell ref="A85:A86"/>
    <x:mergeCell ref="B85:B86"/>
    <x:mergeCell ref="A88:A89"/>
    <x:mergeCell ref="B88:B89"/>
    <x:mergeCell ref="A168:A169"/>
    <x:mergeCell ref="B168:B169"/>
    <x:mergeCell ref="A171:A172"/>
    <x:mergeCell ref="B171:B172"/>
    <x:mergeCell ref="A174:A175"/>
    <x:mergeCell ref="B174:B175"/>
    <x:mergeCell ref="A73:A74"/>
    <x:mergeCell ref="B73:B74"/>
    <x:mergeCell ref="A76:A77"/>
    <x:mergeCell ref="B76:B77"/>
    <x:mergeCell ref="A79:A80"/>
    <x:mergeCell ref="B79:B80"/>
    <x:mergeCell ref="A180:A181"/>
    <x:mergeCell ref="B180:B181"/>
    <x:mergeCell ref="A183:A184"/>
    <x:mergeCell ref="B183:B184"/>
    <x:mergeCell ref="A205:A206"/>
    <x:mergeCell ref="B205:B206"/>
    <x:mergeCell ref="A208:A209"/>
    <x:mergeCell ref="B208:B209"/>
    <x:mergeCell ref="A211:A212"/>
    <x:mergeCell ref="B211:B212"/>
    <x:mergeCell ref="A217:A218"/>
    <x:mergeCell ref="B217:B218"/>
    <x:mergeCell ref="A220:A221"/>
    <x:mergeCell ref="B220:B221"/>
    <x:mergeCell ref="A320:A321"/>
    <x:mergeCell ref="B320:B321"/>
    <x:mergeCell ref="A323:A324"/>
    <x:mergeCell ref="B323:B324"/>
    <x:mergeCell ref="A326:A327"/>
    <x:mergeCell ref="B326:B327"/>
    <x:mergeCell ref="A332:A333"/>
    <x:mergeCell ref="B332:B333"/>
    <x:mergeCell ref="A329:A330"/>
    <x:mergeCell ref="B329:B330"/>
    <x:mergeCell ref="A335:A336"/>
    <x:mergeCell ref="B335:B336"/>
    <x:mergeCell ref="A355:A356"/>
    <x:mergeCell ref="B355:B356"/>
    <x:mergeCell ref="A370:A371"/>
    <x:mergeCell ref="B370:B371"/>
    <x:mergeCell ref="A358:A359"/>
    <x:mergeCell ref="B358:B359"/>
    <x:mergeCell ref="A361:A362"/>
    <x:mergeCell ref="B361:B362"/>
    <x:mergeCell ref="A367:A368"/>
    <x:mergeCell ref="B367:B368"/>
    <x:mergeCell ref="A364:A365"/>
    <x:mergeCell ref="B364:B365"/>
  </x:mergeCells>
  <x:conditionalFormatting sqref="D75:D89 D168:D184 D205:D221 D320:D336 D355:D371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Z70"/>
  <x:sheetViews>
    <x:sheetView topLeftCell="K1" zoomScale="92" zoomScaleNormal="92" workbookViewId="0">
      <x:selection activeCell="U6" sqref="U6"/>
    </x:sheetView>
  </x:sheetViews>
  <x:sheetFormatPr baseColWidth="10" defaultColWidth="11.5703125" defaultRowHeight="14.25" x14ac:dyDescent="0.2"/>
  <x:cols>
    <x:col min="1" max="1" width="12.28515625" style="25" bestFit="1" customWidth="1"/>
    <x:col min="2" max="2" width="27.140625" style="25" bestFit="1" customWidth="1"/>
    <x:col min="3" max="3" width="11.7109375" style="675" bestFit="1" customWidth="1"/>
    <x:col min="4" max="4" width="18.140625" style="25" bestFit="1" customWidth="1"/>
    <x:col min="5" max="5" width="17.85546875" style="25" bestFit="1" customWidth="1"/>
    <x:col min="6" max="6" width="20.140625" style="25" bestFit="1" customWidth="1"/>
    <x:col min="7" max="7" width="18.42578125" style="25" bestFit="1" customWidth="1"/>
    <x:col min="8" max="8" width="19.42578125" style="25" bestFit="1" customWidth="1"/>
    <x:col min="9" max="9" width="11.5703125" style="25" bestFit="1" customWidth="1"/>
    <x:col min="10" max="10" width="18.28515625" style="25" bestFit="1" customWidth="1"/>
    <x:col min="11" max="13" width="18.140625" style="25" bestFit="1" customWidth="1"/>
    <x:col min="14" max="14" width="23.28515625" style="25" bestFit="1" customWidth="1"/>
    <x:col min="15" max="15" width="10.140625" style="25" bestFit="1" customWidth="1"/>
    <x:col min="16" max="16" width="4.85546875" style="25" bestFit="1" customWidth="1"/>
    <x:col min="17" max="25" width="11.5703125" style="25"/>
    <x:col min="26" max="26" width="1.42578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625" t="s">
        <x:v>72</x:v>
      </x:c>
      <x:c r="C3" s="627" t="n">
        <x:v>803959.68</x:v>
      </x:c>
      <x:c r="D3" s="627" t="n">
        <x:v>65039.95</x:v>
      </x:c>
      <x:c r="E3" s="627" t="n">
        <x:v>36337.02</x:v>
      </x:c>
      <x:c r="F3" s="627" t="n">
        <x:v>19274.13</x:v>
      </x:c>
      <x:c r="G3" s="627" t="n">
        <x:v>155423.91</x:v>
      </x:c>
      <x:c r="H3" s="627" t="n">
        <x:v>5618.35</x:v>
      </x:c>
      <x:c r="I3" s="627" t="n">
        <x:v>0</x:v>
      </x:c>
      <x:c r="J3" s="627" t="n">
        <x:v>56003.23</x:v>
      </x:c>
      <x:c r="K3" s="627" t="n">
        <x:v>48167.15</x:v>
      </x:c>
      <x:c r="L3" s="627" t="n">
        <x:v>226758.45</x:v>
      </x:c>
      <x:c r="M3" s="627" t="n">
        <x:v>182170.76</x:v>
      </x:c>
      <x:c r="N3" s="627" t="n">
        <x:v>9166.69</x:v>
      </x:c>
      <x:c r="O3" s="627" t="n">
        <x:v>0.04</x:v>
      </x:c>
      <x:c r="Z3" s="624"/>
    </x:row>
    <x:row r="4" spans="1:26" x14ac:dyDescent="0.2">
      <x:c r="A4" s="636" t="s">
        <x:v>78</x:v>
      </x:c>
      <x:c r="B4" s="636" t="s">
        <x:v>70</x:v>
      </x:c>
      <x:c r="C4" s="637" t="n">
        <x:v>803959.68</x:v>
      </x:c>
      <x:c r="D4" s="637" t="n">
        <x:v>65039.95</x:v>
      </x:c>
      <x:c r="E4" s="637" t="n">
        <x:v>36337.02</x:v>
      </x:c>
      <x:c r="F4" s="637" t="n">
        <x:v>19274.13</x:v>
      </x:c>
      <x:c r="G4" s="637" t="n">
        <x:v>155423.91</x:v>
      </x:c>
      <x:c r="H4" s="637" t="n">
        <x:v>5618.35</x:v>
      </x:c>
      <x:c r="I4" s="637" t="n">
        <x:v>0</x:v>
      </x:c>
      <x:c r="J4" s="637" t="n">
        <x:v>56003.23</x:v>
      </x:c>
      <x:c r="K4" s="637" t="n">
        <x:v>48167.15</x:v>
      </x:c>
      <x:c r="L4" s="637" t="n">
        <x:v>226758.45</x:v>
      </x:c>
      <x:c r="M4" s="637" t="n">
        <x:v>182170.76</x:v>
      </x:c>
      <x:c r="N4" s="637" t="n">
        <x:v>9166.69</x:v>
      </x:c>
      <x:c r="O4" s="637" t="n">
        <x:v>0.04</x:v>
      </x:c>
      <x:c r="P4" s="635"/>
      <x:c r="Z4" s="624"/>
    </x:row>
    <x:row r="5" spans="1:26" x14ac:dyDescent="0.2">
      <x:c r="B5" s="625" t="s">
        <x:v>73</x:v>
      </x:c>
      <x:c r="C5" s="627" t="n">
        <x:v>2996.3</x:v>
      </x:c>
      <x:c r="D5" s="627" t="n">
        <x:v>701.47</x:v>
      </x:c>
      <x:c r="E5" s="627" t="n">
        <x:v>403.84</x:v>
      </x:c>
      <x:c r="F5" s="627" t="n">
        <x:v>207.9</x:v>
      </x:c>
      <x:c r="G5" s="627" t="n">
        <x:v>-7189.94</x:v>
      </x:c>
      <x:c r="H5" s="627" t="n">
        <x:v>-331.56</x:v>
      </x:c>
      <x:c r="I5" s="627" t="n">
        <x:v>0</x:v>
      </x:c>
      <x:c r="J5" s="627" t="n">
        <x:v>-1228.7</x:v>
      </x:c>
      <x:c r="K5" s="627" t="n">
        <x:v>624.41</x:v>
      </x:c>
      <x:c r="L5" s="627" t="n">
        <x:v>3023.5</x:v>
      </x:c>
      <x:c r="M5" s="627" t="n">
        <x:v>7326.36</x:v>
      </x:c>
      <x:c r="N5" s="627" t="n">
        <x:v>-540.98</x:v>
      </x:c>
      <x:c r="O5" s="627" t="n">
        <x:v>0</x:v>
      </x:c>
      <x:c r="Z5" s="624"/>
    </x:row>
    <x:row r="6" spans="1:26" x14ac:dyDescent="0.2">
      <x:c r="A6" s="654" t="s">
        <x:v>79</x:v>
      </x:c>
      <x:c r="B6" s="654" t="s">
        <x:v>70</x:v>
      </x:c>
      <x:c r="C6" s="655" t="n">
        <x:v>2996.3</x:v>
      </x:c>
      <x:c r="D6" s="655" t="n">
        <x:v>701.47</x:v>
      </x:c>
      <x:c r="E6" s="655" t="n">
        <x:v>403.84</x:v>
      </x:c>
      <x:c r="F6" s="655" t="n">
        <x:v>207.9</x:v>
      </x:c>
      <x:c r="G6" s="655" t="n">
        <x:v>-7189.94</x:v>
      </x:c>
      <x:c r="H6" s="655" t="n">
        <x:v>-331.56</x:v>
      </x:c>
      <x:c r="I6" s="655" t="n">
        <x:v>0</x:v>
      </x:c>
      <x:c r="J6" s="655" t="n">
        <x:v>-1228.7</x:v>
      </x:c>
      <x:c r="K6" s="655" t="n">
        <x:v>624.41</x:v>
      </x:c>
      <x:c r="L6" s="655" t="n">
        <x:v>3023.5</x:v>
      </x:c>
      <x:c r="M6" s="655" t="n">
        <x:v>7326.36</x:v>
      </x:c>
      <x:c r="N6" s="655" t="n">
        <x:v>-540.98</x:v>
      </x:c>
      <x:c r="O6" s="655" t="n">
        <x:v>0</x:v>
      </x:c>
      <x:c r="P6" s="708"/>
      <x:c r="Z6" s="624"/>
    </x:row>
    <x:row r="7" spans="1:26" x14ac:dyDescent="0.2">
      <x:c r="A7" s="625" t="s">
        <x:v>70</x:v>
      </x:c>
      <x:c r="C7" s="627" t="n">
        <x:v>806955.98</x:v>
      </x:c>
      <x:c r="D7" s="627" t="n">
        <x:v>65741.42</x:v>
      </x:c>
      <x:c r="E7" s="627" t="n">
        <x:v>36740.86</x:v>
      </x:c>
      <x:c r="F7" s="627" t="n">
        <x:v>19482.03</x:v>
      </x:c>
      <x:c r="G7" s="627" t="n">
        <x:v>148233.97</x:v>
      </x:c>
      <x:c r="H7" s="627" t="n">
        <x:v>5286.79</x:v>
      </x:c>
      <x:c r="I7" s="627" t="n">
        <x:v>0</x:v>
      </x:c>
      <x:c r="J7" s="627" t="n">
        <x:v>54774.53</x:v>
      </x:c>
      <x:c r="K7" s="627" t="n">
        <x:v>48791.56</x:v>
      </x:c>
      <x:c r="L7" s="627" t="n">
        <x:v>229781.95</x:v>
      </x:c>
      <x:c r="M7" s="627" t="n">
        <x:v>189497.12</x:v>
      </x:c>
      <x:c r="N7" s="627" t="n">
        <x:v>8625.71</x:v>
      </x:c>
      <x:c r="O7" s="627" t="n">
        <x:v>0.04</x:v>
      </x:c>
      <x:c r="Z7" s="624"/>
    </x:row>
    <x:row r="8" spans="1:26" x14ac:dyDescent="0.2">
      <x:c r="Z8" s="624"/>
    </x:row>
    <x:row r="9" spans="1:26" x14ac:dyDescent="0.2">
      <x:c r="B9" s="709" t="s">
        <x:v>70</x:v>
      </x:c>
      <x:c r="C9" s="679">
        <x:f>C7-I7</x:f>
        <x:v>0</x:v>
      </x:c>
      <x:c r="D9" s="679">
        <x:f>D4</x:f>
        <x:v>0</x:v>
      </x:c>
      <x:c r="E9" s="679">
        <x:f t="shared" ref="E9:P9" si="0">E4</x:f>
        <x:v>0</x:v>
      </x:c>
      <x:c r="F9" s="679">
        <x:f t="shared" si="0"/>
        <x:v>0</x:v>
      </x:c>
      <x:c r="G9" s="679">
        <x:f t="shared" si="0"/>
        <x:v>0</x:v>
      </x:c>
      <x:c r="H9" s="679">
        <x:f t="shared" si="0"/>
        <x:v>0</x:v>
      </x:c>
      <x:c r="I9" s="679">
        <x:f t="shared" si="0"/>
        <x:v>0</x:v>
      </x:c>
      <x:c r="J9" s="679">
        <x:f t="shared" si="0"/>
        <x:v>0</x:v>
      </x:c>
      <x:c r="K9" s="679">
        <x:f t="shared" si="0"/>
        <x:v>0</x:v>
      </x:c>
      <x:c r="L9" s="679">
        <x:f t="shared" si="0"/>
        <x:v>0</x:v>
      </x:c>
      <x:c r="M9" s="679">
        <x:f t="shared" si="0"/>
        <x:v>0</x:v>
      </x:c>
      <x:c r="N9" s="679">
        <x:f t="shared" si="0"/>
        <x:v>0</x:v>
      </x:c>
      <x:c r="O9" s="679">
        <x:f>O4</x:f>
        <x:v>0</x:v>
      </x:c>
      <x:c r="P9" s="679">
        <x:f t="shared" si="0"/>
        <x:v>0</x:v>
      </x:c>
      <x:c r="Z9" s="624"/>
    </x:row>
    <x:row r="10" spans="1:26" x14ac:dyDescent="0.2">
      <x:c r="B10" s="709" t="s">
        <x:v>73</x:v>
      </x:c>
      <x:c r="C10" s="679">
        <x:f>C6</x:f>
        <x:v>0</x:v>
      </x:c>
      <x:c r="D10" s="653"/>
      <x:c r="Z10" s="624"/>
    </x:row>
    <x:row r="11" spans="1:26" x14ac:dyDescent="0.2">
      <x:c r="D11" s="653"/>
      <x:c r="Z11" s="624"/>
    </x:row>
    <x:row r="12" spans="1:26" x14ac:dyDescent="0.2">
      <x:c r="A12" s="631"/>
      <x:c r="B12" s="631"/>
      <x:c r="C12" s="710"/>
      <x:c r="D12" s="631"/>
      <x:c r="E12" s="631"/>
      <x:c r="F12" s="631"/>
      <x:c r="G12" s="631"/>
      <x:c r="H12" s="631"/>
      <x:c r="I12" s="631"/>
      <x:c r="J12" s="631"/>
      <x:c r="K12" s="631"/>
      <x:c r="L12" s="631"/>
      <x:c r="M12" s="631"/>
      <x:c r="N12" s="631"/>
      <x:c r="O12" s="631"/>
      <x:c r="P12" s="631"/>
      <x:c r="Z12" s="624"/>
    </x:row>
    <x:row r="13" spans="1:26" ht="15" x14ac:dyDescent="0.25">
      <x:c r="B13" s="676" t="s">
        <x:v>75</x:v>
      </x:c>
      <x:c r="Z13" s="624"/>
    </x:row>
    <x:row r="14" spans="1:26" s="50" customFormat="1" ht="15" x14ac:dyDescent="0.25">
      <x:c r="C14" s="669" t="s">
        <x:v>70</x:v>
      </x:c>
      <x:c r="D14" s="669" t="s">
        <x:v>64</x:v>
      </x:c>
      <x:c r="E14" s="669" t="s">
        <x:v>65</x:v>
      </x:c>
      <x:c r="F14" s="674" t="s">
        <x:v>164</x:v>
      </x:c>
      <x:c r="G14" s="669" t="s">
        <x:v>69</x:v>
      </x:c>
      <x:c r="H14" s="669" t="s">
        <x:v>68</x:v>
      </x:c>
      <x:c r="I14" s="669" t="s">
        <x:v>83</x:v>
      </x:c>
      <x:c r="J14" s="669" t="s">
        <x:v>66</x:v>
      </x:c>
      <x:c r="K14" s="669" t="s">
        <x:v>63</x:v>
      </x:c>
      <x:c r="L14" s="669" t="s">
        <x:v>61</x:v>
      </x:c>
      <x:c r="M14" s="669" t="s">
        <x:v>62</x:v>
      </x:c>
      <x:c r="N14" s="669" t="s">
        <x:v>67</x:v>
      </x:c>
      <x:c r="O14" s="669" t="s">
        <x:v>84</x:v>
      </x:c>
      <x:c r="Z14" s="618"/>
    </x:row>
    <x:row r="15" spans="1:26" x14ac:dyDescent="0.2">
      <x:c r="B15" s="25" t="s">
        <x:v>72</x:v>
      </x:c>
      <x:c r="C15" s="627" t="n">
        <x:v>931073.72</x:v>
      </x:c>
      <x:c r="D15" s="627" t="n">
        <x:v>42296.72</x:v>
      </x:c>
      <x:c r="E15" s="627" t="n">
        <x:v>23907.98</x:v>
      </x:c>
      <x:c r="F15" s="627" t="n">
        <x:v>12706.35</x:v>
      </x:c>
      <x:c r="G15" s="627" t="n">
        <x:v>265979.53</x:v>
      </x:c>
      <x:c r="H15" s="627" t="n">
        <x:v>11995.53</x:v>
      </x:c>
      <x:c r="I15" s="627" t="n">
        <x:v>0</x:v>
      </x:c>
      <x:c r="J15" s="627" t="n">
        <x:v>66026.12</x:v>
      </x:c>
      <x:c r="K15" s="627" t="n">
        <x:v>73645.62</x:v>
      </x:c>
      <x:c r="L15" s="627" t="n">
        <x:v>345565.65</x:v>
      </x:c>
      <x:c r="M15" s="627" t="n">
        <x:v>81955.14</x:v>
      </x:c>
      <x:c r="N15" s="627" t="n">
        <x:v>6998.74</x:v>
      </x:c>
      <x:c r="O15" s="627" t="n">
        <x:v>-3.66</x:v>
      </x:c>
      <x:c r="Z15" s="624"/>
    </x:row>
    <x:row r="16" spans="1:26" x14ac:dyDescent="0.2">
      <x:c r="B16" s="625" t="s">
        <x:v>81</x:v>
      </x:c>
      <x:c r="C16" s="627" t="n">
        <x:v>0</x:v>
      </x:c>
      <x:c r="D16" s="627" t="n">
        <x:v>0</x:v>
      </x:c>
      <x:c r="E16" s="627" t="n">
        <x:v>0</x:v>
      </x:c>
      <x:c r="F16" s="627" t="n">
        <x:v>0</x:v>
      </x:c>
      <x:c r="G16" s="627" t="n">
        <x:v>0</x:v>
      </x:c>
      <x:c r="H16" s="627" t="n">
        <x:v>0</x:v>
      </x:c>
      <x:c r="I16" s="627" t="n">
        <x:v>0</x:v>
      </x:c>
      <x:c r="J16" s="627" t="n">
        <x:v>0</x:v>
      </x:c>
      <x:c r="K16" s="627" t="n">
        <x:v>0</x:v>
      </x:c>
      <x:c r="L16" s="627" t="n">
        <x:v>0</x:v>
      </x:c>
      <x:c r="M16" s="627" t="n">
        <x:v>0</x:v>
      </x:c>
      <x:c r="N16" s="627" t="n">
        <x:v>0</x:v>
      </x:c>
      <x:c r="O16" s="627">
        <x:v>0</x:v>
      </x:c>
      <x:c r="Z16" s="624"/>
    </x:row>
    <x:row r="17" spans="1:26" x14ac:dyDescent="0.2">
      <x:c r="A17" s="636" t="s">
        <x:v>78</x:v>
      </x:c>
      <x:c r="B17" s="636" t="s">
        <x:v>70</x:v>
      </x:c>
      <x:c r="C17" s="637" t="n">
        <x:v>931073.72</x:v>
      </x:c>
      <x:c r="D17" s="637" t="n">
        <x:v>42296.72</x:v>
      </x:c>
      <x:c r="E17" s="637" t="n">
        <x:v>23907.98</x:v>
      </x:c>
      <x:c r="F17" s="637" t="n">
        <x:v>12706.35</x:v>
      </x:c>
      <x:c r="G17" s="637" t="n">
        <x:v>265979.53</x:v>
      </x:c>
      <x:c r="H17" s="637" t="n">
        <x:v>11995.53</x:v>
      </x:c>
      <x:c r="I17" s="637" t="n">
        <x:v>0</x:v>
      </x:c>
      <x:c r="J17" s="637" t="n">
        <x:v>66026.12</x:v>
      </x:c>
      <x:c r="K17" s="637" t="n">
        <x:v>73645.62</x:v>
      </x:c>
      <x:c r="L17" s="637" t="n">
        <x:v>345565.65</x:v>
      </x:c>
      <x:c r="M17" s="637" t="n">
        <x:v>81955.14</x:v>
      </x:c>
      <x:c r="N17" s="637" t="n">
        <x:v>6998.74</x:v>
      </x:c>
      <x:c r="O17" s="637" t="n">
        <x:v>-3.66</x:v>
      </x:c>
      <x:c r="P17" s="635"/>
      <x:c r="Z17" s="624"/>
    </x:row>
    <x:row r="18" spans="1:26" x14ac:dyDescent="0.2">
      <x:c r="B18" s="625" t="s">
        <x:v>73</x:v>
      </x:c>
      <x:c r="C18" s="627" t="n">
        <x:v>-424218.36</x:v>
      </x:c>
      <x:c r="D18" s="627" t="n">
        <x:v>-25301.13</x:v>
      </x:c>
      <x:c r="E18" s="627" t="n">
        <x:v>-14256.81</x:v>
      </x:c>
      <x:c r="F18" s="627" t="n">
        <x:v>-7179.68</x:v>
      </x:c>
      <x:c r="G18" s="627" t="n">
        <x:v>-99943.77</x:v>
      </x:c>
      <x:c r="H18" s="627" t="n">
        <x:v>-3389</x:v>
      </x:c>
      <x:c r="I18" s="627" t="n">
        <x:v>0</x:v>
      </x:c>
      <x:c r="J18" s="627" t="n">
        <x:v>-52251.81</x:v>
      </x:c>
      <x:c r="K18" s="627" t="n">
        <x:v>-30693.42</x:v>
      </x:c>
      <x:c r="L18" s="627" t="n">
        <x:v>-136897.35</x:v>
      </x:c>
      <x:c r="M18" s="627" t="n">
        <x:v>-48943.73</x:v>
      </x:c>
      <x:c r="N18" s="627" t="n">
        <x:v>-5361.66</x:v>
      </x:c>
      <x:c r="O18" s="627" t="n">
        <x:v>0</x:v>
      </x:c>
      <x:c r="Z18" s="624"/>
    </x:row>
    <x:row r="19" spans="1:26" x14ac:dyDescent="0.2">
      <x:c r="A19" s="654" t="s">
        <x:v>79</x:v>
      </x:c>
      <x:c r="B19" s="654" t="s">
        <x:v>70</x:v>
      </x:c>
      <x:c r="C19" s="655" t="n">
        <x:v>-424218.36</x:v>
      </x:c>
      <x:c r="D19" s="655" t="n">
        <x:v>-25301.13</x:v>
      </x:c>
      <x:c r="E19" s="655" t="n">
        <x:v>-14256.81</x:v>
      </x:c>
      <x:c r="F19" s="655" t="n">
        <x:v>-7179.68</x:v>
      </x:c>
      <x:c r="G19" s="655" t="n">
        <x:v>-99943.77</x:v>
      </x:c>
      <x:c r="H19" s="655" t="n">
        <x:v>-3389</x:v>
      </x:c>
      <x:c r="I19" s="655" t="n">
        <x:v>0</x:v>
      </x:c>
      <x:c r="J19" s="655" t="n">
        <x:v>-52251.81</x:v>
      </x:c>
      <x:c r="K19" s="655" t="n">
        <x:v>-30693.42</x:v>
      </x:c>
      <x:c r="L19" s="655" t="n">
        <x:v>-136897.35</x:v>
      </x:c>
      <x:c r="M19" s="655" t="n">
        <x:v>-48943.73</x:v>
      </x:c>
      <x:c r="N19" s="655" t="n">
        <x:v>-5361.66</x:v>
      </x:c>
      <x:c r="O19" s="655" t="n">
        <x:v>0</x:v>
      </x:c>
      <x:c r="P19" s="708"/>
      <x:c r="Z19" s="624"/>
    </x:row>
    <x:row r="20" spans="1:26" x14ac:dyDescent="0.2">
      <x:c r="A20" s="625" t="s">
        <x:v>70</x:v>
      </x:c>
      <x:c r="C20" s="627" t="n">
        <x:v>506855.36</x:v>
      </x:c>
      <x:c r="D20" s="627" t="n">
        <x:v>16995.59</x:v>
      </x:c>
      <x:c r="E20" s="627" t="n">
        <x:v>9651.17</x:v>
      </x:c>
      <x:c r="F20" s="627" t="n">
        <x:v>5526.67</x:v>
      </x:c>
      <x:c r="G20" s="627" t="n">
        <x:v>166035.76</x:v>
      </x:c>
      <x:c r="H20" s="627" t="n">
        <x:v>8606.53</x:v>
      </x:c>
      <x:c r="I20" s="627" t="n">
        <x:v>0</x:v>
      </x:c>
      <x:c r="J20" s="627" t="n">
        <x:v>13774.31</x:v>
      </x:c>
      <x:c r="K20" s="627" t="n">
        <x:v>42952.2</x:v>
      </x:c>
      <x:c r="L20" s="627" t="n">
        <x:v>208668.3</x:v>
      </x:c>
      <x:c r="M20" s="627" t="n">
        <x:v>33011.41</x:v>
      </x:c>
      <x:c r="N20" s="627" t="n">
        <x:v>1637.08</x:v>
      </x:c>
      <x:c r="O20" s="627" t="n">
        <x:v>-3.66</x:v>
      </x:c>
      <x:c r="Z20" s="624"/>
    </x:row>
    <x:row r="21" spans="1:26" x14ac:dyDescent="0.2">
      <x:c r="A21" s="625"/>
      <x:c r="C21" s="627"/>
      <x:c r="D21" s="627"/>
      <x:c r="E21" s="627"/>
      <x:c r="F21" s="627"/>
      <x:c r="G21" s="627"/>
      <x:c r="H21" s="627"/>
      <x:c r="I21" s="627"/>
      <x:c r="J21" s="627"/>
      <x:c r="K21" s="627"/>
      <x:c r="L21" s="627"/>
      <x:c r="M21" s="627"/>
      <x:c r="N21" s="627"/>
      <x:c r="O21" s="627"/>
      <x:c r="P21" s="627"/>
      <x:c r="Z21" s="624"/>
    </x:row>
    <x:row r="22" spans="1:26" x14ac:dyDescent="0.2">
      <x:c r="B22" s="709" t="s">
        <x:v>70</x:v>
      </x:c>
      <x:c r="C22" s="679">
        <x:f>C20-I20</x:f>
        <x:v>0</x:v>
      </x:c>
      <x:c r="D22" s="679">
        <x:f>D17</x:f>
        <x:v>0</x:v>
      </x:c>
      <x:c r="E22" s="679">
        <x:f t="shared" ref="E22:P22" si="1">E17</x:f>
        <x:v>0</x:v>
      </x:c>
      <x:c r="F22" s="679">
        <x:f t="shared" si="1"/>
        <x:v>0</x:v>
      </x:c>
      <x:c r="G22" s="679">
        <x:f t="shared" si="1"/>
        <x:v>0</x:v>
      </x:c>
      <x:c r="H22" s="679">
        <x:f t="shared" si="1"/>
        <x:v>0</x:v>
      </x:c>
      <x:c r="I22" s="679">
        <x:f t="shared" si="1"/>
        <x:v>0</x:v>
      </x:c>
      <x:c r="J22" s="679">
        <x:f t="shared" si="1"/>
        <x:v>0</x:v>
      </x:c>
      <x:c r="K22" s="679">
        <x:f t="shared" si="1"/>
        <x:v>0</x:v>
      </x:c>
      <x:c r="L22" s="679">
        <x:f t="shared" si="1"/>
        <x:v>0</x:v>
      </x:c>
      <x:c r="M22" s="679">
        <x:f t="shared" si="1"/>
        <x:v>0</x:v>
      </x:c>
      <x:c r="N22" s="679">
        <x:f t="shared" si="1"/>
        <x:v>0</x:v>
      </x:c>
      <x:c r="O22" s="679">
        <x:f>O17</x:f>
        <x:v>0</x:v>
      </x:c>
      <x:c r="P22" s="679">
        <x:f t="shared" si="1"/>
        <x:v>0</x:v>
      </x:c>
      <x:c r="Z22" s="624"/>
    </x:row>
    <x:row r="23" spans="1:26" x14ac:dyDescent="0.2">
      <x:c r="B23" s="709" t="s">
        <x:v>73</x:v>
      </x:c>
      <x:c r="C23" s="679">
        <x:f>C19</x:f>
        <x:v>0</x:v>
      </x:c>
      <x:c r="Z23" s="624"/>
    </x:row>
    <x:row r="24" spans="1:26" x14ac:dyDescent="0.2">
      <x:c r="Z24" s="624"/>
    </x:row>
    <x:row r="25" spans="1:26" x14ac:dyDescent="0.2">
      <x:c r="A25" s="631"/>
      <x:c r="B25" s="631"/>
      <x:c r="C25" s="710"/>
      <x:c r="D25" s="631"/>
      <x:c r="E25" s="631"/>
      <x:c r="F25" s="631"/>
      <x:c r="G25" s="631"/>
      <x:c r="H25" s="631"/>
      <x:c r="I25" s="631"/>
      <x:c r="J25" s="631"/>
      <x:c r="K25" s="631"/>
      <x:c r="L25" s="631"/>
      <x:c r="M25" s="631"/>
      <x:c r="N25" s="631"/>
      <x:c r="O25" s="631"/>
      <x:c r="P25" s="631"/>
      <x:c r="Z25" s="624"/>
    </x:row>
    <x:row r="26" spans="1:26" ht="15" x14ac:dyDescent="0.25">
      <x:c r="B26" s="676" t="s">
        <x:v>76</x:v>
      </x:c>
      <x:c r="Z26" s="624"/>
    </x:row>
    <x:row r="27" spans="1:26" s="50" customFormat="1" ht="15" x14ac:dyDescent="0.25">
      <x:c r="C27" s="669" t="s">
        <x:v>70</x:v>
      </x:c>
      <x:c r="D27" s="669" t="s">
        <x:v>64</x:v>
      </x:c>
      <x:c r="E27" s="669" t="s">
        <x:v>65</x:v>
      </x:c>
      <x:c r="F27" s="674" t="s">
        <x:v>164</x:v>
      </x:c>
      <x:c r="G27" s="669" t="s">
        <x:v>69</x:v>
      </x:c>
      <x:c r="H27" s="669" t="s">
        <x:v>68</x:v>
      </x:c>
      <x:c r="I27" s="669" t="s">
        <x:v>83</x:v>
      </x:c>
      <x:c r="J27" s="669" t="s">
        <x:v>66</x:v>
      </x:c>
      <x:c r="K27" s="669" t="s">
        <x:v>63</x:v>
      </x:c>
      <x:c r="L27" s="669" t="s">
        <x:v>61</x:v>
      </x:c>
      <x:c r="M27" s="669" t="s">
        <x:v>62</x:v>
      </x:c>
      <x:c r="N27" s="669" t="s">
        <x:v>67</x:v>
      </x:c>
      <x:c r="O27" s="669" t="s">
        <x:v>84</x:v>
      </x:c>
      <x:c r="Z27" s="618"/>
    </x:row>
    <x:row r="28" spans="1:26" x14ac:dyDescent="0.2">
      <x:c r="B28" s="625" t="s">
        <x:v>72</x:v>
      </x:c>
      <x:c r="C28" s="627" t="n">
        <x:v>114219.07</x:v>
      </x:c>
      <x:c r="D28" s="627" t="n">
        <x:v>6267.13</x:v>
      </x:c>
      <x:c r="E28" s="627" t="n">
        <x:v>3538.42</x:v>
      </x:c>
      <x:c r="F28" s="627" t="n">
        <x:v>1857.22</x:v>
      </x:c>
      <x:c r="G28" s="627" t="n">
        <x:v>42966.81</x:v>
      </x:c>
      <x:c r="H28" s="627" t="n">
        <x:v>743.08</x:v>
      </x:c>
      <x:c r="I28" s="627" t="n">
        <x:v>0</x:v>
      </x:c>
      <x:c r="J28" s="627" t="n">
        <x:v>6518.28</x:v>
      </x:c>
      <x:c r="K28" s="627" t="n">
        <x:v>6322.58</x:v>
      </x:c>
      <x:c r="L28" s="627" t="n">
        <x:v>29933.14</x:v>
      </x:c>
      <x:c r="M28" s="627" t="n">
        <x:v>14860.01</x:v>
      </x:c>
      <x:c r="N28" s="627" t="n">
        <x:v>1212.4</x:v>
      </x:c>
      <x:c r="O28" s="627">
        <x:v>0</x:v>
      </x:c>
      <x:c r="Z28" s="624"/>
    </x:row>
    <x:row r="29" spans="1:26" x14ac:dyDescent="0.2">
      <x:c r="A29" s="636" t="s">
        <x:v>78</x:v>
      </x:c>
      <x:c r="B29" s="636" t="s">
        <x:v>70</x:v>
      </x:c>
      <x:c r="C29" s="637" t="n">
        <x:v>114219.07</x:v>
      </x:c>
      <x:c r="D29" s="637" t="n">
        <x:v>6267.13</x:v>
      </x:c>
      <x:c r="E29" s="637" t="n">
        <x:v>3538.42</x:v>
      </x:c>
      <x:c r="F29" s="637" t="n">
        <x:v>1857.22</x:v>
      </x:c>
      <x:c r="G29" s="637" t="n">
        <x:v>42966.81</x:v>
      </x:c>
      <x:c r="H29" s="637" t="n">
        <x:v>743.08</x:v>
      </x:c>
      <x:c r="I29" s="637" t="n">
        <x:v>0</x:v>
      </x:c>
      <x:c r="J29" s="637" t="n">
        <x:v>6518.28</x:v>
      </x:c>
      <x:c r="K29" s="637" t="n">
        <x:v>6322.58</x:v>
      </x:c>
      <x:c r="L29" s="637" t="n">
        <x:v>29933.14</x:v>
      </x:c>
      <x:c r="M29" s="637" t="n">
        <x:v>14860.01</x:v>
      </x:c>
      <x:c r="N29" s="637" t="n">
        <x:v>1212.4</x:v>
      </x:c>
      <x:c r="O29" s="637">
        <x:v>0</x:v>
      </x:c>
      <x:c r="P29" s="635"/>
      <x:c r="Z29" s="624"/>
    </x:row>
    <x:row r="30" spans="1:26" x14ac:dyDescent="0.2">
      <x:c r="B30" s="625" t="s">
        <x:v>73</x:v>
      </x:c>
      <x:c r="C30" s="627" t="n">
        <x:v>4655.77</x:v>
      </x:c>
      <x:c r="D30" s="627" t="n">
        <x:v>1594.44</x:v>
      </x:c>
      <x:c r="E30" s="627" t="n">
        <x:v>900.22</x:v>
      </x:c>
      <x:c r="F30" s="627" t="n">
        <x:v>472.5</x:v>
      </x:c>
      <x:c r="G30" s="627" t="n">
        <x:v>-4328.45</x:v>
      </x:c>
      <x:c r="H30" s="627" t="n">
        <x:v>37.15</x:v>
      </x:c>
      <x:c r="I30" s="627" t="n">
        <x:v>0</x:v>
      </x:c>
      <x:c r="J30" s="627" t="n">
        <x:v>325.91</x:v>
      </x:c>
      <x:c r="K30" s="627" t="n">
        <x:v>316.13</x:v>
      </x:c>
      <x:c r="L30" s="627" t="n">
        <x:v>1496.66</x:v>
      </x:c>
      <x:c r="M30" s="627" t="n">
        <x:v>3780.59</x:v>
      </x:c>
      <x:c r="N30" s="627" t="n">
        <x:v>60.62</x:v>
      </x:c>
      <x:c r="O30" s="627">
        <x:v>0</x:v>
      </x:c>
      <x:c r="Z30" s="624"/>
    </x:row>
    <x:row r="31" spans="1:26" x14ac:dyDescent="0.2">
      <x:c r="A31" s="654" t="s">
        <x:v>79</x:v>
      </x:c>
      <x:c r="B31" s="654" t="s">
        <x:v>70</x:v>
      </x:c>
      <x:c r="C31" s="655" t="n">
        <x:v>4655.77</x:v>
      </x:c>
      <x:c r="D31" s="655" t="n">
        <x:v>1594.44</x:v>
      </x:c>
      <x:c r="E31" s="655" t="n">
        <x:v>900.22</x:v>
      </x:c>
      <x:c r="F31" s="655" t="n">
        <x:v>472.5</x:v>
      </x:c>
      <x:c r="G31" s="655" t="n">
        <x:v>-4328.45</x:v>
      </x:c>
      <x:c r="H31" s="655" t="n">
        <x:v>37.15</x:v>
      </x:c>
      <x:c r="I31" s="655" t="n">
        <x:v>0</x:v>
      </x:c>
      <x:c r="J31" s="655" t="n">
        <x:v>325.91</x:v>
      </x:c>
      <x:c r="K31" s="655" t="n">
        <x:v>316.13</x:v>
      </x:c>
      <x:c r="L31" s="655" t="n">
        <x:v>1496.66</x:v>
      </x:c>
      <x:c r="M31" s="655" t="n">
        <x:v>3780.59</x:v>
      </x:c>
      <x:c r="N31" s="655" t="n">
        <x:v>60.62</x:v>
      </x:c>
      <x:c r="O31" s="655">
        <x:v>0</x:v>
      </x:c>
      <x:c r="P31" s="708"/>
      <x:c r="Z31" s="624"/>
    </x:row>
    <x:row r="32" spans="1:26" x14ac:dyDescent="0.2">
      <x:c r="A32" s="625" t="s">
        <x:v>70</x:v>
      </x:c>
      <x:c r="C32" s="627" t="n">
        <x:v>118874.84</x:v>
      </x:c>
      <x:c r="D32" s="627" t="n">
        <x:v>7861.57</x:v>
      </x:c>
      <x:c r="E32" s="627" t="n">
        <x:v>4438.64</x:v>
      </x:c>
      <x:c r="F32" s="627" t="n">
        <x:v>2329.72</x:v>
      </x:c>
      <x:c r="G32" s="627" t="n">
        <x:v>38638.36</x:v>
      </x:c>
      <x:c r="H32" s="627" t="n">
        <x:v>780.23</x:v>
      </x:c>
      <x:c r="I32" s="627" t="n">
        <x:v>0</x:v>
      </x:c>
      <x:c r="J32" s="627" t="n">
        <x:v>6844.19</x:v>
      </x:c>
      <x:c r="K32" s="627" t="n">
        <x:v>6638.71</x:v>
      </x:c>
      <x:c r="L32" s="627" t="n">
        <x:v>31429.8</x:v>
      </x:c>
      <x:c r="M32" s="627" t="n">
        <x:v>18640.6</x:v>
      </x:c>
      <x:c r="N32" s="627" t="n">
        <x:v>1273.02</x:v>
      </x:c>
      <x:c r="O32" s="627">
        <x:v>0</x:v>
      </x:c>
      <x:c r="Z32" s="624"/>
    </x:row>
    <x:row r="33" spans="1:26" x14ac:dyDescent="0.2">
      <x:c r="A33" s="625"/>
      <x:c r="C33" s="627"/>
      <x:c r="D33" s="627"/>
      <x:c r="E33" s="627"/>
      <x:c r="F33" s="627"/>
      <x:c r="G33" s="627"/>
      <x:c r="H33" s="627"/>
      <x:c r="I33" s="627"/>
      <x:c r="J33" s="627"/>
      <x:c r="L33" s="627"/>
      <x:c r="M33" s="627"/>
      <x:c r="N33" s="627"/>
      <x:c r="O33" s="627"/>
      <x:c r="P33" s="627"/>
      <x:c r="Z33" s="624"/>
    </x:row>
    <x:row r="34" spans="1:26" x14ac:dyDescent="0.2">
      <x:c r="B34" s="709" t="s">
        <x:v>70</x:v>
      </x:c>
      <x:c r="C34" s="679">
        <x:f>C32-I32</x:f>
        <x:v>0</x:v>
      </x:c>
      <x:c r="D34" s="679">
        <x:f>D29</x:f>
        <x:v>0</x:v>
      </x:c>
      <x:c r="E34" s="679">
        <x:f t="shared" ref="E34:P34" si="2">E29</x:f>
        <x:v>0</x:v>
      </x:c>
      <x:c r="F34" s="679">
        <x:f t="shared" si="2"/>
        <x:v>0</x:v>
      </x:c>
      <x:c r="G34" s="679">
        <x:f t="shared" si="2"/>
        <x:v>0</x:v>
      </x:c>
      <x:c r="H34" s="679">
        <x:f t="shared" si="2"/>
        <x:v>0</x:v>
      </x:c>
      <x:c r="I34" s="679">
        <x:f t="shared" si="2"/>
        <x:v>0</x:v>
      </x:c>
      <x:c r="J34" s="679">
        <x:f t="shared" si="2"/>
        <x:v>0</x:v>
      </x:c>
      <x:c r="K34" s="679">
        <x:f t="shared" si="2"/>
        <x:v>0</x:v>
      </x:c>
      <x:c r="L34" s="679">
        <x:f t="shared" si="2"/>
        <x:v>0</x:v>
      </x:c>
      <x:c r="M34" s="679">
        <x:f t="shared" si="2"/>
        <x:v>0</x:v>
      </x:c>
      <x:c r="N34" s="679">
        <x:f t="shared" si="2"/>
        <x:v>0</x:v>
      </x:c>
      <x:c r="O34" s="679">
        <x:f>O29</x:f>
        <x:v>0</x:v>
      </x:c>
      <x:c r="P34" s="679">
        <x:f t="shared" si="2"/>
        <x:v>0</x:v>
      </x:c>
      <x:c r="Z34" s="624"/>
    </x:row>
    <x:row r="35" spans="1:26" x14ac:dyDescent="0.2">
      <x:c r="B35" s="709" t="s">
        <x:v>73</x:v>
      </x:c>
      <x:c r="C35" s="679">
        <x:f>C31</x:f>
        <x:v>0</x:v>
      </x:c>
      <x:c r="Z35" s="624"/>
    </x:row>
    <x:row r="36" spans="1:26" x14ac:dyDescent="0.2">
      <x:c r="Z36" s="624"/>
    </x:row>
    <x:row r="37" spans="1:26" x14ac:dyDescent="0.2">
      <x:c r="A37" s="631"/>
      <x:c r="B37" s="631"/>
      <x:c r="C37" s="710"/>
      <x:c r="D37" s="631"/>
      <x:c r="E37" s="631"/>
      <x:c r="F37" s="631"/>
      <x:c r="G37" s="631"/>
      <x:c r="H37" s="631"/>
      <x:c r="I37" s="631"/>
      <x:c r="J37" s="631"/>
      <x:c r="K37" s="631"/>
      <x:c r="L37" s="631"/>
      <x:c r="M37" s="631"/>
      <x:c r="N37" s="631"/>
      <x:c r="O37" s="631"/>
      <x:c r="P37" s="631"/>
      <x:c r="Z37" s="624"/>
    </x:row>
    <x:row r="38" spans="1:26" ht="15" x14ac:dyDescent="0.25">
      <x:c r="B38" s="676" t="s">
        <x:v>88</x:v>
      </x:c>
      <x:c r="Z38" s="624"/>
    </x:row>
    <x:row r="39" spans="1:26" s="50" customFormat="1" ht="15" x14ac:dyDescent="0.25">
      <x:c r="C39" s="669" t="s">
        <x:v>70</x:v>
      </x:c>
      <x:c r="D39" s="669" t="s">
        <x:v>64</x:v>
      </x:c>
      <x:c r="E39" s="669" t="s">
        <x:v>65</x:v>
      </x:c>
      <x:c r="F39" s="674" t="s">
        <x:v>164</x:v>
      </x:c>
      <x:c r="G39" s="669" t="s">
        <x:v>69</x:v>
      </x:c>
      <x:c r="H39" s="669" t="s">
        <x:v>68</x:v>
      </x:c>
      <x:c r="I39" s="669" t="s">
        <x:v>83</x:v>
      </x:c>
      <x:c r="J39" s="669" t="s">
        <x:v>66</x:v>
      </x:c>
      <x:c r="K39" s="669" t="s">
        <x:v>63</x:v>
      </x:c>
      <x:c r="L39" s="669" t="s">
        <x:v>61</x:v>
      </x:c>
      <x:c r="M39" s="669" t="s">
        <x:v>62</x:v>
      </x:c>
      <x:c r="N39" s="669" t="s">
        <x:v>67</x:v>
      </x:c>
      <x:c r="O39" s="669" t="s">
        <x:v>84</x:v>
      </x:c>
      <x:c r="Z39" s="618"/>
    </x:row>
    <x:row r="40" spans="1:26" x14ac:dyDescent="0.2">
      <x:c r="B40" s="25" t="s">
        <x:v>72</x:v>
      </x:c>
      <x:c r="C40" s="627" t="n">
        <x:v>1030030.24</x:v>
      </x:c>
      <x:c r="D40" s="627" t="n">
        <x:v>30353.42</x:v>
      </x:c>
      <x:c r="E40" s="627" t="n">
        <x:v>17272.31</x:v>
      </x:c>
      <x:c r="F40" s="627" t="n">
        <x:v>7260.85</x:v>
      </x:c>
      <x:c r="G40" s="627" t="n">
        <x:v>195770.56</x:v>
      </x:c>
      <x:c r="H40" s="627" t="n">
        <x:v>5001.67</x:v>
      </x:c>
      <x:c r="I40" s="627" t="n">
        <x:v>0</x:v>
      </x:c>
      <x:c r="J40" s="627" t="n">
        <x:v>31654.75</x:v>
      </x:c>
      <x:c r="K40" s="627" t="n">
        <x:v>16169.51</x:v>
      </x:c>
      <x:c r="L40" s="627" t="n">
        <x:v>630665.63</x:v>
      </x:c>
      <x:c r="M40" s="627" t="n">
        <x:v>92025.49</x:v>
      </x:c>
      <x:c r="N40" s="627" t="n">
        <x:v>3836.24</x:v>
      </x:c>
      <x:c r="O40" s="627" t="n">
        <x:v>19.81</x:v>
      </x:c>
      <x:c r="Z40" s="624"/>
    </x:row>
    <x:row r="41" spans="1:26" x14ac:dyDescent="0.2">
      <x:c r="B41" s="625" t="s">
        <x:v>81</x:v>
      </x:c>
      <x:c r="C41" s="627" t="n">
        <x:v>-5455.56</x:v>
      </x:c>
      <x:c r="D41" s="627" t="n">
        <x:v>0</x:v>
      </x:c>
      <x:c r="E41" s="627" t="n">
        <x:v>0</x:v>
      </x:c>
      <x:c r="F41" s="627" t="n">
        <x:v>0</x:v>
      </x:c>
      <x:c r="G41" s="627" t="n">
        <x:v>0</x:v>
      </x:c>
      <x:c r="H41" s="627" t="n">
        <x:v>0</x:v>
      </x:c>
      <x:c r="I41" s="627" t="n">
        <x:v>0</x:v>
      </x:c>
      <x:c r="J41" s="627" t="n">
        <x:v>0</x:v>
      </x:c>
      <x:c r="K41" s="627" t="n">
        <x:v>0</x:v>
      </x:c>
      <x:c r="L41" s="627" t="n">
        <x:v>-5455.76</x:v>
      </x:c>
      <x:c r="M41" s="627" t="n">
        <x:v>0</x:v>
      </x:c>
      <x:c r="N41" s="627" t="n">
        <x:v>0</x:v>
      </x:c>
      <x:c r="O41" s="627" t="n">
        <x:v>0.2</x:v>
      </x:c>
      <x:c r="Z41" s="624"/>
    </x:row>
    <x:row r="42" spans="1:26" x14ac:dyDescent="0.2">
      <x:c r="A42" s="636" t="s">
        <x:v>78</x:v>
      </x:c>
      <x:c r="B42" s="636" t="s">
        <x:v>70</x:v>
      </x:c>
      <x:c r="C42" s="637" t="n">
        <x:v>1024574.68</x:v>
      </x:c>
      <x:c r="D42" s="637" t="n">
        <x:v>30353.42</x:v>
      </x:c>
      <x:c r="E42" s="637" t="n">
        <x:v>17272.31</x:v>
      </x:c>
      <x:c r="F42" s="637" t="n">
        <x:v>7260.85</x:v>
      </x:c>
      <x:c r="G42" s="637" t="n">
        <x:v>195770.56</x:v>
      </x:c>
      <x:c r="H42" s="637" t="n">
        <x:v>5001.67</x:v>
      </x:c>
      <x:c r="I42" s="637" t="n">
        <x:v>0</x:v>
      </x:c>
      <x:c r="J42" s="637" t="n">
        <x:v>31654.75</x:v>
      </x:c>
      <x:c r="K42" s="637" t="n">
        <x:v>16169.51</x:v>
      </x:c>
      <x:c r="L42" s="637" t="n">
        <x:v>625209.87</x:v>
      </x:c>
      <x:c r="M42" s="637" t="n">
        <x:v>92025.49</x:v>
      </x:c>
      <x:c r="N42" s="637" t="n">
        <x:v>3836.24</x:v>
      </x:c>
      <x:c r="O42" s="637" t="n">
        <x:v>20.01</x:v>
      </x:c>
      <x:c r="P42" s="635"/>
      <x:c r="Z42" s="624"/>
    </x:row>
    <x:row r="43" spans="1:26" x14ac:dyDescent="0.2">
      <x:c r="B43" s="625" t="s">
        <x:v>73</x:v>
      </x:c>
      <x:c r="C43" s="627" t="n">
        <x:v>-706260.2</x:v>
      </x:c>
      <x:c r="D43" s="627" t="n">
        <x:v>-35225.22</x:v>
      </x:c>
      <x:c r="E43" s="627" t="n">
        <x:v>-19886.85</x:v>
      </x:c>
      <x:c r="F43" s="627" t="n">
        <x:v>-10438.97</x:v>
      </x:c>
      <x:c r="G43" s="627" t="n">
        <x:v>-172708.87</x:v>
      </x:c>
      <x:c r="H43" s="627" t="n">
        <x:v>-4226.24</x:v>
      </x:c>
      <x:c r="I43" s="627" t="n">
        <x:v>0</x:v>
      </x:c>
      <x:c r="J43" s="627" t="n">
        <x:v>-37074.28</x:v>
      </x:c>
      <x:c r="K43" s="627" t="n">
        <x:v>-53305.25</x:v>
      </x:c>
      <x:c r="L43" s="627" t="n">
        <x:v>-273257.91</x:v>
      </x:c>
      <x:c r="M43" s="627" t="n">
        <x:v>-93241.08</x:v>
      </x:c>
      <x:c r="N43" s="627" t="n">
        <x:v>-6895.53</x:v>
      </x:c>
      <x:c r="O43" s="627" t="n">
        <x:v>0</x:v>
      </x:c>
      <x:c r="Z43" s="624"/>
    </x:row>
    <x:row r="44" spans="1:26" x14ac:dyDescent="0.2">
      <x:c r="A44" s="654" t="s">
        <x:v>79</x:v>
      </x:c>
      <x:c r="B44" s="654" t="s">
        <x:v>70</x:v>
      </x:c>
      <x:c r="C44" s="655" t="n">
        <x:v>-706260.2</x:v>
      </x:c>
      <x:c r="D44" s="655" t="n">
        <x:v>-35225.22</x:v>
      </x:c>
      <x:c r="E44" s="655" t="n">
        <x:v>-19886.85</x:v>
      </x:c>
      <x:c r="F44" s="655" t="n">
        <x:v>-10438.97</x:v>
      </x:c>
      <x:c r="G44" s="655" t="n">
        <x:v>-172708.87</x:v>
      </x:c>
      <x:c r="H44" s="655" t="n">
        <x:v>-4226.24</x:v>
      </x:c>
      <x:c r="I44" s="655" t="n">
        <x:v>0</x:v>
      </x:c>
      <x:c r="J44" s="655" t="n">
        <x:v>-37074.28</x:v>
      </x:c>
      <x:c r="K44" s="655" t="n">
        <x:v>-53305.25</x:v>
      </x:c>
      <x:c r="L44" s="655" t="n">
        <x:v>-273257.91</x:v>
      </x:c>
      <x:c r="M44" s="655" t="n">
        <x:v>-93241.08</x:v>
      </x:c>
      <x:c r="N44" s="655" t="n">
        <x:v>-6895.53</x:v>
      </x:c>
      <x:c r="O44" s="655" t="n">
        <x:v>0</x:v>
      </x:c>
      <x:c r="P44" s="708"/>
      <x:c r="Z44" s="624"/>
    </x:row>
    <x:row r="45" spans="1:26" x14ac:dyDescent="0.2">
      <x:c r="A45" s="625" t="s">
        <x:v>70</x:v>
      </x:c>
      <x:c r="C45" s="627" t="n">
        <x:v>318314.48</x:v>
      </x:c>
      <x:c r="D45" s="627" t="n">
        <x:v>-4871.8</x:v>
      </x:c>
      <x:c r="E45" s="627" t="n">
        <x:v>-2614.54</x:v>
      </x:c>
      <x:c r="F45" s="627" t="n">
        <x:v>-3178.12</x:v>
      </x:c>
      <x:c r="G45" s="627" t="n">
        <x:v>23061.69</x:v>
      </x:c>
      <x:c r="H45" s="627" t="n">
        <x:v>775.43</x:v>
      </x:c>
      <x:c r="I45" s="627" t="n">
        <x:v>0</x:v>
      </x:c>
      <x:c r="J45" s="627" t="n">
        <x:v>-5419.53</x:v>
      </x:c>
      <x:c r="K45" s="627" t="n">
        <x:v>-37135.74</x:v>
      </x:c>
      <x:c r="L45" s="627" t="n">
        <x:v>351951.96</x:v>
      </x:c>
      <x:c r="M45" s="627" t="n">
        <x:v>-1215.59</x:v>
      </x:c>
      <x:c r="N45" s="627" t="n">
        <x:v>-3059.29</x:v>
      </x:c>
      <x:c r="O45" s="627" t="n">
        <x:v>20.01</x:v>
      </x:c>
      <x:c r="Z45" s="624"/>
    </x:row>
    <x:row r="46" spans="1:26" x14ac:dyDescent="0.2">
      <x:c r="A46" s="625"/>
      <x:c r="C46" s="627"/>
      <x:c r="D46" s="627"/>
      <x:c r="E46" s="627"/>
      <x:c r="F46" s="627"/>
      <x:c r="G46" s="627"/>
      <x:c r="H46" s="627"/>
      <x:c r="I46" s="627"/>
      <x:c r="J46" s="627"/>
      <x:c r="K46" s="627"/>
      <x:c r="L46" s="627"/>
      <x:c r="M46" s="627"/>
      <x:c r="N46" s="627"/>
      <x:c r="O46" s="627"/>
      <x:c r="P46" s="627"/>
      <x:c r="Z46" s="624"/>
    </x:row>
    <x:row r="47" spans="1:26" x14ac:dyDescent="0.2">
      <x:c r="B47" s="709" t="s">
        <x:v>70</x:v>
      </x:c>
      <x:c r="C47" s="679">
        <x:f>C45-I45</x:f>
        <x:v>0</x:v>
      </x:c>
      <x:c r="D47" s="679">
        <x:f>D42</x:f>
        <x:v>0</x:v>
      </x:c>
      <x:c r="E47" s="679">
        <x:f t="shared" ref="E47:P47" si="3">E42</x:f>
        <x:v>0</x:v>
      </x:c>
      <x:c r="F47" s="679">
        <x:f t="shared" si="3"/>
        <x:v>0</x:v>
      </x:c>
      <x:c r="G47" s="679">
        <x:f t="shared" si="3"/>
        <x:v>0</x:v>
      </x:c>
      <x:c r="H47" s="679">
        <x:f t="shared" si="3"/>
        <x:v>0</x:v>
      </x:c>
      <x:c r="I47" s="679">
        <x:f t="shared" si="3"/>
        <x:v>0</x:v>
      </x:c>
      <x:c r="J47" s="679">
        <x:f t="shared" si="3"/>
        <x:v>0</x:v>
      </x:c>
      <x:c r="K47" s="679">
        <x:f t="shared" si="3"/>
        <x:v>0</x:v>
      </x:c>
      <x:c r="L47" s="679">
        <x:f t="shared" si="3"/>
        <x:v>0</x:v>
      </x:c>
      <x:c r="M47" s="679">
        <x:f t="shared" si="3"/>
        <x:v>0</x:v>
      </x:c>
      <x:c r="N47" s="679">
        <x:f t="shared" si="3"/>
        <x:v>0</x:v>
      </x:c>
      <x:c r="O47" s="679">
        <x:f>O42</x:f>
        <x:v>0</x:v>
      </x:c>
      <x:c r="P47" s="679">
        <x:f t="shared" si="3"/>
        <x:v>0</x:v>
      </x:c>
      <x:c r="Z47" s="624"/>
    </x:row>
    <x:row r="48" spans="1:26" x14ac:dyDescent="0.2">
      <x:c r="B48" s="709" t="s">
        <x:v>73</x:v>
      </x:c>
      <x:c r="C48" s="679">
        <x:f>C44</x:f>
        <x:v>0</x:v>
      </x:c>
      <x:c r="Z48" s="624"/>
    </x:row>
    <x:row r="49" spans="1:26" x14ac:dyDescent="0.2">
      <x:c r="Z49" s="624"/>
    </x:row>
    <x:row r="50" spans="1:26" x14ac:dyDescent="0.2">
      <x:c r="A50" s="631"/>
      <x:c r="B50" s="631"/>
      <x:c r="C50" s="710"/>
      <x:c r="D50" s="631"/>
      <x:c r="E50" s="631"/>
      <x:c r="F50" s="631"/>
      <x:c r="G50" s="631"/>
      <x:c r="H50" s="631"/>
      <x:c r="I50" s="631"/>
      <x:c r="J50" s="631"/>
      <x:c r="K50" s="631"/>
      <x:c r="L50" s="631"/>
      <x:c r="M50" s="631"/>
      <x:c r="N50" s="631"/>
      <x:c r="O50" s="631"/>
      <x:c r="P50" s="631"/>
      <x:c r="Z50" s="624"/>
    </x:row>
    <x:row r="51" spans="1:26" ht="15" x14ac:dyDescent="0.25">
      <x:c r="B51" s="676" t="s">
        <x:v>93</x:v>
      </x:c>
      <x:c r="Z51" s="624"/>
    </x:row>
    <x:row r="52" spans="1:26" s="50" customFormat="1" ht="15" x14ac:dyDescent="0.25">
      <x:c r="C52" s="669" t="s">
        <x:v>70</x:v>
      </x:c>
      <x:c r="D52" s="669" t="s">
        <x:v>64</x:v>
      </x:c>
      <x:c r="E52" s="669" t="s">
        <x:v>65</x:v>
      </x:c>
      <x:c r="F52" s="674" t="s">
        <x:v>164</x:v>
      </x:c>
      <x:c r="G52" s="669" t="s">
        <x:v>69</x:v>
      </x:c>
      <x:c r="H52" s="669" t="s">
        <x:v>68</x:v>
      </x:c>
      <x:c r="I52" s="669" t="s">
        <x:v>83</x:v>
      </x:c>
      <x:c r="J52" s="669" t="s">
        <x:v>66</x:v>
      </x:c>
      <x:c r="K52" s="669" t="s">
        <x:v>63</x:v>
      </x:c>
      <x:c r="L52" s="669" t="s">
        <x:v>61</x:v>
      </x:c>
      <x:c r="M52" s="669" t="s">
        <x:v>62</x:v>
      </x:c>
      <x:c r="N52" s="669" t="s">
        <x:v>67</x:v>
      </x:c>
      <x:c r="O52" s="669" t="s">
        <x:v>84</x:v>
      </x:c>
      <x:c r="Z52" s="618"/>
    </x:row>
    <x:row r="53" spans="1:26" x14ac:dyDescent="0.2">
      <x:c r="B53" s="625" t="s">
        <x:v>72</x:v>
      </x:c>
      <x:c r="C53" s="627">
        <x:v>0</x:v>
      </x:c>
      <x:c r="D53" s="627">
        <x:v>0</x:v>
      </x:c>
      <x:c r="E53" s="627">
        <x:v>0</x:v>
      </x:c>
      <x:c r="F53" s="627">
        <x:v>0</x:v>
      </x:c>
      <x:c r="G53" s="627">
        <x:v>0</x:v>
      </x:c>
      <x:c r="H53" s="627">
        <x:v>0</x:v>
      </x:c>
      <x:c r="I53" s="653">
        <x:v>0</x:v>
      </x:c>
      <x:c r="J53" s="627">
        <x:v>0</x:v>
      </x:c>
      <x:c r="K53" s="627">
        <x:v>0</x:v>
      </x:c>
      <x:c r="L53" s="627">
        <x:v>0</x:v>
      </x:c>
      <x:c r="M53" s="627">
        <x:v>0</x:v>
      </x:c>
      <x:c r="N53" s="627">
        <x:v>0</x:v>
      </x:c>
      <x:c r="O53" s="627">
        <x:v>0</x:v>
      </x:c>
      <x:c r="Z53" s="624"/>
    </x:row>
    <x:row r="54" spans="1:26" x14ac:dyDescent="0.2">
      <x:c r="B54" s="625" t="s">
        <x:v>81</x:v>
      </x:c>
      <x:c r="C54" s="627">
        <x:v>0</x:v>
      </x:c>
      <x:c r="D54" s="627">
        <x:v>0</x:v>
      </x:c>
      <x:c r="E54" s="627">
        <x:v>0</x:v>
      </x:c>
      <x:c r="F54" s="627">
        <x:v>0</x:v>
      </x:c>
      <x:c r="G54" s="627">
        <x:v>0</x:v>
      </x:c>
      <x:c r="H54" s="627">
        <x:v>0</x:v>
      </x:c>
      <x:c r="I54" s="653">
        <x:v>0</x:v>
      </x:c>
      <x:c r="J54" s="627">
        <x:v>0</x:v>
      </x:c>
      <x:c r="K54" s="627">
        <x:v>0</x:v>
      </x:c>
      <x:c r="L54" s="627">
        <x:v>0</x:v>
      </x:c>
      <x:c r="M54" s="627">
        <x:v>0</x:v>
      </x:c>
      <x:c r="N54" s="627">
        <x:v>0</x:v>
      </x:c>
      <x:c r="O54" s="627">
        <x:v>0</x:v>
      </x:c>
      <x:c r="Z54" s="624"/>
    </x:row>
    <x:row r="55" spans="1:26" x14ac:dyDescent="0.2">
      <x:c r="A55" s="636" t="s">
        <x:v>78</x:v>
      </x:c>
      <x:c r="B55" s="636" t="s">
        <x:v>70</x:v>
      </x:c>
      <x:c r="C55" s="637">
        <x:v>0</x:v>
      </x:c>
      <x:c r="D55" s="637">
        <x:v>0</x:v>
      </x:c>
      <x:c r="E55" s="637">
        <x:v>0</x:v>
      </x:c>
      <x:c r="F55" s="637">
        <x:v>0</x:v>
      </x:c>
      <x:c r="G55" s="637">
        <x:v>0</x:v>
      </x:c>
      <x:c r="H55" s="637">
        <x:v>0</x:v>
      </x:c>
      <x:c r="I55" s="712">
        <x:v>0</x:v>
      </x:c>
      <x:c r="J55" s="637">
        <x:v>0</x:v>
      </x:c>
      <x:c r="K55" s="637">
        <x:v>0</x:v>
      </x:c>
      <x:c r="L55" s="637">
        <x:v>0</x:v>
      </x:c>
      <x:c r="M55" s="637">
        <x:v>0</x:v>
      </x:c>
      <x:c r="N55" s="637">
        <x:v>0</x:v>
      </x:c>
      <x:c r="O55" s="637">
        <x:v>0</x:v>
      </x:c>
      <x:c r="P55" s="635"/>
      <x:c r="Z55" s="624"/>
    </x:row>
    <x:row r="56" spans="1:26" x14ac:dyDescent="0.2">
      <x:c r="B56" s="625" t="s">
        <x:v>73</x:v>
      </x:c>
      <x:c r="C56" s="627">
        <x:v>0</x:v>
      </x:c>
      <x:c r="D56" s="627">
        <x:v>0</x:v>
      </x:c>
      <x:c r="E56" s="627">
        <x:v>0</x:v>
      </x:c>
      <x:c r="F56" s="627">
        <x:v>0</x:v>
      </x:c>
      <x:c r="G56" s="627">
        <x:v>0</x:v>
      </x:c>
      <x:c r="H56" s="627">
        <x:v>0</x:v>
      </x:c>
      <x:c r="I56" s="653">
        <x:v>0</x:v>
      </x:c>
      <x:c r="J56" s="627">
        <x:v>0</x:v>
      </x:c>
      <x:c r="K56" s="627">
        <x:v>0</x:v>
      </x:c>
      <x:c r="L56" s="627">
        <x:v>0</x:v>
      </x:c>
      <x:c r="M56" s="627">
        <x:v>0</x:v>
      </x:c>
      <x:c r="N56" s="627">
        <x:v>0</x:v>
      </x:c>
      <x:c r="O56" s="627">
        <x:v>0</x:v>
      </x:c>
      <x:c r="Z56" s="624"/>
    </x:row>
    <x:row r="57" spans="1:26" x14ac:dyDescent="0.2">
      <x:c r="A57" s="654" t="s">
        <x:v>79</x:v>
      </x:c>
      <x:c r="B57" s="654" t="s">
        <x:v>70</x:v>
      </x:c>
      <x:c r="C57" s="655">
        <x:v>0</x:v>
      </x:c>
      <x:c r="D57" s="655">
        <x:v>0</x:v>
      </x:c>
      <x:c r="E57" s="655">
        <x:v>0</x:v>
      </x:c>
      <x:c r="F57" s="655">
        <x:v>0</x:v>
      </x:c>
      <x:c r="G57" s="655">
        <x:v>0</x:v>
      </x:c>
      <x:c r="H57" s="655">
        <x:v>0</x:v>
      </x:c>
      <x:c r="I57" s="713">
        <x:v>0</x:v>
      </x:c>
      <x:c r="J57" s="655">
        <x:v>0</x:v>
      </x:c>
      <x:c r="K57" s="655">
        <x:v>0</x:v>
      </x:c>
      <x:c r="L57" s="655">
        <x:v>0</x:v>
      </x:c>
      <x:c r="M57" s="655">
        <x:v>0</x:v>
      </x:c>
      <x:c r="N57" s="655">
        <x:v>0</x:v>
      </x:c>
      <x:c r="O57" s="655">
        <x:v>0</x:v>
      </x:c>
      <x:c r="P57" s="708"/>
      <x:c r="Z57" s="624"/>
    </x:row>
    <x:row r="58" spans="1:26" x14ac:dyDescent="0.2">
      <x:c r="A58" s="625" t="s">
        <x:v>70</x:v>
      </x:c>
      <x:c r="C58" s="627">
        <x:v>0</x:v>
      </x:c>
      <x:c r="D58" s="627">
        <x:v>0</x:v>
      </x:c>
      <x:c r="E58" s="627">
        <x:v>0</x:v>
      </x:c>
      <x:c r="F58" s="627">
        <x:v>0</x:v>
      </x:c>
      <x:c r="G58" s="627">
        <x:v>0</x:v>
      </x:c>
      <x:c r="H58" s="627">
        <x:v>0</x:v>
      </x:c>
      <x:c r="I58" s="653">
        <x:v>0</x:v>
      </x:c>
      <x:c r="J58" s="627">
        <x:v>0</x:v>
      </x:c>
      <x:c r="K58" s="627">
        <x:v>0</x:v>
      </x:c>
      <x:c r="L58" s="627">
        <x:v>0</x:v>
      </x:c>
      <x:c r="M58" s="627">
        <x:v>0</x:v>
      </x:c>
      <x:c r="N58" s="627">
        <x:v>0</x:v>
      </x:c>
      <x:c r="O58" s="627">
        <x:v>0</x:v>
      </x:c>
      <x:c r="Z58" s="624"/>
    </x:row>
    <x:row r="59" spans="1:26" x14ac:dyDescent="0.2">
      <x:c r="Z59" s="624"/>
    </x:row>
    <x:row r="60" spans="1:26" x14ac:dyDescent="0.2">
      <x:c r="B60" s="709" t="s">
        <x:v>70</x:v>
      </x:c>
      <x:c r="C60" s="679">
        <x:f>C58-I58</x:f>
        <x:v>0</x:v>
      </x:c>
      <x:c r="D60" s="679">
        <x:f>D55</x:f>
        <x:v>0</x:v>
      </x:c>
      <x:c r="E60" s="679">
        <x:f t="shared" ref="E60:P60" si="4">E55</x:f>
        <x:v>0</x:v>
      </x:c>
      <x:c r="F60" s="679">
        <x:f t="shared" si="4"/>
        <x:v>0</x:v>
      </x:c>
      <x:c r="G60" s="679">
        <x:f t="shared" si="4"/>
        <x:v>0</x:v>
      </x:c>
      <x:c r="H60" s="679">
        <x:f t="shared" si="4"/>
        <x:v>0</x:v>
      </x:c>
      <x:c r="I60" s="679">
        <x:f t="shared" si="4"/>
        <x:v>0</x:v>
      </x:c>
      <x:c r="J60" s="679">
        <x:f t="shared" si="4"/>
        <x:v>0</x:v>
      </x:c>
      <x:c r="K60" s="679">
        <x:f t="shared" si="4"/>
        <x:v>0</x:v>
      </x:c>
      <x:c r="L60" s="679">
        <x:f t="shared" si="4"/>
        <x:v>0</x:v>
      </x:c>
      <x:c r="M60" s="679">
        <x:f t="shared" si="4"/>
        <x:v>0</x:v>
      </x:c>
      <x:c r="N60" s="679">
        <x:f t="shared" si="4"/>
        <x:v>0</x:v>
      </x:c>
      <x:c r="O60" s="679">
        <x:f t="shared" si="4"/>
        <x:v>0</x:v>
      </x:c>
      <x:c r="P60" s="679">
        <x:f t="shared" si="4"/>
        <x:v>0</x:v>
      </x:c>
      <x:c r="Z60" s="624"/>
    </x:row>
    <x:row r="61" spans="1:26" x14ac:dyDescent="0.2">
      <x:c r="B61" s="709" t="s">
        <x:v>73</x:v>
      </x:c>
      <x:c r="C61" s="679">
        <x:f>C57</x:f>
        <x:v>0</x:v>
      </x:c>
      <x:c r="Z61" s="624"/>
    </x:row>
    <x:row r="62" spans="1:26" x14ac:dyDescent="0.2"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Z70"/>
  <x:sheetViews>
    <x:sheetView topLeftCell="I1" zoomScale="79" zoomScaleNormal="79" workbookViewId="0">
      <x:pane ySplit="2" topLeftCell="A3" activePane="bottomLeft" state="frozen"/>
      <x:selection activeCell="C50" sqref="C50"/>
      <x:selection pane="bottomLeft" activeCell="C1" sqref="C1:Y1048576"/>
    </x:sheetView>
  </x:sheetViews>
  <x:sheetFormatPr baseColWidth="10" defaultColWidth="11.5703125" defaultRowHeight="14.25" x14ac:dyDescent="0.2"/>
  <x:cols>
    <x:col min="1" max="1" width="12.7109375" style="25" bestFit="1" customWidth="1"/>
    <x:col min="2" max="2" width="27.5703125" style="25" bestFit="1" customWidth="1"/>
    <x:col min="3" max="3" width="6" style="675" bestFit="1" customWidth="1"/>
    <x:col min="4" max="4" width="18.7109375" style="25" bestFit="1" customWidth="1"/>
    <x:col min="5" max="5" width="18.5703125" style="25" bestFit="1" customWidth="1"/>
    <x:col min="6" max="6" width="20.28515625" style="25" bestFit="1" customWidth="1"/>
    <x:col min="7" max="7" width="18.5703125" style="25" bestFit="1" customWidth="1"/>
    <x:col min="8" max="8" width="19.7109375" style="25" bestFit="1" customWidth="1"/>
    <x:col min="9" max="9" width="11.7109375" style="25" bestFit="1" customWidth="1"/>
    <x:col min="10" max="13" width="18.7109375" style="25" bestFit="1" customWidth="1"/>
    <x:col min="14" max="14" width="23.85546875" style="25" bestFit="1" customWidth="1"/>
    <x:col min="15" max="15" width="10.5703125" style="25" bestFit="1" customWidth="1"/>
    <x:col min="16" max="25" width="11.5703125" style="25"/>
    <x:col min="26" max="26" width="3.5703125" style="25" customWidth="1"/>
    <x:col min="27" max="16384" width="11.5703125" style="25"/>
  </x:cols>
  <x:sheetData>
    <x:row r="1" spans="1:26" ht="15" x14ac:dyDescent="0.25">
      <x:c r="B1" s="676" t="s">
        <x:v>74</x:v>
      </x:c>
      <x:c r="Z1" s="624"/>
    </x:row>
    <x:row r="2" spans="1:26" s="50" customFormat="1" ht="15" x14ac:dyDescent="0.25">
      <x:c r="C2" s="669" t="s">
        <x:v>70</x:v>
      </x:c>
      <x:c r="D2" s="669" t="s">
        <x:v>64</x:v>
      </x:c>
      <x:c r="E2" s="669" t="s">
        <x:v>65</x:v>
      </x:c>
      <x:c r="F2" s="674" t="s">
        <x:v>164</x:v>
      </x:c>
      <x:c r="G2" s="669" t="s">
        <x:v>69</x:v>
      </x:c>
      <x:c r="H2" s="669" t="s">
        <x:v>68</x:v>
      </x:c>
      <x:c r="I2" s="669" t="s">
        <x:v>83</x:v>
      </x:c>
      <x:c r="J2" s="669" t="s">
        <x:v>66</x:v>
      </x:c>
      <x:c r="K2" s="669" t="s">
        <x:v>63</x:v>
      </x:c>
      <x:c r="L2" s="669" t="s">
        <x:v>61</x:v>
      </x:c>
      <x:c r="M2" s="669" t="s">
        <x:v>62</x:v>
      </x:c>
      <x:c r="N2" s="669" t="s">
        <x:v>67</x:v>
      </x:c>
      <x:c r="O2" s="669" t="s">
        <x:v>84</x:v>
      </x:c>
      <x:c r="Z2" s="618"/>
    </x:row>
    <x:row r="3" spans="1:26" x14ac:dyDescent="0.2">
      <x:c r="B3" s="25" t="s">
        <x:v>81</x:v>
      </x:c>
      <x:c r="C3" s="627">
        <x:v>0</x:v>
      </x:c>
      <x:c r="D3" s="627">
        <x:v>0</x:v>
      </x:c>
      <x:c r="E3" s="627">
        <x:v>0</x:v>
      </x:c>
      <x:c r="F3" s="627">
        <x:v>0</x:v>
      </x:c>
      <x:c r="G3" s="627">
        <x:v>0</x:v>
      </x:c>
      <x:c r="H3" s="627">
        <x:v>0</x:v>
      </x:c>
      <x:c r="I3" s="627">
        <x:v>0</x:v>
      </x:c>
      <x:c r="J3" s="627">
        <x:v>0</x:v>
      </x:c>
      <x:c r="K3" s="627">
        <x:v>0</x:v>
      </x:c>
      <x:c r="L3" s="627">
        <x:v>0</x:v>
      </x:c>
      <x:c r="M3" s="627">
        <x:v>0</x:v>
      </x:c>
      <x:c r="N3" s="627">
        <x:v>0</x:v>
      </x:c>
      <x:c r="O3" s="627">
        <x:v>0</x:v>
      </x:c>
      <x:c r="Z3" s="624"/>
    </x:row>
    <x:row r="4" spans="1:26" x14ac:dyDescent="0.2">
      <x:c r="B4" s="625" t="s">
        <x:v>72</x:v>
      </x:c>
      <x:c r="C4" s="627">
        <x:v>0</x:v>
      </x:c>
      <x:c r="D4" s="627">
        <x:v>0</x:v>
      </x:c>
      <x:c r="E4" s="627">
        <x:v>0</x:v>
      </x:c>
      <x:c r="F4" s="627">
        <x:v>0</x:v>
      </x:c>
      <x:c r="G4" s="627">
        <x:v>0</x:v>
      </x:c>
      <x:c r="H4" s="627">
        <x:v>0</x:v>
      </x:c>
      <x:c r="I4" s="627">
        <x:v>0</x:v>
      </x:c>
      <x:c r="J4" s="627">
        <x:v>0</x:v>
      </x:c>
      <x:c r="K4" s="627">
        <x:v>0</x:v>
      </x:c>
      <x:c r="L4" s="627">
        <x:v>0</x:v>
      </x:c>
      <x:c r="M4" s="627">
        <x:v>0</x:v>
      </x:c>
      <x:c r="N4" s="627">
        <x:v>0</x:v>
      </x:c>
      <x:c r="O4" s="627">
        <x:v>0</x:v>
      </x:c>
      <x:c r="Z4" s="624"/>
    </x:row>
    <x:row r="5" spans="1:26" x14ac:dyDescent="0.2">
      <x:c r="A5" s="636" t="s">
        <x:v>78</x:v>
      </x:c>
      <x:c r="B5" s="636" t="s">
        <x:v>70</x:v>
      </x:c>
      <x:c r="C5" s="637">
        <x:v>0</x:v>
      </x:c>
      <x:c r="D5" s="637">
        <x:v>0</x:v>
      </x:c>
      <x:c r="E5" s="637">
        <x:v>0</x:v>
      </x:c>
      <x:c r="F5" s="637">
        <x:v>0</x:v>
      </x:c>
      <x:c r="G5" s="637">
        <x:v>0</x:v>
      </x:c>
      <x:c r="H5" s="637">
        <x:v>0</x:v>
      </x:c>
      <x:c r="I5" s="637">
        <x:v>0</x:v>
      </x:c>
      <x:c r="J5" s="637">
        <x:v>0</x:v>
      </x:c>
      <x:c r="K5" s="637">
        <x:v>0</x:v>
      </x:c>
      <x:c r="L5" s="637">
        <x:v>0</x:v>
      </x:c>
      <x:c r="M5" s="637">
        <x:v>0</x:v>
      </x:c>
      <x:c r="N5" s="637">
        <x:v>0</x:v>
      </x:c>
      <x:c r="O5" s="637">
        <x:v>0</x:v>
      </x:c>
      <x:c r="P5" s="635"/>
      <x:c r="Q5" s="635"/>
      <x:c r="R5" s="635"/>
      <x:c r="S5" s="635"/>
      <x:c r="T5" s="635"/>
      <x:c r="U5" s="635"/>
      <x:c r="V5" s="635"/>
      <x:c r="W5" s="635"/>
      <x:c r="X5" s="635"/>
      <x:c r="Y5" s="635"/>
      <x:c r="Z5" s="624"/>
    </x:row>
    <x:row r="6" spans="1:26" x14ac:dyDescent="0.2">
      <x:c r="B6" s="625" t="s">
        <x:v>73</x:v>
      </x:c>
      <x:c r="C6" s="627">
        <x:v>0</x:v>
      </x:c>
      <x:c r="D6" s="627">
        <x:v>0</x:v>
      </x:c>
      <x:c r="E6" s="627">
        <x:v>0</x:v>
      </x:c>
      <x:c r="F6" s="627">
        <x:v>0</x:v>
      </x:c>
      <x:c r="G6" s="627">
        <x:v>0</x:v>
      </x:c>
      <x:c r="H6" s="627">
        <x:v>0</x:v>
      </x:c>
      <x:c r="I6" s="627">
        <x:v>0</x:v>
      </x:c>
      <x:c r="J6" s="627">
        <x:v>0</x:v>
      </x:c>
      <x:c r="K6" s="627">
        <x:v>0</x:v>
      </x:c>
      <x:c r="L6" s="627">
        <x:v>0</x:v>
      </x:c>
      <x:c r="M6" s="627">
        <x:v>0</x:v>
      </x:c>
      <x:c r="N6" s="627">
        <x:v>0</x:v>
      </x:c>
      <x:c r="O6" s="627">
        <x:v>0</x:v>
      </x:c>
      <x:c r="Z6" s="624"/>
    </x:row>
    <x:row r="7" spans="1:26" x14ac:dyDescent="0.2">
      <x:c r="A7" s="654" t="s">
        <x:v>79</x:v>
      </x:c>
      <x:c r="B7" s="654" t="s">
        <x:v>70</x:v>
      </x:c>
      <x:c r="C7" s="655">
        <x:v>0</x:v>
      </x:c>
      <x:c r="D7" s="655">
        <x:v>0</x:v>
      </x:c>
      <x:c r="E7" s="655">
        <x:v>0</x:v>
      </x:c>
      <x:c r="F7" s="655">
        <x:v>0</x:v>
      </x:c>
      <x:c r="G7" s="655">
        <x:v>0</x:v>
      </x:c>
      <x:c r="H7" s="655">
        <x:v>0</x:v>
      </x:c>
      <x:c r="I7" s="655">
        <x:v>0</x:v>
      </x:c>
      <x:c r="J7" s="655">
        <x:v>0</x:v>
      </x:c>
      <x:c r="K7" s="655">
        <x:v>0</x:v>
      </x:c>
      <x:c r="L7" s="655">
        <x:v>0</x:v>
      </x:c>
      <x:c r="M7" s="655">
        <x:v>0</x:v>
      </x:c>
      <x:c r="N7" s="655">
        <x:v>0</x:v>
      </x:c>
      <x:c r="O7" s="655">
        <x:v>0</x:v>
      </x:c>
      <x:c r="P7" s="708"/>
      <x:c r="Q7" s="708"/>
      <x:c r="R7" s="708"/>
      <x:c r="S7" s="708"/>
      <x:c r="T7" s="708"/>
      <x:c r="U7" s="708"/>
      <x:c r="V7" s="708"/>
      <x:c r="W7" s="708"/>
      <x:c r="X7" s="708"/>
      <x:c r="Y7" s="708"/>
      <x:c r="Z7" s="624"/>
    </x:row>
    <x:row r="8" spans="1:26" x14ac:dyDescent="0.2">
      <x:c r="A8" s="625" t="s">
        <x:v>70</x:v>
      </x:c>
      <x:c r="C8" s="627">
        <x:v>0</x:v>
      </x:c>
      <x:c r="D8" s="627">
        <x:v>0</x:v>
      </x:c>
      <x:c r="E8" s="627">
        <x:v>0</x:v>
      </x:c>
      <x:c r="F8" s="627">
        <x:v>0</x:v>
      </x:c>
      <x:c r="G8" s="627">
        <x:v>0</x:v>
      </x:c>
      <x:c r="H8" s="627">
        <x:v>0</x:v>
      </x:c>
      <x:c r="I8" s="627">
        <x:v>0</x:v>
      </x:c>
      <x:c r="J8" s="627">
        <x:v>0</x:v>
      </x:c>
      <x:c r="K8" s="627">
        <x:v>0</x:v>
      </x:c>
      <x:c r="L8" s="627">
        <x:v>0</x:v>
      </x:c>
      <x:c r="M8" s="627">
        <x:v>0</x:v>
      </x:c>
      <x:c r="N8" s="627">
        <x:v>0</x:v>
      </x:c>
      <x:c r="O8" s="627">
        <x:v>0</x:v>
      </x:c>
      <x:c r="Z8" s="624"/>
    </x:row>
    <x:row r="9" spans="1:26" x14ac:dyDescent="0.2">
      <x:c r="C9" s="627"/>
      <x:c r="D9" s="627"/>
      <x:c r="E9" s="627"/>
      <x:c r="F9" s="627"/>
      <x:c r="G9" s="627"/>
      <x:c r="H9" s="627"/>
      <x:c r="I9" s="627"/>
      <x:c r="J9" s="627"/>
      <x:c r="K9" s="627"/>
      <x:c r="L9" s="627"/>
      <x:c r="M9" s="627"/>
      <x:c r="O9" s="627"/>
      <x:c r="Z9" s="624"/>
    </x:row>
    <x:row r="10" spans="1:26" x14ac:dyDescent="0.2">
      <x:c r="B10" s="709" t="s">
        <x:v>70</x:v>
      </x:c>
      <x:c r="C10" s="679">
        <x:f>C8-I8</x:f>
        <x:v>0</x:v>
      </x:c>
      <x:c r="D10" s="679">
        <x:f>D5</x:f>
        <x:v>0</x:v>
      </x:c>
      <x:c r="E10" s="679">
        <x:f t="shared" ref="E10:O10" si="0">E5</x:f>
        <x:v>0</x:v>
      </x:c>
      <x:c r="F10" s="679">
        <x:f t="shared" si="0"/>
        <x:v>0</x:v>
      </x:c>
      <x:c r="G10" s="679">
        <x:f t="shared" si="0"/>
        <x:v>0</x:v>
      </x:c>
      <x:c r="H10" s="679">
        <x:f t="shared" si="0"/>
        <x:v>0</x:v>
      </x:c>
      <x:c r="I10" s="679">
        <x:f t="shared" si="0"/>
        <x:v>0</x:v>
      </x:c>
      <x:c r="J10" s="679">
        <x:f t="shared" si="0"/>
        <x:v>0</x:v>
      </x:c>
      <x:c r="K10" s="679">
        <x:f t="shared" si="0"/>
        <x:v>0</x:v>
      </x:c>
      <x:c r="L10" s="679">
        <x:f t="shared" si="0"/>
        <x:v>0</x:v>
      </x:c>
      <x:c r="M10" s="679">
        <x:f t="shared" si="0"/>
        <x:v>0</x:v>
      </x:c>
      <x:c r="N10" s="679">
        <x:f t="shared" si="0"/>
        <x:v>0</x:v>
      </x:c>
      <x:c r="O10" s="679">
        <x:f t="shared" si="0"/>
        <x:v>0</x:v>
      </x:c>
      <x:c r="Z10" s="624"/>
    </x:row>
    <x:row r="11" spans="1:26" x14ac:dyDescent="0.2">
      <x:c r="B11" s="709" t="s">
        <x:v>73</x:v>
      </x:c>
      <x:c r="C11" s="679">
        <x:f>C7</x:f>
        <x:v>0</x:v>
      </x:c>
      <x:c r="Z11" s="624"/>
    </x:row>
    <x:row r="12" spans="1:26" x14ac:dyDescent="0.2">
      <x:c r="Z12" s="624"/>
    </x:row>
    <x:row r="13" spans="1:26" x14ac:dyDescent="0.2">
      <x:c r="A13" s="631"/>
      <x:c r="B13" s="631"/>
      <x:c r="C13" s="710"/>
      <x:c r="D13" s="631"/>
      <x:c r="E13" s="631"/>
      <x:c r="F13" s="631"/>
      <x:c r="G13" s="631"/>
      <x:c r="H13" s="631"/>
      <x:c r="I13" s="631"/>
      <x:c r="J13" s="631"/>
      <x:c r="K13" s="631"/>
      <x:c r="L13" s="631"/>
      <x:c r="M13" s="631"/>
      <x:c r="N13" s="631"/>
      <x:c r="O13" s="631"/>
      <x:c r="Z13" s="624"/>
    </x:row>
    <x:row r="14" spans="1:26" ht="15" x14ac:dyDescent="0.25">
      <x:c r="B14" s="676" t="s">
        <x:v>75</x:v>
      </x:c>
      <x:c r="Z14" s="624"/>
    </x:row>
    <x:row r="15" spans="1:26" s="50" customFormat="1" ht="15" x14ac:dyDescent="0.25">
      <x:c r="C15" s="669" t="s">
        <x:v>70</x:v>
      </x:c>
      <x:c r="D15" s="669" t="s">
        <x:v>64</x:v>
      </x:c>
      <x:c r="E15" s="669" t="s">
        <x:v>65</x:v>
      </x:c>
      <x:c r="F15" s="674" t="s">
        <x:v>164</x:v>
      </x:c>
      <x:c r="G15" s="669" t="s">
        <x:v>69</x:v>
      </x:c>
      <x:c r="H15" s="669" t="s">
        <x:v>68</x:v>
      </x:c>
      <x:c r="I15" s="669" t="s">
        <x:v>83</x:v>
      </x:c>
      <x:c r="J15" s="669" t="s">
        <x:v>66</x:v>
      </x:c>
      <x:c r="K15" s="669" t="s">
        <x:v>63</x:v>
      </x:c>
      <x:c r="L15" s="669" t="s">
        <x:v>61</x:v>
      </x:c>
      <x:c r="M15" s="669" t="s">
        <x:v>62</x:v>
      </x:c>
      <x:c r="N15" s="669" t="s">
        <x:v>67</x:v>
      </x:c>
      <x:c r="O15" s="669" t="s">
        <x:v>84</x:v>
      </x:c>
      <x:c r="Z15" s="618"/>
    </x:row>
    <x:row r="16" spans="1:26" x14ac:dyDescent="0.2">
      <x:c r="B16" s="625" t="s">
        <x:v>81</x:v>
      </x:c>
      <x:c r="C16" s="627">
        <x:v>0</x:v>
      </x:c>
      <x:c r="D16" s="627">
        <x:v>0</x:v>
      </x:c>
      <x:c r="E16" s="627">
        <x:v>0</x:v>
      </x:c>
      <x:c r="F16" s="627">
        <x:v>0</x:v>
      </x:c>
      <x:c r="G16" s="627">
        <x:v>0</x:v>
      </x:c>
      <x:c r="H16" s="627">
        <x:v>0</x:v>
      </x:c>
      <x:c r="I16" s="653">
        <x:v>0</x:v>
      </x:c>
      <x:c r="J16" s="627">
        <x:v>0</x:v>
      </x:c>
      <x:c r="K16" s="627">
        <x:v>0</x:v>
      </x:c>
      <x:c r="L16" s="627">
        <x:v>0</x:v>
      </x:c>
      <x:c r="M16" s="627">
        <x:v>0</x:v>
      </x:c>
      <x:c r="N16" s="627">
        <x:v>0</x:v>
      </x:c>
      <x:c r="O16" s="627">
        <x:v>0</x:v>
      </x:c>
      <x:c r="Z16" s="624"/>
    </x:row>
    <x:row r="17" spans="1:26" x14ac:dyDescent="0.2">
      <x:c r="B17" s="625" t="s">
        <x:v>72</x:v>
      </x:c>
      <x:c r="C17" s="627">
        <x:v>0</x:v>
      </x:c>
      <x:c r="D17" s="627">
        <x:v>0</x:v>
      </x:c>
      <x:c r="E17" s="627">
        <x:v>0</x:v>
      </x:c>
      <x:c r="F17" s="627">
        <x:v>0</x:v>
      </x:c>
      <x:c r="G17" s="627">
        <x:v>0</x:v>
      </x:c>
      <x:c r="H17" s="627">
        <x:v>0</x:v>
      </x:c>
      <x:c r="I17" s="653">
        <x:v>0</x:v>
      </x:c>
      <x:c r="J17" s="627">
        <x:v>0</x:v>
      </x:c>
      <x:c r="K17" s="627">
        <x:v>0</x:v>
      </x:c>
      <x:c r="L17" s="627">
        <x:v>0</x:v>
      </x:c>
      <x:c r="M17" s="627">
        <x:v>0</x:v>
      </x:c>
      <x:c r="N17" s="627">
        <x:v>0</x:v>
      </x:c>
      <x:c r="O17" s="627">
        <x:v>0</x:v>
      </x:c>
      <x:c r="Z17" s="624"/>
    </x:row>
    <x:row r="18" spans="1:26" x14ac:dyDescent="0.2">
      <x:c r="A18" s="636" t="s">
        <x:v>78</x:v>
      </x:c>
      <x:c r="B18" s="636" t="s">
        <x:v>70</x:v>
      </x:c>
      <x:c r="C18" s="637">
        <x:v>0</x:v>
      </x:c>
      <x:c r="D18" s="637">
        <x:v>0</x:v>
      </x:c>
      <x:c r="E18" s="637">
        <x:v>0</x:v>
      </x:c>
      <x:c r="F18" s="637">
        <x:v>0</x:v>
      </x:c>
      <x:c r="G18" s="637">
        <x:v>0</x:v>
      </x:c>
      <x:c r="H18" s="637">
        <x:v>0</x:v>
      </x:c>
      <x:c r="I18" s="637">
        <x:v>0</x:v>
      </x:c>
      <x:c r="J18" s="637">
        <x:v>0</x:v>
      </x:c>
      <x:c r="K18" s="637">
        <x:v>0</x:v>
      </x:c>
      <x:c r="L18" s="637">
        <x:v>0</x:v>
      </x:c>
      <x:c r="M18" s="637">
        <x:v>0</x:v>
      </x:c>
      <x:c r="N18" s="637">
        <x:v>0</x:v>
      </x:c>
      <x:c r="O18" s="637">
        <x:v>0</x:v>
      </x:c>
      <x:c r="P18" s="635"/>
      <x:c r="Q18" s="635"/>
      <x:c r="R18" s="635"/>
      <x:c r="S18" s="635"/>
      <x:c r="T18" s="635"/>
      <x:c r="U18" s="635"/>
      <x:c r="V18" s="635"/>
      <x:c r="W18" s="635"/>
      <x:c r="X18" s="635"/>
      <x:c r="Y18" s="635"/>
      <x:c r="Z18" s="624"/>
    </x:row>
    <x:row r="19" spans="1:26" x14ac:dyDescent="0.2">
      <x:c r="B19" s="625" t="s">
        <x:v>73</x:v>
      </x:c>
      <x:c r="C19" s="627">
        <x:v>0</x:v>
      </x:c>
      <x:c r="D19" s="627">
        <x:v>0</x:v>
      </x:c>
      <x:c r="E19" s="627">
        <x:v>0</x:v>
      </x:c>
      <x:c r="F19" s="627">
        <x:v>0</x:v>
      </x:c>
      <x:c r="G19" s="627">
        <x:v>0</x:v>
      </x:c>
      <x:c r="H19" s="627">
        <x:v>0</x:v>
      </x:c>
      <x:c r="I19" s="653">
        <x:v>0</x:v>
      </x:c>
      <x:c r="J19" s="627">
        <x:v>0</x:v>
      </x:c>
      <x:c r="K19" s="627">
        <x:v>0</x:v>
      </x:c>
      <x:c r="L19" s="627">
        <x:v>0</x:v>
      </x:c>
      <x:c r="M19" s="627">
        <x:v>0</x:v>
      </x:c>
      <x:c r="N19" s="627">
        <x:v>0</x:v>
      </x:c>
      <x:c r="O19" s="627">
        <x:v>0</x:v>
      </x:c>
      <x:c r="Z19" s="624"/>
    </x:row>
    <x:row r="20" spans="1:26" x14ac:dyDescent="0.2">
      <x:c r="A20" s="654" t="s">
        <x:v>79</x:v>
      </x:c>
      <x:c r="B20" s="654" t="s">
        <x:v>70</x:v>
      </x:c>
      <x:c r="C20" s="655">
        <x:v>0</x:v>
      </x:c>
      <x:c r="D20" s="655">
        <x:v>0</x:v>
      </x:c>
      <x:c r="E20" s="655">
        <x:v>0</x:v>
      </x:c>
      <x:c r="F20" s="655">
        <x:v>0</x:v>
      </x:c>
      <x:c r="G20" s="655">
        <x:v>0</x:v>
      </x:c>
      <x:c r="H20" s="655">
        <x:v>0</x:v>
      </x:c>
      <x:c r="I20" s="655">
        <x:v>0</x:v>
      </x:c>
      <x:c r="J20" s="655">
        <x:v>0</x:v>
      </x:c>
      <x:c r="K20" s="655">
        <x:v>0</x:v>
      </x:c>
      <x:c r="L20" s="655">
        <x:v>0</x:v>
      </x:c>
      <x:c r="M20" s="655">
        <x:v>0</x:v>
      </x:c>
      <x:c r="N20" s="655">
        <x:v>0</x:v>
      </x:c>
      <x:c r="O20" s="655">
        <x:v>0</x:v>
      </x:c>
      <x:c r="P20" s="708"/>
      <x:c r="Q20" s="708"/>
      <x:c r="R20" s="708"/>
      <x:c r="S20" s="708"/>
      <x:c r="T20" s="708"/>
      <x:c r="U20" s="708"/>
      <x:c r="V20" s="708"/>
      <x:c r="W20" s="708"/>
      <x:c r="X20" s="708"/>
      <x:c r="Y20" s="708"/>
      <x:c r="Z20" s="624"/>
    </x:row>
    <x:row r="21" spans="1:26" x14ac:dyDescent="0.2">
      <x:c r="A21" s="625" t="s">
        <x:v>70</x:v>
      </x:c>
      <x:c r="C21" s="627">
        <x:v>0</x:v>
      </x:c>
      <x:c r="D21" s="627">
        <x:v>0</x:v>
      </x:c>
      <x:c r="E21" s="627">
        <x:v>0</x:v>
      </x:c>
      <x:c r="F21" s="627">
        <x:v>0</x:v>
      </x:c>
      <x:c r="G21" s="627">
        <x:v>0</x:v>
      </x:c>
      <x:c r="H21" s="627">
        <x:v>0</x:v>
      </x:c>
      <x:c r="I21" s="653">
        <x:v>0</x:v>
      </x:c>
      <x:c r="J21" s="627">
        <x:v>0</x:v>
      </x:c>
      <x:c r="K21" s="627">
        <x:v>0</x:v>
      </x:c>
      <x:c r="L21" s="627">
        <x:v>0</x:v>
      </x:c>
      <x:c r="M21" s="627">
        <x:v>0</x:v>
      </x:c>
      <x:c r="N21" s="627">
        <x:v>0</x:v>
      </x:c>
      <x:c r="O21" s="627">
        <x:v>0</x:v>
      </x:c>
      <x:c r="Z21" s="624"/>
    </x:row>
    <x:row r="22" spans="1:26" x14ac:dyDescent="0.2">
      <x:c r="A22" s="625"/>
      <x:c r="C22" s="627"/>
      <x:c r="D22" s="627"/>
      <x:c r="E22" s="627"/>
      <x:c r="F22" s="627"/>
      <x:c r="G22" s="627"/>
      <x:c r="H22" s="627"/>
      <x:c r="J22" s="627"/>
      <x:c r="K22" s="627"/>
      <x:c r="L22" s="627"/>
      <x:c r="M22" s="627"/>
      <x:c r="N22" s="627"/>
      <x:c r="Z22" s="624"/>
    </x:row>
    <x:row r="23" spans="1:26" x14ac:dyDescent="0.2">
      <x:c r="B23" s="709" t="s">
        <x:v>70</x:v>
      </x:c>
      <x:c r="C23" s="679">
        <x:f>C21-I21</x:f>
        <x:v>0</x:v>
      </x:c>
      <x:c r="D23" s="679">
        <x:f>D18</x:f>
        <x:v>0</x:v>
      </x:c>
      <x:c r="E23" s="679">
        <x:f t="shared" ref="E23:O23" si="1">E18</x:f>
        <x:v>0</x:v>
      </x:c>
      <x:c r="F23" s="679">
        <x:f t="shared" si="1"/>
        <x:v>0</x:v>
      </x:c>
      <x:c r="G23" s="679">
        <x:f t="shared" si="1"/>
        <x:v>0</x:v>
      </x:c>
      <x:c r="H23" s="679">
        <x:f t="shared" si="1"/>
        <x:v>0</x:v>
      </x:c>
      <x:c r="I23" s="679">
        <x:f t="shared" si="1"/>
        <x:v>0</x:v>
      </x:c>
      <x:c r="J23" s="679">
        <x:f t="shared" si="1"/>
        <x:v>0</x:v>
      </x:c>
      <x:c r="K23" s="679">
        <x:f t="shared" si="1"/>
        <x:v>0</x:v>
      </x:c>
      <x:c r="L23" s="679">
        <x:f t="shared" si="1"/>
        <x:v>0</x:v>
      </x:c>
      <x:c r="M23" s="679">
        <x:f t="shared" si="1"/>
        <x:v>0</x:v>
      </x:c>
      <x:c r="N23" s="679">
        <x:f t="shared" si="1"/>
        <x:v>0</x:v>
      </x:c>
      <x:c r="O23" s="679">
        <x:f t="shared" si="1"/>
        <x:v>0</x:v>
      </x:c>
      <x:c r="Z23" s="624"/>
    </x:row>
    <x:row r="24" spans="1:26" x14ac:dyDescent="0.2">
      <x:c r="B24" s="709" t="s">
        <x:v>73</x:v>
      </x:c>
      <x:c r="C24" s="679">
        <x:f>C20</x:f>
        <x:v>0</x:v>
      </x:c>
      <x:c r="Z24" s="624"/>
    </x:row>
    <x:row r="25" spans="1:26" x14ac:dyDescent="0.2">
      <x:c r="Z25" s="624"/>
    </x:row>
    <x:row r="26" spans="1:26" x14ac:dyDescent="0.2">
      <x:c r="A26" s="631"/>
      <x:c r="B26" s="631"/>
      <x:c r="C26" s="710"/>
      <x:c r="D26" s="631"/>
      <x:c r="E26" s="631"/>
      <x:c r="F26" s="631"/>
      <x:c r="G26" s="631"/>
      <x:c r="H26" s="631"/>
      <x:c r="I26" s="631"/>
      <x:c r="J26" s="631"/>
      <x:c r="K26" s="631"/>
      <x:c r="L26" s="631"/>
      <x:c r="M26" s="631"/>
      <x:c r="N26" s="631"/>
      <x:c r="O26" s="631"/>
      <x:c r="Z26" s="624"/>
    </x:row>
    <x:row r="27" spans="1:26" ht="15" x14ac:dyDescent="0.25">
      <x:c r="B27" s="676" t="s">
        <x:v>76</x:v>
      </x:c>
      <x:c r="Z27" s="624"/>
    </x:row>
    <x:row r="28" spans="1:26" s="50" customFormat="1" ht="15" x14ac:dyDescent="0.25">
      <x:c r="C28" s="669" t="s">
        <x:v>70</x:v>
      </x:c>
      <x:c r="D28" s="669" t="s">
        <x:v>64</x:v>
      </x:c>
      <x:c r="E28" s="669" t="s">
        <x:v>65</x:v>
      </x:c>
      <x:c r="F28" s="674" t="s">
        <x:v>164</x:v>
      </x:c>
      <x:c r="G28" s="669" t="s">
        <x:v>69</x:v>
      </x:c>
      <x:c r="H28" s="669" t="s">
        <x:v>68</x:v>
      </x:c>
      <x:c r="I28" s="669" t="s">
        <x:v>83</x:v>
      </x:c>
      <x:c r="J28" s="669" t="s">
        <x:v>66</x:v>
      </x:c>
      <x:c r="K28" s="669" t="s">
        <x:v>63</x:v>
      </x:c>
      <x:c r="L28" s="669" t="s">
        <x:v>61</x:v>
      </x:c>
      <x:c r="M28" s="669" t="s">
        <x:v>62</x:v>
      </x:c>
      <x:c r="N28" s="669" t="s">
        <x:v>67</x:v>
      </x:c>
      <x:c r="O28" s="669" t="s">
        <x:v>84</x:v>
      </x:c>
      <x:c r="Z28" s="618"/>
    </x:row>
    <x:row r="29" spans="1:26" x14ac:dyDescent="0.2">
      <x:c r="B29" s="25" t="s">
        <x:v>81</x:v>
      </x:c>
      <x:c r="C29" s="627">
        <x:v>0</x:v>
      </x:c>
      <x:c r="D29" s="627">
        <x:v>0</x:v>
      </x:c>
      <x:c r="E29" s="627">
        <x:v>0</x:v>
      </x:c>
      <x:c r="F29" s="627">
        <x:v>0</x:v>
      </x:c>
      <x:c r="G29" s="627">
        <x:v>0</x:v>
      </x:c>
      <x:c r="H29" s="627">
        <x:v>0</x:v>
      </x:c>
      <x:c r="I29" s="627">
        <x:v>0</x:v>
      </x:c>
      <x:c r="J29" s="627">
        <x:v>0</x:v>
      </x:c>
      <x:c r="K29" s="627">
        <x:v>0</x:v>
      </x:c>
      <x:c r="L29" s="627">
        <x:v>0</x:v>
      </x:c>
      <x:c r="M29" s="627">
        <x:v>0</x:v>
      </x:c>
      <x:c r="N29" s="627">
        <x:v>0</x:v>
      </x:c>
      <x:c r="O29" s="627">
        <x:v>0</x:v>
      </x:c>
      <x:c r="Z29" s="624"/>
    </x:row>
    <x:row r="30" spans="1:26" x14ac:dyDescent="0.2">
      <x:c r="B30" s="625" t="s">
        <x:v>72</x:v>
      </x:c>
      <x:c r="C30" s="627">
        <x:v>0</x:v>
      </x:c>
      <x:c r="D30" s="627">
        <x:v>0</x:v>
      </x:c>
      <x:c r="E30" s="627">
        <x:v>0</x:v>
      </x:c>
      <x:c r="F30" s="627">
        <x:v>0</x:v>
      </x:c>
      <x:c r="G30" s="627">
        <x:v>0</x:v>
      </x:c>
      <x:c r="H30" s="627">
        <x:v>0</x:v>
      </x:c>
      <x:c r="I30" s="627">
        <x:v>0</x:v>
      </x:c>
      <x:c r="J30" s="627">
        <x:v>0</x:v>
      </x:c>
      <x:c r="K30" s="627">
        <x:v>0</x:v>
      </x:c>
      <x:c r="L30" s="627">
        <x:v>0</x:v>
      </x:c>
      <x:c r="M30" s="627">
        <x:v>0</x:v>
      </x:c>
      <x:c r="N30" s="627">
        <x:v>0</x:v>
      </x:c>
      <x:c r="O30" s="627">
        <x:v>0</x:v>
      </x:c>
      <x:c r="Z30" s="624"/>
    </x:row>
    <x:row r="31" spans="1:26" x14ac:dyDescent="0.2">
      <x:c r="A31" s="636" t="s">
        <x:v>78</x:v>
      </x:c>
      <x:c r="B31" s="636" t="s">
        <x:v>70</x:v>
      </x:c>
      <x:c r="C31" s="637">
        <x:v>0</x:v>
      </x:c>
      <x:c r="D31" s="637">
        <x:v>0</x:v>
      </x:c>
      <x:c r="E31" s="637">
        <x:v>0</x:v>
      </x:c>
      <x:c r="F31" s="637">
        <x:v>0</x:v>
      </x:c>
      <x:c r="G31" s="637">
        <x:v>0</x:v>
      </x:c>
      <x:c r="H31" s="637">
        <x:v>0</x:v>
      </x:c>
      <x:c r="I31" s="637">
        <x:v>0</x:v>
      </x:c>
      <x:c r="J31" s="637">
        <x:v>0</x:v>
      </x:c>
      <x:c r="K31" s="637">
        <x:v>0</x:v>
      </x:c>
      <x:c r="L31" s="637">
        <x:v>0</x:v>
      </x:c>
      <x:c r="M31" s="637">
        <x:v>0</x:v>
      </x:c>
      <x:c r="N31" s="637">
        <x:v>0</x:v>
      </x:c>
      <x:c r="O31" s="637">
        <x:v>0</x:v>
      </x:c>
      <x:c r="P31" s="635"/>
      <x:c r="Q31" s="635"/>
      <x:c r="R31" s="635"/>
      <x:c r="S31" s="635"/>
      <x:c r="T31" s="635"/>
      <x:c r="U31" s="635"/>
      <x:c r="V31" s="635"/>
      <x:c r="W31" s="635"/>
      <x:c r="X31" s="635"/>
      <x:c r="Y31" s="635"/>
      <x:c r="Z31" s="624"/>
    </x:row>
    <x:row r="32" spans="1:26" x14ac:dyDescent="0.2">
      <x:c r="B32" s="625" t="s">
        <x:v>73</x:v>
      </x:c>
      <x:c r="C32" s="627">
        <x:v>0</x:v>
      </x:c>
      <x:c r="D32" s="627">
        <x:v>0</x:v>
      </x:c>
      <x:c r="E32" s="627">
        <x:v>0</x:v>
      </x:c>
      <x:c r="F32" s="627">
        <x:v>0</x:v>
      </x:c>
      <x:c r="G32" s="627">
        <x:v>0</x:v>
      </x:c>
      <x:c r="H32" s="627">
        <x:v>0</x:v>
      </x:c>
      <x:c r="I32" s="627">
        <x:v>0</x:v>
      </x:c>
      <x:c r="J32" s="627">
        <x:v>0</x:v>
      </x:c>
      <x:c r="K32" s="627">
        <x:v>0</x:v>
      </x:c>
      <x:c r="L32" s="627">
        <x:v>0</x:v>
      </x:c>
      <x:c r="M32" s="627">
        <x:v>0</x:v>
      </x:c>
      <x:c r="N32" s="627">
        <x:v>0</x:v>
      </x:c>
      <x:c r="O32" s="627">
        <x:v>0</x:v>
      </x:c>
      <x:c r="Z32" s="624"/>
    </x:row>
    <x:row r="33" spans="1:26" x14ac:dyDescent="0.2">
      <x:c r="A33" s="654" t="s">
        <x:v>79</x:v>
      </x:c>
      <x:c r="B33" s="654" t="s">
        <x:v>70</x:v>
      </x:c>
      <x:c r="C33" s="655">
        <x:v>0</x:v>
      </x:c>
      <x:c r="D33" s="655">
        <x:v>0</x:v>
      </x:c>
      <x:c r="E33" s="655">
        <x:v>0</x:v>
      </x:c>
      <x:c r="F33" s="655">
        <x:v>0</x:v>
      </x:c>
      <x:c r="G33" s="655">
        <x:v>0</x:v>
      </x:c>
      <x:c r="H33" s="655">
        <x:v>0</x:v>
      </x:c>
      <x:c r="I33" s="655">
        <x:v>0</x:v>
      </x:c>
      <x:c r="J33" s="655">
        <x:v>0</x:v>
      </x:c>
      <x:c r="K33" s="655">
        <x:v>0</x:v>
      </x:c>
      <x:c r="L33" s="655">
        <x:v>0</x:v>
      </x:c>
      <x:c r="M33" s="655">
        <x:v>0</x:v>
      </x:c>
      <x:c r="N33" s="655">
        <x:v>0</x:v>
      </x:c>
      <x:c r="O33" s="655">
        <x:v>0</x:v>
      </x:c>
      <x:c r="P33" s="708"/>
      <x:c r="Q33" s="708"/>
      <x:c r="R33" s="708"/>
      <x:c r="S33" s="708"/>
      <x:c r="T33" s="708"/>
      <x:c r="U33" s="708"/>
      <x:c r="V33" s="708"/>
      <x:c r="W33" s="708"/>
      <x:c r="X33" s="708"/>
      <x:c r="Y33" s="708"/>
      <x:c r="Z33" s="624"/>
    </x:row>
    <x:row r="34" spans="1:26" x14ac:dyDescent="0.2">
      <x:c r="A34" s="625" t="s">
        <x:v>70</x:v>
      </x:c>
      <x:c r="C34" s="627">
        <x:v>0</x:v>
      </x:c>
      <x:c r="D34" s="627">
        <x:v>0</x:v>
      </x:c>
      <x:c r="E34" s="627">
        <x:v>0</x:v>
      </x:c>
      <x:c r="F34" s="627">
        <x:v>0</x:v>
      </x:c>
      <x:c r="G34" s="627">
        <x:v>0</x:v>
      </x:c>
      <x:c r="H34" s="627">
        <x:v>0</x:v>
      </x:c>
      <x:c r="I34" s="627">
        <x:v>0</x:v>
      </x:c>
      <x:c r="J34" s="627">
        <x:v>0</x:v>
      </x:c>
      <x:c r="K34" s="627">
        <x:v>0</x:v>
      </x:c>
      <x:c r="L34" s="627">
        <x:v>0</x:v>
      </x:c>
      <x:c r="M34" s="627">
        <x:v>0</x:v>
      </x:c>
      <x:c r="N34" s="627">
        <x:v>0</x:v>
      </x:c>
      <x:c r="O34" s="627">
        <x:v>0</x:v>
      </x:c>
      <x:c r="Z34" s="624"/>
    </x:row>
    <x:row r="35" spans="1:26" x14ac:dyDescent="0.2">
      <x:c r="A35" s="625"/>
      <x:c r="C35" s="627"/>
      <x:c r="D35" s="627"/>
      <x:c r="E35" s="627"/>
      <x:c r="F35" s="627"/>
      <x:c r="G35" s="627"/>
      <x:c r="H35" s="627"/>
      <x:c r="I35" s="627"/>
      <x:c r="J35" s="627"/>
      <x:c r="K35" s="627"/>
      <x:c r="L35" s="627"/>
      <x:c r="M35" s="627"/>
      <x:c r="O35" s="627"/>
      <x:c r="Z35" s="624"/>
    </x:row>
    <x:row r="36" spans="1:26" x14ac:dyDescent="0.2">
      <x:c r="B36" s="709" t="s">
        <x:v>70</x:v>
      </x:c>
      <x:c r="C36" s="679">
        <x:f>C34-I34</x:f>
        <x:v>0</x:v>
      </x:c>
      <x:c r="D36" s="679">
        <x:f>D31</x:f>
        <x:v>0</x:v>
      </x:c>
      <x:c r="E36" s="679">
        <x:f t="shared" ref="E36:O36" si="2">E31</x:f>
        <x:v>0</x:v>
      </x:c>
      <x:c r="F36" s="679">
        <x:f t="shared" si="2"/>
        <x:v>0</x:v>
      </x:c>
      <x:c r="G36" s="679">
        <x:f t="shared" si="2"/>
        <x:v>0</x:v>
      </x:c>
      <x:c r="H36" s="679">
        <x:f t="shared" si="2"/>
        <x:v>0</x:v>
      </x:c>
      <x:c r="I36" s="679">
        <x:f t="shared" si="2"/>
        <x:v>0</x:v>
      </x:c>
      <x:c r="J36" s="679">
        <x:f t="shared" si="2"/>
        <x:v>0</x:v>
      </x:c>
      <x:c r="K36" s="679">
        <x:f t="shared" si="2"/>
        <x:v>0</x:v>
      </x:c>
      <x:c r="L36" s="679">
        <x:f t="shared" si="2"/>
        <x:v>0</x:v>
      </x:c>
      <x:c r="M36" s="679">
        <x:f t="shared" si="2"/>
        <x:v>0</x:v>
      </x:c>
      <x:c r="N36" s="679">
        <x:f t="shared" si="2"/>
        <x:v>0</x:v>
      </x:c>
      <x:c r="O36" s="679">
        <x:f t="shared" si="2"/>
        <x:v>0</x:v>
      </x:c>
      <x:c r="Z36" s="624"/>
    </x:row>
    <x:row r="37" spans="1:26" x14ac:dyDescent="0.2">
      <x:c r="B37" s="709" t="s">
        <x:v>73</x:v>
      </x:c>
      <x:c r="C37" s="679">
        <x:f>C33</x:f>
        <x:v>0</x:v>
      </x:c>
      <x:c r="Z37" s="624"/>
    </x:row>
    <x:row r="38" spans="1:26" x14ac:dyDescent="0.2">
      <x:c r="Z38" s="624"/>
    </x:row>
    <x:row r="39" spans="1:26" x14ac:dyDescent="0.2">
      <x:c r="A39" s="631"/>
      <x:c r="B39" s="631"/>
      <x:c r="C39" s="710"/>
      <x:c r="D39" s="631"/>
      <x:c r="E39" s="631"/>
      <x:c r="F39" s="631"/>
      <x:c r="G39" s="631"/>
      <x:c r="H39" s="631"/>
      <x:c r="I39" s="631"/>
      <x:c r="J39" s="631"/>
      <x:c r="K39" s="631"/>
      <x:c r="L39" s="631"/>
      <x:c r="M39" s="631"/>
      <x:c r="N39" s="631"/>
      <x:c r="O39" s="631"/>
      <x:c r="Z39" s="624"/>
    </x:row>
    <x:row r="40" spans="1:26" ht="15" x14ac:dyDescent="0.25">
      <x:c r="B40" s="676" t="s">
        <x:v>88</x:v>
      </x:c>
      <x:c r="Z40" s="624"/>
    </x:row>
    <x:row r="41" spans="1:26" s="50" customFormat="1" ht="15" x14ac:dyDescent="0.25">
      <x:c r="C41" s="669" t="s">
        <x:v>70</x:v>
      </x:c>
      <x:c r="D41" s="669" t="s">
        <x:v>64</x:v>
      </x:c>
      <x:c r="E41" s="669" t="s">
        <x:v>65</x:v>
      </x:c>
      <x:c r="F41" s="674" t="s">
        <x:v>164</x:v>
      </x:c>
      <x:c r="G41" s="669" t="s">
        <x:v>69</x:v>
      </x:c>
      <x:c r="H41" s="669" t="s">
        <x:v>68</x:v>
      </x:c>
      <x:c r="I41" s="669" t="s">
        <x:v>83</x:v>
      </x:c>
      <x:c r="J41" s="669" t="s">
        <x:v>66</x:v>
      </x:c>
      <x:c r="K41" s="669" t="s">
        <x:v>63</x:v>
      </x:c>
      <x:c r="L41" s="669" t="s">
        <x:v>61</x:v>
      </x:c>
      <x:c r="M41" s="669" t="s">
        <x:v>62</x:v>
      </x:c>
      <x:c r="N41" s="669" t="s">
        <x:v>67</x:v>
      </x:c>
      <x:c r="O41" s="669" t="s">
        <x:v>84</x:v>
      </x:c>
      <x:c r="Z41" s="618"/>
    </x:row>
    <x:row r="42" spans="1:26" x14ac:dyDescent="0.2">
      <x:c r="B42" s="25" t="s">
        <x:v>81</x:v>
      </x:c>
      <x:c r="C42" s="627">
        <x:v>0</x:v>
      </x:c>
      <x:c r="D42" s="627">
        <x:v>0</x:v>
      </x:c>
      <x:c r="E42" s="627">
        <x:v>0</x:v>
      </x:c>
      <x:c r="F42" s="627">
        <x:v>0</x:v>
      </x:c>
      <x:c r="G42" s="627">
        <x:v>0</x:v>
      </x:c>
      <x:c r="H42" s="627">
        <x:v>0</x:v>
      </x:c>
      <x:c r="I42" s="627">
        <x:v>0</x:v>
      </x:c>
      <x:c r="J42" s="627">
        <x:v>0</x:v>
      </x:c>
      <x:c r="K42" s="627">
        <x:v>0</x:v>
      </x:c>
      <x:c r="L42" s="627">
        <x:v>0</x:v>
      </x:c>
      <x:c r="M42" s="627">
        <x:v>0</x:v>
      </x:c>
      <x:c r="N42" s="627">
        <x:v>0</x:v>
      </x:c>
      <x:c r="O42" s="627">
        <x:v>0</x:v>
      </x:c>
      <x:c r="Z42" s="624"/>
    </x:row>
    <x:row r="43" spans="1:26" x14ac:dyDescent="0.2">
      <x:c r="A43" s="625"/>
      <x:c r="B43" s="625" t="s">
        <x:v>72</x:v>
      </x:c>
      <x:c r="C43" s="627">
        <x:v>0</x:v>
      </x:c>
      <x:c r="D43" s="627">
        <x:v>0</x:v>
      </x:c>
      <x:c r="E43" s="627">
        <x:v>0</x:v>
      </x:c>
      <x:c r="F43" s="627">
        <x:v>0</x:v>
      </x:c>
      <x:c r="G43" s="627">
        <x:v>0</x:v>
      </x:c>
      <x:c r="H43" s="627">
        <x:v>0</x:v>
      </x:c>
      <x:c r="I43" s="627">
        <x:v>0</x:v>
      </x:c>
      <x:c r="J43" s="627">
        <x:v>0</x:v>
      </x:c>
      <x:c r="K43" s="627">
        <x:v>0</x:v>
      </x:c>
      <x:c r="L43" s="627">
        <x:v>0</x:v>
      </x:c>
      <x:c r="M43" s="627">
        <x:v>0</x:v>
      </x:c>
      <x:c r="N43" s="627">
        <x:v>0</x:v>
      </x:c>
      <x:c r="O43" s="627">
        <x:v>0</x:v>
      </x:c>
      <x:c r="Z43" s="624"/>
    </x:row>
    <x:row r="44" spans="1:26" x14ac:dyDescent="0.2">
      <x:c r="A44" s="636" t="s">
        <x:v>78</x:v>
      </x:c>
      <x:c r="B44" s="636" t="s">
        <x:v>70</x:v>
      </x:c>
      <x:c r="C44" s="637">
        <x:v>0</x:v>
      </x:c>
      <x:c r="D44" s="637">
        <x:v>0</x:v>
      </x:c>
      <x:c r="E44" s="637">
        <x:v>0</x:v>
      </x:c>
      <x:c r="F44" s="637">
        <x:v>0</x:v>
      </x:c>
      <x:c r="G44" s="637">
        <x:v>0</x:v>
      </x:c>
      <x:c r="H44" s="637">
        <x:v>0</x:v>
      </x:c>
      <x:c r="I44" s="637">
        <x:v>0</x:v>
      </x:c>
      <x:c r="J44" s="637">
        <x:v>0</x:v>
      </x:c>
      <x:c r="K44" s="637">
        <x:v>0</x:v>
      </x:c>
      <x:c r="L44" s="637">
        <x:v>0</x:v>
      </x:c>
      <x:c r="M44" s="637">
        <x:v>0</x:v>
      </x:c>
      <x:c r="N44" s="637">
        <x:v>0</x:v>
      </x:c>
      <x:c r="O44" s="637">
        <x:v>0</x:v>
      </x:c>
      <x:c r="P44" s="635"/>
      <x:c r="Q44" s="635"/>
      <x:c r="R44" s="635"/>
      <x:c r="S44" s="635"/>
      <x:c r="T44" s="635"/>
      <x:c r="U44" s="635"/>
      <x:c r="V44" s="635"/>
      <x:c r="W44" s="635"/>
      <x:c r="X44" s="635"/>
      <x:c r="Y44" s="635"/>
      <x:c r="Z44" s="624"/>
    </x:row>
    <x:row r="45" spans="1:26" x14ac:dyDescent="0.2">
      <x:c r="A45" s="625"/>
      <x:c r="B45" s="625" t="s">
        <x:v>73</x:v>
      </x:c>
      <x:c r="C45" s="627">
        <x:v>0</x:v>
      </x:c>
      <x:c r="D45" s="627">
        <x:v>0</x:v>
      </x:c>
      <x:c r="E45" s="627">
        <x:v>0</x:v>
      </x:c>
      <x:c r="F45" s="627">
        <x:v>0</x:v>
      </x:c>
      <x:c r="G45" s="627">
        <x:v>0</x:v>
      </x:c>
      <x:c r="H45" s="627">
        <x:v>0</x:v>
      </x:c>
      <x:c r="I45" s="627">
        <x:v>0</x:v>
      </x:c>
      <x:c r="J45" s="627">
        <x:v>0</x:v>
      </x:c>
      <x:c r="K45" s="627">
        <x:v>0</x:v>
      </x:c>
      <x:c r="L45" s="627">
        <x:v>0</x:v>
      </x:c>
      <x:c r="M45" s="627">
        <x:v>0</x:v>
      </x:c>
      <x:c r="N45" s="627">
        <x:v>0</x:v>
      </x:c>
      <x:c r="O45" s="627">
        <x:v>0</x:v>
      </x:c>
      <x:c r="Z45" s="624"/>
    </x:row>
    <x:row r="46" spans="1:26" x14ac:dyDescent="0.2">
      <x:c r="A46" s="654" t="s">
        <x:v>79</x:v>
      </x:c>
      <x:c r="B46" s="654" t="s">
        <x:v>70</x:v>
      </x:c>
      <x:c r="C46" s="655">
        <x:v>0</x:v>
      </x:c>
      <x:c r="D46" s="655">
        <x:v>0</x:v>
      </x:c>
      <x:c r="E46" s="655">
        <x:v>0</x:v>
      </x:c>
      <x:c r="F46" s="655">
        <x:v>0</x:v>
      </x:c>
      <x:c r="G46" s="655">
        <x:v>0</x:v>
      </x:c>
      <x:c r="H46" s="655">
        <x:v>0</x:v>
      </x:c>
      <x:c r="I46" s="655">
        <x:v>0</x:v>
      </x:c>
      <x:c r="J46" s="655">
        <x:v>0</x:v>
      </x:c>
      <x:c r="K46" s="655">
        <x:v>0</x:v>
      </x:c>
      <x:c r="L46" s="655">
        <x:v>0</x:v>
      </x:c>
      <x:c r="M46" s="655">
        <x:v>0</x:v>
      </x:c>
      <x:c r="N46" s="655">
        <x:v>0</x:v>
      </x:c>
      <x:c r="O46" s="655">
        <x:v>0</x:v>
      </x:c>
      <x:c r="P46" s="708"/>
      <x:c r="Q46" s="708"/>
      <x:c r="R46" s="708"/>
      <x:c r="S46" s="708"/>
      <x:c r="T46" s="708"/>
      <x:c r="U46" s="708"/>
      <x:c r="V46" s="708"/>
      <x:c r="W46" s="708"/>
      <x:c r="X46" s="708"/>
      <x:c r="Y46" s="708"/>
      <x:c r="Z46" s="624"/>
    </x:row>
    <x:row r="47" spans="1:26" x14ac:dyDescent="0.2">
      <x:c r="A47" s="625" t="s">
        <x:v>70</x:v>
      </x:c>
      <x:c r="C47" s="627">
        <x:v>0</x:v>
      </x:c>
      <x:c r="D47" s="627">
        <x:v>0</x:v>
      </x:c>
      <x:c r="E47" s="627">
        <x:v>0</x:v>
      </x:c>
      <x:c r="F47" s="627">
        <x:v>0</x:v>
      </x:c>
      <x:c r="G47" s="627">
        <x:v>0</x:v>
      </x:c>
      <x:c r="H47" s="627">
        <x:v>0</x:v>
      </x:c>
      <x:c r="I47" s="627">
        <x:v>0</x:v>
      </x:c>
      <x:c r="J47" s="627">
        <x:v>0</x:v>
      </x:c>
      <x:c r="K47" s="627">
        <x:v>0</x:v>
      </x:c>
      <x:c r="L47" s="627">
        <x:v>0</x:v>
      </x:c>
      <x:c r="M47" s="627">
        <x:v>0</x:v>
      </x:c>
      <x:c r="N47" s="627">
        <x:v>0</x:v>
      </x:c>
      <x:c r="O47" s="627">
        <x:v>0</x:v>
      </x:c>
      <x:c r="Z47" s="624"/>
    </x:row>
    <x:row r="48" spans="1:26" x14ac:dyDescent="0.2">
      <x:c r="A48" s="625"/>
      <x:c r="C48" s="627"/>
      <x:c r="D48" s="627"/>
      <x:c r="E48" s="627"/>
      <x:c r="F48" s="627"/>
      <x:c r="G48" s="627"/>
      <x:c r="H48" s="627"/>
      <x:c r="I48" s="627"/>
      <x:c r="J48" s="627"/>
      <x:c r="K48" s="627"/>
      <x:c r="L48" s="627"/>
      <x:c r="M48" s="627"/>
      <x:c r="N48" s="627"/>
      <x:c r="O48" s="627"/>
      <x:c r="Z48" s="624"/>
    </x:row>
    <x:row r="49" spans="1:26" x14ac:dyDescent="0.2">
      <x:c r="B49" s="709" t="s">
        <x:v>70</x:v>
      </x:c>
      <x:c r="C49" s="679">
        <x:f>C47-I47</x:f>
        <x:v>0</x:v>
      </x:c>
      <x:c r="D49" s="679">
        <x:f>D44</x:f>
        <x:v>0</x:v>
      </x:c>
      <x:c r="E49" s="679">
        <x:f t="shared" ref="E49:O49" si="3">E44</x:f>
        <x:v>0</x:v>
      </x:c>
      <x:c r="F49" s="679">
        <x:f t="shared" si="3"/>
        <x:v>0</x:v>
      </x:c>
      <x:c r="G49" s="679">
        <x:f t="shared" si="3"/>
        <x:v>0</x:v>
      </x:c>
      <x:c r="H49" s="679">
        <x:f t="shared" si="3"/>
        <x:v>0</x:v>
      </x:c>
      <x:c r="I49" s="679">
        <x:f t="shared" si="3"/>
        <x:v>0</x:v>
      </x:c>
      <x:c r="J49" s="679">
        <x:f t="shared" si="3"/>
        <x:v>0</x:v>
      </x:c>
      <x:c r="K49" s="679">
        <x:f t="shared" si="3"/>
        <x:v>0</x:v>
      </x:c>
      <x:c r="L49" s="679">
        <x:f t="shared" si="3"/>
        <x:v>0</x:v>
      </x:c>
      <x:c r="M49" s="679">
        <x:f t="shared" si="3"/>
        <x:v>0</x:v>
      </x:c>
      <x:c r="N49" s="679">
        <x:f t="shared" si="3"/>
        <x:v>0</x:v>
      </x:c>
      <x:c r="O49" s="679">
        <x:f t="shared" si="3"/>
        <x:v>0</x:v>
      </x:c>
      <x:c r="Z49" s="624"/>
    </x:row>
    <x:row r="50" spans="1:26" x14ac:dyDescent="0.2">
      <x:c r="B50" s="709" t="s">
        <x:v>73</x:v>
      </x:c>
      <x:c r="C50" s="679">
        <x:f>C46</x:f>
        <x:v>0</x:v>
      </x:c>
      <x:c r="Z50" s="624"/>
    </x:row>
    <x:row r="51" spans="1:26" x14ac:dyDescent="0.2">
      <x:c r="Z51" s="624"/>
    </x:row>
    <x:row r="52" spans="1:26" x14ac:dyDescent="0.2">
      <x:c r="A52" s="631"/>
      <x:c r="B52" s="631"/>
      <x:c r="C52" s="710"/>
      <x:c r="D52" s="631"/>
      <x:c r="E52" s="631"/>
      <x:c r="F52" s="631"/>
      <x:c r="G52" s="631"/>
      <x:c r="H52" s="631"/>
      <x:c r="I52" s="631"/>
      <x:c r="J52" s="631"/>
      <x:c r="K52" s="631"/>
      <x:c r="L52" s="631"/>
      <x:c r="M52" s="631"/>
      <x:c r="N52" s="631"/>
      <x:c r="O52" s="631"/>
      <x:c r="Z52" s="624"/>
    </x:row>
    <x:row r="53" spans="1:26" ht="15" x14ac:dyDescent="0.25">
      <x:c r="B53" s="676" t="s">
        <x:v>93</x:v>
      </x:c>
      <x:c r="Z53" s="624"/>
    </x:row>
    <x:row r="54" spans="1:26" s="50" customFormat="1" ht="15" x14ac:dyDescent="0.25">
      <x:c r="C54" s="669" t="s">
        <x:v>70</x:v>
      </x:c>
      <x:c r="D54" s="669" t="s">
        <x:v>64</x:v>
      </x:c>
      <x:c r="E54" s="669" t="s">
        <x:v>65</x:v>
      </x:c>
      <x:c r="F54" s="674" t="s">
        <x:v>164</x:v>
      </x:c>
      <x:c r="G54" s="669" t="s">
        <x:v>69</x:v>
      </x:c>
      <x:c r="H54" s="669" t="s">
        <x:v>68</x:v>
      </x:c>
      <x:c r="I54" s="669" t="s">
        <x:v>83</x:v>
      </x:c>
      <x:c r="J54" s="669" t="s">
        <x:v>66</x:v>
      </x:c>
      <x:c r="K54" s="669" t="s">
        <x:v>63</x:v>
      </x:c>
      <x:c r="L54" s="669" t="s">
        <x:v>61</x:v>
      </x:c>
      <x:c r="M54" s="669" t="s">
        <x:v>62</x:v>
      </x:c>
      <x:c r="N54" s="669" t="s">
        <x:v>67</x:v>
      </x:c>
      <x:c r="O54" s="669" t="s">
        <x:v>84</x:v>
      </x:c>
      <x:c r="Z54" s="618"/>
    </x:row>
    <x:row r="55" spans="1:26" x14ac:dyDescent="0.2">
      <x:c r="B55" s="625" t="s">
        <x:v>72</x:v>
      </x:c>
      <x:c r="C55" s="627">
        <x:v>0</x:v>
      </x:c>
      <x:c r="D55" s="627">
        <x:v>0</x:v>
      </x:c>
      <x:c r="E55" s="627">
        <x:v>0</x:v>
      </x:c>
      <x:c r="F55" s="627">
        <x:v>0</x:v>
      </x:c>
      <x:c r="G55" s="627">
        <x:v>0</x:v>
      </x:c>
      <x:c r="H55" s="627">
        <x:v>0</x:v>
      </x:c>
      <x:c r="I55" s="653">
        <x:v>0</x:v>
      </x:c>
      <x:c r="J55" s="627">
        <x:v>0</x:v>
      </x:c>
      <x:c r="K55" s="627">
        <x:v>0</x:v>
      </x:c>
      <x:c r="L55" s="627">
        <x:v>0</x:v>
      </x:c>
      <x:c r="M55" s="627">
        <x:v>0</x:v>
      </x:c>
      <x:c r="N55" s="627">
        <x:v>0</x:v>
      </x:c>
      <x:c r="O55" s="627">
        <x:v>0</x:v>
      </x:c>
      <x:c r="Z55" s="624"/>
    </x:row>
    <x:row r="56" spans="1:26" x14ac:dyDescent="0.2">
      <x:c r="A56" s="636" t="s">
        <x:v>78</x:v>
      </x:c>
      <x:c r="B56" s="636" t="s">
        <x:v>70</x:v>
      </x:c>
      <x:c r="C56" s="637">
        <x:v>0</x:v>
      </x:c>
      <x:c r="D56" s="637">
        <x:v>0</x:v>
      </x:c>
      <x:c r="E56" s="637">
        <x:v>0</x:v>
      </x:c>
      <x:c r="F56" s="637">
        <x:v>0</x:v>
      </x:c>
      <x:c r="G56" s="637">
        <x:v>0</x:v>
      </x:c>
      <x:c r="H56" s="637">
        <x:v>0</x:v>
      </x:c>
      <x:c r="I56" s="637">
        <x:v>0</x:v>
      </x:c>
      <x:c r="J56" s="637">
        <x:v>0</x:v>
      </x:c>
      <x:c r="K56" s="637">
        <x:v>0</x:v>
      </x:c>
      <x:c r="L56" s="637">
        <x:v>0</x:v>
      </x:c>
      <x:c r="M56" s="637">
        <x:v>0</x:v>
      </x:c>
      <x:c r="N56" s="637">
        <x:v>0</x:v>
      </x:c>
      <x:c r="O56" s="637">
        <x:v>0</x:v>
      </x:c>
      <x:c r="P56" s="635"/>
      <x:c r="Q56" s="635"/>
      <x:c r="R56" s="635"/>
      <x:c r="S56" s="635"/>
      <x:c r="T56" s="635"/>
      <x:c r="U56" s="635"/>
      <x:c r="V56" s="635"/>
      <x:c r="W56" s="635"/>
      <x:c r="X56" s="635"/>
      <x:c r="Y56" s="635"/>
      <x:c r="Z56" s="624"/>
    </x:row>
    <x:row r="57" spans="1:26" x14ac:dyDescent="0.2">
      <x:c r="B57" s="625" t="s">
        <x:v>73</x:v>
      </x:c>
      <x:c r="C57" s="627">
        <x:v>0</x:v>
      </x:c>
      <x:c r="D57" s="627">
        <x:v>0</x:v>
      </x:c>
      <x:c r="E57" s="627">
        <x:v>0</x:v>
      </x:c>
      <x:c r="F57" s="627">
        <x:v>0</x:v>
      </x:c>
      <x:c r="G57" s="627">
        <x:v>0</x:v>
      </x:c>
      <x:c r="H57" s="627">
        <x:v>0</x:v>
      </x:c>
      <x:c r="I57" s="653">
        <x:v>0</x:v>
      </x:c>
      <x:c r="J57" s="627">
        <x:v>0</x:v>
      </x:c>
      <x:c r="K57" s="627">
        <x:v>0</x:v>
      </x:c>
      <x:c r="L57" s="627">
        <x:v>0</x:v>
      </x:c>
      <x:c r="M57" s="627">
        <x:v>0</x:v>
      </x:c>
      <x:c r="N57" s="627">
        <x:v>0</x:v>
      </x:c>
      <x:c r="O57" s="627">
        <x:v>0</x:v>
      </x:c>
      <x:c r="Z57" s="624"/>
    </x:row>
    <x:row r="58" spans="1:26" x14ac:dyDescent="0.2">
      <x:c r="A58" s="654" t="s">
        <x:v>79</x:v>
      </x:c>
      <x:c r="B58" s="654" t="s">
        <x:v>70</x:v>
      </x:c>
      <x:c r="C58" s="655">
        <x:v>0</x:v>
      </x:c>
      <x:c r="D58" s="655">
        <x:v>0</x:v>
      </x:c>
      <x:c r="E58" s="655">
        <x:v>0</x:v>
      </x:c>
      <x:c r="F58" s="655">
        <x:v>0</x:v>
      </x:c>
      <x:c r="G58" s="655">
        <x:v>0</x:v>
      </x:c>
      <x:c r="H58" s="655">
        <x:v>0</x:v>
      </x:c>
      <x:c r="I58" s="655">
        <x:v>0</x:v>
      </x:c>
      <x:c r="J58" s="655">
        <x:v>0</x:v>
      </x:c>
      <x:c r="K58" s="655">
        <x:v>0</x:v>
      </x:c>
      <x:c r="L58" s="655">
        <x:v>0</x:v>
      </x:c>
      <x:c r="M58" s="655">
        <x:v>0</x:v>
      </x:c>
      <x:c r="N58" s="655">
        <x:v>0</x:v>
      </x:c>
      <x:c r="O58" s="655">
        <x:v>0</x:v>
      </x:c>
      <x:c r="P58" s="708"/>
      <x:c r="Q58" s="708"/>
      <x:c r="R58" s="708"/>
      <x:c r="S58" s="708"/>
      <x:c r="T58" s="708"/>
      <x:c r="U58" s="708"/>
      <x:c r="V58" s="708"/>
      <x:c r="W58" s="708"/>
      <x:c r="X58" s="708"/>
      <x:c r="Y58" s="708"/>
      <x:c r="Z58" s="624"/>
    </x:row>
    <x:row r="59" spans="1:26" x14ac:dyDescent="0.2">
      <x:c r="A59" s="625" t="s">
        <x:v>70</x:v>
      </x:c>
      <x:c r="C59" s="627">
        <x:v>0</x:v>
      </x:c>
      <x:c r="D59" s="627">
        <x:v>0</x:v>
      </x:c>
      <x:c r="E59" s="627">
        <x:v>0</x:v>
      </x:c>
      <x:c r="F59" s="627">
        <x:v>0</x:v>
      </x:c>
      <x:c r="G59" s="627">
        <x:v>0</x:v>
      </x:c>
      <x:c r="H59" s="627">
        <x:v>0</x:v>
      </x:c>
      <x:c r="I59" s="653">
        <x:v>0</x:v>
      </x:c>
      <x:c r="J59" s="627">
        <x:v>0</x:v>
      </x:c>
      <x:c r="K59" s="627">
        <x:v>0</x:v>
      </x:c>
      <x:c r="L59" s="627">
        <x:v>0</x:v>
      </x:c>
      <x:c r="M59" s="627">
        <x:v>0</x:v>
      </x:c>
      <x:c r="N59" s="627">
        <x:v>0</x:v>
      </x:c>
      <x:c r="O59" s="627">
        <x:v>0</x:v>
      </x:c>
      <x:c r="Z59" s="624"/>
    </x:row>
    <x:row r="60" spans="1:26" x14ac:dyDescent="0.2">
      <x:c r="Z60" s="624"/>
    </x:row>
    <x:row r="61" spans="1:26" x14ac:dyDescent="0.2">
      <x:c r="B61" s="709" t="s">
        <x:v>70</x:v>
      </x:c>
      <x:c r="C61" s="679">
        <x:f>C59-I59</x:f>
        <x:v>0</x:v>
      </x:c>
      <x:c r="D61" s="679">
        <x:f>D56</x:f>
        <x:v>0</x:v>
      </x:c>
      <x:c r="E61" s="679">
        <x:f t="shared" ref="E61:O61" si="4">E56</x:f>
        <x:v>0</x:v>
      </x:c>
      <x:c r="F61" s="679">
        <x:f t="shared" si="4"/>
        <x:v>0</x:v>
      </x:c>
      <x:c r="G61" s="679">
        <x:f t="shared" si="4"/>
        <x:v>0</x:v>
      </x:c>
      <x:c r="H61" s="679">
        <x:f t="shared" si="4"/>
        <x:v>0</x:v>
      </x:c>
      <x:c r="I61" s="679">
        <x:f t="shared" si="4"/>
        <x:v>0</x:v>
      </x:c>
      <x:c r="J61" s="679">
        <x:f t="shared" si="4"/>
        <x:v>0</x:v>
      </x:c>
      <x:c r="K61" s="679">
        <x:f t="shared" si="4"/>
        <x:v>0</x:v>
      </x:c>
      <x:c r="L61" s="679">
        <x:f t="shared" si="4"/>
        <x:v>0</x:v>
      </x:c>
      <x:c r="M61" s="679">
        <x:f t="shared" si="4"/>
        <x:v>0</x:v>
      </x:c>
      <x:c r="N61" s="679">
        <x:f t="shared" si="4"/>
        <x:v>0</x:v>
      </x:c>
      <x:c r="O61" s="679">
        <x:f t="shared" si="4"/>
        <x:v>0</x:v>
      </x:c>
      <x:c r="Z61" s="624"/>
    </x:row>
    <x:row r="62" spans="1:26" x14ac:dyDescent="0.2">
      <x:c r="B62" s="709" t="s">
        <x:v>73</x:v>
      </x:c>
      <x:c r="C62" s="679">
        <x:f>C58</x:f>
        <x:v>0</x:v>
      </x:c>
      <x:c r="Z62" s="624"/>
    </x:row>
    <x:row r="63" spans="1:26" x14ac:dyDescent="0.2">
      <x:c r="Z63" s="624"/>
    </x:row>
    <x:row r="64" spans="1:26" x14ac:dyDescent="0.2">
      <x:c r="Z64" s="624"/>
    </x:row>
    <x:row r="65" spans="1:26" x14ac:dyDescent="0.2">
      <x:c r="Z65" s="624"/>
    </x:row>
    <x:row r="66" spans="1:26" x14ac:dyDescent="0.2">
      <x:c r="Z66" s="624"/>
    </x:row>
    <x:row r="67" spans="1:26" x14ac:dyDescent="0.2">
      <x:c r="Z67" s="624"/>
    </x:row>
    <x:row r="68" spans="1:26" x14ac:dyDescent="0.2">
      <x:c r="Z68" s="624"/>
    </x:row>
    <x:row r="69" spans="1:26" x14ac:dyDescent="0.2">
      <x:c r="Z69" s="624"/>
    </x:row>
    <x:row r="70" spans="1:26" x14ac:dyDescent="0.2">
      <x:c r="A70" s="624"/>
      <x:c r="B70" s="624"/>
      <x:c r="C70" s="711"/>
      <x:c r="D70" s="624"/>
      <x:c r="E70" s="624"/>
      <x:c r="F70" s="624"/>
      <x:c r="G70" s="624"/>
      <x:c r="H70" s="624"/>
      <x:c r="I70" s="624"/>
      <x:c r="J70" s="624"/>
      <x:c r="K70" s="624"/>
      <x:c r="L70" s="624"/>
      <x:c r="M70" s="624"/>
      <x:c r="N70" s="624"/>
      <x:c r="O70" s="624"/>
      <x:c r="P70" s="624"/>
      <x:c r="Q70" s="624"/>
      <x:c r="R70" s="624"/>
      <x:c r="S70" s="624"/>
      <x:c r="T70" s="624"/>
      <x:c r="U70" s="624"/>
      <x:c r="V70" s="624"/>
      <x:c r="W70" s="624"/>
      <x:c r="X70" s="624"/>
      <x:c r="Y70" s="624"/>
      <x:c r="Z70" s="624"/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A36" zoomScaleNormal="100" workbookViewId="0">
      <x:selection activeCell="E54" sqref="E5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9.28515625" style="1" bestFit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8" width="16.7109375" style="1" customWidth="1"/>
    <x:col min="29" max="30" width="15.7109375" style="1" bestFit="1" customWidth="1"/>
    <x:col min="31" max="31" width="16.28515625" style="1" customWidth="1"/>
    <x:col min="32" max="32" width="18.28515625" style="1" customWidth="1"/>
    <x:col min="33" max="33" width="13.7109375" style="1" customWidth="1"/>
    <x:col min="34" max="34" width="3.42578125" style="1" customWidth="1"/>
    <x:col min="35" max="35" width="13.7109375" style="1" bestFit="1" customWidth="1"/>
    <x:col min="36" max="16384" width="11.42578125" style="1"/>
  </x:cols>
  <x:sheetData>
    <x:row r="1" spans="1:34" ht="12.75" thickBot="1" x14ac:dyDescent="0.25">
      <x:c r="A1" s="1" t="s">
        <x:v>1</x:v>
      </x:c>
      <x:c r="Q1" s="4"/>
      <x:c r="AH1" s="4"/>
    </x:row>
    <x:row r="2" spans="1:34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75" x14ac:dyDescent="0.25">
      <x:c r="B6" s="8"/>
      <x:c r="C6" s="2" t="s">
        <x:v>17</x:v>
      </x:c>
      <x:c r="D6" s="9">
        <x:f>'CONSOLIDADO_TOTAL RECAUDO'!D6</x:f>
        <x:v>46238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75" thickBot="1" x14ac:dyDescent="0.25">
      <x:c r="B7" s="8"/>
      <x:c r="C7" s="2" t="s">
        <x:v>0</x:v>
      </x:c>
      <x:c r="D7" s="198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08" t="s">
        <x:v>46</x:v>
      </x:c>
      <x:c r="AB8" s="65" t="s">
        <x:v>7</x:v>
      </x:c>
      <x:c r="AC8" s="114" t="s">
        <x:v>107</x:v>
      </x:c>
      <x:c r="AD8" s="114" t="s">
        <x:v>106</x:v>
      </x:c>
      <x:c r="AE8" s="39" t="s">
        <x:v>23</x:v>
      </x:c>
      <x:c r="AF8" s="13"/>
      <x:c r="AH8" s="4"/>
    </x:row>
    <x:row r="9" spans="1:34" x14ac:dyDescent="0.2">
      <x:c r="B9" s="14">
        <x:v>1</x:v>
      </x:c>
      <x:c r="C9" s="61" t="s">
        <x:v>10</x:v>
      </x:c>
      <x:c r="D9" s="66">
        <x:f>'SALDOS POR NOTA'!C9</x:f>
        <x:v>0</x:v>
      </x:c>
      <x:c r="E9" s="66">
        <x:f>'SALDOS POR NOTA'!D9</x:f>
        <x:v>0</x:v>
      </x:c>
      <x:c r="F9" s="66">
        <x:f>'SALDOS POR NOTA'!E9</x:f>
        <x:v>0</x:v>
      </x:c>
      <x:c r="G9" s="66">
        <x:f>'SALDOS POR NOTA'!F9</x:f>
        <x:v>0</x:v>
      </x:c>
      <x:c r="H9" s="66">
        <x:f>'SALDOS POR NOTA'!G9</x:f>
        <x:v>0</x:v>
      </x:c>
      <x:c r="I9" s="66">
        <x:f>'SALDOS POR NOTA'!H9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NOTA'!I9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NOTA'!J9</x:f>
        <x:v>0</x:v>
      </x:c>
      <x:c r="V9" s="66">
        <x:f>'SALDOS POR NOTA'!K9</x:f>
        <x:v>0</x:v>
      </x:c>
      <x:c r="W9" s="66">
        <x:f>'SALDOS POR NOTA'!L9</x:f>
        <x:v>0</x:v>
      </x:c>
      <x:c r="X9" s="66">
        <x:f>'SALDOS POR NOTA'!M9</x:f>
        <x:v>0</x:v>
      </x:c>
      <x:c r="Y9" s="66">
        <x:f>'SALDOS POR NOTA'!N9</x:f>
        <x:v>0</x:v>
      </x:c>
      <x:c r="Z9" s="307">
        <x:f>L9*-1</x:f>
        <x:v>0</x:v>
      </x:c>
      <x:c r="AA9" s="75">
        <x:f>'SALDOS POR NOTA'!O9</x:f>
        <x:v>0</x:v>
      </x:c>
      <x:c r="AB9" s="37">
        <x:f>N9</x:f>
        <x:v>0</x:v>
      </x:c>
      <x:c r="AC9" s="66">
        <x:f>-J9+AD9</x:f>
        <x:v>0</x:v>
      </x:c>
      <x:c r="AD9" s="66">
        <x:f>'SALDOS POR NOTA'!C10</x:f>
        <x:v>0</x:v>
      </x:c>
      <x:c r="AE9" s="108">
        <x:f>SUM(U9:AC9)</x:f>
        <x:v>0</x:v>
      </x:c>
      <x:c r="AF9" s="110">
        <x:f>(AE9-O9)</x:f>
        <x:v>0</x:v>
      </x:c>
      <x:c r="AG9" s="1" t="b">
        <x:f>AF9=0</x:f>
        <x:v>1</x:v>
      </x:c>
      <x:c r="AH9" s="4"/>
    </x:row>
    <x:row r="10" spans="1:34" x14ac:dyDescent="0.2">
      <x:c r="B10" s="16">
        <x:v>2</x:v>
      </x:c>
      <x:c r="C10" s="62" t="s">
        <x:v>11</x:v>
      </x:c>
      <x:c r="D10" s="66">
        <x:f>'SALDOS POR NOTA'!C22</x:f>
        <x:v>0</x:v>
      </x:c>
      <x:c r="E10" s="66">
        <x:f>'SALDOS POR NOTA'!D22</x:f>
        <x:v>0</x:v>
      </x:c>
      <x:c r="F10" s="66">
        <x:f>'SALDOS POR NOTA'!E22</x:f>
        <x:v>0</x:v>
      </x:c>
      <x:c r="G10" s="66">
        <x:f>'SALDOS POR NOTA'!F22</x:f>
        <x:v>0</x:v>
      </x:c>
      <x:c r="H10" s="66">
        <x:f>'SALDOS POR NOTA'!G22</x:f>
        <x:v>0</x:v>
      </x:c>
      <x:c r="I10" s="66">
        <x:f>'SALDOS POR NOTA'!H22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NOTA'!I22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NOTA'!J22</x:f>
        <x:v>0</x:v>
      </x:c>
      <x:c r="V10" s="66">
        <x:f>'SALDOS POR NOTA'!K22</x:f>
        <x:v>0</x:v>
      </x:c>
      <x:c r="W10" s="66">
        <x:f>'SALDOS POR NOTA'!L22</x:f>
        <x:v>0</x:v>
      </x:c>
      <x:c r="X10" s="66">
        <x:f>'SALDOS POR NOTA'!M22</x:f>
        <x:v>0</x:v>
      </x:c>
      <x:c r="Y10" s="66">
        <x:f>'SALDOS POR NOTA'!N22</x:f>
        <x:v>0</x:v>
      </x:c>
      <x:c r="Z10" s="38">
        <x:f>L10*-1</x:f>
        <x:v>0</x:v>
      </x:c>
      <x:c r="AA10" s="310">
        <x:f>'SALDOS POR NOTA'!O22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NOTA'!C23</x:f>
        <x:v>0</x:v>
      </x:c>
      <x:c r="AE10" s="109">
        <x:f>SUM(U10:AC10)</x:f>
        <x:v>0</x:v>
      </x:c>
      <x:c r="AF10" s="111">
        <x:f>(AE10-O10)</x:f>
        <x:v>0</x:v>
      </x:c>
      <x:c r="AG10" s="1" t="b">
        <x:f t="shared" ref="AG10:AG14" si="3">AF10=0</x:f>
        <x:v>1</x:v>
      </x:c>
      <x:c r="AH10" s="4"/>
    </x:row>
    <x:row r="11" spans="1:34" x14ac:dyDescent="0.2">
      <x:c r="B11" s="16">
        <x:v>3</x:v>
      </x:c>
      <x:c r="C11" s="62" t="s">
        <x:v>12</x:v>
      </x:c>
      <x:c r="D11" s="66">
        <x:f>'SALDOS POR NOTA'!C34</x:f>
        <x:v>0</x:v>
      </x:c>
      <x:c r="E11" s="66">
        <x:f>'SALDOS POR NOTA'!D34</x:f>
        <x:v>0</x:v>
      </x:c>
      <x:c r="F11" s="66">
        <x:f>'SALDOS POR NOTA'!E34</x:f>
        <x:v>0</x:v>
      </x:c>
      <x:c r="G11" s="66">
        <x:f>'SALDOS POR NOTA'!F34</x:f>
        <x:v>0</x:v>
      </x:c>
      <x:c r="H11" s="66">
        <x:f>'SALDOS POR NOTA'!G34</x:f>
        <x:v>0</x:v>
      </x:c>
      <x:c r="I11" s="66">
        <x:f>'SALDOS POR NOTA'!H34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NOTA'!I34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NOTA'!J34</x:f>
        <x:v>0</x:v>
      </x:c>
      <x:c r="V11" s="66">
        <x:f>'SALDOS POR NOTA'!K34</x:f>
        <x:v>0</x:v>
      </x:c>
      <x:c r="W11" s="66">
        <x:f>'SALDOS POR NOTA'!L34</x:f>
        <x:v>0</x:v>
      </x:c>
      <x:c r="X11" s="66">
        <x:f>'SALDOS POR NOTA'!M34</x:f>
        <x:v>0</x:v>
      </x:c>
      <x:c r="Y11" s="66">
        <x:f>'SALDOS POR NOTA'!N34</x:f>
        <x:v>0</x:v>
      </x:c>
      <x:c r="Z11" s="38">
        <x:f>L11*-1</x:f>
        <x:v>0</x:v>
      </x:c>
      <x:c r="AA11" s="310">
        <x:f>'SALDOS POR NOTA'!O34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NOTA'!C35</x:f>
        <x:v>0</x:v>
      </x:c>
      <x:c r="AE11" s="109">
        <x:f>SUM(U11:AC11)</x:f>
        <x:v>0</x:v>
      </x:c>
      <x:c r="AF11" s="111">
        <x:f>(AE11-O11)</x:f>
        <x:v>0</x:v>
      </x:c>
      <x:c r="AG11" s="1" t="b">
        <x:f t="shared" si="3"/>
        <x:v>1</x:v>
      </x:c>
      <x:c r="AH11" s="4"/>
    </x:row>
    <x:row r="12" spans="1:34" x14ac:dyDescent="0.2">
      <x:c r="B12" s="16">
        <x:v>4</x:v>
      </x:c>
      <x:c r="C12" s="62" t="s">
        <x:v>13</x:v>
      </x:c>
      <x:c r="D12" s="66">
        <x:f>'SALDOS POR NOTA'!C47</x:f>
        <x:v>0</x:v>
      </x:c>
      <x:c r="E12" s="66">
        <x:f>'SALDOS POR NOTA'!D47</x:f>
        <x:v>0</x:v>
      </x:c>
      <x:c r="F12" s="66">
        <x:f>'SALDOS POR NOTA'!E47</x:f>
        <x:v>0</x:v>
      </x:c>
      <x:c r="G12" s="66">
        <x:f>'SALDOS POR NOTA'!F47</x:f>
        <x:v>0</x:v>
      </x:c>
      <x:c r="H12" s="66">
        <x:f>'SALDOS POR NOTA'!G47</x:f>
        <x:v>0</x:v>
      </x:c>
      <x:c r="I12" s="66">
        <x:f>'SALDOS POR NOTA'!H47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NOTA'!J47</x:f>
        <x:v>0</x:v>
      </x:c>
      <x:c r="V12" s="66">
        <x:f>'SALDOS POR NOTA'!K47</x:f>
        <x:v>0</x:v>
      </x:c>
      <x:c r="W12" s="66">
        <x:f>'SALDOS POR NOTA'!L47</x:f>
        <x:v>0</x:v>
      </x:c>
      <x:c r="X12" s="66">
        <x:f>'SALDOS POR NOTA'!M47</x:f>
        <x:v>0</x:v>
      </x:c>
      <x:c r="Y12" s="66">
        <x:f>'SALDOS POR NOTA'!N47</x:f>
        <x:v>0</x:v>
      </x:c>
      <x:c r="Z12" s="38">
        <x:f>L12*-1</x:f>
        <x:v>0</x:v>
      </x:c>
      <x:c r="AA12" s="310">
        <x:f>'SALDOS POR NOTA'!O47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NOTA'!C48</x:f>
        <x:v>0</x:v>
      </x:c>
      <x:c r="AE12" s="109">
        <x:f>SUM(U12:AC12)</x:f>
        <x:v>0</x:v>
      </x:c>
      <x:c r="AF12" s="111">
        <x:f>(AE12-O12)</x:f>
        <x:v>0</x:v>
      </x:c>
      <x:c r="AG12" s="1" t="b">
        <x:f t="shared" si="3"/>
        <x:v>1</x:v>
      </x:c>
      <x:c r="AH12" s="4"/>
    </x:row>
    <x:row r="13" spans="1:34" ht="12.75" thickBot="1" x14ac:dyDescent="0.25">
      <x:c r="B13" s="19">
        <x:v>5</x:v>
      </x:c>
      <x:c r="C13" s="63" t="s">
        <x:v>14</x:v>
      </x:c>
      <x:c r="D13" s="66">
        <x:f>'SALDOS POR NOTA'!C60</x:f>
        <x:v>0</x:v>
      </x:c>
      <x:c r="E13" s="66">
        <x:f>'SALDOS POR NOTA'!D60</x:f>
        <x:v>0</x:v>
      </x:c>
      <x:c r="F13" s="66">
        <x:f>'SALDOS POR NOTA'!E60</x:f>
        <x:v>0</x:v>
      </x:c>
      <x:c r="G13" s="66">
        <x:f>'SALDOS POR NOTA'!F60</x:f>
        <x:v>0</x:v>
      </x:c>
      <x:c r="H13" s="66">
        <x:f>'SALDOS POR NOTA'!G60</x:f>
        <x:v>0</x:v>
      </x:c>
      <x:c r="I13" s="66">
        <x:f>'SALDOS POR NOTA'!H60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NOTA'!I60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NOTA'!J60</x:f>
        <x:v>0</x:v>
      </x:c>
      <x:c r="V13" s="66">
        <x:f>'SALDOS POR NOTA'!K60</x:f>
        <x:v>0</x:v>
      </x:c>
      <x:c r="W13" s="66">
        <x:f>'SALDOS POR NOTA'!L60</x:f>
        <x:v>0</x:v>
      </x:c>
      <x:c r="X13" s="66">
        <x:f>'SALDOS POR NOTA'!M60</x:f>
        <x:v>0</x:v>
      </x:c>
      <x:c r="Y13" s="66">
        <x:f>'SALDOS POR NOTA'!N60</x:f>
        <x:v>0</x:v>
      </x:c>
      <x:c r="Z13" s="38">
        <x:f>L13*-1</x:f>
        <x:v>0</x:v>
      </x:c>
      <x:c r="AA13" s="311">
        <x:f>'SALDOS POR NOTA'!O60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NOTA'!C61</x:f>
        <x:v>0</x:v>
      </x:c>
      <x:c r="AE13" s="109">
        <x:f>SUM(U13:AC13)</x:f>
        <x:v>0</x:v>
      </x:c>
      <x:c r="AF13" s="112">
        <x:f>(AE13-O13)</x:f>
        <x:v>0</x:v>
      </x:c>
      <x:c r="AG13" s="1" t="b">
        <x:f t="shared" si="3"/>
        <x:v>1</x:v>
      </x:c>
      <x:c r="AH13" s="4"/>
    </x:row>
    <x:row r="14" spans="1:34" ht="13.5" thickBot="1" x14ac:dyDescent="0.25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09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13">
        <x:f>SUM(AF9:AF13)</x:f>
        <x:v>0</x:v>
      </x:c>
      <x:c r="AG14" s="1" t="b">
        <x:f t="shared" si="3"/>
        <x:v>1</x:v>
      </x:c>
      <x:c r="AH14" s="4"/>
    </x:row>
    <x:row r="15" spans="1:34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.75" thickBot="1" x14ac:dyDescent="0.25">
      <x:c r="Q20" s="4"/>
      <x:c r="AH20" s="4"/>
    </x:row>
    <x:row r="21" spans="1:34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75" x14ac:dyDescent="0.25">
      <x:c r="B25" s="8"/>
      <x:c r="C25" s="2" t="s">
        <x:v>17</x:v>
      </x:c>
      <x:c r="D25" s="9">
        <x:f>D6</x:f>
        <x:v>46238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75" thickBot="1" x14ac:dyDescent="0.25">
      <x:c r="B26" s="8"/>
      <x:c r="C26" s="2" t="s">
        <x:v>0</x:v>
      </x:c>
      <x:c r="D26" s="198">
        <x:f>D7</x:f>
        <x:v>0.58333333333333337</x:v>
      </x:c>
      <x:c r="F26" s="2" t="s">
        <x:v>27</x:v>
      </x:c>
      <x:c r="G26" s="2"/>
      <x:c r="H26" s="9">
        <x:f>H7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14" t="s">
        <x:v>107</x:v>
      </x:c>
      <x:c r="AD27" s="114" t="s">
        <x:v>106</x:v>
      </x:c>
      <x:c r="AE27" s="39" t="s">
        <x:v>23</x:v>
      </x:c>
      <x:c r="AF27" s="13"/>
      <x:c r="AH27" s="4"/>
    </x:row>
    <x:row r="28" spans="1:34" s="241" customFormat="1" x14ac:dyDescent="0.2">
      <x:c r="B28" s="239">
        <x:v>1</x:v>
      </x:c>
      <x:c r="C28" s="240" t="s">
        <x:v>10</x:v>
      </x:c>
      <x:c r="D28" s="227">
        <x:f>'RETRIBUCION NEGATIVA'!C10</x:f>
        <x:v>0</x:v>
      </x:c>
      <x:c r="E28" s="228">
        <x:f>'RETRIBUCION NEGATIVA'!D10</x:f>
        <x:v>0</x:v>
      </x:c>
      <x:c r="F28" s="228">
        <x:f>'RETRIBUCION NEGATIVA'!E10</x:f>
        <x:v>0</x:v>
      </x:c>
      <x:c r="G28" s="228">
        <x:f>'RETRIBUCION NEGATIVA'!F10</x:f>
        <x:v>0</x:v>
      </x:c>
      <x:c r="H28" s="228">
        <x:f>'RETRIBUCION NEGATIVA'!G10</x:f>
        <x:v>0</x:v>
      </x:c>
      <x:c r="I28" s="228">
        <x:f>'RETRIBUCION NEGATIVA'!H10</x:f>
        <x:v>0</x:v>
      </x:c>
      <x:c r="J28" s="224">
        <x:v>0</x:v>
      </x:c>
      <x:c r="K28" s="229">
        <x:f>D28-E28-F28-H28-I28-J28-G28</x:f>
        <x:v>0</x:v>
      </x:c>
      <x:c r="L28" s="230">
        <x:v>0</x:v>
      </x:c>
      <x:c r="M28" s="229">
        <x:f>K28-L28</x:f>
        <x:v>0</x:v>
      </x:c>
      <x:c r="N28" s="230">
        <x:f>'RETRIBUCION NEGATIVA'!I10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27">
        <x:f>'RETRIBUCION NEGATIVA'!J10</x:f>
        <x:v>0</x:v>
      </x:c>
      <x:c r="V28" s="227">
        <x:f>'RETRIBUCION NEGATIVA'!K10</x:f>
        <x:v>0</x:v>
      </x:c>
      <x:c r="W28" s="227">
        <x:f>'RETRIBUCION NEGATIVA'!L10</x:f>
        <x:v>0</x:v>
      </x:c>
      <x:c r="X28" s="227">
        <x:f>'RETRIBUCION NEGATIVA'!M10</x:f>
        <x:v>0</x:v>
      </x:c>
      <x:c r="Y28" s="227">
        <x:f>'RETRIBUCION NEGATIVA'!N10</x:f>
        <x:v>0</x:v>
      </x:c>
      <x:c r="Z28" s="246">
        <x:f>L28*-1</x:f>
        <x:v>0</x:v>
      </x:c>
      <x:c r="AA28" s="248">
        <x:f>'RETRIBUCION NEGATIVA'!O10</x:f>
        <x:v>0</x:v>
      </x:c>
      <x:c r="AB28" s="230">
        <x:f>N28</x:f>
        <x:v>0</x:v>
      </x:c>
      <x:c r="AC28" s="227">
        <x:f>-J28+AD28</x:f>
        <x:v>0</x:v>
      </x:c>
      <x:c r="AD28" s="227">
        <x:f>'RETRIBUCION NEGATIVA'!C11</x:f>
        <x:v>0</x:v>
      </x:c>
      <x:c r="AE28" s="299">
        <x:f>SUM(U28:AC28)</x:f>
        <x:v>0</x:v>
      </x:c>
      <x:c r="AF28" s="247">
        <x:f>(AE28-O28)</x:f>
        <x:v>0</x:v>
      </x:c>
      <x:c r="AG28" s="241" t="b">
        <x:f>AF28=0</x:f>
        <x:v>1</x:v>
      </x:c>
      <x:c r="AH28" s="242"/>
    </x:row>
    <x:row r="29" spans="1:34" s="241" customFormat="1" x14ac:dyDescent="0.2">
      <x:c r="B29" s="250">
        <x:v>2</x:v>
      </x:c>
      <x:c r="C29" s="251" t="s">
        <x:v>11</x:v>
      </x:c>
      <x:c r="D29" s="227">
        <x:f>'RETRIBUCION NEGATIVA'!C23</x:f>
        <x:v>0</x:v>
      </x:c>
      <x:c r="E29" s="228">
        <x:f>'RETRIBUCION NEGATIVA'!D23</x:f>
        <x:v>0</x:v>
      </x:c>
      <x:c r="F29" s="228">
        <x:f>'RETRIBUCION NEGATIVA'!E23</x:f>
        <x:v>0</x:v>
      </x:c>
      <x:c r="G29" s="228">
        <x:f>'RETRIBUCION NEGATIVA'!F23</x:f>
        <x:v>0</x:v>
      </x:c>
      <x:c r="H29" s="228">
        <x:f>'RETRIBUCION NEGATIVA'!G23</x:f>
        <x:v>0</x:v>
      </x:c>
      <x:c r="I29" s="228">
        <x:f>'RETRIBUCION NEGATIVA'!H23</x:f>
        <x:v>0</x:v>
      </x:c>
      <x:c r="J29" s="224">
        <x:v>0</x:v>
      </x:c>
      <x:c r="K29" s="231">
        <x:f t="shared" ref="K29:K32" si="6">D29-E29-F29-H29-I29-J29-G29</x:f>
        <x:v>0</x:v>
      </x:c>
      <x:c r="L29" s="235">
        <x:v>0</x:v>
      </x:c>
      <x:c r="M29" s="231">
        <x:f>K29-L29</x:f>
        <x:v>0</x:v>
      </x:c>
      <x:c r="N29" s="230">
        <x:f>'RETRIBUCION NEGATIVA'!I23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'RETRIBUCION NEGATIVA'!J23</x:f>
        <x:v>0</x:v>
      </x:c>
      <x:c r="V29" s="252">
        <x:f>'RETRIBUCION NEGATIVA'!K23</x:f>
        <x:v>0</x:v>
      </x:c>
      <x:c r="W29" s="252">
        <x:f>'RETRIBUCION NEGATIVA'!L23</x:f>
        <x:v>0</x:v>
      </x:c>
      <x:c r="X29" s="252">
        <x:f>'RETRIBUCION NEGATIVA'!M23</x:f>
        <x:v>0</x:v>
      </x:c>
      <x:c r="Y29" s="252">
        <x:f>'RETRIBUCION NEGATIVA'!N23</x:f>
        <x:v>0</x:v>
      </x:c>
      <x:c r="Z29" s="255">
        <x:f>L29*-1</x:f>
        <x:v>0</x:v>
      </x:c>
      <x:c r="AA29" s="256">
        <x:f>'RETRIBUCION NEGATIVA'!O23</x:f>
        <x:v>0</x:v>
      </x:c>
      <x:c r="AB29" s="230">
        <x:f>N29</x:f>
        <x:v>0</x:v>
      </x:c>
      <x:c r="AC29" s="227">
        <x:f>-J29+AD29</x:f>
        <x:v>0</x:v>
      </x:c>
      <x:c r="AD29" s="227">
        <x:f>'RETRIBUCION NEGATIVA'!C24</x:f>
        <x:v>0</x:v>
      </x:c>
      <x:c r="AE29" s="301">
        <x:f>SUM(U29:AC29)</x:f>
        <x:v>0</x:v>
      </x:c>
      <x:c r="AF29" s="259">
        <x:f>(AE29-O29)</x:f>
        <x:v>0</x:v>
      </x:c>
      <x:c r="AG29" s="241" t="b">
        <x:f t="shared" ref="AG29:AG33" si="8">AF29=0</x:f>
        <x:v>1</x:v>
      </x:c>
      <x:c r="AH29" s="242"/>
    </x:row>
    <x:row r="30" spans="1:34" s="241" customFormat="1" x14ac:dyDescent="0.2">
      <x:c r="B30" s="250">
        <x:v>3</x:v>
      </x:c>
      <x:c r="C30" s="251" t="s">
        <x:v>12</x:v>
      </x:c>
      <x:c r="D30" s="227">
        <x:f>'RETRIBUCION NEGATIVA'!C36</x:f>
        <x:v>0</x:v>
      </x:c>
      <x:c r="E30" s="228">
        <x:f>'RETRIBUCION NEGATIVA'!D36</x:f>
        <x:v>0</x:v>
      </x:c>
      <x:c r="F30" s="228">
        <x:f>'RETRIBUCION NEGATIVA'!E36</x:f>
        <x:v>0</x:v>
      </x:c>
      <x:c r="G30" s="228">
        <x:f>'RETRIBUCION NEGATIVA'!F36</x:f>
        <x:v>0</x:v>
      </x:c>
      <x:c r="H30" s="228">
        <x:f>'RETRIBUCION NEGATIVA'!G36</x:f>
        <x:v>0</x:v>
      </x:c>
      <x:c r="I30" s="228">
        <x:f>'RETRIBUCION NEGATIVA'!H36</x:f>
        <x:v>0</x:v>
      </x:c>
      <x:c r="J30" s="224">
        <x:v>0</x:v>
      </x:c>
      <x:c r="K30" s="231">
        <x:f t="shared" si="6"/>
        <x:v>0</x:v>
      </x:c>
      <x:c r="L30" s="235">
        <x:v>0</x:v>
      </x:c>
      <x:c r="M30" s="231">
        <x:f>K30-L30</x:f>
        <x:v>0</x:v>
      </x:c>
      <x:c r="N30" s="230">
        <x:f>'RETRIBUCION NEGATIVA'!I36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'RETRIBUCION NEGATIVA'!J36</x:f>
        <x:v>0</x:v>
      </x:c>
      <x:c r="V30" s="252">
        <x:f>'RETRIBUCION NEGATIVA'!K36</x:f>
        <x:v>0</x:v>
      </x:c>
      <x:c r="W30" s="252">
        <x:f>'RETRIBUCION NEGATIVA'!L36</x:f>
        <x:v>0</x:v>
      </x:c>
      <x:c r="X30" s="252">
        <x:f>'RETRIBUCION NEGATIVA'!M36</x:f>
        <x:v>0</x:v>
      </x:c>
      <x:c r="Y30" s="252">
        <x:f>'RETRIBUCION NEGATIVA'!N36</x:f>
        <x:v>0</x:v>
      </x:c>
      <x:c r="Z30" s="255">
        <x:f>L30*-1</x:f>
        <x:v>0</x:v>
      </x:c>
      <x:c r="AA30" s="256">
        <x:f>'RETRIBUCION NEGATIVA'!O36</x:f>
        <x:v>0</x:v>
      </x:c>
      <x:c r="AB30" s="230">
        <x:f>N30</x:f>
        <x:v>0</x:v>
      </x:c>
      <x:c r="AC30" s="227">
        <x:f t="shared" ref="AC30:AC32" si="9">-J30+AD30</x:f>
        <x:v>0</x:v>
      </x:c>
      <x:c r="AD30" s="227">
        <x:f>'RETRIBUCION NEGATIVA'!C37</x:f>
        <x:v>0</x:v>
      </x:c>
      <x:c r="AE30" s="301">
        <x:f>SUM(U30:AC30)</x:f>
        <x:v>0</x:v>
      </x:c>
      <x:c r="AF30" s="259">
        <x:f t="shared" ref="AF30:AF31" si="10">(AE30-O30)</x:f>
        <x:v>0</x:v>
      </x:c>
      <x:c r="AG30" s="241" t="b">
        <x:f t="shared" si="8"/>
        <x:v>1</x:v>
      </x:c>
      <x:c r="AH30" s="242"/>
    </x:row>
    <x:row r="31" spans="1:34" s="241" customFormat="1" x14ac:dyDescent="0.2">
      <x:c r="B31" s="250">
        <x:v>4</x:v>
      </x:c>
      <x:c r="C31" s="251" t="s">
        <x:v>13</x:v>
      </x:c>
      <x:c r="D31" s="227">
        <x:f>'RETRIBUCION NEGATIVA'!C49</x:f>
        <x:v>0</x:v>
      </x:c>
      <x:c r="E31" s="228">
        <x:f>'RETRIBUCION NEGATIVA'!D49</x:f>
        <x:v>0</x:v>
      </x:c>
      <x:c r="F31" s="228">
        <x:f>'RETRIBUCION NEGATIVA'!E49</x:f>
        <x:v>0</x:v>
      </x:c>
      <x:c r="G31" s="228">
        <x:f>'RETRIBUCION NEGATIVA'!F49</x:f>
        <x:v>0</x:v>
      </x:c>
      <x:c r="H31" s="228">
        <x:f>'RETRIBUCION NEGATIVA'!G49</x:f>
        <x:v>0</x:v>
      </x:c>
      <x:c r="I31" s="228">
        <x:f>'RETRIBUCION NEGATIVA'!H49</x:f>
        <x:v>0</x:v>
      </x:c>
      <x:c r="J31" s="224">
        <x:v>0</x:v>
      </x:c>
      <x:c r="K31" s="231">
        <x:f t="shared" si="6"/>
        <x:v>0</x:v>
      </x:c>
      <x:c r="L31" s="235">
        <x:v>0</x:v>
      </x:c>
      <x:c r="M31" s="231">
        <x:f>K31-L31</x:f>
        <x:v>0</x:v>
      </x:c>
      <x:c r="N31" s="230">
        <x:f>'RETRIBUCION NEGATIVA'!I49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'RETRIBUCION NEGATIVA'!J49</x:f>
        <x:v>0</x:v>
      </x:c>
      <x:c r="V31" s="252">
        <x:f>'RETRIBUCION NEGATIVA'!K49</x:f>
        <x:v>0</x:v>
      </x:c>
      <x:c r="W31" s="252">
        <x:f>'RETRIBUCION NEGATIVA'!L49</x:f>
        <x:v>0</x:v>
      </x:c>
      <x:c r="X31" s="252">
        <x:f>'RETRIBUCION NEGATIVA'!M49</x:f>
        <x:v>0</x:v>
      </x:c>
      <x:c r="Y31" s="252">
        <x:f>'RETRIBUCION NEGATIVA'!N49</x:f>
        <x:v>0</x:v>
      </x:c>
      <x:c r="Z31" s="255">
        <x:f>L31*-1</x:f>
        <x:v>0</x:v>
      </x:c>
      <x:c r="AA31" s="256">
        <x:f>'RETRIBUCION NEGATIVA'!O49</x:f>
        <x:v>0</x:v>
      </x:c>
      <x:c r="AB31" s="230">
        <x:f>N31</x:f>
        <x:v>0</x:v>
      </x:c>
      <x:c r="AC31" s="227">
        <x:f t="shared" si="9"/>
        <x:v>0</x:v>
      </x:c>
      <x:c r="AD31" s="227">
        <x:f>'RETRIBUCION NEGATIVA'!C50</x:f>
        <x:v>0</x:v>
      </x:c>
      <x:c r="AE31" s="301">
        <x:f>SUM(U31:AC31)</x:f>
        <x:v>0</x:v>
      </x:c>
      <x:c r="AF31" s="259">
        <x:f t="shared" si="10"/>
        <x:v>0</x:v>
      </x:c>
      <x:c r="AG31" s="241" t="b">
        <x:f t="shared" si="8"/>
        <x:v>1</x:v>
      </x:c>
      <x:c r="AH31" s="242"/>
    </x:row>
    <x:row r="32" spans="1:34" s="241" customFormat="1" ht="12.75" thickBot="1" x14ac:dyDescent="0.25">
      <x:c r="B32" s="260">
        <x:v>5</x:v>
      </x:c>
      <x:c r="C32" s="261" t="s">
        <x:v>14</x:v>
      </x:c>
      <x:c r="D32" s="232">
        <x:f>'RETRIBUCION NEGATIVA'!C61</x:f>
        <x:v>0</x:v>
      </x:c>
      <x:c r="E32" s="233">
        <x:f>'RETRIBUCION NEGATIVA'!D61</x:f>
        <x:v>0</x:v>
      </x:c>
      <x:c r="F32" s="233">
        <x:f>'RETRIBUCION NEGATIVA'!E61</x:f>
        <x:v>0</x:v>
      </x:c>
      <x:c r="G32" s="233">
        <x:f>'RETRIBUCION NEGATIVA'!F61</x:f>
        <x:v>0</x:v>
      </x:c>
      <x:c r="H32" s="233">
        <x:f>'RETRIBUCION NEGATIVA'!G61</x:f>
        <x:v>0</x:v>
      </x:c>
      <x:c r="I32" s="233">
        <x:f>'RETRIBUCION NEGATIVA'!H61</x:f>
        <x:v>0</x:v>
      </x:c>
      <x:c r="J32" s="225">
        <x:v>0</x:v>
      </x:c>
      <x:c r="K32" s="231">
        <x:f t="shared" si="6"/>
        <x:v>0</x:v>
      </x:c>
      <x:c r="L32" s="235">
        <x:v>0</x:v>
      </x:c>
      <x:c r="M32" s="234">
        <x:f>K32-L32</x:f>
        <x:v>0</x:v>
      </x:c>
      <x:c r="N32" s="235">
        <x:f>'RETRIBUCION NEGATIVA'!I61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'RETRIBUCION NEGATIVA'!J61</x:f>
        <x:v>0</x:v>
      </x:c>
      <x:c r="V32" s="232">
        <x:f>'RETRIBUCION NEGATIVA'!K61</x:f>
        <x:v>0</x:v>
      </x:c>
      <x:c r="W32" s="232">
        <x:f>'RETRIBUCION NEGATIVA'!L61</x:f>
        <x:v>0</x:v>
      </x:c>
      <x:c r="X32" s="232">
        <x:f>'RETRIBUCION NEGATIVA'!M61</x:f>
        <x:v>0</x:v>
      </x:c>
      <x:c r="Y32" s="232">
        <x:f>'RETRIBUCION NEGATIVA'!N61</x:f>
        <x:v>0</x:v>
      </x:c>
      <x:c r="Z32" s="255">
        <x:f>L32*-1</x:f>
        <x:v>0</x:v>
      </x:c>
      <x:c r="AA32" s="256">
        <x:f>'RETRIBUCION NEGATIVA'!O61</x:f>
        <x:v>0</x:v>
      </x:c>
      <x:c r="AB32" s="230">
        <x:f>N32</x:f>
        <x:v>0</x:v>
      </x:c>
      <x:c r="AC32" s="227">
        <x:f t="shared" si="9"/>
        <x:v>0</x:v>
      </x:c>
      <x:c r="AD32" s="227">
        <x:f>'RETRIBUCION NEGATIVA'!C62</x:f>
        <x:v>0</x:v>
      </x:c>
      <x:c r="AE32" s="301">
        <x:f>SUM(U32:AC32)</x:f>
        <x:v>0</x:v>
      </x:c>
      <x:c r="AF32" s="262">
        <x:f>(AE32-O32)</x:f>
        <x:v>0</x:v>
      </x:c>
      <x:c r="AG32" s="241" t="b">
        <x:f t="shared" si="8"/>
        <x:v>1</x:v>
      </x:c>
      <x:c r="AH32" s="242"/>
    </x:row>
    <x:row r="33" spans="1:34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 t="shared" ref="E33:O33" si="11">SUM(E28:E32)</x:f>
        <x:v>0</x:v>
      </x:c>
      <x:c r="F33" s="226">
        <x:f t="shared" si="11"/>
        <x:v>0</x:v>
      </x:c>
      <x:c r="G33" s="226">
        <x:f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26">
        <x:f>SUM(U28:U32)</x:f>
        <x:v>0</x:v>
      </x:c>
      <x:c r="V33" s="226">
        <x:f t="shared" ref="V33:AF33" si="12">SUM(V28:V32)</x:f>
        <x:v>0</x:v>
      </x:c>
      <x:c r="W33" s="226">
        <x:f t="shared" si="12"/>
        <x:v>0</x:v>
      </x:c>
      <x:c r="X33" s="226">
        <x:f t="shared" si="12"/>
        <x:v>0</x:v>
      </x:c>
      <x:c r="Y33" s="226">
        <x:f t="shared" si="12"/>
        <x:v>0</x:v>
      </x:c>
      <x:c r="Z33" s="226">
        <x:f t="shared" si="12"/>
        <x:v>0</x:v>
      </x:c>
      <x:c r="AA33" s="226">
        <x:f t="shared" si="12"/>
        <x:v>0</x:v>
      </x:c>
      <x:c r="AB33" s="226">
        <x:f t="shared" si="12"/>
        <x:v>0</x:v>
      </x:c>
      <x:c r="AC33" s="226">
        <x:f>SUM(AC28:AC32)</x:f>
        <x:v>0</x:v>
      </x:c>
      <x:c r="AD33" s="226">
        <x:f>SUM(AD28:AD32)</x:f>
        <x:v>0</x:v>
      </x:c>
      <x:c r="AE33" s="267">
        <x:f t="shared" si="12"/>
        <x:v>0</x:v>
      </x:c>
      <x:c r="AF33" s="268">
        <x:f t="shared" si="12"/>
        <x:v>0</x:v>
      </x:c>
      <x:c r="AG33" s="241" t="b">
        <x:f t="shared" si="8"/>
        <x:v>1</x:v>
      </x:c>
      <x:c r="AH33" s="242"/>
    </x:row>
    <x:row r="34" spans="1:34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266</x:v>
      </x:c>
      <x:c r="M35" s="523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.75" thickBot="1" x14ac:dyDescent="0.25">
      <x:c r="Q39" s="4"/>
      <x:c r="AH39" s="4"/>
    </x:row>
    <x:row r="40" spans="1:34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75" x14ac:dyDescent="0.25">
      <x:c r="B44" s="8"/>
      <x:c r="C44" s="2" t="s">
        <x:v>17</x:v>
      </x:c>
      <x:c r="D44" s="9">
        <x:f>D6</x:f>
        <x:v>46238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75" thickBot="1" x14ac:dyDescent="0.25">
      <x:c r="B45" s="8"/>
      <x:c r="C45" s="2" t="s">
        <x:v>0</x:v>
      </x:c>
      <x:c r="D45" s="198">
        <x:f>D7</x:f>
        <x:v>0.58333333333333337</x:v>
      </x:c>
      <x:c r="F45" s="2" t="s">
        <x:v>27</x:v>
      </x:c>
      <x:c r="G45" s="2"/>
      <x:c r="H45" s="9">
        <x:f>H7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14" t="s">
        <x:v>107</x:v>
      </x:c>
      <x:c r="AD46" s="114" t="s">
        <x:v>106</x:v>
      </x:c>
      <x:c r="AE46" s="39" t="s">
        <x:v>23</x:v>
      </x:c>
      <x:c r="AF46" s="13"/>
      <x:c r="AH46" s="4"/>
    </x:row>
    <x:row r="47" spans="1:34" x14ac:dyDescent="0.2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29">
        <x:f t="shared" ref="U47:Y51" si="16">U9+U28</x:f>
        <x:v>0</x:v>
      </x:c>
      <x:c r="V47" s="129">
        <x:f t="shared" si="16"/>
        <x:v>0</x:v>
      </x:c>
      <x:c r="W47" s="129">
        <x:f t="shared" si="16"/>
        <x:v>0</x:v>
      </x:c>
      <x:c r="X47" s="129">
        <x:f t="shared" si="16"/>
        <x:v>0</x:v>
      </x:c>
      <x:c r="Y47" s="129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0">
        <x:f>(AE47-O47)</x:f>
        <x:v>0</x:v>
      </x:c>
      <x:c r="AG47" s="1" t="b">
        <x:f>AF47=0</x:f>
        <x:v>1</x:v>
      </x:c>
      <x:c r="AH47" s="4"/>
    </x:row>
    <x:row r="48" spans="1:34" x14ac:dyDescent="0.2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1">
        <x:f>(AE48-O48)</x:f>
        <x:v>0</x:v>
      </x:c>
      <x:c r="AG48" s="1" t="b">
        <x:f t="shared" ref="AG48:AG52" si="21">AF48=0</x:f>
        <x:v>1</x:v>
      </x:c>
      <x:c r="AH48" s="4"/>
    </x:row>
    <x:row r="49" spans="1:34" x14ac:dyDescent="0.2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1">
        <x:f>(AE49-O49)</x:f>
        <x:v>0</x:v>
      </x:c>
      <x:c r="AG49" s="1" t="b">
        <x:f t="shared" si="21"/>
        <x:v>1</x:v>
      </x:c>
      <x:c r="AH49" s="4"/>
    </x:row>
    <x:row r="50" spans="1:34" x14ac:dyDescent="0.2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1">
        <x:f>(AE50-O50)</x:f>
        <x:v>0</x:v>
      </x:c>
      <x:c r="AG50" s="1" t="b">
        <x:f t="shared" si="21"/>
        <x:v>1</x:v>
      </x:c>
      <x:c r="AH50" s="4"/>
    </x:row>
    <x:row r="51" spans="1:34" ht="12.75" thickBot="1" x14ac:dyDescent="0.25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2">
        <x:f>(AE51-O51)</x:f>
        <x:v>0</x:v>
      </x:c>
      <x:c r="AG51" s="1" t="b">
        <x:f t="shared" si="21"/>
        <x:v>1</x:v>
      </x:c>
      <x:c r="AH51" s="4"/>
    </x:row>
    <x:row r="52" spans="1:34" ht="13.5" thickBot="1" x14ac:dyDescent="0.25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13">
        <x:f>SUM(AF47:AF51)</x:f>
        <x:v>0</x:v>
      </x:c>
      <x:c r="AG52" s="1" t="b">
        <x:f t="shared" si="21"/>
        <x:v>1</x:v>
      </x:c>
      <x:c r="AH52" s="4"/>
    </x:row>
    <x:row r="53" spans="1:34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G8" zoomScaleNormal="100" workbookViewId="0">
      <x:selection activeCell="M34" sqref="M34"/>
    </x:sheetView>
  </x:sheetViews>
  <x:sheetFormatPr baseColWidth="10" defaultRowHeight="12.75" x14ac:dyDescent="0.2"/>
  <x:cols>
    <x:col min="1" max="1" width="2.7109375" customWidth="1"/>
    <x:col min="2" max="2" width="17.42578125" bestFit="1" customWidth="1"/>
    <x:col min="3" max="3" width="4.7109375" style="135" bestFit="1" customWidth="1"/>
    <x:col min="4" max="4" width="42.7109375" style="135" bestFit="1" customWidth="1"/>
    <x:col min="5" max="5" width="9" customWidth="1"/>
    <x:col min="6" max="6" width="15.7109375" customWidth="1"/>
    <x:col min="7" max="7" width="17.42578125" bestFit="1" customWidth="1"/>
    <x:col min="8" max="8" width="14.28515625" customWidth="1"/>
    <x:col min="9" max="9" width="16.28515625" bestFit="1" customWidth="1"/>
    <x:col min="10" max="10" width="16.7109375" customWidth="1"/>
    <x:col min="11" max="11" width="17.5703125" customWidth="1"/>
    <x:col min="12" max="12" width="15.5703125" bestFit="1" customWidth="1"/>
    <x:col min="13" max="13" width="15.7109375" bestFit="1" customWidth="1"/>
    <x:col min="14" max="14" width="17" customWidth="1"/>
    <x:col min="15" max="15" width="17.7109375" customWidth="1"/>
    <x:col min="16" max="16" width="16.7109375" customWidth="1"/>
    <x:col min="17" max="17" width="18" customWidth="1"/>
    <x:col min="18" max="18" width="14.28515625" bestFit="1" customWidth="1"/>
    <x:col min="19" max="19" width="15.7109375" bestFit="1" customWidth="1"/>
    <x:col min="20" max="20" width="14.28515625" bestFit="1" customWidth="1"/>
  </x:cols>
  <x:sheetData>
    <x:row r="1" spans="2:19" ht="13.5" thickBot="1" x14ac:dyDescent="0.25"/>
    <x:row r="2" spans="2:19" s="135" customFormat="1" ht="13.5" thickBot="1" x14ac:dyDescent="0.25">
      <x:c r="B2" s="544"/>
      <x:c r="E2" s="135" t="s">
        <x:v>1</x:v>
      </x:c>
      <x:c r="F2" s="498" t="s">
        <x:v>276</x:v>
      </x:c>
      <x:c r="G2" s="499" t="s">
        <x:v>277</x:v>
      </x:c>
      <x:c r="H2" s="500" t="s">
        <x:v>278</x:v>
      </x:c>
      <x:c r="I2" s="500" t="s">
        <x:v>279</x:v>
      </x:c>
      <x:c r="J2" s="500" t="s">
        <x:v>280</x:v>
      </x:c>
      <x:c r="K2" s="499" t="s">
        <x:v>281</x:v>
      </x:c>
      <x:c r="L2" s="499" t="s">
        <x:v>282</x:v>
      </x:c>
      <x:c r="M2" s="500" t="s">
        <x:v>283</x:v>
      </x:c>
      <x:c r="N2" s="500" t="s">
        <x:v>284</x:v>
      </x:c>
      <x:c r="O2" s="500" t="s">
        <x:v>285</x:v>
      </x:c>
      <x:c r="P2" s="607" t="s">
        <x:v>286</x:v>
      </x:c>
      <x:c r="Q2" s="500" t="s">
        <x:v>287</x:v>
      </x:c>
    </x:row>
    <x:row r="3" spans="2:19" s="135" customFormat="1" ht="26.25" thickBot="1" x14ac:dyDescent="0.25">
      <x:c r="B3" s="545" t="s">
        <x:v>134</x:v>
      </x:c>
      <x:c r="C3" s="136" t="s">
        <x:v>3</x:v>
      </x:c>
      <x:c r="D3" s="137" t="s">
        <x:v>9</x:v>
      </x:c>
      <x:c r="E3" s="478" t="s">
        <x:v>108</x:v>
      </x:c>
      <x:c r="F3" s="501" t="s">
        <x:v>288</x:v>
      </x:c>
      <x:c r="G3" s="502" t="s">
        <x:v>289</x:v>
      </x:c>
      <x:c r="H3" s="503" t="s">
        <x:v>290</x:v>
      </x:c>
      <x:c r="I3" s="504" t="s">
        <x:v>291</x:v>
      </x:c>
      <x:c r="J3" s="501" t="s">
        <x:v>292</x:v>
      </x:c>
      <x:c r="K3" s="502" t="s">
        <x:v>293</x:v>
      </x:c>
      <x:c r="L3" s="503" t="s">
        <x:v>294</x:v>
      </x:c>
      <x:c r="M3" s="504" t="s">
        <x:v>295</x:v>
      </x:c>
      <x:c r="N3" s="501" t="s">
        <x:v>296</x:v>
      </x:c>
      <x:c r="O3" s="502" t="s">
        <x:v>297</x:v>
      </x:c>
      <x:c r="P3" s="503" t="s">
        <x:v>298</x:v>
      </x:c>
      <x:c r="Q3" s="504" t="s">
        <x:v>299</x:v>
      </x:c>
    </x:row>
    <x:row r="4" spans="2:19" s="135" customFormat="1" x14ac:dyDescent="0.2">
      <x:c r="B4" s="546">
        <x:v>378371975</x:v>
      </x:c>
      <x:c r="C4" s="479">
        <x:v>1</x:v>
      </x:c>
      <x:c r="D4" s="145" t="s">
        <x:v>10</x:v>
      </x:c>
      <x:c r="E4" s="547">
        <x:v>0.22</x:v>
      </x:c>
      <x:c r="F4" s="548">
        <x:v>189185988</x:v>
      </x:c>
      <x:c r="G4" s="549">
        <x:v>189185987</x:v>
      </x:c>
      <x:c r="H4" s="550">
        <x:v>189185988</x:v>
      </x:c>
      <x:c r="I4" s="551">
        <x:v>189185987</x:v>
      </x:c>
      <x:c r="J4" s="548">
        <x:v>189185988</x:v>
      </x:c>
      <x:c r="K4" s="549">
        <x:v>189185987</x:v>
      </x:c>
      <x:c r="L4" s="550">
        <x:v>189185988</x:v>
      </x:c>
      <x:c r="M4" s="551">
        <x:v>189185987</x:v>
      </x:c>
      <x:c r="N4" s="548">
        <x:v>189185988</x:v>
      </x:c>
      <x:c r="O4" s="549">
        <x:v>189185987</x:v>
      </x:c>
      <x:c r="P4" s="550">
        <x:v>189185988</x:v>
      </x:c>
      <x:c r="Q4" s="551">
        <x:v>189185987</x:v>
      </x:c>
      <x:c r="S4" s="608"/>
    </x:row>
    <x:row r="5" spans="2:19" s="135" customFormat="1" x14ac:dyDescent="0.2">
      <x:c r="B5" s="546">
        <x:v>533160511</x:v>
      </x:c>
      <x:c r="C5" s="480">
        <x:v>2</x:v>
      </x:c>
      <x:c r="D5" s="140" t="s">
        <x:v>11</x:v>
      </x:c>
      <x:c r="E5" s="552">
        <x:v>0.31</x:v>
      </x:c>
      <x:c r="F5" s="553">
        <x:v>266580256</x:v>
      </x:c>
      <x:c r="G5" s="554">
        <x:v>266580255</x:v>
      </x:c>
      <x:c r="H5" s="555">
        <x:v>266580256</x:v>
      </x:c>
      <x:c r="I5" s="551">
        <x:v>266580255</x:v>
      </x:c>
      <x:c r="J5" s="553">
        <x:v>266580256</x:v>
      </x:c>
      <x:c r="K5" s="554">
        <x:v>266580255</x:v>
      </x:c>
      <x:c r="L5" s="555">
        <x:v>266580256</x:v>
      </x:c>
      <x:c r="M5" s="551">
        <x:v>266580255</x:v>
      </x:c>
      <x:c r="N5" s="553">
        <x:v>266580256</x:v>
      </x:c>
      <x:c r="O5" s="554">
        <x:v>266580255</x:v>
      </x:c>
      <x:c r="P5" s="555">
        <x:v>266580256</x:v>
      </x:c>
      <x:c r="Q5" s="551">
        <x:v>266580255</x:v>
      </x:c>
      <x:c r="S5" s="608"/>
    </x:row>
    <x:row r="6" spans="2:19" s="135" customFormat="1" x14ac:dyDescent="0.2">
      <x:c r="B6" s="546">
        <x:v>309577071</x:v>
      </x:c>
      <x:c r="C6" s="480">
        <x:v>3</x:v>
      </x:c>
      <x:c r="D6" s="140" t="s">
        <x:v>12</x:v>
      </x:c>
      <x:c r="E6" s="552">
        <x:v>0.18</x:v>
      </x:c>
      <x:c r="F6" s="553">
        <x:v>154788536</x:v>
      </x:c>
      <x:c r="G6" s="554">
        <x:v>154788535</x:v>
      </x:c>
      <x:c r="H6" s="555">
        <x:v>154788536</x:v>
      </x:c>
      <x:c r="I6" s="551">
        <x:v>154788535</x:v>
      </x:c>
      <x:c r="J6" s="553">
        <x:v>154788536</x:v>
      </x:c>
      <x:c r="K6" s="554">
        <x:v>154788535</x:v>
      </x:c>
      <x:c r="L6" s="555">
        <x:v>154788536</x:v>
      </x:c>
      <x:c r="M6" s="551">
        <x:v>154788535</x:v>
      </x:c>
      <x:c r="N6" s="553">
        <x:v>154788536</x:v>
      </x:c>
      <x:c r="O6" s="554">
        <x:v>154788535</x:v>
      </x:c>
      <x:c r="P6" s="555">
        <x:v>154788536</x:v>
      </x:c>
      <x:c r="Q6" s="551">
        <x:v>154788535</x:v>
      </x:c>
      <x:c r="S6" s="608"/>
    </x:row>
    <x:row r="7" spans="2:19" s="135" customFormat="1" x14ac:dyDescent="0.2">
      <x:c r="B7" s="546">
        <x:v>240782166</x:v>
      </x:c>
      <x:c r="C7" s="480">
        <x:v>4</x:v>
      </x:c>
      <x:c r="D7" s="140" t="s">
        <x:v>13</x:v>
      </x:c>
      <x:c r="E7" s="552">
        <x:v>0.14000000000000001</x:v>
      </x:c>
      <x:c r="F7" s="553">
        <x:v>120391083</x:v>
      </x:c>
      <x:c r="G7" s="554">
        <x:v>120391083</x:v>
      </x:c>
      <x:c r="H7" s="555">
        <x:v>120391083</x:v>
      </x:c>
      <x:c r="I7" s="551">
        <x:v>120391083</x:v>
      </x:c>
      <x:c r="J7" s="553">
        <x:v>120391083</x:v>
      </x:c>
      <x:c r="K7" s="554">
        <x:v>120391083</x:v>
      </x:c>
      <x:c r="L7" s="555">
        <x:v>120391083</x:v>
      </x:c>
      <x:c r="M7" s="551">
        <x:v>120391083</x:v>
      </x:c>
      <x:c r="N7" s="553">
        <x:v>120391083</x:v>
      </x:c>
      <x:c r="O7" s="554">
        <x:v>120391083</x:v>
      </x:c>
      <x:c r="P7" s="555">
        <x:v>120391083</x:v>
      </x:c>
      <x:c r="Q7" s="551">
        <x:v>120391083</x:v>
      </x:c>
      <x:c r="S7" s="608"/>
    </x:row>
    <x:row r="8" spans="2:19" s="135" customFormat="1" ht="13.5" thickBot="1" x14ac:dyDescent="0.25">
      <x:c r="B8" s="546">
        <x:v>257980891</x:v>
      </x:c>
      <x:c r="C8" s="481">
        <x:v>5</x:v>
      </x:c>
      <x:c r="D8" s="142" t="s">
        <x:v>14</x:v>
      </x:c>
      <x:c r="E8" s="556">
        <x:v>0.15</x:v>
      </x:c>
      <x:c r="F8" s="557">
        <x:v>128990446</x:v>
      </x:c>
      <x:c r="G8" s="558">
        <x:v>128990445</x:v>
      </x:c>
      <x:c r="H8" s="559">
        <x:v>128990446</x:v>
      </x:c>
      <x:c r="I8" s="560">
        <x:v>128990445</x:v>
      </x:c>
      <x:c r="J8" s="557">
        <x:v>128990446</x:v>
      </x:c>
      <x:c r="K8" s="558">
        <x:v>128990445</x:v>
      </x:c>
      <x:c r="L8" s="559">
        <x:v>128990446</x:v>
      </x:c>
      <x:c r="M8" s="560">
        <x:v>128990445</x:v>
      </x:c>
      <x:c r="N8" s="557">
        <x:v>128990446</x:v>
      </x:c>
      <x:c r="O8" s="558">
        <x:v>128990445</x:v>
      </x:c>
      <x:c r="P8" s="559">
        <x:v>128990446</x:v>
      </x:c>
      <x:c r="Q8" s="560">
        <x:v>128990445</x:v>
      </x:c>
      <x:c r="S8" s="608"/>
    </x:row>
    <x:row r="9" spans="2:19" s="135" customFormat="1" ht="13.5" thickBot="1" x14ac:dyDescent="0.25">
      <x:c r="B9" s="561">
        <x:v>1719872614</x:v>
      </x:c>
      <x:c r="C9" s="143"/>
      <x:c r="D9" s="144" t="s">
        <x:v>2</x:v>
      </x:c>
      <x:c r="E9" s="482">
        <x:v>1</x:v>
      </x:c>
      <x:c r="F9" s="562">
        <x:v>859936309</x:v>
      </x:c>
      <x:c r="G9" s="562">
        <x:v>859936305</x:v>
      </x:c>
      <x:c r="H9" s="563">
        <x:v>859936309</x:v>
      </x:c>
      <x:c r="I9" s="563">
        <x:v>859936305</x:v>
      </x:c>
      <x:c r="J9" s="562">
        <x:v>859936309</x:v>
      </x:c>
      <x:c r="K9" s="562">
        <x:v>859936305</x:v>
      </x:c>
      <x:c r="L9" s="563">
        <x:v>859936309</x:v>
      </x:c>
      <x:c r="M9" s="563">
        <x:v>859936305</x:v>
      </x:c>
      <x:c r="N9" s="562">
        <x:v>859936309</x:v>
      </x:c>
      <x:c r="O9" s="562">
        <x:v>859936305</x:v>
      </x:c>
      <x:c r="P9" s="563">
        <x:v>859936309</x:v>
      </x:c>
      <x:c r="Q9" s="563">
        <x:v>859936305</x:v>
      </x:c>
      <x:c r="S9" s="608"/>
    </x:row>
    <x:row r="10" spans="2:19" s="135" customFormat="1" ht="15.75" customHeight="1" thickBot="1" x14ac:dyDescent="0.25">
      <x:c r="B10" s="544"/>
      <x:c r="F10" s="776">
        <x:f>SUM(F9:G9)</x:f>
        <x:v>1719872614</x:v>
      </x:c>
      <x:c r="G10" s="777"/>
      <x:c r="H10" s="776">
        <x:f>SUM(H9:I9)</x:f>
        <x:v>1719872614</x:v>
      </x:c>
      <x:c r="I10" s="777"/>
      <x:c r="J10" s="776">
        <x:f>SUM(J9:K9)</x:f>
        <x:v>1719872614</x:v>
      </x:c>
      <x:c r="K10" s="777"/>
      <x:c r="L10" s="776">
        <x:f>SUM(L9:M9)</x:f>
        <x:v>1719872614</x:v>
      </x:c>
      <x:c r="M10" s="777"/>
      <x:c r="N10" s="776">
        <x:f>SUM(N9:O9)</x:f>
        <x:v>1719872614</x:v>
      </x:c>
      <x:c r="O10" s="777"/>
      <x:c r="P10" s="776">
        <x:f>SUM(P9:Q9)</x:f>
        <x:v>1719872614</x:v>
      </x:c>
      <x:c r="Q10" s="777"/>
    </x:row>
    <x:row r="12" spans="2:19" ht="13.5" thickBot="1" x14ac:dyDescent="0.25"/>
    <x:row r="13" spans="2:19" s="135" customFormat="1" ht="13.5" thickBot="1" x14ac:dyDescent="0.25">
      <x:c r="B13" s="544"/>
      <x:c r="E13" s="135" t="s">
        <x:v>1</x:v>
      </x:c>
      <x:c r="F13" s="609" t="s">
        <x:v>300</x:v>
      </x:c>
      <x:c r="G13" s="499" t="s">
        <x:v>301</x:v>
      </x:c>
      <x:c r="H13" s="499" t="s">
        <x:v>302</x:v>
      </x:c>
      <x:c r="I13" s="500" t="s">
        <x:v>303</x:v>
      </x:c>
      <x:c r="J13" s="500" t="s">
        <x:v>304</x:v>
      </x:c>
      <x:c r="K13" s="499" t="s">
        <x:v>305</x:v>
      </x:c>
      <x:c r="L13" s="499" t="s">
        <x:v>306</x:v>
      </x:c>
      <x:c r="M13" s="500" t="s">
        <x:v>307</x:v>
      </x:c>
      <x:c r="N13" s="500" t="s">
        <x:v>308</x:v>
      </x:c>
      <x:c r="O13" s="499" t="s">
        <x:v>309</x:v>
      </x:c>
      <x:c r="P13" s="499" t="s">
        <x:v>310</x:v>
      </x:c>
      <x:c r="Q13" s="500" t="s">
        <x:v>311</x:v>
      </x:c>
    </x:row>
    <x:row r="14" spans="2:19" s="135" customFormat="1" ht="26.25" thickBot="1" x14ac:dyDescent="0.25">
      <x:c r="B14" s="544"/>
      <x:c r="C14" s="136" t="s">
        <x:v>3</x:v>
      </x:c>
      <x:c r="D14" s="137" t="s">
        <x:v>9</x:v>
      </x:c>
      <x:c r="E14" s="478" t="s">
        <x:v>108</x:v>
      </x:c>
      <x:c r="F14" s="501" t="s">
        <x:v>312</x:v>
      </x:c>
      <x:c r="G14" s="502" t="s">
        <x:v>313</x:v>
      </x:c>
      <x:c r="H14" s="503" t="s">
        <x:v>314</x:v>
      </x:c>
      <x:c r="I14" s="504" t="s">
        <x:v>315</x:v>
      </x:c>
      <x:c r="J14" s="501" t="s">
        <x:v>316</x:v>
      </x:c>
      <x:c r="K14" s="502" t="s">
        <x:v>317</x:v>
      </x:c>
      <x:c r="L14" s="503" t="s">
        <x:v>318</x:v>
      </x:c>
      <x:c r="M14" s="504" t="s">
        <x:v>319</x:v>
      </x:c>
      <x:c r="N14" s="501" t="s">
        <x:v>320</x:v>
      </x:c>
      <x:c r="O14" s="502" t="s">
        <x:v>321</x:v>
      </x:c>
      <x:c r="P14" s="503" t="s">
        <x:v>322</x:v>
      </x:c>
      <x:c r="Q14" s="504" t="s">
        <x:v>323</x:v>
      </x:c>
    </x:row>
    <x:row r="15" spans="2:19" s="135" customFormat="1" x14ac:dyDescent="0.2">
      <x:c r="B15" s="544"/>
      <x:c r="C15" s="138">
        <x:v>1</x:v>
      </x:c>
      <x:c r="D15" s="145" t="s">
        <x:v>10</x:v>
      </x:c>
      <x:c r="E15" s="564">
        <x:v>0.22</x:v>
      </x:c>
      <x:c r="F15" s="548">
        <x:v>189185988</x:v>
      </x:c>
      <x:c r="G15" s="549">
        <x:v>189185987</x:v>
      </x:c>
      <x:c r="H15" s="550">
        <x:v>189185988</x:v>
      </x:c>
      <x:c r="I15" s="551">
        <x:v>189185987</x:v>
      </x:c>
      <x:c r="J15" s="548">
        <x:v>189185988</x:v>
      </x:c>
      <x:c r="K15" s="549">
        <x:v>189185987</x:v>
      </x:c>
      <x:c r="L15" s="550">
        <x:v>189185988</x:v>
      </x:c>
      <x:c r="M15" s="551">
        <x:v>189185987</x:v>
      </x:c>
      <x:c r="N15" s="548">
        <x:v>189185988</x:v>
      </x:c>
      <x:c r="O15" s="549">
        <x:v>189185987</x:v>
      </x:c>
      <x:c r="P15" s="550">
        <x:v>189185988</x:v>
      </x:c>
      <x:c r="Q15" s="551">
        <x:v>189185987</x:v>
      </x:c>
    </x:row>
    <x:row r="16" spans="2:19" s="135" customFormat="1" x14ac:dyDescent="0.2">
      <x:c r="B16" s="544"/>
      <x:c r="C16" s="139">
        <x:v>2</x:v>
      </x:c>
      <x:c r="D16" s="140" t="s">
        <x:v>11</x:v>
      </x:c>
      <x:c r="E16" s="565">
        <x:v>0.31</x:v>
      </x:c>
      <x:c r="F16" s="553">
        <x:v>266580256</x:v>
      </x:c>
      <x:c r="G16" s="554">
        <x:v>266580255</x:v>
      </x:c>
      <x:c r="H16" s="555">
        <x:v>266580256</x:v>
      </x:c>
      <x:c r="I16" s="551">
        <x:v>266580255</x:v>
      </x:c>
      <x:c r="J16" s="553">
        <x:v>266580256</x:v>
      </x:c>
      <x:c r="K16" s="554">
        <x:v>266580255</x:v>
      </x:c>
      <x:c r="L16" s="555">
        <x:v>266580256</x:v>
      </x:c>
      <x:c r="M16" s="551">
        <x:v>266580255</x:v>
      </x:c>
      <x:c r="N16" s="553">
        <x:v>266580256</x:v>
      </x:c>
      <x:c r="O16" s="554">
        <x:v>266580255</x:v>
      </x:c>
      <x:c r="P16" s="555">
        <x:v>266580256</x:v>
      </x:c>
      <x:c r="Q16" s="551">
        <x:v>266580255</x:v>
      </x:c>
    </x:row>
    <x:row r="17" spans="2:19" s="135" customFormat="1" x14ac:dyDescent="0.2">
      <x:c r="B17" s="544"/>
      <x:c r="C17" s="139">
        <x:v>3</x:v>
      </x:c>
      <x:c r="D17" s="140" t="s">
        <x:v>12</x:v>
      </x:c>
      <x:c r="E17" s="565">
        <x:v>0.18</x:v>
      </x:c>
      <x:c r="F17" s="553">
        <x:v>154788536</x:v>
      </x:c>
      <x:c r="G17" s="554">
        <x:v>154788535</x:v>
      </x:c>
      <x:c r="H17" s="555">
        <x:v>154788536</x:v>
      </x:c>
      <x:c r="I17" s="551">
        <x:v>154788535</x:v>
      </x:c>
      <x:c r="J17" s="553">
        <x:v>154788536</x:v>
      </x:c>
      <x:c r="K17" s="554">
        <x:v>154788535</x:v>
      </x:c>
      <x:c r="L17" s="555">
        <x:v>154788536</x:v>
      </x:c>
      <x:c r="M17" s="551">
        <x:v>154788535</x:v>
      </x:c>
      <x:c r="N17" s="553">
        <x:v>154788536</x:v>
      </x:c>
      <x:c r="O17" s="554">
        <x:v>154788535</x:v>
      </x:c>
      <x:c r="P17" s="555">
        <x:v>154788536</x:v>
      </x:c>
      <x:c r="Q17" s="551">
        <x:v>154788535</x:v>
      </x:c>
    </x:row>
    <x:row r="18" spans="2:19" s="135" customFormat="1" x14ac:dyDescent="0.2">
      <x:c r="B18" s="544"/>
      <x:c r="C18" s="139">
        <x:v>4</x:v>
      </x:c>
      <x:c r="D18" s="140" t="s">
        <x:v>13</x:v>
      </x:c>
      <x:c r="E18" s="565">
        <x:v>0.14000000000000001</x:v>
      </x:c>
      <x:c r="F18" s="553">
        <x:v>120391083</x:v>
      </x:c>
      <x:c r="G18" s="554">
        <x:v>120391083</x:v>
      </x:c>
      <x:c r="H18" s="555">
        <x:v>120391083</x:v>
      </x:c>
      <x:c r="I18" s="551">
        <x:v>120391083</x:v>
      </x:c>
      <x:c r="J18" s="553">
        <x:v>120391083</x:v>
      </x:c>
      <x:c r="K18" s="554">
        <x:v>120391083</x:v>
      </x:c>
      <x:c r="L18" s="555">
        <x:v>120391083</x:v>
      </x:c>
      <x:c r="M18" s="551">
        <x:v>120391083</x:v>
      </x:c>
      <x:c r="N18" s="553">
        <x:v>120391083</x:v>
      </x:c>
      <x:c r="O18" s="554">
        <x:v>120391083</x:v>
      </x:c>
      <x:c r="P18" s="555">
        <x:v>120391083</x:v>
      </x:c>
      <x:c r="Q18" s="551">
        <x:v>120391083</x:v>
      </x:c>
    </x:row>
    <x:row r="19" spans="2:19" s="135" customFormat="1" ht="13.5" thickBot="1" x14ac:dyDescent="0.25">
      <x:c r="B19" s="544"/>
      <x:c r="C19" s="141">
        <x:v>5</x:v>
      </x:c>
      <x:c r="D19" s="142" t="s">
        <x:v>14</x:v>
      </x:c>
      <x:c r="E19" s="566">
        <x:v>0.15</x:v>
      </x:c>
      <x:c r="F19" s="557">
        <x:v>128990446</x:v>
      </x:c>
      <x:c r="G19" s="558">
        <x:v>128990445</x:v>
      </x:c>
      <x:c r="H19" s="559">
        <x:v>128990446</x:v>
      </x:c>
      <x:c r="I19" s="560">
        <x:v>128990445</x:v>
      </x:c>
      <x:c r="J19" s="557">
        <x:v>128990446</x:v>
      </x:c>
      <x:c r="K19" s="558">
        <x:v>128990445</x:v>
      </x:c>
      <x:c r="L19" s="559">
        <x:v>128990446</x:v>
      </x:c>
      <x:c r="M19" s="560">
        <x:v>128990445</x:v>
      </x:c>
      <x:c r="N19" s="557">
        <x:v>128990446</x:v>
      </x:c>
      <x:c r="O19" s="558">
        <x:v>128990445</x:v>
      </x:c>
      <x:c r="P19" s="559">
        <x:v>128990446</x:v>
      </x:c>
      <x:c r="Q19" s="560">
        <x:v>128990445</x:v>
      </x:c>
    </x:row>
    <x:row r="20" spans="2:19" s="135" customFormat="1" ht="13.5" thickBot="1" x14ac:dyDescent="0.25">
      <x:c r="B20" s="544"/>
      <x:c r="C20" s="143"/>
      <x:c r="D20" s="144" t="s">
        <x:v>2</x:v>
      </x:c>
      <x:c r="E20" s="483">
        <x:v>1</x:v>
      </x:c>
      <x:c r="F20" s="562">
        <x:v>859936309</x:v>
      </x:c>
      <x:c r="G20" s="562">
        <x:v>859936305</x:v>
      </x:c>
      <x:c r="H20" s="563">
        <x:v>859936309</x:v>
      </x:c>
      <x:c r="I20" s="563">
        <x:v>859936305</x:v>
      </x:c>
      <x:c r="J20" s="562">
        <x:v>859936309</x:v>
      </x:c>
      <x:c r="K20" s="562">
        <x:v>859936305</x:v>
      </x:c>
      <x:c r="L20" s="563">
        <x:v>859936309</x:v>
      </x:c>
      <x:c r="M20" s="563">
        <x:v>859936305</x:v>
      </x:c>
      <x:c r="N20" s="562">
        <x:v>859936309</x:v>
      </x:c>
      <x:c r="O20" s="562">
        <x:v>859936305</x:v>
      </x:c>
      <x:c r="P20" s="563">
        <x:v>859936309</x:v>
      </x:c>
      <x:c r="Q20" s="563">
        <x:v>859936305</x:v>
      </x:c>
    </x:row>
    <x:row r="21" spans="2:19" s="135" customFormat="1" ht="13.5" thickBot="1" x14ac:dyDescent="0.25">
      <x:c r="B21" s="544"/>
      <x:c r="F21" s="776">
        <x:f>SUM(F20:G20)</x:f>
        <x:v>1719872614</x:v>
      </x:c>
      <x:c r="G21" s="777">
        <x:v>1191383498</x:v>
      </x:c>
      <x:c r="H21" s="776">
        <x:f>SUM(H20:I20)</x:f>
        <x:v>1719872614</x:v>
      </x:c>
      <x:c r="I21" s="777">
        <x:v>1191383498</x:v>
      </x:c>
      <x:c r="J21" s="776">
        <x:f>SUM(J20:K20)</x:f>
        <x:v>1719872614</x:v>
      </x:c>
      <x:c r="K21" s="777">
        <x:v>1191383498</x:v>
      </x:c>
      <x:c r="L21" s="776">
        <x:f>SUM(L20:M20)</x:f>
        <x:v>1719872614</x:v>
      </x:c>
      <x:c r="M21" s="777">
        <x:v>1191383498</x:v>
      </x:c>
      <x:c r="N21" s="776">
        <x:f>SUM(N20:O20)</x:f>
        <x:v>1719872614</x:v>
      </x:c>
      <x:c r="O21" s="777">
        <x:v>1191383498</x:v>
      </x:c>
      <x:c r="P21" s="776">
        <x:f>SUM(P20:Q20)</x:f>
        <x:v>1719872614</x:v>
      </x:c>
      <x:c r="Q21" s="777">
        <x:v>1191383498</x:v>
      </x:c>
    </x:row>
    <x:row r="24" spans="2:19" ht="13.5" thickBot="1" x14ac:dyDescent="0.25">
      <x:c r="B24" s="197"/>
      <x:c r="C24" s="437"/>
      <x:c r="D24" s="437"/>
      <x:c r="E24" s="197"/>
      <x:c r="F24" s="197"/>
      <x:c r="G24" s="197"/>
      <x:c r="H24" s="197"/>
      <x:c r="I24" s="197"/>
      <x:c r="J24" s="197"/>
      <x:c r="K24" s="197"/>
      <x:c r="L24" s="197"/>
      <x:c r="M24" s="197"/>
      <x:c r="N24" s="197"/>
      <x:c r="O24" s="197"/>
      <x:c r="P24" s="197"/>
      <x:c r="Q24" s="197"/>
      <x:c r="R24" s="197"/>
    </x:row>
    <x:row r="25" spans="2:19" ht="24.75" customHeight="1" thickBot="1" x14ac:dyDescent="0.25">
      <x:c r="K25" s="588" t="s">
        <x:v>269</x:v>
      </x:c>
      <x:c r="L25" s="136" t="s">
        <x:v>3</x:v>
      </x:c>
      <x:c r="M25" s="527" t="s">
        <x:v>267</x:v>
      </x:c>
      <x:c r="N25" s="527" t="s">
        <x:v>268</x:v>
      </x:c>
      <x:c r="Q25" s="438" t="s">
        <x:v>1</x:v>
      </x:c>
      <x:c r="R25" s="29" t="s">
        <x:v>200</x:v>
      </x:c>
    </x:row>
    <x:row r="26" spans="2:19" x14ac:dyDescent="0.2">
      <x:c r="G26" s="191"/>
      <x:c r="H26" s="191"/>
      <x:c r="I26" s="191"/>
      <x:c r="J26" s="526"/>
      <x:c r="K26" s="567">
        <x:v>378371975</x:v>
      </x:c>
      <x:c r="L26" s="138">
        <x:v>1</x:v>
      </x:c>
      <x:c r="M26" s="586">
        <x:v>189185988</x:v>
      </x:c>
      <x:c r="N26" s="164">
        <x:v>189185987</x:v>
      </x:c>
      <x:c r="O26" s="151" t="b">
        <x:f>M26=R26</x:f>
        <x:v>1</x:v>
      </x:c>
      <x:c r="P26" s="151"/>
      <x:c r="Q26" s="587">
        <x:f>'CONSOLIDADO_TOTAL RECAUDO'!L104</x:f>
        <x:v>189185988</x:v>
      </x:c>
      <x:c r="R26" s="575">
        <x:f>F15</x:f>
        <x:v>189185988</x:v>
      </x:c>
      <x:c r="S26" t="b">
        <x:f>Q26=R26</x:f>
        <x:v>1</x:v>
      </x:c>
    </x:row>
    <x:row r="27" spans="2:19" x14ac:dyDescent="0.2">
      <x:c r="G27" s="191"/>
      <x:c r="H27" s="191"/>
      <x:c r="I27" s="191"/>
      <x:c r="J27" s="526"/>
      <x:c r="K27" s="568">
        <x:v>533160511</x:v>
      </x:c>
      <x:c r="L27" s="139">
        <x:v>2</x:v>
      </x:c>
      <x:c r="M27" s="586">
        <x:v>266580256</x:v>
      </x:c>
      <x:c r="N27" s="164">
        <x:v>266580255</x:v>
      </x:c>
      <x:c r="O27" s="151" t="b">
        <x:f t="shared" ref="O27:O31" si="0">M27=R27</x:f>
        <x:v>1</x:v>
      </x:c>
      <x:c r="P27" s="151"/>
      <x:c r="Q27" s="587">
        <x:f>'CONSOLIDADO_TOTAL RECAUDO'!L105</x:f>
        <x:v>266580256</x:v>
      </x:c>
      <x:c r="R27" s="575">
        <x:f t="shared" ref="R27:R31" si="1">F16</x:f>
        <x:v>266580256</x:v>
      </x:c>
      <x:c r="S27" t="b">
        <x:f>Q27=R27</x:f>
        <x:v>1</x:v>
      </x:c>
    </x:row>
    <x:row r="28" spans="2:19" x14ac:dyDescent="0.2">
      <x:c r="G28" s="151"/>
      <x:c r="H28" s="191"/>
      <x:c r="I28" s="191"/>
      <x:c r="J28" s="526"/>
      <x:c r="K28" s="568">
        <x:v>309577071</x:v>
      </x:c>
      <x:c r="L28" s="139">
        <x:v>3</x:v>
      </x:c>
      <x:c r="M28" s="586">
        <x:v>154788536</x:v>
      </x:c>
      <x:c r="N28" s="164">
        <x:v>154788535</x:v>
      </x:c>
      <x:c r="O28" s="151" t="b">
        <x:f t="shared" si="0"/>
        <x:v>1</x:v>
      </x:c>
      <x:c r="P28" s="151"/>
      <x:c r="Q28" s="587">
        <x:f>'CONSOLIDADO_TOTAL RECAUDO'!L106</x:f>
        <x:v>154788536</x:v>
      </x:c>
      <x:c r="R28" s="575">
        <x:f t="shared" si="1"/>
        <x:v>154788536</x:v>
      </x:c>
      <x:c r="S28" t="b">
        <x:f t="shared" ref="S28:S31" si="2">Q28=R28</x:f>
        <x:v>1</x:v>
      </x:c>
    </x:row>
    <x:row r="29" spans="2:19" x14ac:dyDescent="0.2">
      <x:c r="G29" s="514"/>
      <x:c r="H29" s="191"/>
      <x:c r="I29" s="191"/>
      <x:c r="J29" s="526"/>
      <x:c r="K29" s="568">
        <x:v>240782166</x:v>
      </x:c>
      <x:c r="L29" s="139">
        <x:v>4</x:v>
      </x:c>
      <x:c r="M29" s="586">
        <x:v>120391083</x:v>
      </x:c>
      <x:c r="N29" s="569">
        <x:v>120391083</x:v>
      </x:c>
      <x:c r="O29" s="151" t="b">
        <x:f t="shared" si="0"/>
        <x:v>1</x:v>
      </x:c>
      <x:c r="P29" s="151"/>
      <x:c r="Q29" s="587">
        <x:f>'CONSOLIDADO_TOTAL RECAUDO'!L107</x:f>
        <x:v>120391083</x:v>
      </x:c>
      <x:c r="R29" s="575">
        <x:f t="shared" si="1"/>
        <x:v>120391083</x:v>
      </x:c>
      <x:c r="S29" t="b">
        <x:f t="shared" si="2"/>
        <x:v>1</x:v>
      </x:c>
    </x:row>
    <x:row r="30" spans="2:19" ht="13.5" thickBot="1" x14ac:dyDescent="0.25">
      <x:c r="G30" s="514"/>
      <x:c r="H30" s="191"/>
      <x:c r="I30" s="191"/>
      <x:c r="J30" s="526"/>
      <x:c r="K30" s="570">
        <x:v>257980891</x:v>
      </x:c>
      <x:c r="L30" s="141">
        <x:v>5</x:v>
      </x:c>
      <x:c r="M30" s="586">
        <x:v>128990446</x:v>
      </x:c>
      <x:c r="N30" s="571">
        <x:v>128990445</x:v>
      </x:c>
      <x:c r="O30" s="151" t="b">
        <x:f t="shared" si="0"/>
        <x:v>1</x:v>
      </x:c>
      <x:c r="P30" s="151"/>
      <x:c r="Q30" s="587">
        <x:f>'CONSOLIDADO_TOTAL RECAUDO'!L108</x:f>
        <x:v>128990446</x:v>
      </x:c>
      <x:c r="R30" s="575">
        <x:f t="shared" si="1"/>
        <x:v>128990446</x:v>
      </x:c>
      <x:c r="S30" t="b">
        <x:f t="shared" si="2"/>
        <x:v>1</x:v>
      </x:c>
    </x:row>
    <x:row r="31" spans="2:19" ht="13.5" thickBot="1" x14ac:dyDescent="0.25">
      <x:c r="G31" s="514"/>
      <x:c r="H31" s="151"/>
      <x:c r="I31" s="151"/>
      <x:c r="J31" s="211"/>
      <x:c r="K31" s="572">
        <x:f>SUM(K26:K30)</x:f>
        <x:v>1719872614</x:v>
      </x:c>
      <x:c r="L31" s="143"/>
      <x:c r="M31" s="573">
        <x:f>SUM(M26:M30)</x:f>
        <x:v>859936309</x:v>
      </x:c>
      <x:c r="N31" s="573">
        <x:f>SUM(N26:N30)</x:f>
        <x:v>859936305</x:v>
      </x:c>
      <x:c r="O31" s="151" t="b">
        <x:f t="shared" si="0"/>
        <x:v>1</x:v>
      </x:c>
      <x:c r="P31" s="151"/>
      <x:c r="Q31" s="587">
        <x:f>'CONSOLIDADO_TOTAL RECAUDO'!L109</x:f>
        <x:v>859936309</x:v>
      </x:c>
      <x:c r="R31" s="575">
        <x:f t="shared" si="1"/>
        <x:v>859936309</x:v>
      </x:c>
      <x:c r="S31" t="b">
        <x:f t="shared" si="2"/>
        <x:v>1</x:v>
      </x:c>
    </x:row>
    <x:row r="32" spans="2:19" x14ac:dyDescent="0.2">
      <x:c r="G32" s="514"/>
      <x:c r="H32" s="151"/>
      <x:c r="I32" s="151"/>
      <x:c r="K32" s="528">
        <x:f>SUM(M31:N31)</x:f>
        <x:v>1719872614</x:v>
      </x:c>
      <x:c r="L32" s="211"/>
    </x:row>
    <x:row r="33" spans="7:17" x14ac:dyDescent="0.2">
      <x:c r="G33" s="514"/>
      <x:c r="H33" s="151"/>
      <x:c r="J33" s="211"/>
      <x:c r="K33" s="211"/>
      <x:c r="Q33" s="191"/>
    </x:row>
    <x:row r="34" spans="7:17" x14ac:dyDescent="0.2">
      <x:c r="G34" s="514"/>
      <x:c r="H34" s="151"/>
      <x:c r="Q34" s="191"/>
    </x:row>
    <x:row r="35" spans="7:17" x14ac:dyDescent="0.2">
      <x:c r="H35" s="151"/>
      <x:c r="K35" s="574"/>
      <x:c r="Q35" s="191"/>
    </x:row>
    <x:row r="36" spans="7:17" x14ac:dyDescent="0.2">
      <x:c r="H36" s="151"/>
      <x:c r="K36" s="574"/>
      <x:c r="Q36" s="191"/>
    </x:row>
    <x:row r="37" spans="7:17" x14ac:dyDescent="0.2">
      <x:c r="H37" s="151"/>
      <x:c r="K37" s="574"/>
      <x:c r="Q37" s="191"/>
    </x:row>
    <x:row r="38" spans="7:17" x14ac:dyDescent="0.2">
      <x:c r="H38" s="151"/>
      <x:c r="K38" s="574"/>
      <x:c r="Q38" s="191"/>
    </x:row>
    <x:row r="39" spans="7:17" x14ac:dyDescent="0.2">
      <x:c r="H39" s="151"/>
      <x:c r="K39" s="574"/>
    </x:row>
    <x:row r="40" spans="7:17" x14ac:dyDescent="0.2">
      <x:c r="H40" s="151"/>
      <x:c r="K40" s="574"/>
    </x:row>
    <x:row r="41" spans="7:17" x14ac:dyDescent="0.2">
      <x:c r="H41" s="151"/>
    </x:row>
    <x:row r="42" spans="7:17" x14ac:dyDescent="0.2">
      <x:c r="H42" s="151"/>
    </x:row>
    <x:row r="43" spans="7:17" x14ac:dyDescent="0.2">
      <x:c r="H43" s="151"/>
    </x:row>
    <x:row r="44" spans="7:17" x14ac:dyDescent="0.2">
      <x:c r="H44" s="151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A19" sqref="A19"/>
    </x:sheetView>
  </x:sheetViews>
  <x:sheetFormatPr baseColWidth="10" defaultColWidth="11.42578125" defaultRowHeight="12" x14ac:dyDescent="0.2"/>
  <x:cols>
    <x:col min="1" max="1" width="3" style="315" customWidth="1"/>
    <x:col min="2" max="2" width="4.42578125" style="315" bestFit="1" customWidth="1"/>
    <x:col min="3" max="3" width="38.28515625" style="315" customWidth="1"/>
    <x:col min="4" max="4" width="15.28515625" style="315" customWidth="1"/>
    <x:col min="5" max="5" width="16" style="315" customWidth="1"/>
    <x:col min="6" max="7" width="14.7109375" style="315" customWidth="1"/>
    <x:col min="8" max="9" width="16" style="315" customWidth="1"/>
    <x:col min="10" max="10" width="17.5703125" style="315" customWidth="1"/>
    <x:col min="11" max="11" width="3.7109375" style="315" customWidth="1"/>
    <x:col min="12" max="12" width="2.7109375" style="315" customWidth="1"/>
    <x:col min="13" max="13" width="4.5703125" style="315" customWidth="1"/>
    <x:col min="14" max="14" width="11.28515625" style="315" customWidth="1"/>
    <x:col min="15" max="15" width="37.5703125" style="315" bestFit="1" customWidth="1"/>
    <x:col min="16" max="16" width="19.28515625" style="315" customWidth="1"/>
    <x:col min="17" max="17" width="17.7109375" style="315" customWidth="1"/>
    <x:col min="18" max="18" width="16.42578125" style="315" customWidth="1"/>
    <x:col min="19" max="19" width="17.28515625" style="315" customWidth="1"/>
    <x:col min="20" max="20" width="15.7109375" style="315" customWidth="1"/>
    <x:col min="21" max="21" width="16.28515625" style="315" customWidth="1"/>
    <x:col min="22" max="22" width="13.28515625" style="317" customWidth="1"/>
    <x:col min="23" max="23" width="13.7109375" style="315" customWidth="1"/>
    <x:col min="24" max="24" width="3.42578125" style="315" customWidth="1"/>
    <x:col min="25" max="25" width="13.7109375" style="315" bestFit="1" customWidth="1"/>
    <x:col min="26" max="27" width="11.42578125" style="315"/>
    <x:col min="28" max="28" width="15.7109375" style="315" bestFit="1" customWidth="1"/>
    <x:col min="29" max="16384" width="11.42578125" style="315"/>
  </x:cols>
  <x:sheetData>
    <x:row r="1" spans="2:28" x14ac:dyDescent="0.2">
      <x:c r="L1" s="316"/>
      <x:c r="X1" s="316"/>
    </x:row>
    <x:row r="2" spans="2:28" x14ac:dyDescent="0.2">
      <x:c r="L2" s="316"/>
      <x:c r="X2" s="316"/>
    </x:row>
    <x:row r="3" spans="2:28" ht="12.75" thickBot="1" x14ac:dyDescent="0.25">
      <x:c r="L3" s="316"/>
      <x:c r="X3" s="316"/>
    </x:row>
    <x:row r="4" spans="2:28" x14ac:dyDescent="0.2">
      <x:c r="B4" s="318"/>
      <x:c r="C4" s="319" t="s">
        <x:v>1</x:v>
      </x:c>
      <x:c r="D4" s="320" t="s">
        <x:v>1</x:v>
      </x:c>
      <x:c r="E4" s="319"/>
      <x:c r="F4" s="321"/>
      <x:c r="G4" s="319"/>
      <x:c r="H4" s="319" t="s">
        <x:v>1</x:v>
      </x:c>
      <x:c r="I4" s="319"/>
      <x:c r="J4" s="322"/>
      <x:c r="K4" s="323"/>
      <x:c r="L4" s="316"/>
      <x:c r="N4" s="318"/>
      <x:c r="O4" s="319" t="s">
        <x:v>1</x:v>
      </x:c>
      <x:c r="P4" s="320" t="s">
        <x:v>1</x:v>
      </x:c>
      <x:c r="Q4" s="319"/>
      <x:c r="R4" s="319"/>
      <x:c r="S4" s="319" t="s">
        <x:v>1</x:v>
      </x:c>
      <x:c r="T4" s="319"/>
      <x:c r="U4" s="322"/>
      <x:c r="V4" s="324"/>
      <x:c r="X4" s="316"/>
    </x:row>
    <x:row r="5" spans="2:28" ht="15.75" x14ac:dyDescent="0.25">
      <x:c r="B5" s="325"/>
      <x:c r="D5" s="326" t="s">
        <x:v>8</x:v>
      </x:c>
      <x:c r="E5" s="327"/>
      <x:c r="G5" s="327"/>
      <x:c r="I5" s="327" t="s">
        <x:v>16</x:v>
      </x:c>
      <x:c r="J5" s="328"/>
      <x:c r="K5" s="323"/>
      <x:c r="L5" s="316"/>
      <x:c r="N5" s="325"/>
      <x:c r="P5" s="326" t="s">
        <x:v>8</x:v>
      </x:c>
      <x:c r="R5" s="327"/>
      <x:c r="T5" s="327" t="s">
        <x:v>16</x:v>
      </x:c>
      <x:c r="U5" s="329"/>
      <x:c r="V5" s="324"/>
      <x:c r="X5" s="316"/>
    </x:row>
    <x:row r="6" spans="2:28" ht="15.75" x14ac:dyDescent="0.25">
      <x:c r="B6" s="325"/>
      <x:c r="D6" s="330" t="s">
        <x:v>184</x:v>
      </x:c>
      <x:c r="E6" s="331"/>
      <x:c r="G6" s="331"/>
      <x:c r="J6" s="328"/>
      <x:c r="K6" s="323"/>
      <x:c r="L6" s="316"/>
      <x:c r="N6" s="325"/>
      <x:c r="O6" s="327" t="s">
        <x:v>1</x:v>
      </x:c>
      <x:c r="P6" s="330" t="s">
        <x:v>173</x:v>
      </x:c>
      <x:c r="R6" s="331"/>
      <x:c r="U6" s="332" t="s">
        <x:v>1</x:v>
      </x:c>
      <x:c r="V6" s="324"/>
      <x:c r="X6" s="316"/>
    </x:row>
    <x:row r="7" spans="2:28" ht="15.75" x14ac:dyDescent="0.25">
      <x:c r="B7" s="325"/>
      <x:c r="D7" s="330" t="s">
        <x:v>174</x:v>
      </x:c>
      <x:c r="E7" s="331"/>
      <x:c r="G7" s="331"/>
      <x:c r="J7" s="328"/>
      <x:c r="K7" s="323"/>
      <x:c r="L7" s="316"/>
      <x:c r="N7" s="325"/>
      <x:c r="O7" s="327"/>
      <x:c r="P7" s="330" t="s">
        <x:v>174</x:v>
      </x:c>
      <x:c r="R7" s="331"/>
      <x:c r="U7" s="332"/>
      <x:c r="V7" s="324"/>
      <x:c r="X7" s="316"/>
    </x:row>
    <x:row r="8" spans="2:28" ht="15.75" x14ac:dyDescent="0.25">
      <x:c r="B8" s="325"/>
      <x:c r="D8" s="330" t="s">
        <x:v>175</x:v>
      </x:c>
      <x:c r="E8" s="331"/>
      <x:c r="G8" s="323"/>
      <x:c r="J8" s="328"/>
      <x:c r="K8" s="323"/>
      <x:c r="L8" s="316"/>
      <x:c r="N8" s="325"/>
      <x:c r="O8" s="333" t="s">
        <x:v>1</x:v>
      </x:c>
      <x:c r="P8" s="330" t="s">
        <x:v>175</x:v>
      </x:c>
      <x:c r="R8" s="323"/>
      <x:c r="U8" s="328"/>
      <x:c r="V8" s="324"/>
      <x:c r="X8" s="316"/>
    </x:row>
    <x:row r="9" spans="2:28" ht="15.75" x14ac:dyDescent="0.25">
      <x:c r="B9" s="325"/>
      <x:c r="C9" s="323"/>
      <x:c r="D9" s="334"/>
      <x:c r="E9" s="335"/>
      <x:c r="G9" s="335"/>
      <x:c r="H9" s="323"/>
      <x:c r="J9" s="328"/>
      <x:c r="K9" s="323"/>
      <x:c r="L9" s="316"/>
      <x:c r="N9" s="325"/>
      <x:c r="O9" s="335" t="s">
        <x:v>1</x:v>
      </x:c>
      <x:c r="P9" s="335"/>
      <x:c r="R9" s="335"/>
      <x:c r="S9" s="323"/>
      <x:c r="U9" s="329"/>
      <x:c r="V9" s="324"/>
      <x:c r="X9" s="316"/>
    </x:row>
    <x:row r="10" spans="2:28" ht="18" thickBot="1" x14ac:dyDescent="0.35">
      <x:c r="B10" s="325"/>
      <x:c r="C10" s="323"/>
      <x:c r="D10" s="336"/>
      <x:c r="E10" s="323" t="s">
        <x:v>27</x:v>
      </x:c>
      <x:c r="F10" s="383">
        <x:f>'CONSOLIDADO_TOTAL RECAUDO'!G102</x:f>
        <x:v>46219</x:v>
      </x:c>
      <x:c r="G10" s="334"/>
      <x:c r="H10" s="323" t="s">
        <x:v>28</x:v>
      </x:c>
      <x:c r="I10" s="383">
        <x:f>'CONSOLIDADO_TOTAL RECAUDO'!K102</x:f>
        <x:v>46234</x:v>
      </x:c>
      <x:c r="J10" s="329"/>
      <x:c r="K10" s="323"/>
      <x:c r="L10" s="316"/>
      <x:c r="N10" s="325"/>
      <x:c r="Q10" s="334"/>
      <x:c r="R10" s="315" t="s">
        <x:v>1</x:v>
      </x:c>
      <x:c r="T10" s="334"/>
      <x:c r="U10" s="329"/>
      <x:c r="V10" s="324"/>
      <x:c r="X10" s="316"/>
      <x:c r="Y10" s="337" t="s">
        <x:v>1</x:v>
      </x:c>
    </x:row>
    <x:row r="11" spans="2:28" ht="72.75" thickBot="1" x14ac:dyDescent="0.25">
      <x:c r="B11" s="338" t="s">
        <x:v>3</x:v>
      </x:c>
      <x:c r="C11" s="339" t="s">
        <x:v>9</x:v>
      </x:c>
      <x:c r="D11" s="338" t="s">
        <x:v>176</x:v>
      </x:c>
      <x:c r="E11" s="340" t="s">
        <x:v>177</x:v>
      </x:c>
      <x:c r="F11" s="339" t="s">
        <x:v>178</x:v>
      </x:c>
      <x:c r="G11" s="341" t="s">
        <x:v>179</x:v>
      </x:c>
      <x:c r="H11" s="339" t="s">
        <x:v>180</x:v>
      </x:c>
      <x:c r="I11" s="340" t="s">
        <x:v>181</x:v>
      </x:c>
      <x:c r="J11" s="342" t="s">
        <x:v>182</x:v>
      </x:c>
      <x:c r="K11" s="343"/>
      <x:c r="L11" s="316"/>
      <x:c r="N11" s="338" t="s">
        <x:v>3</x:v>
      </x:c>
      <x:c r="O11" s="339" t="s">
        <x:v>9</x:v>
      </x:c>
      <x:c r="P11" s="344" t="s">
        <x:v>39</x:v>
      </x:c>
      <x:c r="Q11" s="345" t="s">
        <x:v>40</x:v>
      </x:c>
      <x:c r="R11" s="345" t="s">
        <x:v>41</x:v>
      </x:c>
      <x:c r="S11" s="345" t="s">
        <x:v>42</x:v>
      </x:c>
      <x:c r="T11" s="346" t="s">
        <x:v>183</x:v>
      </x:c>
      <x:c r="U11" s="384" t="s">
        <x:v>182</x:v>
      </x:c>
      <x:c r="V11" s="347"/>
      <x:c r="X11" s="316"/>
    </x:row>
    <x:row r="12" spans="2:28" s="353" customFormat="1" x14ac:dyDescent="0.2">
      <x:c r="B12" s="348">
        <x:v>1</x:v>
      </x:c>
      <x:c r="C12" s="349" t="s">
        <x:v>10</x:v>
      </x:c>
      <x:c r="D12" s="350">
        <x:f>'Reporte Componentes R1'!F80*$D$24</x:f>
        <x:v>0</x:v>
      </x:c>
      <x:c r="E12" s="350">
        <x:f>'Reporte Componentes R1'!G80*$D$24</x:f>
        <x:v>0</x:v>
      </x:c>
      <x:c r="F12" s="351">
        <x:f>'Reporte Componentes R1'!H80*$D$24</x:f>
        <x:v>0</x:v>
      </x:c>
      <x:c r="G12" s="351">
        <x:f>'Reporte Componentes R1'!I80*$D$24</x:f>
        <x:v>0</x:v>
      </x:c>
      <x:c r="H12" s="351">
        <x:f>'Reporte Componentes R1'!J80*$D$24</x:f>
        <x:v>0</x:v>
      </x:c>
      <x:c r="I12" s="351">
        <x:f>'Reporte Componentes R1'!K80*$D$24</x:f>
        <x:v>0</x:v>
      </x:c>
      <x:c r="J12" s="352">
        <x:f t="shared" ref="J12:J16" si="0">D12-E12-F12-G12-H12-I12</x:f>
        <x:v>0</x:v>
      </x:c>
      <x:c r="L12" s="354"/>
      <x:c r="N12" s="348">
        <x:v>1</x:v>
      </x:c>
      <x:c r="O12" s="349" t="s">
        <x:v>10</x:v>
      </x:c>
      <x:c r="P12" s="355">
        <x:f>'Reporte Componentes R1'!M80*$P$24</x:f>
        <x:v>0</x:v>
      </x:c>
      <x:c r="Q12" s="356">
        <x:f>'Reporte Componentes R1'!N80*$P$24</x:f>
        <x:v>0</x:v>
      </x:c>
      <x:c r="R12" s="356">
        <x:f>'Reporte Componentes R1'!O80*$P$24</x:f>
        <x:v>0</x:v>
      </x:c>
      <x:c r="S12" s="356">
        <x:f>'Reporte Componentes R1'!P80*$P$24</x:f>
        <x:v>0</x:v>
      </x:c>
      <x:c r="T12" s="356">
        <x:f>'Reporte Componentes R1'!Q80*$P$24</x:f>
        <x:v>0</x:v>
      </x:c>
      <x:c r="U12" s="387">
        <x:f>SUM(P12:T12)</x:f>
        <x:v>0</x:v>
      </x:c>
      <x:c r="V12" s="388">
        <x:f>J12-U12</x:f>
        <x:v>0</x:v>
      </x:c>
      <x:c r="W12" s="353" t="b">
        <x:f t="shared" ref="W12:W17" si="1">V12=0</x:f>
        <x:v>1</x:v>
      </x:c>
      <x:c r="X12" s="354"/>
      <x:c r="AB12" s="357"/>
    </x:row>
    <x:row r="13" spans="2:28" s="353" customFormat="1" x14ac:dyDescent="0.2">
      <x:c r="B13" s="358">
        <x:v>2</x:v>
      </x:c>
      <x:c r="C13" s="359" t="s">
        <x:v>11</x:v>
      </x:c>
      <x:c r="D13" s="350">
        <x:f>'Reporte Componentes R1'!F224*$D$24</x:f>
        <x:v>0</x:v>
      </x:c>
      <x:c r="E13" s="351">
        <x:f>'Reporte Componentes R1'!G224*$D$24</x:f>
        <x:v>0</x:v>
      </x:c>
      <x:c r="F13" s="351">
        <x:f>'Reporte Componentes R1'!H224*$D$24</x:f>
        <x:v>0</x:v>
      </x:c>
      <x:c r="G13" s="351">
        <x:f>'Reporte Componentes R1'!I224*$D$24</x:f>
        <x:v>0</x:v>
      </x:c>
      <x:c r="H13" s="351">
        <x:f>'Reporte Componentes R1'!J224*$D$24</x:f>
        <x:v>0</x:v>
      </x:c>
      <x:c r="I13" s="351">
        <x:f>'Reporte Componentes R1'!K224*$D$24</x:f>
        <x:v>0</x:v>
      </x:c>
      <x:c r="J13" s="352">
        <x:f t="shared" si="0"/>
        <x:v>0</x:v>
      </x:c>
      <x:c r="L13" s="354"/>
      <x:c r="N13" s="358">
        <x:v>2</x:v>
      </x:c>
      <x:c r="O13" s="359" t="s">
        <x:v>11</x:v>
      </x:c>
      <x:c r="P13" s="360">
        <x:f>'Reporte Componentes R1'!M224*$P$24</x:f>
        <x:v>0</x:v>
      </x:c>
      <x:c r="Q13" s="361">
        <x:f>'Reporte Componentes R1'!N224*$P$24</x:f>
        <x:v>0</x:v>
      </x:c>
      <x:c r="R13" s="361">
        <x:f>'Reporte Componentes R1'!O224*$P$24</x:f>
        <x:v>0</x:v>
      </x:c>
      <x:c r="S13" s="361">
        <x:f>'Reporte Componentes R1'!P224*$P$24</x:f>
        <x:v>0</x:v>
      </x:c>
      <x:c r="T13" s="361">
        <x:f>'Reporte Componentes R1'!Q224*$P$24</x:f>
        <x:v>0</x:v>
      </x:c>
      <x:c r="U13" s="386">
        <x:f>SUM(P13:T13)</x:f>
        <x:v>0</x:v>
      </x:c>
      <x:c r="V13" s="389">
        <x:f t="shared" ref="V13:V16" si="2">J13-U13</x:f>
        <x:v>0</x:v>
      </x:c>
      <x:c r="W13" s="353" t="b">
        <x:f t="shared" si="1"/>
        <x:v>1</x:v>
      </x:c>
      <x:c r="X13" s="354"/>
      <x:c r="AB13" s="357"/>
    </x:row>
    <x:row r="14" spans="2:28" s="353" customFormat="1" x14ac:dyDescent="0.2">
      <x:c r="B14" s="358">
        <x:v>3</x:v>
      </x:c>
      <x:c r="C14" s="359" t="s">
        <x:v>12</x:v>
      </x:c>
      <x:c r="D14" s="350">
        <x:f>'Reporte Componentes R1'!F355*$D$24</x:f>
        <x:v>0</x:v>
      </x:c>
      <x:c r="E14" s="350">
        <x:f>'Reporte Componentes R1'!G355*$D$24</x:f>
        <x:v>0</x:v>
      </x:c>
      <x:c r="F14" s="350">
        <x:f>'Reporte Componentes R1'!H355*$D$24</x:f>
        <x:v>0</x:v>
      </x:c>
      <x:c r="G14" s="350">
        <x:f>'Reporte Componentes R1'!I355*$D$24</x:f>
        <x:v>0</x:v>
      </x:c>
      <x:c r="H14" s="350">
        <x:f>'Reporte Componentes R1'!J355*$D$24</x:f>
        <x:v>0</x:v>
      </x:c>
      <x:c r="I14" s="350">
        <x:f>'Reporte Componentes R1'!K355*$D$24</x:f>
        <x:v>0</x:v>
      </x:c>
      <x:c r="J14" s="352">
        <x:f t="shared" si="0"/>
        <x:v>0</x:v>
      </x:c>
      <x:c r="L14" s="354"/>
      <x:c r="N14" s="358">
        <x:v>3</x:v>
      </x:c>
      <x:c r="O14" s="359" t="s">
        <x:v>12</x:v>
      </x:c>
      <x:c r="P14" s="360">
        <x:f>'Reporte Componentes R1'!M355*$P$24</x:f>
        <x:v>0</x:v>
      </x:c>
      <x:c r="Q14" s="361">
        <x:f>'Reporte Componentes R1'!N355*$P$24</x:f>
        <x:v>0</x:v>
      </x:c>
      <x:c r="R14" s="361">
        <x:f>'Reporte Componentes R1'!O355*$P$24</x:f>
        <x:v>0</x:v>
      </x:c>
      <x:c r="S14" s="361">
        <x:f>'Reporte Componentes R1'!P355*$P$24</x:f>
        <x:v>0</x:v>
      </x:c>
      <x:c r="T14" s="361">
        <x:f>'Reporte Componentes R1'!Q355*$P$24</x:f>
        <x:v>0</x:v>
      </x:c>
      <x:c r="U14" s="386">
        <x:f>SUM(P14:T14)</x:f>
        <x:v>0</x:v>
      </x:c>
      <x:c r="V14" s="389">
        <x:f t="shared" si="2"/>
        <x:v>0</x:v>
      </x:c>
      <x:c r="W14" s="353" t="b">
        <x:f t="shared" si="1"/>
        <x:v>1</x:v>
      </x:c>
      <x:c r="X14" s="354"/>
      <x:c r="AB14" s="357"/>
    </x:row>
    <x:row r="15" spans="2:28" s="353" customFormat="1" x14ac:dyDescent="0.2">
      <x:c r="B15" s="358">
        <x:v>4</x:v>
      </x:c>
      <x:c r="C15" s="359" t="s">
        <x:v>13</x:v>
      </x:c>
      <x:c r="D15" s="350">
        <x:f>'Reporte Componentes R1'!F486*$D$24</x:f>
        <x:v>0</x:v>
      </x:c>
      <x:c r="E15" s="351">
        <x:f>'Reporte Componentes R1'!G486*$D$24</x:f>
        <x:v>0</x:v>
      </x:c>
      <x:c r="F15" s="351">
        <x:f>'Reporte Componentes R1'!H486*$D$24</x:f>
        <x:v>0</x:v>
      </x:c>
      <x:c r="G15" s="351">
        <x:f>'Reporte Componentes R1'!I486*$D$24</x:f>
        <x:v>0</x:v>
      </x:c>
      <x:c r="H15" s="351">
        <x:f>'Reporte Componentes R1'!J486*$D$24</x:f>
        <x:v>0</x:v>
      </x:c>
      <x:c r="I15" s="351">
        <x:f>'Reporte Componentes R1'!K486*$D$24</x:f>
        <x:v>0</x:v>
      </x:c>
      <x:c r="J15" s="352">
        <x:f t="shared" si="0"/>
        <x:v>0</x:v>
      </x:c>
      <x:c r="L15" s="354"/>
      <x:c r="N15" s="358">
        <x:v>4</x:v>
      </x:c>
      <x:c r="O15" s="359" t="s">
        <x:v>13</x:v>
      </x:c>
      <x:c r="P15" s="360">
        <x:f>'Reporte Componentes R1'!M486*$P$24</x:f>
        <x:v>0</x:v>
      </x:c>
      <x:c r="Q15" s="361">
        <x:f>'Reporte Componentes R1'!N486*$P$24</x:f>
        <x:v>0</x:v>
      </x:c>
      <x:c r="R15" s="361">
        <x:f>'Reporte Componentes R1'!O486*$P$24</x:f>
        <x:v>0</x:v>
      </x:c>
      <x:c r="S15" s="361">
        <x:f>'Reporte Componentes R1'!P486*$P$24</x:f>
        <x:v>0</x:v>
      </x:c>
      <x:c r="T15" s="361">
        <x:f>'Reporte Componentes R1'!Q486*$P$24</x:f>
        <x:v>0</x:v>
      </x:c>
      <x:c r="U15" s="386">
        <x:f>SUM(P15:T15)</x:f>
        <x:v>0</x:v>
      </x:c>
      <x:c r="V15" s="389">
        <x:f t="shared" si="2"/>
        <x:v>0</x:v>
      </x:c>
      <x:c r="W15" s="353" t="b">
        <x:f t="shared" si="1"/>
        <x:v>1</x:v>
      </x:c>
      <x:c r="X15" s="354"/>
      <x:c r="AB15" s="357"/>
    </x:row>
    <x:row r="16" spans="2:28" s="353" customFormat="1" ht="12.75" thickBot="1" x14ac:dyDescent="0.25">
      <x:c r="B16" s="362">
        <x:v>5</x:v>
      </x:c>
      <x:c r="C16" s="363" t="s">
        <x:v>14</x:v>
      </x:c>
      <x:c r="D16" s="364">
        <x:f>'Reporte Componentes R1'!F584*$D$24</x:f>
        <x:v>0</x:v>
      </x:c>
      <x:c r="E16" s="365">
        <x:f>'Reporte Componentes R1'!G584*$D$24</x:f>
        <x:v>0</x:v>
      </x:c>
      <x:c r="F16" s="365">
        <x:f>'Reporte Componentes R1'!H584*$D$24</x:f>
        <x:v>0</x:v>
      </x:c>
      <x:c r="G16" s="365">
        <x:f>'Reporte Componentes R1'!I584*$D$24</x:f>
        <x:v>0</x:v>
      </x:c>
      <x:c r="H16" s="365">
        <x:f>'Reporte Componentes R1'!J584*$D$24</x:f>
        <x:v>0</x:v>
      </x:c>
      <x:c r="I16" s="365">
        <x:f>'Reporte Componentes R1'!K584*$D$24</x:f>
        <x:v>0</x:v>
      </x:c>
      <x:c r="J16" s="352">
        <x:f t="shared" si="0"/>
        <x:v>0</x:v>
      </x:c>
      <x:c r="L16" s="354"/>
      <x:c r="N16" s="362">
        <x:v>5</x:v>
      </x:c>
      <x:c r="O16" s="363" t="s">
        <x:v>14</x:v>
      </x:c>
      <x:c r="P16" s="364">
        <x:f>'Reporte Componentes R1'!M584*$P$24</x:f>
        <x:v>0</x:v>
      </x:c>
      <x:c r="Q16" s="365">
        <x:f>'Reporte Componentes R1'!N584*$P$24</x:f>
        <x:v>0</x:v>
      </x:c>
      <x:c r="R16" s="365">
        <x:f>'Reporte Componentes R1'!O584*$P$24</x:f>
        <x:v>0</x:v>
      </x:c>
      <x:c r="S16" s="365">
        <x:f>'Reporte Componentes R1'!P584*$P$24</x:f>
        <x:v>0</x:v>
      </x:c>
      <x:c r="T16" s="365">
        <x:f>'Reporte Componentes R1'!Q584*$P$24</x:f>
        <x:v>0</x:v>
      </x:c>
      <x:c r="U16" s="390">
        <x:f>SUM(P16:T16)</x:f>
        <x:v>0</x:v>
      </x:c>
      <x:c r="V16" s="391">
        <x:f t="shared" si="2"/>
        <x:v>0</x:v>
      </x:c>
      <x:c r="W16" s="353" t="b">
        <x:f t="shared" si="1"/>
        <x:v>1</x:v>
      </x:c>
      <x:c r="X16" s="354"/>
      <x:c r="AB16" s="357"/>
    </x:row>
    <x:row r="17" spans="1:28" s="353" customFormat="1" ht="12.75" thickBot="1" x14ac:dyDescent="0.25">
      <x:c r="B17" s="366"/>
      <x:c r="C17" s="367" t="s">
        <x:v>2</x:v>
      </x:c>
      <x:c r="D17" s="368">
        <x:f t="shared" ref="D17:J17" si="3">SUM(D12:D16)</x:f>
        <x:v>0</x:v>
      </x:c>
      <x:c r="E17" s="368">
        <x:f t="shared" si="3"/>
        <x:v>0</x:v>
      </x:c>
      <x:c r="F17" s="368">
        <x:f t="shared" si="3"/>
        <x:v>0</x:v>
      </x:c>
      <x:c r="G17" s="368">
        <x:f t="shared" si="3"/>
        <x:v>0</x:v>
      </x:c>
      <x:c r="H17" s="368">
        <x:f t="shared" si="3"/>
        <x:v>0</x:v>
      </x:c>
      <x:c r="I17" s="368">
        <x:f t="shared" si="3"/>
        <x:v>0</x:v>
      </x:c>
      <x:c r="J17" s="369">
        <x:f t="shared" si="3"/>
        <x:v>0</x:v>
      </x:c>
      <x:c r="K17" s="370"/>
      <x:c r="L17" s="354"/>
      <x:c r="N17" s="366"/>
      <x:c r="O17" s="367" t="s">
        <x:v>2</x:v>
      </x:c>
      <x:c r="P17" s="371">
        <x:f>SUM(P12:P16)</x:f>
        <x:v>0</x:v>
      </x:c>
      <x:c r="Q17" s="371">
        <x:f t="shared" ref="Q17:U17" si="4">SUM(Q12:Q16)</x:f>
        <x:v>0</x:v>
      </x:c>
      <x:c r="R17" s="371">
        <x:f t="shared" si="4"/>
        <x:v>0</x:v>
      </x:c>
      <x:c r="S17" s="371">
        <x:f t="shared" si="4"/>
        <x:v>0</x:v>
      </x:c>
      <x:c r="T17" s="371">
        <x:f t="shared" si="4"/>
        <x:v>0</x:v>
      </x:c>
      <x:c r="U17" s="385">
        <x:f t="shared" si="4"/>
        <x:v>0</x:v>
      </x:c>
      <x:c r="V17" s="372">
        <x:f>SUM(V12:V16)</x:f>
        <x:v>0</x:v>
      </x:c>
      <x:c r="W17" s="353" t="b">
        <x:f t="shared" si="1"/>
        <x:v>1</x:v>
      </x:c>
      <x:c r="X17" s="354"/>
      <x:c r="AB17" s="357"/>
    </x:row>
    <x:row r="18" spans="1:28" ht="12.75" thickBot="1" x14ac:dyDescent="0.25">
      <x:c r="B18" s="323"/>
      <x:c r="C18" s="323"/>
      <x:c r="D18" s="373"/>
      <x:c r="E18" s="374"/>
      <x:c r="F18" s="374"/>
      <x:c r="G18" s="374"/>
      <x:c r="H18" s="374"/>
      <x:c r="I18" s="374"/>
      <x:c r="J18" s="374"/>
      <x:c r="L18" s="316"/>
      <x:c r="N18" s="323"/>
      <x:c r="O18" s="323"/>
      <x:c r="P18" s="374"/>
      <x:c r="Q18" s="374"/>
      <x:c r="R18" s="374"/>
      <x:c r="S18" s="374"/>
      <x:c r="T18" s="374"/>
      <x:c r="U18" s="374"/>
      <x:c r="X18" s="316"/>
    </x:row>
    <x:row r="19" spans="1:28" ht="12.75" thickBot="1" x14ac:dyDescent="0.25">
      <x:c r="B19" s="323"/>
      <x:c r="C19" s="323"/>
      <x:c r="D19" s="374"/>
      <x:c r="E19" s="374"/>
      <x:c r="F19" s="374"/>
      <x:c r="G19" s="374"/>
      <x:c r="H19" s="374"/>
      <x:c r="I19" s="374"/>
      <x:c r="J19" s="374"/>
      <x:c r="L19" s="316"/>
      <x:c r="T19" s="375">
        <x:f>SUM(P17:T17)</x:f>
        <x:v>0</x:v>
      </x:c>
      <x:c r="U19" s="315" t="s">
        <x:v>1</x:v>
      </x:c>
      <x:c r="X19" s="316"/>
    </x:row>
    <x:row r="20" spans="1:28" ht="12.75" thickBot="1" x14ac:dyDescent="0.25">
      <x:c r="B20" s="323"/>
      <x:c r="C20" s="323"/>
      <x:c r="D20" s="374" t="s">
        <x:v>1</x:v>
      </x:c>
      <x:c r="E20" s="376"/>
      <x:c r="F20" s="376"/>
      <x:c r="G20" s="376"/>
      <x:c r="H20" s="376"/>
      <x:c r="I20" s="374"/>
      <x:c r="J20" s="524" t="b">
        <x:f>+IF(MAX(J12:J17)&gt;500000,"VALIDAR",TRUE)</x:f>
        <x:v>1</x:v>
      </x:c>
      <x:c r="L20" s="316"/>
      <x:c r="U20" s="377"/>
      <x:c r="X20" s="316"/>
    </x:row>
    <x:row r="21" spans="1:28" x14ac:dyDescent="0.2">
      <x:c r="B21" s="323"/>
      <x:c r="C21" s="323"/>
      <x:c r="D21" s="374" t="s">
        <x:v>1</x:v>
      </x:c>
      <x:c r="E21" s="374" t="s">
        <x:v>1</x:v>
      </x:c>
      <x:c r="F21" s="374" t="s">
        <x:v>25</x:v>
      </x:c>
      <x:c r="G21" s="374"/>
      <x:c r="H21" s="374"/>
      <x:c r="I21" s="374"/>
      <x:c r="J21" s="374"/>
      <x:c r="L21" s="316"/>
      <x:c r="X21" s="316"/>
    </x:row>
    <x:row r="22" spans="1:28" x14ac:dyDescent="0.2">
      <x:c r="A22" s="378"/>
      <x:c r="B22" s="379"/>
      <x:c r="C22" s="379"/>
      <x:c r="D22" s="380"/>
      <x:c r="E22" s="380"/>
      <x:c r="F22" s="380"/>
      <x:c r="G22" s="380"/>
      <x:c r="H22" s="380"/>
      <x:c r="I22" s="380"/>
      <x:c r="J22" s="380"/>
      <x:c r="K22" s="378"/>
      <x:c r="L22" s="378"/>
      <x:c r="M22" s="378"/>
      <x:c r="N22" s="378"/>
      <x:c r="O22" s="378"/>
      <x:c r="P22" s="378"/>
      <x:c r="Q22" s="378"/>
      <x:c r="R22" s="378"/>
      <x:c r="S22" s="378"/>
      <x:c r="T22" s="378"/>
      <x:c r="U22" s="378"/>
      <x:c r="V22" s="381"/>
      <x:c r="W22" s="378"/>
      <x:c r="X22" s="378"/>
    </x:row>
    <x:row r="24" spans="1:28" x14ac:dyDescent="0.2">
      <x:c r="D24" s="382">
        <x:v>-1</x:v>
      </x:c>
      <x:c r="P24" s="382">
        <x:v>-1</x:v>
      </x:c>
    </x:row>
    <x:row r="25" spans="1:28" ht="15.75" x14ac:dyDescent="0.25">
      <x:c r="E25" s="331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abSelected="1" zoomScaleNormal="100" workbookViewId="0">
      <x:selection activeCell="A16" sqref="A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7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20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4.7109375" style="212" bestFit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38" width="11.42578125" style="1"/>
    <x:col min="39" max="39" width="15.7109375" style="1" bestFit="1" customWidth="1"/>
    <x:col min="40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13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13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13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13"/>
      <x:c r="AI5" s="4"/>
    </x:row>
    <x:row r="6" spans="2:35" ht="15.75" x14ac:dyDescent="0.25">
      <x:c r="B6" s="8"/>
      <x:c r="C6" s="511" t="s">
        <x:v>17</x:v>
      </x:c>
      <x:c r="D6" s="9"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13"/>
      <x:c r="AI6" s="4"/>
    </x:row>
    <x:row r="7" spans="2:35" ht="12.75" thickBot="1" x14ac:dyDescent="0.25">
      <x:c r="B7" s="8"/>
      <x:c r="C7" s="511" t="s">
        <x:v>0</x:v>
      </x:c>
      <x:c r="D7" s="198">
        <x:v>0.58333333333333337</x:v>
      </x:c>
      <x:c r="F7" s="2" t="s">
        <x:v>27</x:v>
      </x:c>
      <x:c r="G7" s="9" t="n">
        <x:v>46250</x:v>
      </x:c>
      <x:c r="J7" s="2" t="s">
        <x:v>28</x:v>
      </x:c>
      <x:c r="K7" s="9" t="n">
        <x:v>46265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13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214"/>
      <x:c r="AI8" s="4"/>
    </x:row>
    <x:row r="9" spans="2:35" s="241" customFormat="1" x14ac:dyDescent="0.2">
      <x:c r="B9" s="239">
        <x:v>1</x:v>
      </x:c>
      <x:c r="C9" s="240" t="s">
        <x:v>10</x:v>
      </x:c>
      <x:c r="D9" s="313">
        <x:f>'Reporte Componentes R1'!F50</x:f>
        <x:v>0</x:v>
      </x:c>
      <x:c r="E9" s="228">
        <x:f>'Reporte Componentes R1'!G50</x:f>
        <x:v>0</x:v>
      </x:c>
      <x:c r="F9" s="228">
        <x:f>'Reporte Componentes R1'!H50</x:f>
        <x:v>0</x:v>
      </x:c>
      <x:c r="G9" s="228">
        <x:f>'Reporte Componentes R1'!I50</x:f>
        <x:v>0</x:v>
      </x:c>
      <x:c r="H9" s="228">
        <x:f>'Reporte Componentes R1'!J50</x:f>
        <x:v>0</x:v>
      </x:c>
      <x:c r="I9" s="228">
        <x:f>'Reporte Componentes R1'!K50</x:f>
        <x:v>0</x:v>
      </x:c>
      <x:c r="J9" s="224">
        <x:f>'BCE SC POR FACT.'!F3</x:f>
        <x:v>0</x:v>
      </x:c>
      <x:c r="K9" s="229">
        <x:f>D9-E9-F9-G9-H9-I9-J9</x:f>
        <x:v>0</x:v>
      </x:c>
      <x:c r="L9" s="230">
        <x:f>INTERVENTORIA!F15</x:f>
        <x:v>189185988</x:v>
      </x:c>
      <x:c r="M9" s="229">
        <x:f>K9-L9</x:f>
        <x:v>-189185988</x:v>
      </x:c>
      <x:c r="N9" s="314">
        <x:f>'Reporte Componentes R1'!L50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R1'!M50</x:f>
        <x:v>0</x:v>
      </x:c>
      <x:c r="V9" s="244">
        <x:f>'Reporte Componentes R1'!N50</x:f>
        <x:v>0</x:v>
      </x:c>
      <x:c r="W9" s="244">
        <x:f>'Reporte Componentes R1'!O50</x:f>
        <x:v>0</x:v>
      </x:c>
      <x:c r="X9" s="244">
        <x:f>'Reporte Componentes R1'!P50</x:f>
        <x:v>0</x:v>
      </x:c>
      <x:c r="Y9" s="245">
        <x:f>'Reporte Componentes R1'!Q50</x:f>
        <x:v>0</x:v>
      </x:c>
      <x:c r="Z9" s="246">
        <x:f>L9*-1</x:f>
        <x:v>-189185988</x:v>
      </x:c>
      <x:c r="AA9" s="247">
        <x:f>'Reporte Componentes R1'!R50+'Reporte Componentes R1'!U50+'Reporte Componentes R1'!V50</x:f>
        <x:v>0</x:v>
      </x:c>
      <x:c r="AB9" s="248">
        <x:f>N9</x:f>
        <x:v>0</x:v>
      </x:c>
      <x:c r="AC9" s="256">
        <x:f>'Reporte Componentes R1'!T50+'Reporte Componentes R1'!W50+'Reporte Componentes R1'!X50+'Reporte Componentes R1'!Y50+'Reporte Componentes R1'!Z50+'Reporte Componentes R1'!S50</x:f>
        <x:v>0</x:v>
      </x:c>
      <x:c r="AD9" s="227">
        <x:f>-J9+AE9</x:f>
        <x:v>0</x:v>
      </x:c>
      <x:c r="AE9" s="227">
        <x:f>'Reporte Componentes R1'!F51</x:f>
        <x:v>0</x:v>
      </x:c>
      <x:c r="AF9" s="249">
        <x:f>SUM(U9:AD9)</x:f>
        <x:v>-189185988</x:v>
      </x:c>
      <x:c r="AG9" s="439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R1'!F194</x:f>
        <x:v>0</x:v>
      </x:c>
      <x:c r="E10" s="228">
        <x:f>'Reporte Componentes R1'!G194</x:f>
        <x:v>0</x:v>
      </x:c>
      <x:c r="F10" s="228">
        <x:f>'Reporte Componentes R1'!H194</x:f>
        <x:v>0</x:v>
      </x:c>
      <x:c r="G10" s="228">
        <x:f>'Reporte Componentes R1'!I194</x:f>
        <x:v>0</x:v>
      </x:c>
      <x:c r="H10" s="228">
        <x:f>'Reporte Componentes R1'!J194</x:f>
        <x:v>0</x:v>
      </x:c>
      <x:c r="I10" s="228">
        <x:f>'Reporte Componentes R1'!K194</x:f>
        <x:v>0</x:v>
      </x:c>
      <x:c r="J10" s="224">
        <x:f>'BCE SC POR FACT.'!F4</x:f>
        <x:v>0</x:v>
      </x:c>
      <x:c r="K10" s="231">
        <x:f>D10-E10-F10-G10-H10-I10-J10</x:f>
        <x:v>0</x:v>
      </x:c>
      <x:c r="L10" s="230">
        <x:f>INTERVENTORIA!F16</x:f>
        <x:v>266580256</x:v>
      </x:c>
      <x:c r="M10" s="231">
        <x:f>K10-L10</x:f>
        <x:v>-266580256</x:v>
      </x:c>
      <x:c r="N10" s="230">
        <x:f>'Reporte Componentes R1'!L194</x:f>
        <x:v>0</x:v>
      </x:c>
      <x:c r="O10" s="231">
        <x:f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R1'!M194</x:f>
        <x:v>0</x:v>
      </x:c>
      <x:c r="V10" s="253">
        <x:f>'Reporte Componentes R1'!N194</x:f>
        <x:v>0</x:v>
      </x:c>
      <x:c r="W10" s="253">
        <x:f>'Reporte Componentes R1'!O194</x:f>
        <x:v>0</x:v>
      </x:c>
      <x:c r="X10" s="253">
        <x:f>'Reporte Componentes R1'!P194</x:f>
        <x:v>0</x:v>
      </x:c>
      <x:c r="Y10" s="254">
        <x:f>'Reporte Componentes R1'!Q194</x:f>
        <x:v>0</x:v>
      </x:c>
      <x:c r="Z10" s="255">
        <x:f>L10*-1</x:f>
        <x:v>-266580256</x:v>
      </x:c>
      <x:c r="AA10" s="256">
        <x:f>'Reporte Componentes R1'!R194+'Reporte Componentes R1'!U194+'Reporte Componentes R1'!V194</x:f>
        <x:v>0</x:v>
      </x:c>
      <x:c r="AB10" s="257">
        <x:f>N10</x:f>
        <x:v>0</x:v>
      </x:c>
      <x:c r="AC10" s="256">
        <x:f>'Reporte Componentes R1'!T194+'Reporte Componentes R1'!W194+'Reporte Componentes R1'!X194+'Reporte Componentes R1'!Y194+'Reporte Componentes R1'!Z194+'Reporte Componentes R1'!S194</x:f>
        <x:v>0</x:v>
      </x:c>
      <x:c r="AD10" s="227">
        <x:f t="shared" ref="AD10:AD13" si="0">-J10+AE10</x:f>
        <x:v>0</x:v>
      </x:c>
      <x:c r="AE10" s="227">
        <x:f>'Reporte Componentes R1'!F195</x:f>
        <x:v>0</x:v>
      </x:c>
      <x:c r="AF10" s="258">
        <x:f>SUM(U10:AD10)</x:f>
        <x:v>-266580256</x:v>
      </x:c>
      <x:c r="AG10" s="440">
        <x:f>(AF10-O10)</x:f>
        <x:v>0</x:v>
      </x:c>
      <x:c r="AH10" s="241" t="b">
        <x:f t="shared" ref="AH10:AH13" si="1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R1'!F325</x:f>
        <x:v>0</x:v>
      </x:c>
      <x:c r="E11" s="228">
        <x:f>'Reporte Componentes R1'!G325</x:f>
        <x:v>0</x:v>
      </x:c>
      <x:c r="F11" s="228">
        <x:f>'Reporte Componentes R1'!H325</x:f>
        <x:v>0</x:v>
      </x:c>
      <x:c r="G11" s="228">
        <x:f>'Reporte Componentes R1'!I325</x:f>
        <x:v>0</x:v>
      </x:c>
      <x:c r="H11" s="228">
        <x:f>'Reporte Componentes R1'!J325</x:f>
        <x:v>0</x:v>
      </x:c>
      <x:c r="I11" s="228">
        <x:f>'Reporte Componentes R1'!K325</x:f>
        <x:v>0</x:v>
      </x:c>
      <x:c r="J11" s="224">
        <x:f>'BCE SC POR FACT.'!F5</x:f>
        <x:v>0</x:v>
      </x:c>
      <x:c r="K11" s="231">
        <x:f>D11-E11-F11-G11-H11-I11-J11</x:f>
        <x:v>0</x:v>
      </x:c>
      <x:c r="L11" s="230">
        <x:f>INTERVENTORIA!F17</x:f>
        <x:v>154788536</x:v>
      </x:c>
      <x:c r="M11" s="231">
        <x:f>K11-L11</x:f>
        <x:v>-154788536</x:v>
      </x:c>
      <x:c r="N11" s="230">
        <x:f>'Reporte Componentes R1'!L325</x:f>
        <x:v>0</x:v>
      </x:c>
      <x:c r="O11" s="231">
        <x:f>M11+N11</x:f>
        <x:v>-154788536</x:v>
      </x:c>
      <x:c r="Q11" s="242"/>
      <x:c r="S11" s="250">
        <x:v>3</x:v>
      </x:c>
      <x:c r="T11" s="251" t="s">
        <x:v>12</x:v>
      </x:c>
      <x:c r="U11" s="252">
        <x:f>'Reporte Componentes R1'!M325</x:f>
        <x:v>0</x:v>
      </x:c>
      <x:c r="V11" s="253">
        <x:f>'Reporte Componentes R1'!N325</x:f>
        <x:v>0</x:v>
      </x:c>
      <x:c r="W11" s="253">
        <x:f>'Reporte Componentes R1'!O325</x:f>
        <x:v>0</x:v>
      </x:c>
      <x:c r="X11" s="253">
        <x:f>'Reporte Componentes R1'!P325</x:f>
        <x:v>0</x:v>
      </x:c>
      <x:c r="Y11" s="254">
        <x:f>'Reporte Componentes R1'!Q325</x:f>
        <x:v>0</x:v>
      </x:c>
      <x:c r="Z11" s="255">
        <x:f>L11*-1</x:f>
        <x:v>-154788536</x:v>
      </x:c>
      <x:c r="AA11" s="256">
        <x:f>'Reporte Componentes R1'!R325+'Reporte Componentes R1'!U325+'Reporte Componentes R1'!V325</x:f>
        <x:v>0</x:v>
      </x:c>
      <x:c r="AB11" s="257">
        <x:f>N11</x:f>
        <x:v>0</x:v>
      </x:c>
      <x:c r="AC11" s="256">
        <x:f>'Reporte Componentes R1'!T325+'Reporte Componentes R1'!W325+'Reporte Componentes R1'!X325+'Reporte Componentes R1'!Y325+'Reporte Componentes R1'!Z325+'Reporte Componentes R1'!S325</x:f>
        <x:v>0</x:v>
      </x:c>
      <x:c r="AD11" s="227">
        <x:f t="shared" si="0"/>
        <x:v>0</x:v>
      </x:c>
      <x:c r="AE11" s="227">
        <x:f>'Reporte Componentes R1'!F326</x:f>
        <x:v>0</x:v>
      </x:c>
      <x:c r="AF11" s="258">
        <x:f t="shared" ref="AF11:AF13" si="2">SUM(U11:AD11)</x:f>
        <x:v>-154788536</x:v>
      </x:c>
      <x:c r="AG11" s="440">
        <x:f>(AF11-O11)</x:f>
        <x:v>0</x:v>
      </x:c>
      <x:c r="AH11" s="241" t="b">
        <x:f t="shared" si="1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R1'!F456</x:f>
        <x:v>0</x:v>
      </x:c>
      <x:c r="E12" s="228">
        <x:f>'Reporte Componentes R1'!G456</x:f>
        <x:v>0</x:v>
      </x:c>
      <x:c r="F12" s="228">
        <x:f>'Reporte Componentes R1'!H456</x:f>
        <x:v>0</x:v>
      </x:c>
      <x:c r="G12" s="228">
        <x:f>'Reporte Componentes R1'!I456</x:f>
        <x:v>0</x:v>
      </x:c>
      <x:c r="H12" s="228">
        <x:f>'Reporte Componentes R1'!J456</x:f>
        <x:v>0</x:v>
      </x:c>
      <x:c r="I12" s="228">
        <x:f>'Reporte Componentes R1'!K456</x:f>
        <x:v>0</x:v>
      </x:c>
      <x:c r="J12" s="224">
        <x:f>'BCE SC POR FACT.'!F6</x:f>
        <x:v>0</x:v>
      </x:c>
      <x:c r="K12" s="231">
        <x:f>D12-E12-F12-G12-H12-I12-J12</x:f>
        <x:v>0</x:v>
      </x:c>
      <x:c r="L12" s="230">
        <x:f>INTERVENTORIA!F18</x:f>
        <x:v>120391083</x:v>
      </x:c>
      <x:c r="M12" s="231">
        <x:f>K12-L12</x:f>
        <x:v>-120391083</x:v>
      </x:c>
      <x:c r="N12" s="230">
        <x:f>'Reporte Componentes R1'!L456</x:f>
        <x:v>0</x:v>
      </x:c>
      <x:c r="O12" s="231">
        <x:f>M12+N12</x:f>
        <x:v>-120391083</x:v>
      </x:c>
      <x:c r="Q12" s="242"/>
      <x:c r="S12" s="250">
        <x:v>4</x:v>
      </x:c>
      <x:c r="T12" s="251" t="s">
        <x:v>13</x:v>
      </x:c>
      <x:c r="U12" s="252">
        <x:f>'Reporte Componentes R1'!M456</x:f>
        <x:v>0</x:v>
      </x:c>
      <x:c r="V12" s="253">
        <x:f>'Reporte Componentes R1'!N456</x:f>
        <x:v>0</x:v>
      </x:c>
      <x:c r="W12" s="253">
        <x:f>'Reporte Componentes R1'!O456</x:f>
        <x:v>0</x:v>
      </x:c>
      <x:c r="X12" s="253">
        <x:f>'Reporte Componentes R1'!P456</x:f>
        <x:v>0</x:v>
      </x:c>
      <x:c r="Y12" s="254">
        <x:f>'Reporte Componentes R1'!Q456</x:f>
        <x:v>0</x:v>
      </x:c>
      <x:c r="Z12" s="255">
        <x:f>L12*-1</x:f>
        <x:v>-120391083</x:v>
      </x:c>
      <x:c r="AA12" s="256">
        <x:f>'Reporte Componentes R1'!R456+'Reporte Componentes R1'!U456+'Reporte Componentes R1'!V456</x:f>
        <x:v>0</x:v>
      </x:c>
      <x:c r="AB12" s="257">
        <x:f>N12</x:f>
        <x:v>0</x:v>
      </x:c>
      <x:c r="AC12" s="256">
        <x:f>'Reporte Componentes R1'!T456+'Reporte Componentes R1'!W456+'Reporte Componentes R1'!X456+'Reporte Componentes R1'!Y456+'Reporte Componentes R1'!Z456+'Reporte Componentes R1'!S456</x:f>
        <x:v>0</x:v>
      </x:c>
      <x:c r="AD12" s="227">
        <x:f t="shared" si="0"/>
        <x:v>0</x:v>
      </x:c>
      <x:c r="AE12" s="227">
        <x:f>'Reporte Componentes R1'!F457</x:f>
        <x:v>0</x:v>
      </x:c>
      <x:c r="AF12" s="258">
        <x:f t="shared" si="2"/>
        <x:v>-120391083</x:v>
      </x:c>
      <x:c r="AG12" s="440">
        <x:f>(AF12-O12)</x:f>
        <x:v>0</x:v>
      </x:c>
      <x:c r="AH12" s="241" t="b">
        <x:f t="shared" si="1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R1'!F554</x:f>
        <x:v>0</x:v>
      </x:c>
      <x:c r="E13" s="233">
        <x:f>'Reporte Componentes R1'!G554</x:f>
        <x:v>0</x:v>
      </x:c>
      <x:c r="F13" s="233">
        <x:f>'Reporte Componentes R1'!H554</x:f>
        <x:v>0</x:v>
      </x:c>
      <x:c r="G13" s="233">
        <x:f>'Reporte Componentes R1'!I554</x:f>
        <x:v>0</x:v>
      </x:c>
      <x:c r="H13" s="233">
        <x:f>'Reporte Componentes R1'!J554</x:f>
        <x:v>0</x:v>
      </x:c>
      <x:c r="I13" s="233">
        <x:f>'Reporte Componentes R1'!K554</x:f>
        <x:v>0</x:v>
      </x:c>
      <x:c r="J13" s="225">
        <x:f>'BCE SC POR FACT.'!F7</x:f>
        <x:v>0</x:v>
      </x:c>
      <x:c r="K13" s="231">
        <x:f>D13-E13-F13-G13-H13-I13-J13</x:f>
        <x:v>0</x:v>
      </x:c>
      <x:c r="L13" s="230">
        <x:f>INTERVENTORIA!F19</x:f>
        <x:v>128990446</x:v>
      </x:c>
      <x:c r="M13" s="234">
        <x:f>K13-L13</x:f>
        <x:v>-128990446</x:v>
      </x:c>
      <x:c r="N13" s="235">
        <x:f>'Reporte Componentes R1'!L554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R1'!M554</x:f>
        <x:v>0</x:v>
      </x:c>
      <x:c r="V13" s="233">
        <x:f>'Reporte Componentes R1'!N554</x:f>
        <x:v>0</x:v>
      </x:c>
      <x:c r="W13" s="233">
        <x:f>'Reporte Componentes R1'!O554</x:f>
        <x:v>0</x:v>
      </x:c>
      <x:c r="X13" s="233">
        <x:f>'Reporte Componentes R1'!P554</x:f>
        <x:v>0</x:v>
      </x:c>
      <x:c r="Y13" s="225">
        <x:f>'Reporte Componentes R1'!Q554</x:f>
        <x:v>0</x:v>
      </x:c>
      <x:c r="Z13" s="255">
        <x:f>L13*-1</x:f>
        <x:v>-128990446</x:v>
      </x:c>
      <x:c r="AA13" s="256">
        <x:f>'Reporte Componentes R1'!R554+'Reporte Componentes R1'!U554+'Reporte Componentes R1'!V554</x:f>
        <x:v>0</x:v>
      </x:c>
      <x:c r="AB13" s="257">
        <x:f>N13</x:f>
        <x:v>0</x:v>
      </x:c>
      <x:c r="AC13" s="256">
        <x:f>'Reporte Componentes R1'!T554+'Reporte Componentes R1'!W554+'Reporte Componentes R1'!X554+'Reporte Componentes R1'!Y554+'Reporte Componentes R1'!Z554+'Reporte Componentes R1'!S554</x:f>
        <x:v>0</x:v>
      </x:c>
      <x:c r="AD13" s="227">
        <x:f t="shared" si="0"/>
        <x:v>0</x:v>
      </x:c>
      <x:c r="AE13" s="227">
        <x:f>'Reporte Componentes R1'!F555</x:f>
        <x:v>0</x:v>
      </x:c>
      <x:c r="AF13" s="258">
        <x:f t="shared" si="2"/>
        <x:v>-128990446</x:v>
      </x:c>
      <x:c r="AG13" s="441">
        <x:f>(AF13-O13)</x:f>
        <x:v>0</x:v>
      </x:c>
      <x:c r="AH13" s="241" t="b">
        <x:f t="shared" si="1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3">SUM(E9:E13)</x:f>
        <x:v>0</x:v>
      </x:c>
      <x:c r="F14" s="226">
        <x:f t="shared" si="3"/>
        <x:v>0</x:v>
      </x:c>
      <x:c r="G14" s="226">
        <x:f t="shared" ref="G14" si="4">SUM(G9:G13)</x:f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>SUM(K9:K13)</x:f>
        <x:v>0</x:v>
      </x:c>
      <x:c r="L14" s="237">
        <x:f>SUM(L9:L13)</x:f>
        <x:v>859936309</x:v>
      </x:c>
      <x:c r="M14" s="238">
        <x:f t="shared" si="3"/>
        <x:v>-859936309</x:v>
      </x:c>
      <x:c r="N14" s="237">
        <x:f t="shared" si="3"/>
        <x:v>0</x:v>
      </x:c>
      <x:c r="O14" s="238">
        <x:f t="shared" si="3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5">SUM(V9:V13)</x:f>
        <x:v>0</x:v>
      </x:c>
      <x:c r="W14" s="266">
        <x:f t="shared" si="5"/>
        <x:v>0</x:v>
      </x:c>
      <x:c r="X14" s="266">
        <x:f t="shared" si="5"/>
        <x:v>0</x:v>
      </x:c>
      <x:c r="Y14" s="266">
        <x:f t="shared" si="5"/>
        <x:v>0</x:v>
      </x:c>
      <x:c r="Z14" s="226">
        <x:f t="shared" si="5"/>
        <x:v>-859936309</x:v>
      </x:c>
      <x:c r="AA14" s="226">
        <x:f t="shared" si="5"/>
        <x:v>0</x:v>
      </x:c>
      <x:c r="AB14" s="226">
        <x:f t="shared" si="5"/>
        <x:v>0</x:v>
      </x:c>
      <x:c r="AC14" s="226">
        <x:f>SUM(AC9:AC13)</x:f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5"/>
        <x:v>-859936309</x:v>
      </x:c>
      <x:c r="AG14" s="442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58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15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13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13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13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13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13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13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214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R2'!E43</x:f>
        <x:v>0</x:v>
      </x:c>
      <x:c r="E28" s="228">
        <x:f>'Rem. Anticipos R2'!F43</x:f>
        <x:v>0</x:v>
      </x:c>
      <x:c r="F28" s="228">
        <x:f>'Rem. Anticipos R2'!G43</x:f>
        <x:v>0</x:v>
      </x:c>
      <x:c r="G28" s="228">
        <x:f>'Rem. Anticipos R2'!H43</x:f>
        <x:v>0</x:v>
      </x:c>
      <x:c r="H28" s="228">
        <x:f>'Rem. Anticipos R2'!I43</x:f>
        <x:v>0</x:v>
      </x:c>
      <x:c r="I28" s="228">
        <x:f>'Rem. Anticipos R2'!J43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R2'!K43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R2'!L43</x:f>
        <x:v>0</x:v>
      </x:c>
      <x:c r="V28" s="244">
        <x:f>'Rem. Anticipos R2'!M43</x:f>
        <x:v>0</x:v>
      </x:c>
      <x:c r="W28" s="244">
        <x:f>'Rem. Anticipos R2'!N43</x:f>
        <x:v>0</x:v>
      </x:c>
      <x:c r="X28" s="244">
        <x:f>'Rem. Anticipos R2'!O43</x:f>
        <x:v>0</x:v>
      </x:c>
      <x:c r="Y28" s="244">
        <x:f>'Rem. Anticipos R2'!P43</x:f>
        <x:v>0</x:v>
      </x:c>
      <x:c r="Z28" s="246">
        <x:f>L28*-1</x:f>
        <x:v>0</x:v>
      </x:c>
      <x:c r="AA28" s="247">
        <x:f>'Rem. Anticipos R2'!Q43</x:f>
        <x:v>0</x:v>
      </x:c>
      <x:c r="AB28" s="230">
        <x:f>N28</x:f>
        <x:v>0</x:v>
      </x:c>
      <x:c r="AC28" s="247">
        <x:f>'Rem. Anticipos R2'!R43</x:f>
        <x:v>0</x:v>
      </x:c>
      <x:c r="AD28" s="227">
        <x:f>-J28+AE28</x:f>
        <x:v>0</x:v>
      </x:c>
      <x:c r="AE28" s="227">
        <x:f>'Rem. Anticipos R2'!E44</x:f>
        <x:v>0</x:v>
      </x:c>
      <x:c r="AF28" s="249">
        <x:f>SUM(U28:AD28)</x:f>
        <x:v>0</x:v>
      </x:c>
      <x:c r="AG28" s="439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R2'!E139</x:f>
        <x:v>0</x:v>
      </x:c>
      <x:c r="E29" s="228">
        <x:f>'Rem. Anticipos R2'!F139</x:f>
        <x:v>0</x:v>
      </x:c>
      <x:c r="F29" s="228">
        <x:f>'Rem. Anticipos R2'!G139</x:f>
        <x:v>0</x:v>
      </x:c>
      <x:c r="G29" s="228">
        <x:f>'Rem. Anticipos R2'!H139</x:f>
        <x:v>0</x:v>
      </x:c>
      <x:c r="H29" s="228">
        <x:f>'Rem. Anticipos R2'!I139</x:f>
        <x:v>0</x:v>
      </x:c>
      <x:c r="I29" s="228">
        <x:f>'Rem. Anticipos R2'!J139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R2'!K139</x:f>
        <x:v>0</x:v>
      </x:c>
      <x:c r="O29" s="231">
        <x:f t="shared" ref="O29:O32" si="6">M29+N29</x:f>
        <x:v>0</x:v>
      </x:c>
      <x:c r="Q29" s="242"/>
      <x:c r="S29" s="250">
        <x:v>2</x:v>
      </x:c>
      <x:c r="T29" s="251" t="s">
        <x:v>11</x:v>
      </x:c>
      <x:c r="U29" s="252">
        <x:f>'Rem. Anticipos R2'!L139</x:f>
        <x:v>0</x:v>
      </x:c>
      <x:c r="V29" s="253">
        <x:f>'Rem. Anticipos R2'!M139</x:f>
        <x:v>0</x:v>
      </x:c>
      <x:c r="W29" s="253">
        <x:f>'Rem. Anticipos R2'!N139</x:f>
        <x:v>0</x:v>
      </x:c>
      <x:c r="X29" s="253">
        <x:f>'Rem. Anticipos R2'!O139</x:f>
        <x:v>0</x:v>
      </x:c>
      <x:c r="Y29" s="254">
        <x:f>'Rem. Anticipos R2'!P139</x:f>
        <x:v>0</x:v>
      </x:c>
      <x:c r="Z29" s="255">
        <x:f>L29*-1</x:f>
        <x:v>0</x:v>
      </x:c>
      <x:c r="AA29" s="256">
        <x:f>'Rem. Anticipos R2'!Q139</x:f>
        <x:v>0</x:v>
      </x:c>
      <x:c r="AB29" s="230">
        <x:f>N29</x:f>
        <x:v>0</x:v>
      </x:c>
      <x:c r="AC29" s="256">
        <x:f>'Rem. Anticipos R2'!R139</x:f>
        <x:v>0</x:v>
      </x:c>
      <x:c r="AD29" s="227">
        <x:f>-J29+AE29</x:f>
        <x:v>0</x:v>
      </x:c>
      <x:c r="AE29" s="227">
        <x:f>'Rem. Anticipos R2'!E140</x:f>
        <x:v>0</x:v>
      </x:c>
      <x:c r="AF29" s="258">
        <x:f>SUM(U29:AD29)</x:f>
        <x:v>0</x:v>
      </x:c>
      <x:c r="AG29" s="440">
        <x:f>(AF29-O29)</x:f>
        <x:v>0</x:v>
      </x:c>
      <x:c r="AH29" s="241" t="b">
        <x:f t="shared" ref="AH29:AH32" si="7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R2'!E256</x:f>
        <x:v>0</x:v>
      </x:c>
      <x:c r="E30" s="228">
        <x:f>'Rem. Anticipos R2'!F256</x:f>
        <x:v>0</x:v>
      </x:c>
      <x:c r="F30" s="228">
        <x:f>'Rem. Anticipos R2'!G256</x:f>
        <x:v>0</x:v>
      </x:c>
      <x:c r="G30" s="228">
        <x:f>'Rem. Anticipos R2'!H256</x:f>
        <x:v>0</x:v>
      </x:c>
      <x:c r="H30" s="228">
        <x:f>'Rem. Anticipos R2'!I256</x:f>
        <x:v>0</x:v>
      </x:c>
      <x:c r="I30" s="228">
        <x:f>'Rem. Anticipos R2'!J256</x:f>
        <x:v>0</x:v>
      </x:c>
      <x:c r="J30" s="224">
        <x:v>0</x:v>
      </x:c>
      <x:c r="K30" s="231">
        <x:f t="shared" ref="K30:K31" si="8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R2'!K256</x:f>
        <x:v>0</x:v>
      </x:c>
      <x:c r="O30" s="231">
        <x:f t="shared" si="6"/>
        <x:v>0</x:v>
      </x:c>
      <x:c r="Q30" s="242"/>
      <x:c r="S30" s="250">
        <x:v>3</x:v>
      </x:c>
      <x:c r="T30" s="251" t="s">
        <x:v>12</x:v>
      </x:c>
      <x:c r="U30" s="252">
        <x:f>'Rem. Anticipos R2'!L256</x:f>
        <x:v>0</x:v>
      </x:c>
      <x:c r="V30" s="253">
        <x:f>'Rem. Anticipos R2'!M256</x:f>
        <x:v>0</x:v>
      </x:c>
      <x:c r="W30" s="253">
        <x:f>'Rem. Anticipos R2'!N256</x:f>
        <x:v>0</x:v>
      </x:c>
      <x:c r="X30" s="253">
        <x:f>'Rem. Anticipos R2'!O256</x:f>
        <x:v>0</x:v>
      </x:c>
      <x:c r="Y30" s="254">
        <x:f>'Rem. Anticipos R2'!P256</x:f>
        <x:v>0</x:v>
      </x:c>
      <x:c r="Z30" s="255">
        <x:f>L30*-1</x:f>
        <x:v>0</x:v>
      </x:c>
      <x:c r="AA30" s="256">
        <x:f>'Rem. Anticipos R2'!Q256</x:f>
        <x:v>0</x:v>
      </x:c>
      <x:c r="AB30" s="230">
        <x:f>N30</x:f>
        <x:v>0</x:v>
      </x:c>
      <x:c r="AC30" s="256">
        <x:f>'Rem. Anticipos R2'!R256</x:f>
        <x:v>0</x:v>
      </x:c>
      <x:c r="AD30" s="227">
        <x:f t="shared" ref="AD30:AD32" si="9">-J30+AE30</x:f>
        <x:v>0</x:v>
      </x:c>
      <x:c r="AE30" s="227">
        <x:f>'Rem. Anticipos R2'!E257</x:f>
        <x:v>0</x:v>
      </x:c>
      <x:c r="AF30" s="258">
        <x:f>SUM(U30:AD30)</x:f>
        <x:v>0</x:v>
      </x:c>
      <x:c r="AG30" s="440">
        <x:f t="shared" ref="AG30:AG31" si="10">(AF30-O30)</x:f>
        <x:v>0</x:v>
      </x:c>
      <x:c r="AH30" s="241" t="b">
        <x:f t="shared" si="7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R2'!E358</x:f>
        <x:v>0</x:v>
      </x:c>
      <x:c r="E31" s="228">
        <x:f>'Rem. Anticipos R2'!F358</x:f>
        <x:v>0</x:v>
      </x:c>
      <x:c r="F31" s="228">
        <x:f>'Rem. Anticipos R2'!G358</x:f>
        <x:v>0</x:v>
      </x:c>
      <x:c r="G31" s="228">
        <x:f>'Rem. Anticipos R2'!H358</x:f>
        <x:v>0</x:v>
      </x:c>
      <x:c r="H31" s="228">
        <x:f>'Rem. Anticipos R2'!I358</x:f>
        <x:v>0</x:v>
      </x:c>
      <x:c r="I31" s="228">
        <x:f>'Rem. Anticipos R2'!J358</x:f>
        <x:v>0</x:v>
      </x:c>
      <x:c r="J31" s="224">
        <x:v>0</x:v>
      </x:c>
      <x:c r="K31" s="231">
        <x:f t="shared" si="8"/>
        <x:v>0</x:v>
      </x:c>
      <x:c r="L31" s="230">
        <x:v>0</x:v>
      </x:c>
      <x:c r="M31" s="231">
        <x:f>K31-L31</x:f>
        <x:v>0</x:v>
      </x:c>
      <x:c r="N31" s="230">
        <x:f>'Rem. Anticipos R2'!K358</x:f>
        <x:v>0</x:v>
      </x:c>
      <x:c r="O31" s="231">
        <x:f t="shared" si="6"/>
        <x:v>0</x:v>
      </x:c>
      <x:c r="Q31" s="242"/>
      <x:c r="S31" s="250">
        <x:v>4</x:v>
      </x:c>
      <x:c r="T31" s="251" t="s">
        <x:v>13</x:v>
      </x:c>
      <x:c r="U31" s="252">
        <x:f>'Rem. Anticipos R2'!L358</x:f>
        <x:v>0</x:v>
      </x:c>
      <x:c r="V31" s="253">
        <x:f>'Rem. Anticipos R2'!M358</x:f>
        <x:v>0</x:v>
      </x:c>
      <x:c r="W31" s="253">
        <x:f>'Rem. Anticipos R2'!N358</x:f>
        <x:v>0</x:v>
      </x:c>
      <x:c r="X31" s="253">
        <x:f>'Rem. Anticipos R2'!O358</x:f>
        <x:v>0</x:v>
      </x:c>
      <x:c r="Y31" s="254">
        <x:f>'Rem. Anticipos R2'!P358</x:f>
        <x:v>0</x:v>
      </x:c>
      <x:c r="Z31" s="255">
        <x:f>L31*-1</x:f>
        <x:v>0</x:v>
      </x:c>
      <x:c r="AA31" s="256">
        <x:f>'Rem. Anticipos R2'!Q358</x:f>
        <x:v>0</x:v>
      </x:c>
      <x:c r="AB31" s="230">
        <x:f>N31</x:f>
        <x:v>0</x:v>
      </x:c>
      <x:c r="AC31" s="256">
        <x:f>'Rem. Anticipos R2'!R358</x:f>
        <x:v>0</x:v>
      </x:c>
      <x:c r="AD31" s="227">
        <x:f t="shared" si="9"/>
        <x:v>0</x:v>
      </x:c>
      <x:c r="AE31" s="227">
        <x:f>'Rem. Anticipos R2'!E359</x:f>
        <x:v>0</x:v>
      </x:c>
      <x:c r="AF31" s="258">
        <x:f>SUM(U31:AD31)</x:f>
        <x:v>0</x:v>
      </x:c>
      <x:c r="AG31" s="440">
        <x:f t="shared" si="10"/>
        <x:v>0</x:v>
      </x:c>
      <x:c r="AH31" s="241" t="b">
        <x:f t="shared" si="7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R2'!E438</x:f>
        <x:v>0</x:v>
      </x:c>
      <x:c r="E32" s="233">
        <x:f>'Rem. Anticipos R2'!F438</x:f>
        <x:v>0</x:v>
      </x:c>
      <x:c r="F32" s="233">
        <x:f>'Rem. Anticipos R2'!G438</x:f>
        <x:v>0</x:v>
      </x:c>
      <x:c r="G32" s="233">
        <x:f>'Rem. Anticipos R2'!H438</x:f>
        <x:v>0</x:v>
      </x:c>
      <x:c r="H32" s="233">
        <x:f>'Rem. Anticipos R2'!I438</x:f>
        <x:v>0</x:v>
      </x:c>
      <x:c r="I32" s="233">
        <x:f>'Rem. Anticipos R2'!J438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R2'!K438</x:f>
        <x:v>0</x:v>
      </x:c>
      <x:c r="O32" s="234">
        <x:f t="shared" si="6"/>
        <x:v>0</x:v>
      </x:c>
      <x:c r="Q32" s="242"/>
      <x:c r="S32" s="260">
        <x:v>5</x:v>
      </x:c>
      <x:c r="T32" s="261" t="s">
        <x:v>14</x:v>
      </x:c>
      <x:c r="U32" s="232">
        <x:f>'Rem. Anticipos R2'!L438</x:f>
        <x:v>0</x:v>
      </x:c>
      <x:c r="V32" s="233">
        <x:f>'Rem. Anticipos R2'!M438</x:f>
        <x:v>0</x:v>
      </x:c>
      <x:c r="W32" s="233">
        <x:f>'Rem. Anticipos R2'!N438</x:f>
        <x:v>0</x:v>
      </x:c>
      <x:c r="X32" s="233">
        <x:f>'Rem. Anticipos R2'!O438</x:f>
        <x:v>0</x:v>
      </x:c>
      <x:c r="Y32" s="225">
        <x:f>'Rem. Anticipos R2'!P438</x:f>
        <x:v>0</x:v>
      </x:c>
      <x:c r="Z32" s="255">
        <x:f>L32*-1</x:f>
        <x:v>0</x:v>
      </x:c>
      <x:c r="AA32" s="256">
        <x:f>'Rem. Anticipos R2'!Q438</x:f>
        <x:v>0</x:v>
      </x:c>
      <x:c r="AB32" s="230">
        <x:f>N32</x:f>
        <x:v>0</x:v>
      </x:c>
      <x:c r="AC32" s="256">
        <x:f>'Rem. Anticipos R2'!R438</x:f>
        <x:v>0</x:v>
      </x:c>
      <x:c r="AD32" s="227">
        <x:f t="shared" si="9"/>
        <x:v>0</x:v>
      </x:c>
      <x:c r="AE32" s="227">
        <x:f>'Rem. Anticipos R2'!E439</x:f>
        <x:v>0</x:v>
      </x:c>
      <x:c r="AF32" s="258">
        <x:f>SUM(U32:AD32)</x:f>
        <x:v>0</x:v>
      </x:c>
      <x:c r="AG32" s="441">
        <x:f>(AF32-O32)</x:f>
        <x:v>0</x:v>
      </x:c>
      <x:c r="AH32" s="241" t="b">
        <x:f t="shared" si="7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1">SUM(F28:F32)</x:f>
        <x:v>0</x:v>
      </x:c>
      <x:c r="G33" s="226">
        <x:f t="shared" ref="G33" si="12">SUM(G28:G32)</x:f>
        <x:v>0</x:v>
      </x:c>
      <x:c r="H33" s="226">
        <x:f t="shared" si="11"/>
        <x:v>0</x:v>
      </x:c>
      <x:c r="I33" s="226">
        <x:f t="shared" si="11"/>
        <x:v>0</x:v>
      </x:c>
      <x:c r="J33" s="226">
        <x:f t="shared" si="11"/>
        <x:v>0</x:v>
      </x:c>
      <x:c r="K33" s="236">
        <x:f t="shared" si="11"/>
        <x:v>0</x:v>
      </x:c>
      <x:c r="L33" s="237">
        <x:f t="shared" si="11"/>
        <x:v>0</x:v>
      </x:c>
      <x:c r="M33" s="238">
        <x:f t="shared" si="11"/>
        <x:v>0</x:v>
      </x:c>
      <x:c r="N33" s="237">
        <x:f t="shared" si="11"/>
        <x:v>0</x:v>
      </x:c>
      <x:c r="O33" s="238">
        <x:f t="shared" si="11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F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ref="AG33" si="15">SUM(AG28:AG32)</x:f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15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13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13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13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13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13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13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214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R1'!F52</x:f>
        <x:v>0</x:v>
      </x:c>
      <x:c r="E47" s="228">
        <x:f>'Reporte Componentes R1'!G52</x:f>
        <x:v>0</x:v>
      </x:c>
      <x:c r="F47" s="228">
        <x:f>'Reporte Componentes R1'!H52</x:f>
        <x:v>0</x:v>
      </x:c>
      <x:c r="G47" s="228">
        <x:f>'Reporte Componentes R1'!I52</x:f>
        <x:v>0</x:v>
      </x:c>
      <x:c r="H47" s="228">
        <x:f>'Reporte Componentes R1'!J52</x:f>
        <x:v>0</x:v>
      </x:c>
      <x:c r="I47" s="228">
        <x:f>'Reporte Componentes R1'!K52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R1'!M52</x:f>
        <x:v>0</x:v>
      </x:c>
      <x:c r="V47" s="244">
        <x:f>'Reporte Componentes R1'!N52</x:f>
        <x:v>0</x:v>
      </x:c>
      <x:c r="W47" s="244">
        <x:f>'Reporte Componentes R1'!O52</x:f>
        <x:v>0</x:v>
      </x:c>
      <x:c r="X47" s="244">
        <x:f>'Reporte Componentes R1'!P52</x:f>
        <x:v>0</x:v>
      </x:c>
      <x:c r="Y47" s="245">
        <x:f>'Reporte Componentes R1'!Q52</x:f>
        <x:v>0</x:v>
      </x:c>
      <x:c r="Z47" s="246">
        <x:f>-L47</x:f>
        <x:v>0</x:v>
      </x:c>
      <x:c r="AA47" s="256">
        <x:f>'Reporte Componentes R1'!R52+'Reporte Componentes R1'!V52+'Reporte Componentes R1'!U52</x:f>
        <x:v>0</x:v>
      </x:c>
      <x:c r="AB47" s="230">
        <x:f>N47</x:f>
        <x:v>0</x:v>
      </x:c>
      <x:c r="AC47" s="247">
        <x:f>'Reporte Componentes R1'!T52+'Reporte Componentes R1'!W52+'Reporte Componentes R1'!X52+'Reporte Componentes R1'!Y52+'Reporte Componentes R1'!Z52+'Reporte Componentes R1'!S52</x:f>
        <x:v>0</x:v>
      </x:c>
      <x:c r="AD47" s="227">
        <x:f>-J47+AE47</x:f>
        <x:v>0</x:v>
      </x:c>
      <x:c r="AE47" s="227">
        <x:f>'Reporte Componentes R1'!F53</x:f>
        <x:v>0</x:v>
      </x:c>
      <x:c r="AF47" s="249">
        <x:f>SUM(U47:AD47)</x:f>
        <x:v>0</x:v>
      </x:c>
      <x:c r="AG47" s="439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R1'!F196</x:f>
        <x:v>0</x:v>
      </x:c>
      <x:c r="E48" s="228">
        <x:f>'Reporte Componentes R1'!G196</x:f>
        <x:v>0</x:v>
      </x:c>
      <x:c r="F48" s="228">
        <x:f>'Reporte Componentes R1'!H196</x:f>
        <x:v>0</x:v>
      </x:c>
      <x:c r="G48" s="228">
        <x:f>'Reporte Componentes R1'!I196</x:f>
        <x:v>0</x:v>
      </x:c>
      <x:c r="H48" s="228">
        <x:f>'Reporte Componentes R1'!J196</x:f>
        <x:v>0</x:v>
      </x:c>
      <x:c r="I48" s="228">
        <x:f>'Reporte Componentes R1'!K196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R1'!L196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R1'!M196</x:f>
        <x:v>0</x:v>
      </x:c>
      <x:c r="V48" s="253">
        <x:f>'Reporte Componentes R1'!N196</x:f>
        <x:v>0</x:v>
      </x:c>
      <x:c r="W48" s="253">
        <x:f>'Reporte Componentes R1'!O196</x:f>
        <x:v>0</x:v>
      </x:c>
      <x:c r="X48" s="253">
        <x:f>'Reporte Componentes R1'!P196</x:f>
        <x:v>0</x:v>
      </x:c>
      <x:c r="Y48" s="254">
        <x:f>'Reporte Componentes R1'!Q196</x:f>
        <x:v>0</x:v>
      </x:c>
      <x:c r="Z48" s="255">
        <x:f>-L48</x:f>
        <x:v>0</x:v>
      </x:c>
      <x:c r="AA48" s="256">
        <x:f>'Reporte Componentes R1'!R196+'Reporte Componentes R1'!V196+'Reporte Componentes R1'!U196</x:f>
        <x:v>0</x:v>
      </x:c>
      <x:c r="AB48" s="230">
        <x:f>N48</x:f>
        <x:v>0</x:v>
      </x:c>
      <x:c r="AC48" s="256">
        <x:f>'Reporte Componentes R1'!T196+'Reporte Componentes R1'!W196+'Reporte Componentes R1'!X196+'Reporte Componentes R1'!Y196+'Reporte Componentes R1'!Z196+'Reporte Componentes R1'!S196</x:f>
        <x:v>0</x:v>
      </x:c>
      <x:c r="AD48" s="227">
        <x:f t="shared" ref="AD48:AD51" si="18">-J48+AE48</x:f>
        <x:v>0</x:v>
      </x:c>
      <x:c r="AE48" s="227">
        <x:f>'Reporte Componentes R1'!F197</x:f>
        <x:v>0</x:v>
      </x:c>
      <x:c r="AF48" s="258">
        <x:f>SUM(U48:AD48)</x:f>
        <x:v>0</x:v>
      </x:c>
      <x:c r="AG48" s="440">
        <x:f>(AF48-O48)</x:f>
        <x:v>0</x:v>
      </x:c>
      <x:c r="AH48" s="241" t="b">
        <x:f t="shared" ref="AH48:AH51" si="19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R1'!F327</x:f>
        <x:v>0</x:v>
      </x:c>
      <x:c r="E49" s="228">
        <x:f>'Reporte Componentes R1'!G327</x:f>
        <x:v>0</x:v>
      </x:c>
      <x:c r="F49" s="228">
        <x:f>'Reporte Componentes R1'!H327</x:f>
        <x:v>0</x:v>
      </x:c>
      <x:c r="G49" s="228">
        <x:f>'Reporte Componentes R1'!I327</x:f>
        <x:v>0</x:v>
      </x:c>
      <x:c r="H49" s="228">
        <x:f>'Reporte Componentes R1'!J327</x:f>
        <x:v>0</x:v>
      </x:c>
      <x:c r="I49" s="228">
        <x:f>'Reporte Componentes R1'!K327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R1'!L327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R1'!M327</x:f>
        <x:v>0</x:v>
      </x:c>
      <x:c r="V49" s="253">
        <x:f>'Reporte Componentes R1'!N327</x:f>
        <x:v>0</x:v>
      </x:c>
      <x:c r="W49" s="253">
        <x:f>'Reporte Componentes R1'!O327</x:f>
        <x:v>0</x:v>
      </x:c>
      <x:c r="X49" s="253">
        <x:f>'Reporte Componentes R1'!P327</x:f>
        <x:v>0</x:v>
      </x:c>
      <x:c r="Y49" s="254">
        <x:f>'Reporte Componentes R1'!Q327</x:f>
        <x:v>0</x:v>
      </x:c>
      <x:c r="Z49" s="255">
        <x:f>-L49</x:f>
        <x:v>0</x:v>
      </x:c>
      <x:c r="AA49" s="256">
        <x:f>'Reporte Componentes R1'!R327+'Reporte Componentes R1'!V327+'Reporte Componentes R1'!U327</x:f>
        <x:v>0</x:v>
      </x:c>
      <x:c r="AB49" s="230">
        <x:f>N49</x:f>
        <x:v>0</x:v>
      </x:c>
      <x:c r="AC49" s="256">
        <x:f>'Reporte Componentes R1'!T327+'Reporte Componentes R1'!W327+'Reporte Componentes R1'!X327+'Reporte Componentes R1'!Y327+'Reporte Componentes R1'!Z327+'Reporte Componentes R1'!S327</x:f>
        <x:v>0</x:v>
      </x:c>
      <x:c r="AD49" s="227">
        <x:f t="shared" si="18"/>
        <x:v>0</x:v>
      </x:c>
      <x:c r="AE49" s="227">
        <x:f>'Reporte Componentes R1'!F328</x:f>
        <x:v>0</x:v>
      </x:c>
      <x:c r="AF49" s="258">
        <x:f t="shared" ref="AF49:AF51" si="20">SUM(U49:AD49)</x:f>
        <x:v>0</x:v>
      </x:c>
      <x:c r="AG49" s="440">
        <x:f t="shared" ref="AG49:AG51" si="21">(AF49-O49)</x:f>
        <x:v>0</x:v>
      </x:c>
      <x:c r="AH49" s="241" t="b">
        <x:f t="shared" si="19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R1'!F458</x:f>
        <x:v>0</x:v>
      </x:c>
      <x:c r="E50" s="228">
        <x:f>'Reporte Componentes R1'!G458</x:f>
        <x:v>0</x:v>
      </x:c>
      <x:c r="F50" s="228">
        <x:f>'Reporte Componentes R1'!H458</x:f>
        <x:v>0</x:v>
      </x:c>
      <x:c r="G50" s="228">
        <x:f>'Reporte Componentes R1'!I458</x:f>
        <x:v>0</x:v>
      </x:c>
      <x:c r="H50" s="228">
        <x:f>'Reporte Componentes R1'!J458</x:f>
        <x:v>0</x:v>
      </x:c>
      <x:c r="I50" s="228">
        <x:f>'Reporte Componentes R1'!K458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R1'!L458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R1'!M458</x:f>
        <x:v>0</x:v>
      </x:c>
      <x:c r="V50" s="253">
        <x:f>'Reporte Componentes R1'!N458</x:f>
        <x:v>0</x:v>
      </x:c>
      <x:c r="W50" s="253">
        <x:f>'Reporte Componentes R1'!O458</x:f>
        <x:v>0</x:v>
      </x:c>
      <x:c r="X50" s="253">
        <x:f>'Reporte Componentes R1'!P458</x:f>
        <x:v>0</x:v>
      </x:c>
      <x:c r="Y50" s="254">
        <x:f>'Reporte Componentes R1'!Q458</x:f>
        <x:v>0</x:v>
      </x:c>
      <x:c r="Z50" s="255">
        <x:f>-L50</x:f>
        <x:v>0</x:v>
      </x:c>
      <x:c r="AA50" s="256">
        <x:f>'Reporte Componentes R1'!R458+'Reporte Componentes R1'!V458+'Reporte Componentes R1'!U458</x:f>
        <x:v>0</x:v>
      </x:c>
      <x:c r="AB50" s="230">
        <x:f>N50</x:f>
        <x:v>0</x:v>
      </x:c>
      <x:c r="AC50" s="256">
        <x:f>'Reporte Componentes R1'!T458+'Reporte Componentes R1'!W458+'Reporte Componentes R1'!X458+'Reporte Componentes R1'!Y458+'Reporte Componentes R1'!Z458+'Reporte Componentes R1'!S458</x:f>
        <x:v>0</x:v>
      </x:c>
      <x:c r="AD50" s="227">
        <x:f t="shared" si="18"/>
        <x:v>0</x:v>
      </x:c>
      <x:c r="AE50" s="227">
        <x:f>'Reporte Componentes R1'!F459</x:f>
        <x:v>0</x:v>
      </x:c>
      <x:c r="AF50" s="258">
        <x:f t="shared" si="20"/>
        <x:v>0</x:v>
      </x:c>
      <x:c r="AG50" s="440">
        <x:f t="shared" si="21"/>
        <x:v>0</x:v>
      </x:c>
      <x:c r="AH50" s="241" t="b">
        <x:f t="shared" si="19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R1'!F556</x:f>
        <x:v>0</x:v>
      </x:c>
      <x:c r="E51" s="233">
        <x:f>'Reporte Componentes R1'!G556</x:f>
        <x:v>0</x:v>
      </x:c>
      <x:c r="F51" s="233">
        <x:f>'Reporte Componentes R1'!H556</x:f>
        <x:v>0</x:v>
      </x:c>
      <x:c r="G51" s="233">
        <x:f>'Reporte Componentes R1'!I556</x:f>
        <x:v>0</x:v>
      </x:c>
      <x:c r="H51" s="233">
        <x:f>'Reporte Componentes R1'!J556</x:f>
        <x:v>0</x:v>
      </x:c>
      <x:c r="I51" s="233">
        <x:f>'Reporte Componentes R1'!K556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R1'!L556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R1'!M556</x:f>
        <x:v>0</x:v>
      </x:c>
      <x:c r="V51" s="233">
        <x:f>'Reporte Componentes R1'!N556</x:f>
        <x:v>0</x:v>
      </x:c>
      <x:c r="W51" s="233">
        <x:f>'Reporte Componentes R1'!O556</x:f>
        <x:v>0</x:v>
      </x:c>
      <x:c r="X51" s="233">
        <x:f>'Reporte Componentes R1'!P556</x:f>
        <x:v>0</x:v>
      </x:c>
      <x:c r="Y51" s="225">
        <x:f>'Reporte Componentes R1'!Q556</x:f>
        <x:v>0</x:v>
      </x:c>
      <x:c r="Z51" s="255">
        <x:f>-L51</x:f>
        <x:v>0</x:v>
      </x:c>
      <x:c r="AA51" s="256">
        <x:f>'Reporte Componentes R1'!R556+'Reporte Componentes R1'!V556+'Reporte Componentes R1'!U556</x:f>
        <x:v>0</x:v>
      </x:c>
      <x:c r="AB51" s="230">
        <x:f>N51</x:f>
        <x:v>0</x:v>
      </x:c>
      <x:c r="AC51" s="256">
        <x:f>'Reporte Componentes R1'!T556+'Reporte Componentes R1'!W556+'Reporte Componentes R1'!X556+'Reporte Componentes R1'!Y556+'Reporte Componentes R1'!Z556+'Reporte Componentes R1'!S556</x:f>
        <x:v>0</x:v>
      </x:c>
      <x:c r="AD51" s="227">
        <x:f t="shared" si="18"/>
        <x:v>0</x:v>
      </x:c>
      <x:c r="AE51" s="227">
        <x:f>'Reporte Componentes R1'!F557</x:f>
        <x:v>0</x:v>
      </x:c>
      <x:c r="AF51" s="258">
        <x:f t="shared" si="20"/>
        <x:v>0</x:v>
      </x:c>
      <x:c r="AG51" s="441">
        <x:f t="shared" si="21"/>
        <x:v>0</x:v>
      </x:c>
      <x:c r="AH51" s="241" t="b">
        <x:f t="shared" si="19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2">SUM(D47:D51)</x:f>
        <x:v>0</x:v>
      </x:c>
      <x:c r="E52" s="226">
        <x:f t="shared" si="22"/>
        <x:v>0</x:v>
      </x:c>
      <x:c r="F52" s="226">
        <x:f t="shared" si="22"/>
        <x:v>0</x:v>
      </x:c>
      <x:c r="G52" s="226">
        <x:f t="shared" ref="G52" si="23">SUM(G47:G51)</x:f>
        <x:v>0</x:v>
      </x:c>
      <x:c r="H52" s="226">
        <x:f t="shared" si="22"/>
        <x:v>0</x:v>
      </x:c>
      <x:c r="I52" s="226">
        <x:f t="shared" si="22"/>
        <x:v>0</x:v>
      </x:c>
      <x:c r="J52" s="226">
        <x:f t="shared" si="22"/>
        <x:v>0</x:v>
      </x:c>
      <x:c r="K52" s="236">
        <x:f t="shared" si="22"/>
        <x:v>0</x:v>
      </x:c>
      <x:c r="L52" s="237">
        <x:f t="shared" si="22"/>
        <x:v>0</x:v>
      </x:c>
      <x:c r="M52" s="238">
        <x:f t="shared" si="22"/>
        <x:v>0</x:v>
      </x:c>
      <x:c r="N52" s="237">
        <x:f t="shared" si="22"/>
        <x:v>0</x:v>
      </x:c>
      <x:c r="O52" s="238">
        <x:f t="shared" si="22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4">SUM(V47:V51)</x:f>
        <x:v>0</x:v>
      </x:c>
      <x:c r="W52" s="266">
        <x:f t="shared" si="24"/>
        <x:v>0</x:v>
      </x:c>
      <x:c r="X52" s="266">
        <x:f t="shared" si="24"/>
        <x:v>0</x:v>
      </x:c>
      <x:c r="Y52" s="266">
        <x:f t="shared" si="24"/>
        <x:v>0</x:v>
      </x:c>
      <x:c r="Z52" s="226">
        <x:f t="shared" si="24"/>
        <x:v>0</x:v>
      </x:c>
      <x:c r="AA52" s="226">
        <x:f t="shared" si="24"/>
        <x:v>0</x:v>
      </x:c>
      <x:c r="AB52" s="226">
        <x:f t="shared" si="24"/>
        <x:v>0</x:v>
      </x:c>
      <x:c r="AC52" s="226">
        <x:f t="shared" si="24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4"/>
        <x:v>0</x:v>
      </x:c>
      <x:c r="AG52" s="442">
        <x:f t="shared" si="24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15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13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13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13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13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13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13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214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R4'!D73</x:f>
        <x:v>0</x:v>
      </x:c>
      <x:c r="E66" s="228">
        <x:f>'Reversion Pagos R4'!E73</x:f>
        <x:v>0</x:v>
      </x:c>
      <x:c r="F66" s="228">
        <x:f>'Reversion Pagos R4'!F73</x:f>
        <x:v>0</x:v>
      </x:c>
      <x:c r="G66" s="228">
        <x:f>'Reversion Pagos R4'!G73</x:f>
        <x:v>0</x:v>
      </x:c>
      <x:c r="H66" s="228">
        <x:f>'Reversion Pagos R4'!H73</x:f>
        <x:v>0</x:v>
      </x:c>
      <x:c r="I66" s="228">
        <x:f>'Reversion Pagos R4'!I73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R4'!P73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R4'!J73</x:f>
        <x:v>0</x:v>
      </x:c>
      <x:c r="V66" s="244">
        <x:f>'Reversion Pagos R4'!K73</x:f>
        <x:v>0</x:v>
      </x:c>
      <x:c r="W66" s="244">
        <x:f>'Reversion Pagos R4'!L73</x:f>
        <x:v>0</x:v>
      </x:c>
      <x:c r="X66" s="244">
        <x:f>'Reversion Pagos R4'!M73</x:f>
        <x:v>0</x:v>
      </x:c>
      <x:c r="Y66" s="244">
        <x:f>'Reversion Pagos R4'!N73</x:f>
        <x:v>0</x:v>
      </x:c>
      <x:c r="Z66" s="246">
        <x:f>-L66</x:f>
        <x:v>0</x:v>
      </x:c>
      <x:c r="AA66" s="256">
        <x:f>'Reversion Pagos R4'!O73</x:f>
        <x:v>0</x:v>
      </x:c>
      <x:c r="AB66" s="230">
        <x:f>N66</x:f>
        <x:v>0</x:v>
      </x:c>
      <x:c r="AC66" s="256">
        <x:f>+'Reversion Pagos R4'!Q73+'Reversion Pagos R4'!R73</x:f>
        <x:v>0</x:v>
      </x:c>
      <x:c r="AD66" s="227">
        <x:f>-J66+AE66</x:f>
        <x:v>0</x:v>
      </x:c>
      <x:c r="AE66" s="227">
        <x:f>'Reversion Pagos R4'!D74</x:f>
        <x:v>0</x:v>
      </x:c>
      <x:c r="AF66" s="249">
        <x:f>SUM(U66:AD66)</x:f>
        <x:v>0</x:v>
      </x:c>
      <x:c r="AG66" s="439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R4'!D168</x:f>
        <x:v>0</x:v>
      </x:c>
      <x:c r="E67" s="228">
        <x:f>'Reversion Pagos R4'!E168</x:f>
        <x:v>0</x:v>
      </x:c>
      <x:c r="F67" s="228">
        <x:f>'Reversion Pagos R4'!F168</x:f>
        <x:v>0</x:v>
      </x:c>
      <x:c r="G67" s="228">
        <x:f>'Reversion Pagos R4'!G168</x:f>
        <x:v>0</x:v>
      </x:c>
      <x:c r="H67" s="228">
        <x:f>'Reversion Pagos R4'!H168</x:f>
        <x:v>0</x:v>
      </x:c>
      <x:c r="I67" s="228">
        <x:f>'Reversion Pagos R4'!I168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R4'!P168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R4'!J168</x:f>
        <x:v>0</x:v>
      </x:c>
      <x:c r="V67" s="253">
        <x:f>'Reversion Pagos R4'!K168</x:f>
        <x:v>0</x:v>
      </x:c>
      <x:c r="W67" s="253">
        <x:f>'Reversion Pagos R4'!L168</x:f>
        <x:v>0</x:v>
      </x:c>
      <x:c r="X67" s="253">
        <x:f>'Reversion Pagos R4'!M168</x:f>
        <x:v>0</x:v>
      </x:c>
      <x:c r="Y67" s="254">
        <x:f>'Reversion Pagos R4'!N168</x:f>
        <x:v>0</x:v>
      </x:c>
      <x:c r="Z67" s="255">
        <x:f t="shared" ref="Z67:Z70" si="27">-L67</x:f>
        <x:v>0</x:v>
      </x:c>
      <x:c r="AA67" s="256">
        <x:f>'Reversion Pagos R4'!O168</x:f>
        <x:v>0</x:v>
      </x:c>
      <x:c r="AB67" s="230">
        <x:f t="shared" ref="AB67:AB70" si="28">N67</x:f>
        <x:v>0</x:v>
      </x:c>
      <x:c r="AC67" s="256">
        <x:f>+'Reversion Pagos R4'!Q168+'Reversion Pagos R4'!R168</x:f>
        <x:v>0</x:v>
      </x:c>
      <x:c r="AD67" s="227">
        <x:f>-J67+AE67</x:f>
        <x:v>0</x:v>
      </x:c>
      <x:c r="AE67" s="227">
        <x:f>'Reversion Pagos R4'!D169</x:f>
        <x:v>0</x:v>
      </x:c>
      <x:c r="AF67" s="258">
        <x:f>SUM(U67:AD67)</x:f>
        <x:v>0</x:v>
      </x:c>
      <x:c r="AG67" s="440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R4'!D205</x:f>
        <x:v>0</x:v>
      </x:c>
      <x:c r="E68" s="228">
        <x:f>'Reversion Pagos R4'!E205</x:f>
        <x:v>0</x:v>
      </x:c>
      <x:c r="F68" s="228">
        <x:f>'Reversion Pagos R4'!F205</x:f>
        <x:v>0</x:v>
      </x:c>
      <x:c r="G68" s="228">
        <x:f>'Reversion Pagos R4'!G205</x:f>
        <x:v>0</x:v>
      </x:c>
      <x:c r="H68" s="228">
        <x:f>'Reversion Pagos R4'!H205</x:f>
        <x:v>0</x:v>
      </x:c>
      <x:c r="I68" s="228">
        <x:f>'Reversion Pagos R4'!I205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R4'!P205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R4'!J205</x:f>
        <x:v>0</x:v>
      </x:c>
      <x:c r="V68" s="253">
        <x:f>'Reversion Pagos R4'!K205</x:f>
        <x:v>0</x:v>
      </x:c>
      <x:c r="W68" s="253">
        <x:f>'Reversion Pagos R4'!L205</x:f>
        <x:v>0</x:v>
      </x:c>
      <x:c r="X68" s="253">
        <x:f>'Reversion Pagos R4'!M205</x:f>
        <x:v>0</x:v>
      </x:c>
      <x:c r="Y68" s="254">
        <x:f>'Reversion Pagos R4'!N205</x:f>
        <x:v>0</x:v>
      </x:c>
      <x:c r="Z68" s="255">
        <x:f t="shared" si="27"/>
        <x:v>0</x:v>
      </x:c>
      <x:c r="AA68" s="256">
        <x:f>'Reversion Pagos R4'!O205</x:f>
        <x:v>0</x:v>
      </x:c>
      <x:c r="AB68" s="230">
        <x:f t="shared" si="28"/>
        <x:v>0</x:v>
      </x:c>
      <x:c r="AC68" s="256">
        <x:f>+'Reversion Pagos R4'!Q205+'Reversion Pagos R4'!R205</x:f>
        <x:v>0</x:v>
      </x:c>
      <x:c r="AD68" s="227">
        <x:f t="shared" ref="AD68:AD69" si="30">-J68+AE68</x:f>
        <x:v>0</x:v>
      </x:c>
      <x:c r="AE68" s="227">
        <x:f>'Reversion Pagos R4'!D206</x:f>
        <x:v>0</x:v>
      </x:c>
      <x:c r="AF68" s="258">
        <x:f t="shared" ref="AF68:AF70" si="31">SUM(U68:AD68)</x:f>
        <x:v>0</x:v>
      </x:c>
      <x:c r="AG68" s="440">
        <x:f t="shared" ref="AG68:AG70" si="32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R4'!D320</x:f>
        <x:v>0</x:v>
      </x:c>
      <x:c r="E69" s="228">
        <x:f>'Reversion Pagos R4'!E320</x:f>
        <x:v>0</x:v>
      </x:c>
      <x:c r="F69" s="228">
        <x:f>'Reversion Pagos R4'!F320</x:f>
        <x:v>0</x:v>
      </x:c>
      <x:c r="G69" s="228">
        <x:f>'Reversion Pagos R4'!G320</x:f>
        <x:v>0</x:v>
      </x:c>
      <x:c r="H69" s="228">
        <x:f>'Reversion Pagos R4'!H320</x:f>
        <x:v>0</x:v>
      </x:c>
      <x:c r="I69" s="228">
        <x:f>'Reversion Pagos R4'!I320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R4'!P320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R4'!J320</x:f>
        <x:v>0</x:v>
      </x:c>
      <x:c r="V69" s="253">
        <x:f>'Reversion Pagos R4'!K320</x:f>
        <x:v>0</x:v>
      </x:c>
      <x:c r="W69" s="253">
        <x:f>'Reversion Pagos R4'!L320</x:f>
        <x:v>0</x:v>
      </x:c>
      <x:c r="X69" s="253">
        <x:f>'Reversion Pagos R4'!M320</x:f>
        <x:v>0</x:v>
      </x:c>
      <x:c r="Y69" s="254">
        <x:f>'Reversion Pagos R4'!N320</x:f>
        <x:v>0</x:v>
      </x:c>
      <x:c r="Z69" s="255">
        <x:f t="shared" si="27"/>
        <x:v>0</x:v>
      </x:c>
      <x:c r="AA69" s="256">
        <x:f>'Reversion Pagos R4'!O320</x:f>
        <x:v>0</x:v>
      </x:c>
      <x:c r="AB69" s="230">
        <x:f t="shared" si="28"/>
        <x:v>0</x:v>
      </x:c>
      <x:c r="AC69" s="256">
        <x:f>+'Reversion Pagos R4'!Q320+'Reversion Pagos R4'!R320</x:f>
        <x:v>0</x:v>
      </x:c>
      <x:c r="AD69" s="227">
        <x:f t="shared" si="30"/>
        <x:v>0</x:v>
      </x:c>
      <x:c r="AE69" s="227">
        <x:f>'Reversion Pagos R4'!D321</x:f>
        <x:v>0</x:v>
      </x:c>
      <x:c r="AF69" s="258">
        <x:f>SUM(U69:AD69)</x:f>
        <x:v>0</x:v>
      </x:c>
      <x:c r="AG69" s="440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R4'!D355</x:f>
        <x:v>0</x:v>
      </x:c>
      <x:c r="E70" s="233">
        <x:f>'Reversion Pagos R4'!E355</x:f>
        <x:v>0</x:v>
      </x:c>
      <x:c r="F70" s="233">
        <x:f>'Reversion Pagos R4'!F355</x:f>
        <x:v>0</x:v>
      </x:c>
      <x:c r="G70" s="233">
        <x:f>'Reversion Pagos R4'!G355</x:f>
        <x:v>0</x:v>
      </x:c>
      <x:c r="H70" s="233">
        <x:f>'Reversion Pagos R4'!H355</x:f>
        <x:v>0</x:v>
      </x:c>
      <x:c r="I70" s="233">
        <x:f>'Reversion Pagos R4'!I355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R4'!P355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R4'!J355</x:f>
        <x:v>0</x:v>
      </x:c>
      <x:c r="V70" s="233">
        <x:f>'Reversion Pagos R4'!K355</x:f>
        <x:v>0</x:v>
      </x:c>
      <x:c r="W70" s="233">
        <x:f>'Reversion Pagos R4'!L355</x:f>
        <x:v>0</x:v>
      </x:c>
      <x:c r="X70" s="233">
        <x:f>'Reversion Pagos R4'!M355</x:f>
        <x:v>0</x:v>
      </x:c>
      <x:c r="Y70" s="225">
        <x:f>'Reversion Pagos R4'!N355</x:f>
        <x:v>0</x:v>
      </x:c>
      <x:c r="Z70" s="255">
        <x:f t="shared" si="27"/>
        <x:v>0</x:v>
      </x:c>
      <x:c r="AA70" s="256">
        <x:f>'Reversion Pagos R4'!O355</x:f>
        <x:v>0</x:v>
      </x:c>
      <x:c r="AB70" s="230">
        <x:f t="shared" si="28"/>
        <x:v>0</x:v>
      </x:c>
      <x:c r="AC70" s="256">
        <x:f>+'Reversion Pagos R4'!Q355+'Reversion Pagos R4'!R355</x:f>
        <x:v>0</x:v>
      </x:c>
      <x:c r="AD70" s="227">
        <x:f>-J70+AE70</x:f>
        <x:v>0</x:v>
      </x:c>
      <x:c r="AE70" s="227">
        <x:f>'Reversion Pagos R4'!D356</x:f>
        <x:v>0</x:v>
      </x:c>
      <x:c r="AF70" s="258">
        <x:f t="shared" si="31"/>
        <x:v>0</x:v>
      </x:c>
      <x:c r="AG70" s="441">
        <x:f t="shared" si="32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3">SUM(D66:D70)</x:f>
        <x:v>0</x:v>
      </x:c>
      <x:c r="E71" s="226">
        <x:f t="shared" si="33"/>
        <x:v>0</x:v>
      </x:c>
      <x:c r="F71" s="226">
        <x:f t="shared" si="33"/>
        <x:v>0</x:v>
      </x:c>
      <x:c r="G71" s="226">
        <x:f t="shared" ref="G71" si="34">SUM(G66:G70)</x:f>
        <x:v>0</x:v>
      </x:c>
      <x:c r="H71" s="226">
        <x:f t="shared" si="33"/>
        <x:v>0</x:v>
      </x:c>
      <x:c r="I71" s="226">
        <x:f t="shared" si="33"/>
        <x:v>0</x:v>
      </x:c>
      <x:c r="J71" s="226">
        <x:f t="shared" si="33"/>
        <x:v>0</x:v>
      </x:c>
      <x:c r="K71" s="236">
        <x:f t="shared" si="33"/>
        <x:v>0</x:v>
      </x:c>
      <x:c r="L71" s="237">
        <x:f t="shared" si="33"/>
        <x:v>0</x:v>
      </x:c>
      <x:c r="M71" s="238">
        <x:f t="shared" si="33"/>
        <x:v>0</x:v>
      </x:c>
      <x:c r="N71" s="237">
        <x:f t="shared" si="33"/>
        <x:v>0</x:v>
      </x:c>
      <x:c r="O71" s="238">
        <x:f t="shared" si="33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F71" si="35">SUM(V66:V70)</x:f>
        <x:v>0</x:v>
      </x:c>
      <x:c r="W71" s="266">
        <x:f t="shared" si="35"/>
        <x:v>0</x:v>
      </x:c>
      <x:c r="X71" s="266">
        <x:f t="shared" si="35"/>
        <x:v>0</x:v>
      </x:c>
      <x:c r="Y71" s="266">
        <x:f t="shared" si="35"/>
        <x:v>0</x:v>
      </x:c>
      <x:c r="Z71" s="226">
        <x:f t="shared" si="35"/>
        <x:v>0</x:v>
      </x:c>
      <x:c r="AA71" s="226">
        <x:f>SUM(AA66:AA70)</x:f>
        <x:v>0</x:v>
      </x:c>
      <x:c r="AB71" s="226">
        <x:f t="shared" si="35"/>
        <x:v>0</x:v>
      </x:c>
      <x:c r="AC71" s="226">
        <x:f t="shared" ref="AC71" si="36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5"/>
        <x:v>0</x:v>
      </x:c>
      <x:c r="AG71" s="442">
        <x:f t="shared" ref="AG71" si="37">SUM(AG66:AG70)</x:f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15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13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13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13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13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13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13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517" t="s">
        <x:v>7</x:v>
      </x:c>
      <x:c r="AC84" s="65" t="s">
        <x:v>167</x:v>
      </x:c>
      <x:c r="AD84" s="490" t="s">
        <x:v>105</x:v>
      </x:c>
      <x:c r="AE84" s="114" t="s">
        <x:v>104</x:v>
      </x:c>
      <x:c r="AF84" s="39" t="s">
        <x:v>23</x:v>
      </x:c>
      <x:c r="AG84" s="214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f>'AJUSTES - SF-T'!N47</x:f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f>'AJUSTES - SF-T'!U47</x:f>
        <x:v>0</x:v>
      </x:c>
      <x:c r="V85" s="244">
        <x:f>'AJUSTES - SF-T'!V47</x:f>
        <x:v>0</x:v>
      </x:c>
      <x:c r="W85" s="244">
        <x:f>'AJUSTES - SF-T'!W47</x:f>
        <x:v>0</x:v>
      </x:c>
      <x:c r="X85" s="244">
        <x:f>'AJUSTES - SF-T'!X47</x:f>
        <x:v>0</x:v>
      </x:c>
      <x:c r="Y85" s="245">
        <x:f>'AJUSTES - SF-T'!Y47</x:f>
        <x:v>0</x:v>
      </x:c>
      <x:c r="Z85" s="246">
        <x:f>-L85</x:f>
        <x:v>0</x:v>
      </x:c>
      <x:c r="AA85" s="247">
        <x:f>'AJUSTES - SF-T'!AA47</x:f>
        <x:v>0</x:v>
      </x:c>
      <x:c r="AB85" s="230">
        <x:f>N85</x:f>
        <x:v>0</x:v>
      </x:c>
      <x:c r="AC85" s="247">
        <x:v>0</x:v>
      </x:c>
      <x:c r="AD85" s="515">
        <x:f>-J85+AE85</x:f>
        <x:v>0</x:v>
      </x:c>
      <x:c r="AE85" s="227">
        <x:f>'AJUSTES - SF-T'!AD47</x:f>
        <x:v>0</x:v>
      </x:c>
      <x:c r="AF85" s="249">
        <x:f>SUM(U85:AD85)</x:f>
        <x:v>0</x:v>
      </x:c>
      <x:c r="AG85" s="439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8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9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516">
        <x:v>0</x:v>
      </x:c>
      <x:c r="AD86" s="515">
        <x:f t="shared" ref="AD86:AD89" si="40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241" t="b">
        <x:f t="shared" ref="AH86:AH89" si="41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4">
        <x:f>'AJUSTES - SF-T'!J49</x:f>
        <x:v>0</x:v>
      </x:c>
      <x:c r="K87" s="231">
        <x:f t="shared" si="38"/>
        <x:v>0</x:v>
      </x:c>
      <x:c r="L87" s="230">
        <x:v>0</x:v>
      </x:c>
      <x:c r="M87" s="231">
        <x:f>K87-L87</x:f>
        <x:v>0</x:v>
      </x:c>
      <x:c r="N87" s="230">
        <x:f>'AJUSTES - SF-T'!N49</x:f>
        <x:v>0</x:v>
      </x:c>
      <x:c r="O87" s="231">
        <x:f t="shared" si="39"/>
        <x:v>0</x:v>
      </x:c>
      <x:c r="Q87" s="242"/>
      <x:c r="S87" s="250">
        <x:v>3</x:v>
      </x:c>
      <x:c r="T87" s="251" t="s">
        <x:v>12</x:v>
      </x:c>
      <x:c r="U87" s="252">
        <x:f>'AJUSTES - SF-T'!U49</x:f>
        <x:v>0</x:v>
      </x:c>
      <x:c r="V87" s="253">
        <x:f>'AJUSTES - SF-T'!V49</x:f>
        <x:v>0</x:v>
      </x:c>
      <x:c r="W87" s="253">
        <x:f>'AJUSTES - SF-T'!W49</x:f>
        <x:v>0</x:v>
      </x:c>
      <x:c r="X87" s="253">
        <x:f>'AJUSTES - SF-T'!X49</x:f>
        <x:v>0</x:v>
      </x:c>
      <x:c r="Y87" s="254">
        <x:f>'AJUSTES - SF-T'!Y49</x:f>
        <x:v>0</x:v>
      </x:c>
      <x:c r="Z87" s="255">
        <x:f>-L87</x:f>
        <x:v>0</x:v>
      </x:c>
      <x:c r="AA87" s="256">
        <x:f>'AJUSTES - SF-T'!AA49</x:f>
        <x:v>0</x:v>
      </x:c>
      <x:c r="AB87" s="230">
        <x:f>N87</x:f>
        <x:v>0</x:v>
      </x:c>
      <x:c r="AC87" s="259">
        <x:v>0</x:v>
      </x:c>
      <x:c r="AD87" s="515">
        <x:f t="shared" si="40"/>
        <x:v>0</x:v>
      </x:c>
      <x:c r="AE87" s="227">
        <x:f>'AJUSTES - SF-T'!AD49</x:f>
        <x:v>0</x:v>
      </x:c>
      <x:c r="AF87" s="258">
        <x:f t="shared" ref="AF87:AF89" si="42">SUM(U87:AD87)</x:f>
        <x:v>0</x:v>
      </x:c>
      <x:c r="AG87" s="440">
        <x:f>AF87-O87</x:f>
        <x:v>0</x:v>
      </x:c>
      <x:c r="AH87" s="241" t="b">
        <x:f t="shared" si="41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8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9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515">
        <x:f t="shared" si="40"/>
        <x:v>0</x:v>
      </x:c>
      <x:c r="AE88" s="227">
        <x:f>'AJUSTES - SF-T'!AD50</x:f>
        <x:v>0</x:v>
      </x:c>
      <x:c r="AF88" s="258">
        <x:f t="shared" si="42"/>
        <x:v>0</x:v>
      </x:c>
      <x:c r="AG88" s="440">
        <x:f>AF88-O88</x:f>
        <x:v>0</x:v>
      </x:c>
      <x:c r="AH88" s="241" t="b">
        <x:f t="shared" si="41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27">
        <x:f>'AJUSTES - SF-T'!D51</x:f>
        <x:v>0</x:v>
      </x:c>
      <x:c r="E89" s="228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25">
        <x:f>'AJUSTES - SF-T'!J51</x:f>
        <x:v>0</x:v>
      </x:c>
      <x:c r="K89" s="231">
        <x:f t="shared" si="38"/>
        <x:v>0</x:v>
      </x:c>
      <x:c r="L89" s="230">
        <x:v>0</x:v>
      </x:c>
      <x:c r="M89" s="234">
        <x:f>K89-L89</x:f>
        <x:v>0</x:v>
      </x:c>
      <x:c r="N89" s="235">
        <x:f>'AJUSTES - SF-T'!N51</x:f>
        <x:v>0</x:v>
      </x:c>
      <x:c r="O89" s="234">
        <x:f t="shared" si="39"/>
        <x:v>0</x:v>
      </x:c>
      <x:c r="Q89" s="242"/>
      <x:c r="S89" s="260">
        <x:v>5</x:v>
      </x:c>
      <x:c r="T89" s="261" t="s">
        <x:v>14</x:v>
      </x:c>
      <x:c r="U89" s="232">
        <x:f>'AJUSTES - SF-T'!U51</x:f>
        <x:v>0</x:v>
      </x:c>
      <x:c r="V89" s="233">
        <x:f>'AJUSTES - SF-T'!V51</x:f>
        <x:v>0</x:v>
      </x:c>
      <x:c r="W89" s="233">
        <x:f>'AJUSTES - SF-T'!W51</x:f>
        <x:v>0</x:v>
      </x:c>
      <x:c r="X89" s="233">
        <x:f>'AJUSTES - SF-T'!X51</x:f>
        <x:v>0</x:v>
      </x:c>
      <x:c r="Y89" s="225">
        <x:f>'AJUSTES - SF-T'!Y51</x:f>
        <x:v>0</x:v>
      </x:c>
      <x:c r="Z89" s="255">
        <x:f>-L89</x:f>
        <x:v>0</x:v>
      </x:c>
      <x:c r="AA89" s="256">
        <x:f>'AJUSTES - SF-T'!AA51</x:f>
        <x:v>0</x:v>
      </x:c>
      <x:c r="AB89" s="230">
        <x:f>N89</x:f>
        <x:v>0</x:v>
      </x:c>
      <x:c r="AC89" s="259">
        <x:v>0</x:v>
      </x:c>
      <x:c r="AD89" s="515">
        <x:f t="shared" si="40"/>
        <x:v>0</x:v>
      </x:c>
      <x:c r="AE89" s="227">
        <x:f>'AJUSTES - SF-T'!AD51</x:f>
        <x:v>0</x:v>
      </x:c>
      <x:c r="AF89" s="258">
        <x:f t="shared" si="42"/>
        <x:v>0</x:v>
      </x:c>
      <x:c r="AG89" s="441">
        <x:f>AF89-O89</x:f>
        <x:v>0</x:v>
      </x:c>
      <x:c r="AH89" s="241" t="b">
        <x:f t="shared" si="41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>SUM(D85:D89)</x:f>
        <x:v>0</x:v>
      </x:c>
      <x:c r="E90" s="226">
        <x:f t="shared" ref="E90:O90" si="43">SUM(E85:E89)</x:f>
        <x:v>0</x:v>
      </x:c>
      <x:c r="F90" s="226">
        <x:f t="shared" si="43"/>
        <x:v>0</x:v>
      </x:c>
      <x:c r="G90" s="226">
        <x:f t="shared" ref="G90" si="44">SUM(G85:G89)</x:f>
        <x:v>0</x:v>
      </x:c>
      <x:c r="H90" s="226">
        <x:f t="shared" si="43"/>
        <x:v>0</x:v>
      </x:c>
      <x:c r="I90" s="226">
        <x:f t="shared" si="43"/>
        <x:v>0</x:v>
      </x:c>
      <x:c r="J90" s="226">
        <x:f t="shared" si="43"/>
        <x:v>0</x:v>
      </x:c>
      <x:c r="K90" s="236">
        <x:f t="shared" si="43"/>
        <x:v>0</x:v>
      </x:c>
      <x:c r="L90" s="237">
        <x:f t="shared" si="43"/>
        <x:v>0</x:v>
      </x:c>
      <x:c r="M90" s="238">
        <x:f t="shared" si="43"/>
        <x:v>0</x:v>
      </x:c>
      <x:c r="N90" s="237">
        <x:f t="shared" si="43"/>
        <x:v>0</x:v>
      </x:c>
      <x:c r="O90" s="238">
        <x:f t="shared" si="43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5">SUM(V85:V89)</x:f>
        <x:v>0</x:v>
      </x:c>
      <x:c r="W90" s="266">
        <x:f t="shared" si="45"/>
        <x:v>0</x:v>
      </x:c>
      <x:c r="X90" s="266">
        <x:f t="shared" si="45"/>
        <x:v>0</x:v>
      </x:c>
      <x:c r="Y90" s="266">
        <x:f t="shared" si="45"/>
        <x:v>0</x:v>
      </x:c>
      <x:c r="Z90" s="226">
        <x:f t="shared" si="45"/>
        <x:v>0</x:v>
      </x:c>
      <x:c r="AA90" s="226">
        <x:f t="shared" si="45"/>
        <x:v>0</x:v>
      </x:c>
      <x:c r="AB90" s="393">
        <x:f t="shared" si="45"/>
        <x:v>0</x:v>
      </x:c>
      <x:c r="AC90" s="226">
        <x:f t="shared" ref="AC90" si="46">SUM(AC85:AC89)</x:f>
        <x:v>0</x:v>
      </x:c>
      <x:c r="AD90" s="518">
        <x:f t="shared" si="45"/>
        <x:v>0</x:v>
      </x:c>
      <x:c r="AE90" s="226">
        <x:f t="shared" si="45"/>
        <x:v>0</x:v>
      </x:c>
      <x:c r="AF90" s="267">
        <x:f t="shared" si="45"/>
        <x:v>0</x:v>
      </x:c>
      <x:c r="AG90" s="442">
        <x:f t="shared" si="45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15"/>
      <x:c r="AH95" s="4"/>
      <x:c r="AI95" s="4"/>
    </x:row>
    <x:row r="96" spans="1:35" ht="12.75" thickBot="1" x14ac:dyDescent="0.25">
      <x:c r="Q96" s="4"/>
      <x:c r="AI96" s="4"/>
    </x:row>
    <x:row r="97" spans="2:39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13"/>
      <x:c r="AI97" s="4"/>
    </x:row>
    <x:row r="98" spans="2:39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13"/>
      <x:c r="AI98" s="4"/>
    </x:row>
    <x:row r="99" spans="2:39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13"/>
      <x:c r="AI99" s="4"/>
    </x:row>
    <x:row r="100" spans="2:39" ht="15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13"/>
      <x:c r="AI100" s="4"/>
    </x:row>
    <x:row r="101" spans="2:39" ht="15.75" x14ac:dyDescent="0.25">
      <x:c r="B101" s="8"/>
      <x:c r="C101" s="511" t="s">
        <x:v>17</x:v>
      </x:c>
      <x:c r="D101" s="9">
        <x:f>D6</x:f>
        <x:v>46238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13"/>
      <x:c r="AI101" s="4"/>
    </x:row>
    <x:row r="102" spans="2:39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13"/>
      <x:c r="AI102" s="4"/>
      <x:c r="AJ102" s="105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497" t="s">
        <x:v>40</x:v>
      </x:c>
      <x:c r="W103" s="49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214"/>
      <x:c r="AI103" s="4"/>
    </x:row>
    <x:row r="104" spans="2:39" s="241" customFormat="1" x14ac:dyDescent="0.2">
      <x:c r="B104" s="239">
        <x:v>1</x:v>
      </x:c>
      <x:c r="C104" s="240" t="s">
        <x:v>10</x:v>
      </x:c>
      <x:c r="D104" s="227">
        <x:f t="shared" ref="D104:F106" si="47">D9+D28+D47+D66+D85</x:f>
        <x:v>0</x:v>
      </x:c>
      <x:c r="E104" s="228">
        <x:f t="shared" si="47"/>
        <x:v>0</x:v>
      </x:c>
      <x:c r="F104" s="228">
        <x:f t="shared" si="47"/>
        <x:v>0</x:v>
      </x:c>
      <x:c r="G104" s="228">
        <x:f t="shared" ref="G104" si="48">G9+G28+G47+G66+G85</x:f>
        <x:v>0</x:v>
      </x:c>
      <x:c r="H104" s="228">
        <x:f t="shared" ref="H104:J108" si="49">H9+H28+H47+H66+H85</x:f>
        <x:v>0</x:v>
      </x:c>
      <x:c r="I104" s="228">
        <x:f t="shared" si="49"/>
        <x:v>0</x:v>
      </x:c>
      <x:c r="J104" s="224">
        <x:f t="shared" si="49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50">U9+U28+U47+U66+U85</x:f>
        <x:v>0</x:v>
      </x:c>
      <x:c r="V104" s="244">
        <x:f t="shared" si="50"/>
        <x:v>0</x:v>
      </x:c>
      <x:c r="W104" s="244">
        <x:f t="shared" si="50"/>
        <x:v>0</x:v>
      </x:c>
      <x:c r="X104" s="244">
        <x:f t="shared" si="50"/>
        <x:v>0</x:v>
      </x:c>
      <x:c r="Y104" s="245">
        <x:f t="shared" si="50"/>
        <x:v>0</x:v>
      </x:c>
      <x:c r="Z104" s="246">
        <x:f t="shared" si="50"/>
        <x:v>-189185988</x:v>
      </x:c>
      <x:c r="AA104" s="247">
        <x:f>AA9+AA28+AA47+AA66+AA85</x:f>
        <x:v>0</x:v>
      </x:c>
      <x:c r="AB104" s="230">
        <x:f t="shared" si="50"/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439">
        <x:f>AF104-O104</x:f>
        <x:v>0</x:v>
      </x:c>
      <x:c r="AH104" s="241" t="b">
        <x:f>INT(AG104)=0</x:f>
        <x:v>1</x:v>
      </x:c>
      <x:c r="AI104" s="242"/>
      <x:c r="AM104" s="269"/>
    </x:row>
    <x:row r="105" spans="2:39" s="241" customFormat="1" x14ac:dyDescent="0.2">
      <x:c r="B105" s="250">
        <x:v>2</x:v>
      </x:c>
      <x:c r="C105" s="251" t="s">
        <x:v>11</x:v>
      </x:c>
      <x:c r="D105" s="227">
        <x:f>D10+D29+D48+D67+D86</x:f>
        <x:v>0</x:v>
      </x:c>
      <x:c r="E105" s="228">
        <x:f>E10+E29+E48+E67+E86</x:f>
        <x:v>0</x:v>
      </x:c>
      <x:c r="F105" s="228">
        <x:f t="shared" si="47"/>
        <x:v>0</x:v>
      </x:c>
      <x:c r="G105" s="228">
        <x:f t="shared" ref="G105" si="51">G10+G29+G48+G67+G86</x:f>
        <x:v>0</x:v>
      </x:c>
      <x:c r="H105" s="228">
        <x:f t="shared" si="49"/>
        <x:v>0</x:v>
      </x:c>
      <x:c r="I105" s="228">
        <x:f t="shared" si="49"/>
        <x:v>0</x:v>
      </x:c>
      <x:c r="J105" s="224">
        <x:f t="shared" si="49"/>
        <x:v>0</x:v>
      </x:c>
      <x:c r="K105" s="231">
        <x:f t="shared" ref="K105:K108" si="52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53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50"/>
        <x:v>0</x:v>
      </x:c>
      <x:c r="V105" s="253">
        <x:f t="shared" si="50"/>
        <x:v>0</x:v>
      </x:c>
      <x:c r="W105" s="253">
        <x:f t="shared" si="50"/>
        <x:v>0</x:v>
      </x:c>
      <x:c r="X105" s="253">
        <x:f t="shared" si="50"/>
        <x:v>0</x:v>
      </x:c>
      <x:c r="Y105" s="254">
        <x:f t="shared" si="50"/>
        <x:v>0</x:v>
      </x:c>
      <x:c r="Z105" s="255">
        <x:f t="shared" si="50"/>
        <x:v>-266580256</x:v>
      </x:c>
      <x:c r="AA105" s="256">
        <x:f>AA10+AA29+AA48+AA67+AA86</x:f>
        <x:v>0</x:v>
      </x:c>
      <x:c r="AB105" s="230">
        <x:f t="shared" si="50"/>
        <x:v>0</x:v>
      </x:c>
      <x:c r="AC105" s="256">
        <x:f>AC10+AC29+AC48+AC67+AC86</x:f>
        <x:v>0</x:v>
      </x:c>
      <x:c r="AD105" s="227">
        <x:f t="shared" ref="AD105:AD107" si="54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440">
        <x:f>AF105-O105</x:f>
        <x:v>0</x:v>
      </x:c>
      <x:c r="AH105" s="241" t="b">
        <x:f t="shared" ref="AH105:AH108" si="55">INT(AG105)=0</x:f>
        <x:v>1</x:v>
      </x:c>
      <x:c r="AI105" s="242"/>
      <x:c r="AM105" s="269"/>
    </x:row>
    <x:row r="106" spans="2:39" s="241" customFormat="1" x14ac:dyDescent="0.2">
      <x:c r="B106" s="250">
        <x:v>3</x:v>
      </x:c>
      <x:c r="C106" s="251" t="s">
        <x:v>12</x:v>
      </x:c>
      <x:c r="D106" s="227">
        <x:f t="shared" si="47"/>
        <x:v>0</x:v>
      </x:c>
      <x:c r="E106" s="228">
        <x:f t="shared" si="47"/>
        <x:v>0</x:v>
      </x:c>
      <x:c r="F106" s="228">
        <x:f t="shared" si="47"/>
        <x:v>0</x:v>
      </x:c>
      <x:c r="G106" s="228">
        <x:f t="shared" ref="G106" si="56">G11+G30+G49+G68+G87</x:f>
        <x:v>0</x:v>
      </x:c>
      <x:c r="H106" s="228">
        <x:f t="shared" si="49"/>
        <x:v>0</x:v>
      </x:c>
      <x:c r="I106" s="228">
        <x:f t="shared" si="49"/>
        <x:v>0</x:v>
      </x:c>
      <x:c r="J106" s="224">
        <x:f t="shared" si="49"/>
        <x:v>0</x:v>
      </x:c>
      <x:c r="K106" s="231">
        <x:f t="shared" si="52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53"/>
        <x:v>-154788536</x:v>
      </x:c>
      <x:c r="Q106" s="242"/>
      <x:c r="S106" s="250">
        <x:v>3</x:v>
      </x:c>
      <x:c r="T106" s="251" t="s">
        <x:v>12</x:v>
      </x:c>
      <x:c r="U106" s="252">
        <x:f t="shared" si="50"/>
        <x:v>0</x:v>
      </x:c>
      <x:c r="V106" s="253">
        <x:f t="shared" si="50"/>
        <x:v>0</x:v>
      </x:c>
      <x:c r="W106" s="253">
        <x:f t="shared" si="50"/>
        <x:v>0</x:v>
      </x:c>
      <x:c r="X106" s="253">
        <x:f t="shared" si="50"/>
        <x:v>0</x:v>
      </x:c>
      <x:c r="Y106" s="254">
        <x:f t="shared" si="50"/>
        <x:v>0</x:v>
      </x:c>
      <x:c r="Z106" s="255">
        <x:f t="shared" si="50"/>
        <x:v>-154788536</x:v>
      </x:c>
      <x:c r="AA106" s="256">
        <x:f>AA11+AA30+AA49+AA68+AA87</x:f>
        <x:v>0</x:v>
      </x:c>
      <x:c r="AB106" s="230">
        <x:f t="shared" si="50"/>
        <x:v>0</x:v>
      </x:c>
      <x:c r="AC106" s="256">
        <x:f>AC11+AC30+AC49+AC68+AC87</x:f>
        <x:v>0</x:v>
      </x:c>
      <x:c r="AD106" s="227">
        <x:f t="shared" si="54"/>
        <x:v>0</x:v>
      </x:c>
      <x:c r="AE106" s="227">
        <x:f>AE11+AE30+AE49+AE68+AE87</x:f>
        <x:v>0</x:v>
      </x:c>
      <x:c r="AF106" s="258">
        <x:f>SUM(U106:AD106)</x:f>
        <x:v>-154788536</x:v>
      </x:c>
      <x:c r="AG106" s="440">
        <x:f>AF106-O106</x:f>
        <x:v>0</x:v>
      </x:c>
      <x:c r="AH106" s="241" t="b">
        <x:f t="shared" si="55"/>
        <x:v>1</x:v>
      </x:c>
      <x:c r="AI106" s="242"/>
      <x:c r="AM106" s="269"/>
    </x:row>
    <x:row r="107" spans="2:39" s="241" customFormat="1" x14ac:dyDescent="0.2">
      <x:c r="B107" s="250">
        <x:v>4</x:v>
      </x:c>
      <x:c r="C107" s="251" t="s">
        <x:v>13</x:v>
      </x:c>
      <x:c r="D107" s="227">
        <x:f t="shared" ref="D107" si="57">D12+D31+D50+D69+D88</x:f>
        <x:v>0</x:v>
      </x:c>
      <x:c r="E107" s="228">
        <x:f t="shared" ref="E107:F108" si="58">E12+E31+E50+E69+E88</x:f>
        <x:v>0</x:v>
      </x:c>
      <x:c r="F107" s="228">
        <x:f t="shared" si="58"/>
        <x:v>0</x:v>
      </x:c>
      <x:c r="G107" s="228">
        <x:f t="shared" ref="G107" si="59">G12+G31+G50+G69+G88</x:f>
        <x:v>0</x:v>
      </x:c>
      <x:c r="H107" s="228">
        <x:f t="shared" si="49"/>
        <x:v>0</x:v>
      </x:c>
      <x:c r="I107" s="228">
        <x:f t="shared" si="49"/>
        <x:v>0</x:v>
      </x:c>
      <x:c r="J107" s="224">
        <x:f t="shared" si="49"/>
        <x:v>0</x:v>
      </x:c>
      <x:c r="K107" s="231">
        <x:f t="shared" si="52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50"/>
        <x:v>0</x:v>
      </x:c>
      <x:c r="V107" s="253">
        <x:f t="shared" si="50"/>
        <x:v>0</x:v>
      </x:c>
      <x:c r="W107" s="253">
        <x:f t="shared" si="50"/>
        <x:v>0</x:v>
      </x:c>
      <x:c r="X107" s="253">
        <x:f t="shared" si="50"/>
        <x:v>0</x:v>
      </x:c>
      <x:c r="Y107" s="254">
        <x:f t="shared" si="50"/>
        <x:v>0</x:v>
      </x:c>
      <x:c r="Z107" s="255">
        <x:f t="shared" si="50"/>
        <x:v>-120391083</x:v>
      </x:c>
      <x:c r="AA107" s="256">
        <x:f>AA12+AA31+AA50+AA69+AA88</x:f>
        <x:v>0</x:v>
      </x:c>
      <x:c r="AB107" s="230">
        <x:f t="shared" si="50"/>
        <x:v>0</x:v>
      </x:c>
      <x:c r="AC107" s="256">
        <x:f>AC12+AC31+AC50+AC69+AC88</x:f>
        <x:v>0</x:v>
      </x:c>
      <x:c r="AD107" s="227">
        <x:f t="shared" si="54"/>
        <x:v>0</x:v>
      </x:c>
      <x:c r="AE107" s="227">
        <x:f>AE12+AE31+AE50+AE69+AE88</x:f>
        <x:v>0</x:v>
      </x:c>
      <x:c r="AF107" s="258">
        <x:f>SUM(U107:AD107)</x:f>
        <x:v>-120391083</x:v>
      </x:c>
      <x:c r="AG107" s="440">
        <x:f>AF107-O107</x:f>
        <x:v>0</x:v>
      </x:c>
      <x:c r="AH107" s="241" t="b">
        <x:f t="shared" si="55"/>
        <x:v>1</x:v>
      </x:c>
      <x:c r="AI107" s="242"/>
      <x:c r="AM107" s="269"/>
    </x:row>
    <x:row r="108" spans="2:39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58"/>
        <x:v>0</x:v>
      </x:c>
      <x:c r="F108" s="233">
        <x:f t="shared" si="58"/>
        <x:v>0</x:v>
      </x:c>
      <x:c r="G108" s="233">
        <x:f t="shared" ref="G108" si="60">G13+G32+G51+G70+G89</x:f>
        <x:v>0</x:v>
      </x:c>
      <x:c r="H108" s="233">
        <x:f t="shared" si="49"/>
        <x:v>0</x:v>
      </x:c>
      <x:c r="I108" s="233">
        <x:f t="shared" si="49"/>
        <x:v>0</x:v>
      </x:c>
      <x:c r="J108" s="225">
        <x:f t="shared" si="49"/>
        <x:v>0</x:v>
      </x:c>
      <x:c r="K108" s="231">
        <x:f t="shared" si="52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53"/>
        <x:v>-128990446</x:v>
      </x:c>
      <x:c r="Q108" s="242"/>
      <x:c r="S108" s="260">
        <x:v>5</x:v>
      </x:c>
      <x:c r="T108" s="261" t="s">
        <x:v>14</x:v>
      </x:c>
      <x:c r="U108" s="232">
        <x:f t="shared" si="50"/>
        <x:v>0</x:v>
      </x:c>
      <x:c r="V108" s="233">
        <x:f t="shared" si="50"/>
        <x:v>0</x:v>
      </x:c>
      <x:c r="W108" s="233">
        <x:f t="shared" si="50"/>
        <x:v>0</x:v>
      </x:c>
      <x:c r="X108" s="233">
        <x:f t="shared" si="50"/>
        <x:v>0</x:v>
      </x:c>
      <x:c r="Y108" s="225">
        <x:f t="shared" si="50"/>
        <x:v>0</x:v>
      </x:c>
      <x:c r="Z108" s="255">
        <x:f t="shared" si="50"/>
        <x:v>-128990446</x:v>
      </x:c>
      <x:c r="AA108" s="256">
        <x:f>AA13+AA32+AA51+AA70+AA89</x:f>
        <x:v>0</x:v>
      </x:c>
      <x:c r="AB108" s="230">
        <x:f t="shared" si="50"/>
        <x:v>0</x:v>
      </x:c>
      <x:c r="AC108" s="256">
        <x:f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-128990446</x:v>
      </x:c>
      <x:c r="AG108" s="441">
        <x:f>AF108-O108</x:f>
        <x:v>0</x:v>
      </x:c>
      <x:c r="AH108" s="241" t="b">
        <x:f t="shared" si="55"/>
        <x:v>1</x:v>
      </x:c>
      <x:c r="AI108" s="242"/>
      <x:c r="AM108" s="269"/>
    </x:row>
    <x:row r="109" spans="2:39" s="241" customFormat="1" ht="13.5" thickBot="1" x14ac:dyDescent="0.25">
      <x:c r="B109" s="263"/>
      <x:c r="C109" s="264" t="s">
        <x:v>2</x:v>
      </x:c>
      <x:c r="D109" s="226">
        <x:f t="shared" ref="D109:N109" si="61">SUM(D104:D108)</x:f>
        <x:v>0</x:v>
      </x:c>
      <x:c r="E109" s="226">
        <x:f t="shared" si="61"/>
        <x:v>0</x:v>
      </x:c>
      <x:c r="F109" s="226">
        <x:f t="shared" si="61"/>
        <x:v>0</x:v>
      </x:c>
      <x:c r="G109" s="226">
        <x:f t="shared" ref="G109" si="62">SUM(G104:G108)</x:f>
        <x:v>0</x:v>
      </x:c>
      <x:c r="H109" s="226">
        <x:f t="shared" si="61"/>
        <x:v>0</x:v>
      </x:c>
      <x:c r="I109" s="226">
        <x:f t="shared" si="61"/>
        <x:v>0</x:v>
      </x:c>
      <x:c r="J109" s="226">
        <x:f t="shared" si="61"/>
        <x:v>0</x:v>
      </x:c>
      <x:c r="K109" s="236">
        <x:f t="shared" si="61"/>
        <x:v>0</x:v>
      </x:c>
      <x:c r="L109" s="237">
        <x:f t="shared" si="61"/>
        <x:v>859936309</x:v>
      </x:c>
      <x:c r="M109" s="238">
        <x:f t="shared" si="61"/>
        <x:v>-859936309</x:v>
      </x:c>
      <x:c r="N109" s="237">
        <x:f t="shared" si="61"/>
        <x:v>0</x:v>
      </x:c>
      <x:c r="O109" s="238">
        <x:f>SUM(O104:O108)</x:f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63">SUM(V104:V108)</x:f>
        <x:v>0</x:v>
      </x:c>
      <x:c r="W109" s="266">
        <x:f t="shared" si="63"/>
        <x:v>0</x:v>
      </x:c>
      <x:c r="X109" s="266">
        <x:f t="shared" si="63"/>
        <x:v>0</x:v>
      </x:c>
      <x:c r="Y109" s="266">
        <x:f t="shared" si="63"/>
        <x:v>0</x:v>
      </x:c>
      <x:c r="Z109" s="226">
        <x:f t="shared" si="63"/>
        <x:v>-859936309</x:v>
      </x:c>
      <x:c r="AA109" s="226">
        <x:f>SUM(AA104:AA108)</x:f>
        <x:v>0</x:v>
      </x:c>
      <x:c r="AB109" s="226">
        <x:f t="shared" si="63"/>
        <x:v>0</x:v>
      </x:c>
      <x:c r="AC109" s="226">
        <x:f>SUM(AC104:AC108)</x:f>
        <x:v>0</x:v>
      </x:c>
      <x:c r="AD109" s="226">
        <x:f t="shared" si="63"/>
        <x:v>0</x:v>
      </x:c>
      <x:c r="AE109" s="226">
        <x:f>SUM(AE104:AE108)</x:f>
        <x:v>0</x:v>
      </x:c>
      <x:c r="AF109" s="267">
        <x:f t="shared" si="63"/>
        <x:v>-859936309</x:v>
      </x:c>
      <x:c r="AG109" s="442">
        <x:f>SUM(AG104:AG108)</x:f>
        <x:v>0</x:v>
      </x:c>
      <x:c r="AH109" s="241" t="b">
        <x:f>INT(AG109)=0</x:f>
        <x:v>1</x:v>
      </x:c>
      <x:c r="AI109" s="242"/>
      <x:c r="AM109" s="269"/>
    </x:row>
    <x:row r="110" spans="2:39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07"/>
      <x:c r="W111" s="507"/>
      <x:c r="Y111" s="86">
        <x:f>SUM(U109:Y109)</x:f>
        <x:v>0</x:v>
      </x:c>
      <x:c r="AA111" s="1" t="s">
        <x:v>1</x:v>
      </x:c>
      <x:c r="AB111" s="1" t="s">
        <x:v>1</x:v>
      </x:c>
      <x:c r="AD111" s="241"/>
      <x:c r="AF111" s="241"/>
      <x:c r="AI111" s="4"/>
    </x:row>
    <x:row r="112" spans="2:39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16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05"/>
      <x:c r="W116" s="505"/>
      <x:c r="AA116" s="241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241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241"/>
      <x:c r="Y118" s="241"/>
      <x:c r="AA118" s="241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241"/>
      <x:c r="Y119" s="241"/>
      <x:c r="AA119" s="241"/>
    </x:row>
    <x:row r="120" spans="1:35" x14ac:dyDescent="0.2">
      <x:c r="B120" s="8"/>
      <x:c r="I120" s="2"/>
      <x:c r="J120" s="2"/>
      <x:c r="O120" s="10"/>
      <x:c r="P120" s="2"/>
      <x:c r="Q120" s="4"/>
      <x:c r="X120" s="241"/>
      <x:c r="Y120" s="241"/>
      <x:c r="AA120" s="241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241"/>
      <x:c r="Y121" s="241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  <x:c r="X122" s="241"/>
      <x:c r="Y122" s="241"/>
    </x:row>
    <x:row r="123" spans="1:35" ht="12.75" thickBot="1" x14ac:dyDescent="0.25">
      <x:c r="B123" s="8"/>
      <x:c r="C123" s="2" t="s">
        <x:v>1</x:v>
      </x:c>
      <x:c r="D123" s="2" t="s">
        <x:v>1</x:v>
      </x:c>
      <x:c r="O123" s="44"/>
      <x:c r="P123" s="2"/>
      <x:c r="Q123" s="4"/>
      <x:c r="X123" s="241"/>
      <x:c r="Y123" s="241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312">
        <x:f>'ANTICIPOS USUARIOS'!C3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USUARIOS'!C12</x:f>
        <x:v>0</x:v>
      </x:c>
      <x:c r="L125" s="245">
        <x:f>-'ANTICIPOS USUARIOS'!C21</x:f>
        <x:v>0</x:v>
      </x:c>
      <x:c r="O125" s="273"/>
      <x:c r="Q125" s="242"/>
      <x:c r="AG125" s="269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USUARIOS'!C4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>D67+N67</x:f>
        <x:v>0</x:v>
      </x:c>
      <x:c r="K126" s="224">
        <x:f>'ANTICIPOS USUARIOS'!C13</x:f>
        <x:v>0</x:v>
      </x:c>
      <x:c r="L126" s="224">
        <x:f>-'ANTICIPOS USUARIOS'!C22</x:f>
        <x:v>0</x:v>
      </x:c>
      <x:c r="O126" s="273"/>
      <x:c r="Q126" s="242"/>
      <x:c r="AG126" s="269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USUARIOS'!C5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ref="J127:J129" si="64">D68+N68</x:f>
        <x:v>0</x:v>
      </x:c>
      <x:c r="K127" s="224">
        <x:f>'ANTICIPOS USUARIOS'!C14</x:f>
        <x:v>0</x:v>
      </x:c>
      <x:c r="L127" s="224">
        <x:f>-'ANTICIPOS USUARIOS'!C23</x:f>
        <x:v>0</x:v>
      </x:c>
      <x:c r="O127" s="273"/>
      <x:c r="Q127" s="242"/>
      <x:c r="AG127" s="269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USUARIOS'!C6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64"/>
        <x:v>0</x:v>
      </x:c>
      <x:c r="K128" s="224">
        <x:f>'ANTICIPOS USUARIOS'!C15</x:f>
        <x:v>0</x:v>
      </x:c>
      <x:c r="L128" s="224">
        <x:f>-'ANTICIPOS USUARIOS'!C24</x:f>
        <x:v>0</x:v>
      </x:c>
      <x:c r="O128" s="273"/>
      <x:c r="Q128" s="242"/>
      <x:c r="AG128" s="269"/>
    </x:row>
    <x:row r="129" spans="1:33" s="241" customFormat="1" x14ac:dyDescent="0.2">
      <x:c r="B129" s="277">
        <x:v>5</x:v>
      </x:c>
      <x:c r="C129" s="278" t="s">
        <x:v>14</x:v>
      </x:c>
      <x:c r="D129" s="279">
        <x:f>'ANTICIPOS USUARIOS'!C7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64"/>
        <x:v>0</x:v>
      </x:c>
      <x:c r="K129" s="224">
        <x:f>'ANTICIPOS USUARIOS'!C16</x:f>
        <x:v>0</x:v>
      </x:c>
      <x:c r="L129" s="224">
        <x:f>-'ANTICIPOS USUARIOS'!C25</x:f>
        <x:v>0</x:v>
      </x:c>
      <x:c r="O129" s="273"/>
      <x:c r="Q129" s="242"/>
      <x:c r="AG129" s="269"/>
    </x:row>
    <x:row r="130" spans="1:33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  <x:c r="AG130" s="269"/>
    </x:row>
    <x:row r="131" spans="1:33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6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  <x:c r="AG131" s="269"/>
    </x:row>
    <x:row r="132" spans="1:33" x14ac:dyDescent="0.2">
      <x:c r="B132" s="2"/>
      <x:c r="C132" s="2"/>
      <x:c r="D132" s="24"/>
      <x:c r="Q132" s="4"/>
    </x:row>
    <x:row r="133" spans="1:33" x14ac:dyDescent="0.2">
      <x:c r="B133" s="2"/>
      <x:c r="C133" s="2"/>
      <x:c r="D133" s="24"/>
      <x:c r="L133" s="1" t="s">
        <x:v>1</x:v>
      </x:c>
      <x:c r="Q133" s="4"/>
    </x:row>
    <x:row r="134" spans="1:33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Reciprocidad'!F21+'Recaudo EAAB + Ciud Limp'!F21+'Recaudo Directa Occidente'!F21+'Recaudo ENEL'!F21+'Recaudo ENERBIT'!F21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BANCO'!E62+'REPORTE RECAUDO x BANCO'!E63+'REPORTE RECAUDO x BANCO'!E75)</x:f>
        <x:v>0</x:v>
      </x:c>
      <x:c r="J142" s="103">
        <x:f t="shared" ref="J142:K146" si="66">G125</x:f>
        <x:v>0</x:v>
      </x:c>
      <x:c r="K142" s="104">
        <x:f t="shared" si="66"/>
        <x:v>0</x:v>
      </x:c>
      <x:c r="L142" s="510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10">
        <x:f>D143-E143-F143-G143-J143-H143-I143</x:f>
        <x:v>0</x:v>
      </x:c>
      <x:c r="M143" s="1" t="b">
        <x:f t="shared" si="67"/>
        <x:v>1</x:v>
      </x:c>
      <x:c r="O143" s="119"/>
      <x:c r="P143" s="24"/>
      <x:c r="Q143" s="35"/>
      <x:c r="R143" s="24"/>
    </x:row>
    <x:row r="144" spans="1:33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10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10">
        <x:f t="shared" ref="L145:L147" si="68">D145-E145-F145-G145-J145-H145-I145</x:f>
        <x:v>0</x:v>
      </x:c>
      <x:c r="M145" s="1" t="b">
        <x:f t="shared" si="6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BANCO'!E72+'REPORTE RECAUDO x BANCO'!E73+'REPORTE RECAUDO x BANCO'!E79)</x:f>
        <x:v>0</x:v>
      </x:c>
      <x:c r="J146" s="123">
        <x:f t="shared" si="66"/>
        <x:v>0</x:v>
      </x:c>
      <x:c r="K146" s="125">
        <x:f t="shared" si="66"/>
        <x:v>0</x:v>
      </x:c>
      <x:c r="L146" s="510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10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x14ac:dyDescent="0.2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241"/>
      <x:c r="E154" s="93"/>
      <x:c r="F154" s="241"/>
      <x:c r="G154" s="241"/>
      <x:c r="H154" s="241"/>
      <x:c r="K154" s="505"/>
      <x:c r="N154" s="24"/>
      <x:c r="O154" s="24"/>
      <x:c r="Q154" s="24"/>
      <x:c r="T154" s="24"/>
    </x:row>
    <x:row r="155" spans="1:20" x14ac:dyDescent="0.2">
      <x:c r="D155" s="241"/>
      <x:c r="K155" s="506"/>
      <x:c r="N155" s="24"/>
      <x:c r="O155" s="24"/>
      <x:c r="Q155" s="24"/>
      <x:c r="T155" s="24"/>
    </x:row>
    <x:row r="156" spans="1:20" x14ac:dyDescent="0.2">
      <x:c r="D156" s="505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zoomScale="90" zoomScaleNormal="90" workbookViewId="0">
      <x:selection activeCell="C4" sqref="C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4" width="16.710937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6" bestFit="1" customWidth="1"/>
    <x:col min="16" max="16" width="14.42578125" customWidth="1"/>
    <x:col min="17" max="17" width="17.42578125" bestFit="1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Reciprocidad'!F21+'Recaudo EAAB + Ciud Limp'!F21+'Recaudo Directa Occidente'!F21+'Recaudo ENEL'!F21+'Recaudo ENERBIT'!F21</x:f>
        <x:v>0</x:v>
      </x:c>
      <x:c r="D3" s="228">
        <x:f>'CONSOLIDADO_TOTAL RECAUDO'!G125</x:f>
        <x:v>0</x:v>
      </x:c>
      <x:c r="E3" s="228">
        <x:f>'CONSOLIDADO_TOTAL RECAUDO'!D28+'CONSOLIDADO_TOTAL RECAUDO'!N28</x:f>
        <x:v>0</x:v>
      </x:c>
      <x:c r="F3" s="228">
        <x:f>'CONSOLIDADO_TOTAL RECAUDO'!I142</x:f>
        <x:v>0</x:v>
      </x:c>
      <x:c r="G3" s="228">
        <x:f>'CONSOLIDADO_TOTAL RECAUDO'!H142</x:f>
        <x:v>0</x:v>
      </x:c>
      <x:c r="H3" s="276">
        <x:f>SUM(C3:G3)</x:f>
        <x:v>0</x:v>
      </x:c>
      <x:c r="I3" s="227">
        <x:f>'CONSOLIDADO_TOTAL RECAUDO'!D104</x:f>
        <x:v>0</x:v>
      </x:c>
      <x:c r="J3" s="228">
        <x:f>'CONSOLIDADO_TOTAL RECAUDO'!N104</x:f>
        <x:v>0</x:v>
      </x:c>
      <x:c r="K3" s="228">
        <x:f>'CONSOLIDADO_TOTAL RECAUDO'!D125</x:f>
        <x:v>0</x:v>
      </x:c>
      <x:c r="L3" s="289">
        <x:f>'CONSOLIDADO_TOTAL RECAUDO'!E125</x:f>
        <x:v>0</x:v>
      </x:c>
      <x:c r="M3" s="228">
        <x:f>-'CONSOLIDADO_TOTAL RECAUDO'!D66-'CONSOLIDADO_TOTAL RECAUDO'!N66</x:f>
        <x:v>0</x:v>
      </x:c>
      <x:c r="N3" s="224">
        <x:f>SUM(I3:M3)</x:f>
        <x:v>0</x:v>
      </x:c>
      <x:c r="O3" s="290">
        <x:f>H3-N3</x:f>
        <x:v>0</x:v>
      </x:c>
      <x:c r="P3" s="1" t="b">
        <x:f t="shared" ref="P3:P9" si="0">INT(O3)=0</x:f>
        <x:v>1</x:v>
      </x:c>
    </x:row>
    <x:row r="4" spans="2:16" s="291" customFormat="1" x14ac:dyDescent="0.2">
      <x:c r="B4" s="250">
        <x:v>2</x:v>
      </x:c>
      <x:c r="C4" s="228">
        <x:f>'Recaudo EAAB Reciprocidad'!F22+'Recaudo EAAB + Ciud Limp'!F22+'Recaudo Directa Occidente'!F22+'Recaudo ENEL'!F22+'Recaudo ENERBIT'!F22</x:f>
        <x:v>0</x:v>
      </x:c>
      <x:c r="D4" s="228">
        <x:f>'CONSOLIDADO_TOTAL RECAUDO'!G126</x:f>
        <x:v>0</x:v>
      </x:c>
      <x:c r="E4" s="228">
        <x:f>'CONSOLIDADO_TOTAL RECAUDO'!D29+'CONSOLIDADO_TOTAL RECAUDO'!N29</x:f>
        <x:v>0</x:v>
      </x:c>
      <x:c r="F4" s="228">
        <x:f>'CONSOLIDADO_TOTAL RECAUDO'!I143</x:f>
        <x:v>0</x:v>
      </x:c>
      <x:c r="G4" s="228">
        <x:f>'CONSOLIDADO_TOTAL RECAUDO'!H143</x:f>
        <x:v>0</x:v>
      </x:c>
      <x:c r="H4" s="276">
        <x:f t="shared" ref="H4:H8" si="1">SUM(C4:G4)</x:f>
        <x:v>0</x:v>
      </x:c>
      <x:c r="I4" s="227">
        <x:f>'CONSOLIDADO_TOTAL RECAUDO'!D105</x:f>
        <x:v>0</x:v>
      </x:c>
      <x:c r="J4" s="228">
        <x:f>'CONSOLIDADO_TOTAL RECAUDO'!N105</x:f>
        <x:v>0</x:v>
      </x:c>
      <x:c r="K4" s="228">
        <x:f>'CONSOLIDADO_TOTAL RECAUDO'!D126</x:f>
        <x:v>0</x:v>
      </x:c>
      <x:c r="L4" s="289">
        <x:f>'CONSOLIDADO_TOTAL RECAUDO'!E126</x:f>
        <x:v>0</x:v>
      </x:c>
      <x:c r="M4" s="228">
        <x:f>-'CONSOLIDADO_TOTAL RECAUDO'!D67-'CONSOLIDADO_TOTAL RECAUDO'!N67</x:f>
        <x:v>0</x:v>
      </x:c>
      <x:c r="N4" s="254">
        <x:f>SUM(I4:M4)</x:f>
        <x:v>0</x:v>
      </x:c>
      <x:c r="O4" s="290">
        <x:f t="shared" ref="O4:O6" si="2">H4-N4</x:f>
        <x:v>0</x:v>
      </x:c>
      <x:c r="P4" s="1" t="b">
        <x:f t="shared" si="0"/>
        <x:v>1</x:v>
      </x:c>
    </x:row>
    <x:row r="5" spans="2:16" s="291" customFormat="1" x14ac:dyDescent="0.2">
      <x:c r="B5" s="250">
        <x:v>3</x:v>
      </x:c>
      <x:c r="C5" s="228">
        <x:f>'Recaudo EAAB Reciprocidad'!F23+'Recaudo EAAB + Ciud Limp'!F23+'Recaudo Directa Occidente'!F23+'Recaudo ENEL'!F23+'Recaudo ENERBIT'!F23</x:f>
        <x:v>0</x:v>
      </x:c>
      <x:c r="D5" s="228">
        <x:f>'CONSOLIDADO_TOTAL RECAUDO'!G127</x:f>
        <x:v>0</x:v>
      </x:c>
      <x:c r="E5" s="228">
        <x:f>'CONSOLIDADO_TOTAL RECAUDO'!D30+'CONSOLIDADO_TOTAL RECAUDO'!N30</x:f>
        <x:v>0</x:v>
      </x:c>
      <x:c r="F5" s="228">
        <x:f>'CONSOLIDADO_TOTAL RECAUDO'!I144</x:f>
        <x:v>0</x:v>
      </x:c>
      <x:c r="G5" s="228">
        <x:f>'CONSOLIDADO_TOTAL RECAUDO'!H144</x:f>
        <x:v>0</x:v>
      </x:c>
      <x:c r="H5" s="276">
        <x:f t="shared" si="1"/>
        <x:v>0</x:v>
      </x:c>
      <x:c r="I5" s="227">
        <x:f>'CONSOLIDADO_TOTAL RECAUDO'!D106</x:f>
        <x:v>0</x:v>
      </x:c>
      <x:c r="J5" s="228">
        <x:f>'CONSOLIDADO_TOTAL RECAUDO'!N106</x:f>
        <x:v>0</x:v>
      </x:c>
      <x:c r="K5" s="228">
        <x:f>'CONSOLIDADO_TOTAL RECAUDO'!D127</x:f>
        <x:v>0</x:v>
      </x:c>
      <x:c r="L5" s="289">
        <x:f>'CONSOLIDADO_TOTAL RECAUDO'!E127</x:f>
        <x:v>0</x:v>
      </x:c>
      <x:c r="M5" s="228">
        <x:f>-'CONSOLIDADO_TOTAL RECAUDO'!D68-'CONSOLIDADO_TOTAL RECAUDO'!N68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0"/>
        <x:v>1</x:v>
      </x:c>
    </x:row>
    <x:row r="6" spans="2:16" s="291" customFormat="1" x14ac:dyDescent="0.2">
      <x:c r="B6" s="250">
        <x:v>4</x:v>
      </x:c>
      <x:c r="C6" s="228">
        <x:f>'Recaudo EAAB Reciprocidad'!F24+'Recaudo EAAB + Ciud Limp'!F24+'Recaudo Directa Occidente'!F24+'Recaudo ENEL'!F24+'Recaudo ENERBIT'!F24</x:f>
        <x:v>0</x:v>
      </x:c>
      <x:c r="D6" s="228">
        <x:f>'CONSOLIDADO_TOTAL RECAUDO'!G128</x:f>
        <x:v>0</x:v>
      </x:c>
      <x:c r="E6" s="228">
        <x:f>'CONSOLIDADO_TOTAL RECAUDO'!D31+'CONSOLIDADO_TOTAL RECAUDO'!N31</x:f>
        <x:v>0</x:v>
      </x:c>
      <x:c r="F6" s="228">
        <x:f>'CONSOLIDADO_TOTAL RECAUDO'!I145</x:f>
        <x:v>0</x:v>
      </x:c>
      <x:c r="G6" s="228">
        <x:f>'CONSOLIDADO_TOTAL RECAUDO'!H145</x:f>
        <x:v>0</x:v>
      </x:c>
      <x:c r="H6" s="276">
        <x:f t="shared" si="1"/>
        <x:v>0</x:v>
      </x:c>
      <x:c r="I6" s="227">
        <x:f>'CONSOLIDADO_TOTAL RECAUDO'!D107</x:f>
        <x:v>0</x:v>
      </x:c>
      <x:c r="J6" s="228">
        <x:f>'CONSOLIDADO_TOTAL RECAUDO'!N107</x:f>
        <x:v>0</x:v>
      </x:c>
      <x:c r="K6" s="228">
        <x:f>'CONSOLIDADO_TOTAL RECAUDO'!D128</x:f>
        <x:v>0</x:v>
      </x:c>
      <x:c r="L6" s="289">
        <x:f>'CONSOLIDADO_TOTAL RECAUDO'!E128</x:f>
        <x:v>0</x:v>
      </x:c>
      <x:c r="M6" s="228">
        <x:f>-'CONSOLIDADO_TOTAL RECAUDO'!D69-'CONSOLIDADO_TOTAL RECAUDO'!N69</x:f>
        <x:v>0</x:v>
      </x:c>
      <x:c r="N6" s="254">
        <x:f t="shared" ref="N6:N7" si="3">SUM(I6:M6)</x:f>
        <x:v>0</x:v>
      </x:c>
      <x:c r="O6" s="290">
        <x:f t="shared" si="2"/>
        <x:v>0</x:v>
      </x:c>
      <x:c r="P6" s="1" t="b">
        <x:f t="shared" si="0"/>
        <x:v>1</x:v>
      </x:c>
    </x:row>
    <x:row r="7" spans="2:16" s="291" customFormat="1" x14ac:dyDescent="0.2">
      <x:c r="B7" s="250">
        <x:v>5</x:v>
      </x:c>
      <x:c r="C7" s="228">
        <x:f>'Recaudo EAAB Reciprocidad'!F25+'Recaudo EAAB + Ciud Limp'!F25+'Recaudo Directa Occidente'!F25+'Recaudo ENEL'!F25+'Recaudo ENERBIT'!F25</x:f>
        <x:v>0</x:v>
      </x:c>
      <x:c r="D7" s="228">
        <x:f>'CONSOLIDADO_TOTAL RECAUDO'!G129</x:f>
        <x:v>0</x:v>
      </x:c>
      <x:c r="E7" s="228">
        <x:f>'CONSOLIDADO_TOTAL RECAUDO'!D32+'CONSOLIDADO_TOTAL RECAUDO'!N32</x:f>
        <x:v>0</x:v>
      </x:c>
      <x:c r="F7" s="228">
        <x:f>'CONSOLIDADO_TOTAL RECAUDO'!I146</x:f>
        <x:v>0</x:v>
      </x:c>
      <x:c r="G7" s="228">
        <x:f>'CONSOLIDADO_TOTAL RECAUDO'!H146</x:f>
        <x:v>0</x:v>
      </x:c>
      <x:c r="H7" s="276">
        <x:f>SUM(C7:G7)</x:f>
        <x:v>0</x:v>
      </x:c>
      <x:c r="I7" s="227">
        <x:f>'CONSOLIDADO_TOTAL RECAUDO'!D108</x:f>
        <x:v>0</x:v>
      </x:c>
      <x:c r="J7" s="228">
        <x:f>'CONSOLIDADO_TOTAL RECAUDO'!N108</x:f>
        <x:v>0</x:v>
      </x:c>
      <x:c r="K7" s="228">
        <x:f>'CONSOLIDADO_TOTAL RECAUDO'!D129</x:f>
        <x:v>0</x:v>
      </x:c>
      <x:c r="L7" s="289">
        <x:f>'CONSOLIDADO_TOTAL RECAUDO'!E129</x:f>
        <x:v>0</x:v>
      </x:c>
      <x:c r="M7" s="228">
        <x:f>-'CONSOLIDADO_TOTAL RECAUDO'!D70-'CONSOLIDADO_TOTAL RECAUDO'!N70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0"/>
        <x:v>1</x:v>
      </x:c>
    </x:row>
    <x:row r="8" spans="2:16" s="291" customFormat="1" ht="13.5" thickBot="1" x14ac:dyDescent="0.25">
      <x:c r="B8" s="277" t="s">
        <x:v>89</x:v>
      </x:c>
      <x:c r="C8" s="292">
        <x:f>'Recaudo EAAB Reciprocidad'!F26+'Recaudo EAAB + Ciud Limp'!F26+'Recaudo Directa Occidente'!F26+'Recaudo ENEL'!F26+'Recaudo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'CONSOLIDADO_TOTAL RECAUDO'!E130</x:f>
        <x:v>0</x:v>
      </x:c>
      <x:c r="M8" s="292">
        <x:v>0</x:v>
      </x:c>
      <x:c r="N8" s="294">
        <x:f>SUM(I8:L8)-M8</x:f>
        <x:v>0</x:v>
      </x:c>
      <x:c r="O8" s="290">
        <x:f>H8-N8</x:f>
        <x:v>0</x:v>
      </x:c>
      <x:c r="P8" s="1" t="b">
        <x:f t="shared" si="0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L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>SUM(H3:H8)</x:f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>SUM(M3:M8)</x:f>
        <x:v>0</x:v>
      </x:c>
      <x:c r="N9" s="226">
        <x:f>SUM(N3:N8)</x:f>
        <x:v>0</x:v>
      </x:c>
      <x:c r="O9" s="295">
        <x:f>SUM(O3:O8)</x:f>
        <x:v>0</x:v>
      </x:c>
      <x:c r="P9" s="1" t="b">
        <x:f t="shared" si="0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Recaudo'!F10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291"/>
    </x:row>
    <x:row r="18" spans="3:18" ht="13.5" thickBot="1" x14ac:dyDescent="0.25">
      <x:c r="D18" s="580" t="s">
        <x:v>270</x:v>
      </x:c>
      <x:c r="E18" s="580"/>
    </x:row>
    <x:row r="19" spans="3:18" ht="36" x14ac:dyDescent="0.2">
      <x:c r="D19" s="469" t="s">
        <x:v>55</x:v>
      </x:c>
      <x:c r="E19" s="469" t="s">
        <x:v>50</x:v>
      </x:c>
      <x:c r="F19" s="469" t="s">
        <x:v>57</x:v>
      </x:c>
      <x:c r="G19" s="469" t="s">
        <x:v>129</x:v>
      </x:c>
      <x:c r="H19" s="469" t="s">
        <x:v>130</x:v>
      </x:c>
      <x:c r="I19" s="714" t="s">
        <x:v>52</x:v>
      </x:c>
      <x:c r="J19" s="98" t="s">
        <x:v>58</x:v>
      </x:c>
      <x:c r="K19" s="98" t="s">
        <x:v>59</x:v>
      </x:c>
      <x:c r="L19" s="98" t="s">
        <x:v>53</x:v>
      </x:c>
      <x:c r="M19" s="468" t="s">
        <x:v>60</x:v>
      </x:c>
      <x:c r="N19" s="308" t="s">
        <x:v>92</x:v>
      </x:c>
      <x:c r="O19" s="715" t="s">
        <x:v>54</x:v>
      </x:c>
    </x:row>
    <x:row r="20" spans="3:18" x14ac:dyDescent="0.2">
      <x:c r="C20" t="s">
        <x:v>202</x:v>
      </x:c>
      <x:c r="D20" s="716">
        <x:f>VALIDACION_RECIP!C9</x:f>
        <x:v>0</x:v>
      </x:c>
      <x:c r="E20" s="716">
        <x:f>VALIDACION_RECIP!D9</x:f>
        <x:v>0</x:v>
      </x:c>
      <x:c r="F20" s="716">
        <x:f>VALIDACION_RECIP!E9</x:f>
        <x:v>0</x:v>
      </x:c>
      <x:c r="G20" s="716">
        <x:f>VALIDACION_RECIP!F9</x:f>
        <x:v>0</x:v>
      </x:c>
      <x:c r="H20" s="716">
        <x:f>VALIDACION_RECIP!G9</x:f>
        <x:v>0</x:v>
      </x:c>
      <x:c r="I20" s="716">
        <x:f>VALIDACION_RECIP!H9</x:f>
        <x:v>0</x:v>
      </x:c>
      <x:c r="J20" s="716">
        <x:f>VALIDACION_RECIP!I9</x:f>
        <x:v>0</x:v>
      </x:c>
      <x:c r="K20" s="716">
        <x:f>VALIDACION_RECIP!J9</x:f>
        <x:v>0</x:v>
      </x:c>
      <x:c r="L20" s="716">
        <x:f>VALIDACION_RECIP!K9</x:f>
        <x:v>0</x:v>
      </x:c>
      <x:c r="M20" s="716">
        <x:f>VALIDACION_RECIP!L9</x:f>
        <x:v>0</x:v>
      </x:c>
      <x:c r="N20" s="716">
        <x:f>VALIDACION_RECIP!M9</x:f>
        <x:v>0</x:v>
      </x:c>
      <x:c r="O20" s="716">
        <x:f>VALIDACION_RECIP!N9</x:f>
        <x:v>0</x:v>
      </x:c>
    </x:row>
    <x:row r="21" spans="3:18" x14ac:dyDescent="0.2">
      <x:c r="C21" s="151" t="s">
        <x:v>155</x:v>
      </x:c>
      <x:c r="D21" s="716">
        <x:f>VALIDACION_ENEL!C9</x:f>
        <x:v>0</x:v>
      </x:c>
      <x:c r="E21" s="716">
        <x:f>VALIDACION_ENEL!D9</x:f>
        <x:v>0</x:v>
      </x:c>
      <x:c r="F21" s="716">
        <x:f>VALIDACION_ENEL!E9</x:f>
        <x:v>0</x:v>
      </x:c>
      <x:c r="G21" s="716">
        <x:f>VALIDACION_ENEL!F9</x:f>
        <x:v>0</x:v>
      </x:c>
      <x:c r="H21" s="716">
        <x:f>VALIDACION_ENEL!G9</x:f>
        <x:v>0</x:v>
      </x:c>
      <x:c r="I21" s="716">
        <x:f>VALIDACION_ENEL!H9</x:f>
        <x:v>0</x:v>
      </x:c>
      <x:c r="J21" s="716">
        <x:f>VALIDACION_ENEL!I9</x:f>
        <x:v>0</x:v>
      </x:c>
      <x:c r="K21" s="716">
        <x:f>VALIDACION_ENEL!J9</x:f>
        <x:v>0</x:v>
      </x:c>
      <x:c r="L21" s="716">
        <x:f>VALIDACION_ENEL!K9</x:f>
        <x:v>0</x:v>
      </x:c>
      <x:c r="M21" s="716">
        <x:f>VALIDACION_ENEL!L9</x:f>
        <x:v>0</x:v>
      </x:c>
      <x:c r="N21" s="716">
        <x:f>VALIDACION_ENEL!M9</x:f>
        <x:v>0</x:v>
      </x:c>
      <x:c r="O21" s="716">
        <x:f>VALIDACION_ENEL!N9</x:f>
        <x:v>0</x:v>
      </x:c>
    </x:row>
    <x:row r="22" spans="3:18" x14ac:dyDescent="0.2">
      <x:c r="C22" s="605" t="s">
        <x:v>326</x:v>
      </x:c>
      <x:c r="D22" s="716">
        <x:f>VALIDACION_ENERBIT!C9</x:f>
        <x:v>0</x:v>
      </x:c>
      <x:c r="E22" s="716">
        <x:f>VALIDACION_ENERBIT!D9</x:f>
        <x:v>0</x:v>
      </x:c>
      <x:c r="F22" s="716">
        <x:f>VALIDACION_ENERBIT!E9</x:f>
        <x:v>0</x:v>
      </x:c>
      <x:c r="G22" s="716">
        <x:f>VALIDACION_ENERBIT!F9</x:f>
        <x:v>0</x:v>
      </x:c>
      <x:c r="H22" s="716">
        <x:f>VALIDACION_ENERBIT!G9</x:f>
        <x:v>0</x:v>
      </x:c>
      <x:c r="I22" s="716">
        <x:f>VALIDACION_ENERBIT!H9</x:f>
        <x:v>0</x:v>
      </x:c>
      <x:c r="J22" s="716">
        <x:f>VALIDACION_ENERBIT!I9</x:f>
        <x:v>0</x:v>
      </x:c>
      <x:c r="K22" s="716">
        <x:f>VALIDACION_ENERBIT!J9</x:f>
        <x:v>0</x:v>
      </x:c>
      <x:c r="L22" s="716">
        <x:f>VALIDACION_ENERBIT!K9</x:f>
        <x:v>0</x:v>
      </x:c>
      <x:c r="M22" s="716">
        <x:f>VALIDACION_ENERBIT!L9</x:f>
        <x:v>0</x:v>
      </x:c>
      <x:c r="N22" s="716">
        <x:f>VALIDACION_ENERBIT!M9</x:f>
        <x:v>0</x:v>
      </x:c>
      <x:c r="O22" s="716">
        <x:f>VALIDACION_ENERBIT!N9</x:f>
        <x:v>0</x:v>
      </x:c>
    </x:row>
    <x:row r="23" spans="3:18" x14ac:dyDescent="0.2">
      <x:c r="C23" s="191" t="s">
        <x:v>119</x:v>
      </x:c>
      <x:c r="D23" s="716">
        <x:f>VALIDACION_OCCIDENTE!C9</x:f>
        <x:v>0</x:v>
      </x:c>
      <x:c r="E23" s="716">
        <x:f>VALIDACION_OCCIDENTE!D9</x:f>
        <x:v>0</x:v>
      </x:c>
      <x:c r="F23" s="716">
        <x:f>VALIDACION_OCCIDENTE!E9</x:f>
        <x:v>0</x:v>
      </x:c>
      <x:c r="G23" s="716">
        <x:f>VALIDACION_OCCIDENTE!F9</x:f>
        <x:v>0</x:v>
      </x:c>
      <x:c r="H23" s="716">
        <x:f>VALIDACION_OCCIDENTE!G9</x:f>
        <x:v>0</x:v>
      </x:c>
      <x:c r="I23" s="716">
        <x:f>VALIDACION_OCCIDENTE!H9</x:f>
        <x:v>0</x:v>
      </x:c>
      <x:c r="J23" s="716">
        <x:f>VALIDACION_OCCIDENTE!I9</x:f>
        <x:v>0</x:v>
      </x:c>
      <x:c r="K23" s="716">
        <x:f>VALIDACION_OCCIDENTE!J9</x:f>
        <x:v>0</x:v>
      </x:c>
      <x:c r="L23" s="716">
        <x:f>VALIDACION_OCCIDENTE!K9</x:f>
        <x:v>0</x:v>
      </x:c>
      <x:c r="M23" s="716">
        <x:f>VALIDACION_OCCIDENTE!L9</x:f>
        <x:v>0</x:v>
      </x:c>
      <x:c r="N23" s="716">
        <x:f>VALIDACION_OCCIDENTE!M9</x:f>
        <x:v>0</x:v>
      </x:c>
      <x:c r="O23" s="716">
        <x:f>VALIDACION_OCCIDENTE!N9</x:f>
        <x:v>0</x:v>
      </x:c>
    </x:row>
    <x:row r="24" spans="3:18" x14ac:dyDescent="0.2">
      <x:c r="D24" s="717">
        <x:f>SUM(D20:D23)</x:f>
        <x:v>0</x:v>
      </x:c>
      <x:c r="E24" s="717">
        <x:f>SUM(E20:E23)</x:f>
        <x:v>0</x:v>
      </x:c>
      <x:c r="F24" s="717">
        <x:f>SUM(F20:F23)</x:f>
        <x:v>0</x:v>
      </x:c>
      <x:c r="G24" s="717">
        <x:f>SUM(G20:G23)</x:f>
        <x:v>0</x:v>
      </x:c>
      <x:c r="H24" s="717">
        <x:f t="shared" ref="H24:O24" si="5">SUM(H20:H23)</x:f>
        <x:v>0</x:v>
      </x:c>
      <x:c r="I24" s="717">
        <x:f t="shared" si="5"/>
        <x:v>0</x:v>
      </x:c>
      <x:c r="J24" s="717">
        <x:f t="shared" si="5"/>
        <x:v>0</x:v>
      </x:c>
      <x:c r="K24" s="717">
        <x:f t="shared" si="5"/>
        <x:v>0</x:v>
      </x:c>
      <x:c r="L24" s="717">
        <x:f t="shared" si="5"/>
        <x:v>0</x:v>
      </x:c>
      <x:c r="M24" s="717">
        <x:f t="shared" si="5"/>
        <x:v>0</x:v>
      </x:c>
      <x:c r="N24" s="717">
        <x:f t="shared" si="5"/>
        <x:v>0</x:v>
      </x:c>
      <x:c r="O24" s="717">
        <x:f t="shared" si="5"/>
        <x:v>0</x:v>
      </x:c>
    </x:row>
    <x:row r="25" spans="3:18" x14ac:dyDescent="0.2">
      <x:c r="D25" s="428" t="b">
        <x:f>D24=C9</x:f>
        <x:v>1</x:v>
      </x:c>
      <x:c r="E25" s="718" t="b">
        <x:f>E24=D9</x:f>
        <x:v>1</x:v>
      </x:c>
      <x:c r="F25" s="428" t="b">
        <x:f>F24=E9</x:f>
        <x:v>1</x:v>
      </x:c>
      <x:c r="G25" s="428" t="b">
        <x:f t="shared" ref="G25:O25" si="6">G24=F9</x:f>
        <x:v>1</x:v>
      </x:c>
      <x:c r="H25" s="428" t="b">
        <x:f t="shared" si="6"/>
        <x:v>1</x:v>
      </x:c>
      <x:c r="I25" s="428" t="b">
        <x:f>I24=H9</x:f>
        <x:v>1</x:v>
      </x:c>
      <x:c r="J25" s="428" t="b">
        <x:f t="shared" si="6"/>
        <x:v>1</x:v>
      </x:c>
      <x:c r="K25" s="428" t="b">
        <x:f t="shared" si="6"/>
        <x:v>1</x:v>
      </x:c>
      <x:c r="L25" s="428" t="b">
        <x:f t="shared" si="6"/>
        <x:v>1</x:v>
      </x:c>
      <x:c r="M25" s="428" t="b">
        <x:f>M24=L9</x:f>
        <x:v>1</x:v>
      </x:c>
      <x:c r="N25" s="428" t="b">
        <x:f t="shared" si="6"/>
        <x:v>1</x:v>
      </x:c>
      <x:c r="O25" s="428" t="b">
        <x:f t="shared" si="6"/>
        <x:v>1</x:v>
      </x:c>
    </x:row>
    <x:row r="27" spans="3:18" ht="13.5" thickBot="1" x14ac:dyDescent="0.25">
      <x:c r="D27" s="580" t="s">
        <x:v>271</x:v>
      </x:c>
    </x:row>
    <x:row r="28" spans="3:18" ht="57" customHeight="1" thickBot="1" x14ac:dyDescent="0.25">
      <x:c r="D28" s="97" t="s">
        <x:v>4</x:v>
      </x:c>
      <x:c r="E28" s="98" t="s">
        <x:v>7</x:v>
      </x:c>
      <x:c r="F28" s="98" t="s">
        <x:v>275</x:v>
      </x:c>
      <x:c r="G28" s="98" t="s">
        <x:v>190</x:v>
      </x:c>
      <x:c r="I28" s="11" t="s">
        <x:v>38</x:v>
      </x:c>
      <x:c r="J28" s="85" t="s">
        <x:v>273</x:v>
      </x:c>
      <x:c r="K28" s="65" t="s">
        <x:v>47</x:v>
      </x:c>
      <x:c r="L28" s="306" t="s">
        <x:v>56</x:v>
      </x:c>
      <x:c r="M28" s="73" t="s">
        <x:v>274</x:v>
      </x:c>
      <x:c r="N28" s="73" t="s">
        <x:v>171</x:v>
      </x:c>
      <x:c r="O28" s="28" t="s">
        <x:v>129</x:v>
      </x:c>
      <x:c r="P28" s="12" t="s">
        <x:v>190</x:v>
      </x:c>
      <x:c r="Q28" s="73" t="s">
        <x:v>272</x:v>
      </x:c>
    </x:row>
    <x:row r="29" spans="3:18" x14ac:dyDescent="0.2">
      <x:c r="C29" t="s">
        <x:v>202</x:v>
      </x:c>
      <x:c r="D29" s="716">
        <x:f>'REMUNERACION Reciprocidad EAAB'!D109</x:f>
        <x:v>0</x:v>
      </x:c>
      <x:c r="E29" s="716">
        <x:f>'REMUNERACION Reciprocidad EAAB'!N109</x:f>
        <x:v>0</x:v>
      </x:c>
      <x:c r="F29" s="716">
        <x:f>D29+E29</x:f>
        <x:v>0</x:v>
      </x:c>
      <x:c r="G29" s="719">
        <x:f>D20-F29</x:f>
        <x:v>0</x:v>
      </x:c>
      <x:c r="H29" s="574"/>
      <x:c r="I29" s="724">
        <x:f>'REMUNERACION Reciprocidad EAAB'!D131</x:f>
        <x:v>0</x:v>
      </x:c>
      <x:c r="J29" s="724"/>
      <x:c r="K29" s="724">
        <x:f>'REMUNERACION Reciprocidad EAAB'!G131</x:f>
        <x:v>0</x:v>
      </x:c>
      <x:c r="L29" s="724">
        <x:f>'REMUNERACION Reciprocidad EAAB'!H131</x:f>
        <x:v>0</x:v>
      </x:c>
      <x:c r="M29" s="724">
        <x:f>'REMUNERACION Reciprocidad EAAB'!I131</x:f>
        <x:v>0</x:v>
      </x:c>
      <x:c r="N29" s="724">
        <x:f>+'REMUNERACION Reciprocidad EAAB'!J131</x:f>
        <x:v>0</x:v>
      </x:c>
      <x:c r="O29" s="724">
        <x:f>'REMUNERACION Reciprocidad EAAB'!I147</x:f>
        <x:v>0</x:v>
      </x:c>
      <x:c r="P29" s="725">
        <x:f>I29+J29-K29-L29-M29-N29-O29</x:f>
        <x:v>0</x:v>
      </x:c>
      <x:c r="Q29" s="726">
        <x:f>G29-P29</x:f>
        <x:v>0</x:v>
      </x:c>
      <x:c r="R29" s="130"/>
    </x:row>
    <x:row r="30" spans="3:18" x14ac:dyDescent="0.2">
      <x:c r="C30" s="151" t="s">
        <x:v>155</x:v>
      </x:c>
      <x:c r="D30" s="716">
        <x:f>REMUNERACION_ENEL!D109</x:f>
        <x:v>0</x:v>
      </x:c>
      <x:c r="E30" s="716">
        <x:f>REMUNERACION_ENEL!N109</x:f>
        <x:v>0</x:v>
      </x:c>
      <x:c r="F30" s="716">
        <x:f>D30+E30</x:f>
        <x:v>0</x:v>
      </x:c>
      <x:c r="G30" s="720">
        <x:f>D21-F30</x:f>
        <x:v>0</x:v>
      </x:c>
      <x:c r="H30" s="574"/>
      <x:c r="I30" s="716">
        <x:f>REMUNERACION_ENEL!D131</x:f>
        <x:v>0</x:v>
      </x:c>
      <x:c r="J30" s="716"/>
      <x:c r="K30" s="716">
        <x:f>REMUNERACION_ENEL!G131</x:f>
        <x:v>0</x:v>
      </x:c>
      <x:c r="L30" s="716">
        <x:f>REMUNERACION_ENEL!H131</x:f>
        <x:v>0</x:v>
      </x:c>
      <x:c r="M30" s="716">
        <x:f>REMUNERACION_ENEL!I131</x:f>
        <x:v>0</x:v>
      </x:c>
      <x:c r="N30" s="716">
        <x:f>REMUNERACION_ENEL!J131</x:f>
        <x:v>0</x:v>
      </x:c>
      <x:c r="O30" s="716">
        <x:f>REMUNERACION_ENEL!I147</x:f>
        <x:v>0</x:v>
      </x:c>
      <x:c r="P30" s="719">
        <x:f>I30+J30-K30-L30-M30-N30-O30</x:f>
        <x:v>0</x:v>
      </x:c>
      <x:c r="Q30" s="723">
        <x:f>G30-P30</x:f>
        <x:v>0</x:v>
      </x:c>
      <x:c r="R30" s="130"/>
    </x:row>
    <x:row r="31" spans="3:18" x14ac:dyDescent="0.2">
      <x:c r="C31" s="605" t="s">
        <x:v>326</x:v>
      </x:c>
      <x:c r="D31" s="716">
        <x:f>REMUNERACION_ENERBIT!D109</x:f>
        <x:v>0</x:v>
      </x:c>
      <x:c r="E31" s="716">
        <x:f>REMUNERACION_ENERBIT!N109</x:f>
        <x:v>0</x:v>
      </x:c>
      <x:c r="F31" s="716">
        <x:f>D31+E31</x:f>
        <x:v>0</x:v>
      </x:c>
      <x:c r="G31" s="720">
        <x:f>D22-F31</x:f>
        <x:v>0</x:v>
      </x:c>
      <x:c r="H31" s="574"/>
      <x:c r="I31" s="716">
        <x:f>REMUNERACION_ENERBIT!D131</x:f>
        <x:v>0</x:v>
      </x:c>
      <x:c r="J31" s="716"/>
      <x:c r="K31" s="716">
        <x:f>REMUNERACION_ENERBIT!G131</x:f>
        <x:v>0</x:v>
      </x:c>
      <x:c r="L31" s="716">
        <x:f>REMUNERACION_ENERBIT!H131</x:f>
        <x:v>0</x:v>
      </x:c>
      <x:c r="M31" s="716">
        <x:f>REMUNERACION_ENERBIT!I131</x:f>
        <x:v>0</x:v>
      </x:c>
      <x:c r="N31" s="716">
        <x:f>REMUNERACION_ENERBIT!J131</x:f>
        <x:v>0</x:v>
      </x:c>
      <x:c r="O31" s="716">
        <x:f>REMUNERACION_ENERBIT!K131</x:f>
        <x:v>0</x:v>
      </x:c>
      <x:c r="P31" s="719">
        <x:f t="shared" ref="P31" si="7">I31+J31-K31-L31-M31-N31-O31</x:f>
        <x:v>0</x:v>
      </x:c>
      <x:c r="Q31" s="723">
        <x:f t="shared" ref="Q31:Q32" si="8">G31-P31</x:f>
        <x:v>0</x:v>
      </x:c>
      <x:c r="R31" s="130"/>
    </x:row>
    <x:row r="32" spans="3:18" x14ac:dyDescent="0.2">
      <x:c r="C32" s="191" t="s">
        <x:v>119</x:v>
      </x:c>
      <x:c r="D32" s="716">
        <x:f>'REMUNERACION_OCCIDENTE_ Directa'!D109</x:f>
        <x:v>0</x:v>
      </x:c>
      <x:c r="E32" s="716">
        <x:f>'REMUNERACION_OCCIDENTE_ Directa'!N109</x:f>
        <x:v>0</x:v>
      </x:c>
      <x:c r="F32" s="716">
        <x:f t="shared" ref="F32" si="9">D32+E32</x:f>
        <x:v>0</x:v>
      </x:c>
      <x:c r="G32" s="720">
        <x:f>D23-F32</x:f>
        <x:v>0</x:v>
      </x:c>
      <x:c r="H32" s="574"/>
      <x:c r="I32" s="716">
        <x:f>'REMUNERACION_OCCIDENTE_ Directa'!D131</x:f>
        <x:v>0</x:v>
      </x:c>
      <x:c r="J32" s="716">
        <x:f>'CONSOLIDADO_TOTAL RECAUDO'!E131</x:f>
        <x:v>0</x:v>
      </x:c>
      <x:c r="K32" s="716">
        <x:f>'REMUNERACION_OCCIDENTE_ Directa'!G131</x:f>
        <x:v>0</x:v>
      </x:c>
      <x:c r="L32" s="716">
        <x:f>'REMUNERACION_OCCIDENTE_ Directa'!H131</x:f>
        <x:v>0</x:v>
      </x:c>
      <x:c r="M32" s="716">
        <x:f>'REMUNERACION_OCCIDENTE_ Directa'!I131</x:f>
        <x:v>0</x:v>
      </x:c>
      <x:c r="N32" s="716">
        <x:f>'REMUNERACION_OCCIDENTE_ Directa'!J131</x:f>
        <x:v>0</x:v>
      </x:c>
      <x:c r="O32" s="716">
        <x:f>'REMUNERACION_OCCIDENTE_ Directa'!I147</x:f>
        <x:v>0</x:v>
      </x:c>
      <x:c r="P32" s="719">
        <x:f t="shared" ref="P32" si="10">I32+J32-K32-L32-M32-N32-O32</x:f>
        <x:v>0</x:v>
      </x:c>
      <x:c r="Q32" s="723">
        <x:f t="shared" si="8"/>
        <x:v>0</x:v>
      </x:c>
      <x:c r="R32" s="130"/>
    </x:row>
    <x:row r="33" spans="4:17" x14ac:dyDescent="0.2">
      <x:c r="D33" s="721">
        <x:f>SUM(D29:D32)</x:f>
        <x:v>0</x:v>
      </x:c>
      <x:c r="E33" s="721">
        <x:f>SUM(E29:E32)</x:f>
        <x:v>0</x:v>
      </x:c>
      <x:c r="F33" s="721">
        <x:f t="shared" ref="F33" si="11">SUM(F29:F32)</x:f>
        <x:v>0</x:v>
      </x:c>
      <x:c r="G33" s="722">
        <x:f>D24-F33</x:f>
        <x:v>0</x:v>
      </x:c>
      <x:c r="H33" s="574"/>
      <x:c r="I33" s="717">
        <x:f>SUM(I29:I32)</x:f>
        <x:v>0</x:v>
      </x:c>
      <x:c r="J33" s="717">
        <x:f>SUM(J29:J32)</x:f>
        <x:v>0</x:v>
      </x:c>
      <x:c r="K33" s="717">
        <x:f>SUM(K29:K32)</x:f>
        <x:v>0</x:v>
      </x:c>
      <x:c r="L33" s="717">
        <x:f t="shared" ref="L33:N33" si="12">SUM(L29:L32)</x:f>
        <x:v>0</x:v>
      </x:c>
      <x:c r="M33" s="717">
        <x:f t="shared" si="12"/>
        <x:v>0</x:v>
      </x:c>
      <x:c r="N33" s="717">
        <x:f t="shared" si="12"/>
        <x:v>0</x:v>
      </x:c>
      <x:c r="O33" s="717">
        <x:f>SUM(O29:O32)</x:f>
        <x:v>0</x:v>
      </x:c>
      <x:c r="P33" s="717">
        <x:f>SUM(P29:P32)</x:f>
        <x:v>0</x:v>
      </x:c>
      <x:c r="Q33" s="717">
        <x:f>SUM(Q29:Q32)</x:f>
        <x:v>0</x:v>
      </x:c>
    </x:row>
    <x:row r="34" spans="4:17" x14ac:dyDescent="0.2">
      <x:c r="D34" s="574" t="b">
        <x:f>D33='CONSOLIDADO_TOTAL RECAUDO'!D109</x:f>
        <x:v>1</x:v>
      </x:c>
      <x:c r="E34" s="574" t="b">
        <x:f>E33='CONSOLIDADO_TOTAL RECAUDO'!N109</x:f>
        <x:v>1</x:v>
      </x:c>
      <x:c r="F34" s="574" t="b">
        <x:f>F33='CONSOLIDADO_TOTAL RECAUDO'!D109+'CONSOLIDADO_TOTAL RECAUDO'!N109</x:f>
        <x:v>1</x:v>
      </x:c>
      <x:c r="G34" s="574"/>
      <x:c r="H34" s="574"/>
      <x:c r="I34" s="574"/>
      <x:c r="J34" s="574"/>
      <x:c r="K34" s="574"/>
      <x:c r="L34" s="574"/>
      <x:c r="M34" s="574"/>
      <x:c r="N34" s="574"/>
      <x:c r="O34" s="574"/>
    </x:row>
    <x:row r="35" spans="4:17" x14ac:dyDescent="0.2">
      <x:c r="K35" s="130"/>
      <x:c r="P35" s="727">
        <x:f>P33-G33</x:f>
        <x:v>0</x:v>
      </x:c>
    </x:row>
    <x:row r="36" spans="4:17" x14ac:dyDescent="0.2">
      <x:c r="L36" s="130"/>
      <x:c r="P36" s="130"/>
    </x:row>
    <x:row r="37" spans="4:17" x14ac:dyDescent="0.2">
      <x:c r="P37" s="514"/>
    </x:row>
    <x:row r="38" spans="4:17" x14ac:dyDescent="0.2">
      <x:c r="P38" s="130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topLeftCell="V1" zoomScaleNormal="100" workbookViewId="0">
      <x:selection activeCell="L16" sqref="L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4.7109375" style="1" bestFit="1" customWidth="1"/>
    <x:col min="5" max="5" width="15.42578125" style="1" bestFit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1.28515625" style="1" customWidth="1"/>
    <x:col min="34" max="34" width="12" style="1" bestFit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12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92"/>
      <x:c r="C7" s="513" t="s">
        <x:v>0</x:v>
      </x:c>
      <x:c r="D7" s="474">
        <x:f>'CONSOLIDADO_TOTAL RECAUDO'!D102</x:f>
        <x:v>0.58333333333333337</x:v>
      </x:c>
      <x:c r="E7" s="45"/>
      <x:c r="F7" s="473" t="s">
        <x:v>27</x:v>
      </x:c>
      <x:c r="G7" s="475">
        <x:f>'CONSOLIDADO_TOTAL RECAUDO'!G102</x:f>
        <x:v>46219</x:v>
      </x:c>
      <x:c r="H7" s="45"/>
      <x:c r="I7" s="45"/>
      <x:c r="J7" s="473" t="s">
        <x:v>28</x:v>
      </x:c>
      <x:c r="K7" s="475">
        <x:f>'CONSOLIDADO_TOTAL RECAUDO'!K102</x:f>
        <x:v>46234</x:v>
      </x:c>
      <x:c r="L7" s="45"/>
      <x:c r="M7" s="45"/>
      <x:c r="N7" s="45"/>
      <x:c r="O7" s="476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0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167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98" t="s">
        <x:v>56</x:v>
      </x:c>
      <x:c r="I29" s="134" t="s">
        <x:v>130</x:v>
      </x:c>
      <x:c r="J29" s="134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'CONSOLIDADO_TOTAL RECAUDO'!D125</x:f>
        <x:v>0</x:v>
      </x:c>
      <x:c r="E30" s="104">
        <x:f>'CONSOLIDADO_TOTAL RECAUDO'!E125</x:f>
        <x:v>0</x:v>
      </x:c>
      <x:c r="G30" s="129">
        <x:f>'CONSOLIDADO_TOTAL RECAUDO'!G125</x:f>
        <x:v>0</x:v>
      </x:c>
      <x:c r="H30" s="103">
        <x:f>'CONSOLIDADO_TOTAL RECAUDO'!H125</x:f>
        <x:v>0</x:v>
      </x:c>
      <x:c r="I30" s="104">
        <x:f>'CONSOLIDADO_TOTAL RECAUDO'!I125</x:f>
        <x:v>0</x:v>
      </x:c>
      <x:c r="J30" s="104">
        <x:f>'CONSOLIDADO_TOTAL RECAUDO'!J125</x:f>
        <x:v>0</x:v>
      </x:c>
      <x:c r="K30" s="104">
        <x:f>'CONSOLIDADO_TOTAL RECAUDO'!K125</x:f>
        <x:v>0</x:v>
      </x:c>
      <x:c r="L30" s="104">
        <x:f>'CONSOLIDADO_TOTAL RECAUDO'!L125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'CONSOLIDADO_TOTAL RECAUDO'!D129</x:f>
        <x:v>0</x:v>
      </x:c>
      <x:c r="E34" s="128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6">SUM(D30:D34)</x:f>
        <x:v>0</x:v>
      </x:c>
      <x:c r="E36" s="100">
        <x:f>'CONSOLIDADO_TOTAL RECAUDO'!E131</x:f>
        <x:v>0</x:v>
      </x:c>
      <x:c r="F36" s="45"/>
      <x:c r="G36" s="100">
        <x:f t="shared" ref="G36" si="7">SUM(G30:G34)</x:f>
        <x:v>0</x:v>
      </x:c>
      <x:c r="H36" s="100">
        <x:f t="shared" ref="H36:L36" si="8">SUM(H30:H34)</x:f>
        <x:v>0</x:v>
      </x:c>
      <x:c r="I36" s="100">
        <x:f t="shared" si="8"/>
        <x:v>0</x:v>
      </x:c>
      <x:c r="J36" s="100">
        <x:f t="shared" ref="J36" si="9">SUM(J30:J34)</x:f>
        <x:v>0</x:v>
      </x:c>
      <x:c r="K36" s="100">
        <x:f t="shared" si="8"/>
        <x:v>0</x:v>
      </x:c>
      <x:c r="L36" s="100">
        <x:f t="shared" si="8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D14='CONSOLIDADO_TOTAL RECAUDO'!D109</x:f>
        <x:v>1</x:v>
      </x:c>
      <x:c r="E44" s="208" t="b">
        <x:f>E14='CONSOLIDADO_TOTAL RECAUDO'!E109</x:f>
        <x:v>1</x:v>
      </x:c>
      <x:c r="F44" s="208" t="b">
        <x:f>F14='CONSOLIDADO_TOTAL RECAUDO'!F109</x:f>
        <x:v>1</x:v>
      </x:c>
      <x:c r="G44" s="208" t="b">
        <x:f>G14='CONSOLIDADO_TOTAL RECAUDO'!G109</x:f>
        <x:v>1</x:v>
      </x:c>
      <x:c r="H44" s="208" t="b">
        <x:f>H14='CONSOLIDADO_TOTAL RECAUDO'!H109</x:f>
        <x:v>1</x:v>
      </x:c>
      <x:c r="I44" s="208" t="b">
        <x:f>I14='CONSOLIDADO_TOTAL RECAUDO'!I109</x:f>
        <x:v>1</x:v>
      </x:c>
      <x:c r="J44" s="208" t="b">
        <x:f>J14='CONSOLIDADO_TOTAL RECAUDO'!J109</x:f>
        <x:v>1</x:v>
      </x:c>
      <x:c r="K44" s="208" t="b">
        <x:f>K14='CONSOLIDADO_TOTAL RECAUDO'!K109</x:f>
        <x:v>1</x:v>
      </x:c>
      <x:c r="L44" s="208" t="b">
        <x:f>L14='CONSOLIDADO_TOTAL RECAUDO'!L109</x:f>
        <x:v>1</x:v>
      </x:c>
      <x:c r="M44" s="208" t="b">
        <x:f>M14='CONSOLIDADO_TOTAL RECAUDO'!M109</x:f>
        <x:v>1</x:v>
      </x:c>
      <x:c r="N44" s="208" t="b">
        <x:f>N14='CONSOLIDADO_TOTAL RECAUDO'!N109</x:f>
        <x:v>1</x:v>
      </x:c>
      <x:c r="O44" s="208" t="b">
        <x:f>O14='CONSOLIDADO_TOTAL RECAUDO'!O109</x:f>
        <x:v>1</x:v>
      </x:c>
      <x:c r="Q44" s="24"/>
      <x:c r="T44" s="24"/>
    </x:row>
    <x:row r="45" spans="1:20" x14ac:dyDescent="0.2">
      <x:c r="D45" s="208" t="b">
        <x:f>D36='CONSOLIDADO_TOTAL RECAUDO'!D131</x:f>
        <x:v>1</x:v>
      </x:c>
      <x:c r="E45" s="208" t="b">
        <x:f>E36='CONSOLIDADO_TOTAL RECAUDO'!E131</x:f>
        <x:v>1</x:v>
      </x:c>
      <x:c r="F45" s="208" t="b">
        <x:f>F36='CONSOLIDADO_TOTAL RECAUDO'!F131</x:f>
        <x:v>1</x:v>
      </x:c>
      <x:c r="G45" s="208" t="b">
        <x:f>G36='CONSOLIDADO_TOTAL RECAUDO'!G131</x:f>
        <x:v>1</x:v>
      </x:c>
      <x:c r="H45" s="208" t="b">
        <x:f>H36='CONSOLIDADO_TOTAL RECAUDO'!H131</x:f>
        <x:v>1</x:v>
      </x:c>
      <x:c r="I45" s="208" t="b">
        <x:f>I36='CONSOLIDADO_TOTAL RECAUDO'!I131</x:f>
        <x:v>1</x:v>
      </x:c>
      <x:c r="J45" s="208" t="b">
        <x:f>K36='CONSOLIDADO_TOTAL RECAUDO'!K131</x:f>
        <x:v>1</x:v>
      </x:c>
      <x:c r="K45" s="208" t="b">
        <x:f>K36='CONSOLIDADO_TOTAL RECAUDO'!K131</x:f>
        <x:v>1</x:v>
      </x:c>
      <x:c r="L45" s="208" t="b">
        <x:f>L36='CONSOLIDADO_TOTAL RECAUDO'!L131</x:f>
        <x:v>1</x:v>
      </x:c>
      <x:c r="M45" s="208" t="b">
        <x:f>M36='CONSOLIDADO_TOTAL RECAUDO'!M131</x:f>
        <x:v>1</x:v>
      </x:c>
      <x:c r="N45" s="208" t="b">
        <x:f>N36='CONSOLIDADO_TOTAL RECAUDO'!N131</x:f>
        <x:v>1</x:v>
      </x:c>
      <x:c r="O45" s="208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X1" zoomScaleNormal="100" workbookViewId="0">
      <x:selection activeCell="AJ1" sqref="AJ1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7.7109375" style="1" customWidth="1"/>
    <x:col min="13" max="13" width="18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R1'!F55</x:f>
        <x:v>0</x:v>
      </x:c>
      <x:c r="E9" s="228">
        <x:f>'Reporte Componentes R1'!G55</x:f>
        <x:v>0</x:v>
      </x:c>
      <x:c r="F9" s="228">
        <x:f>'Reporte Componentes R1'!H55</x:f>
        <x:v>0</x:v>
      </x:c>
      <x:c r="G9" s="228">
        <x:f>'Reporte Componentes R1'!I55</x:f>
        <x:v>0</x:v>
      </x:c>
      <x:c r="H9" s="228">
        <x:f>'Reporte Componentes R1'!J55</x:f>
        <x:v>0</x:v>
      </x:c>
      <x:c r="I9" s="228">
        <x:f>'Reporte Componentes R1'!K55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R1'!L55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R1'!M55</x:f>
        <x:v>0</x:v>
      </x:c>
      <x:c r="V9" s="244">
        <x:f>'Reporte Componentes R1'!N55</x:f>
        <x:v>0</x:v>
      </x:c>
      <x:c r="W9" s="244">
        <x:f>'Reporte Componentes R1'!O55</x:f>
        <x:v>0</x:v>
      </x:c>
      <x:c r="X9" s="244">
        <x:f>'Reporte Componentes R1'!P55</x:f>
        <x:v>0</x:v>
      </x:c>
      <x:c r="Y9" s="245">
        <x:f>'Reporte Componentes R1'!Q55</x:f>
        <x:v>0</x:v>
      </x:c>
      <x:c r="Z9" s="246">
        <x:f>L9*-1</x:f>
        <x:v>0</x:v>
      </x:c>
      <x:c r="AA9" s="247">
        <x:f>'Reporte Componentes R1'!R55+'Reporte Componentes R1'!V55+'Reporte Componentes R1'!U55</x:f>
        <x:v>0</x:v>
      </x:c>
      <x:c r="AB9" s="230">
        <x:f>N9</x:f>
        <x:v>0</x:v>
      </x:c>
      <x:c r="AC9" s="247">
        <x:f>'Reporte Componentes R1'!T55+'Reporte Componentes R1'!W55+'Reporte Componentes R1'!X55+'Reporte Componentes R1'!Y55+'Reporte Componentes R1'!Z55+'Reporte Componentes R1'!S55</x:f>
        <x:v>0</x:v>
      </x:c>
      <x:c r="AD9" s="227">
        <x:f>-J9+AE9</x:f>
        <x:v>0</x:v>
      </x:c>
      <x:c r="AE9" s="227">
        <x:f>'Reporte Componentes R1'!F56</x:f>
        <x:v>0</x:v>
      </x:c>
      <x:c r="AF9" s="249">
        <x:f>SUM(U9:AD9)</x:f>
        <x:v>0</x:v>
      </x:c>
      <x:c r="AG9" s="439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R1'!F199</x:f>
        <x:v>0</x:v>
      </x:c>
      <x:c r="E10" s="228">
        <x:f>'Reporte Componentes R1'!G199</x:f>
        <x:v>0</x:v>
      </x:c>
      <x:c r="F10" s="228">
        <x:f>'Reporte Componentes R1'!H199</x:f>
        <x:v>0</x:v>
      </x:c>
      <x:c r="G10" s="228">
        <x:f>'Reporte Componentes R1'!I199</x:f>
        <x:v>0</x:v>
      </x:c>
      <x:c r="H10" s="228">
        <x:f>'Reporte Componentes R1'!J199</x:f>
        <x:v>0</x:v>
      </x:c>
      <x:c r="I10" s="228">
        <x:f>'Reporte Componentes R1'!K199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R1'!L199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R1'!M199</x:f>
        <x:v>0</x:v>
      </x:c>
      <x:c r="V10" s="253">
        <x:f>'Reporte Componentes R1'!N199</x:f>
        <x:v>0</x:v>
      </x:c>
      <x:c r="W10" s="253">
        <x:f>'Reporte Componentes R1'!O199</x:f>
        <x:v>0</x:v>
      </x:c>
      <x:c r="X10" s="253">
        <x:f>'Reporte Componentes R1'!P199</x:f>
        <x:v>0</x:v>
      </x:c>
      <x:c r="Y10" s="254">
        <x:f>'Reporte Componentes R1'!Q199</x:f>
        <x:v>0</x:v>
      </x:c>
      <x:c r="Z10" s="255">
        <x:f>L10*-1</x:f>
        <x:v>0</x:v>
      </x:c>
      <x:c r="AA10" s="256">
        <x:f>'Reporte Componentes R1'!R199+'Reporte Componentes R1'!V199+'Reporte Componentes R1'!U199</x:f>
        <x:v>0</x:v>
      </x:c>
      <x:c r="AB10" s="230">
        <x:f>N10</x:f>
        <x:v>0</x:v>
      </x:c>
      <x:c r="AC10" s="256">
        <x:f>'Reporte Componentes R1'!T199+'Reporte Componentes R1'!W199+'Reporte Componentes R1'!X199+'Reporte Componentes R1'!Y199+'Reporte Componentes R1'!Z199++'Reporte Componentes R1'!S199</x:f>
        <x:v>0</x:v>
      </x:c>
      <x:c r="AD10" s="227">
        <x:f t="shared" ref="AD10:AD13" si="2">-J10+AE10</x:f>
        <x:v>0</x:v>
      </x:c>
      <x:c r="AE10" s="227">
        <x:f>'Reporte Componentes R1'!F200</x:f>
        <x:v>0</x:v>
      </x:c>
      <x:c r="AF10" s="258">
        <x:f>SUM(U10:AD10)</x:f>
        <x:v>0</x:v>
      </x:c>
      <x:c r="AG10" s="440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R1'!F330</x:f>
        <x:v>0</x:v>
      </x:c>
      <x:c r="E11" s="228">
        <x:f>'Reporte Componentes R1'!G330</x:f>
        <x:v>0</x:v>
      </x:c>
      <x:c r="F11" s="228">
        <x:f>'Reporte Componentes R1'!H330</x:f>
        <x:v>0</x:v>
      </x:c>
      <x:c r="G11" s="228">
        <x:f>'Reporte Componentes R1'!I330</x:f>
        <x:v>0</x:v>
      </x:c>
      <x:c r="H11" s="228">
        <x:f>'Reporte Componentes R1'!J330</x:f>
        <x:v>0</x:v>
      </x:c>
      <x:c r="I11" s="228">
        <x:f>'Reporte Componentes R1'!K330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R1'!L330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R1'!M330</x:f>
        <x:v>0</x:v>
      </x:c>
      <x:c r="V11" s="253">
        <x:f>'Reporte Componentes R1'!N330</x:f>
        <x:v>0</x:v>
      </x:c>
      <x:c r="W11" s="253">
        <x:f>'Reporte Componentes R1'!O330</x:f>
        <x:v>0</x:v>
      </x:c>
      <x:c r="X11" s="253">
        <x:f>'Reporte Componentes R1'!P330</x:f>
        <x:v>0</x:v>
      </x:c>
      <x:c r="Y11" s="254">
        <x:f>'Reporte Componentes R1'!Q330</x:f>
        <x:v>0</x:v>
      </x:c>
      <x:c r="Z11" s="255">
        <x:f>L11*-1</x:f>
        <x:v>0</x:v>
      </x:c>
      <x:c r="AA11" s="256">
        <x:f>'Reporte Componentes R1'!R330+'Reporte Componentes R1'!V330+'Reporte Componentes R1'!U330</x:f>
        <x:v>0</x:v>
      </x:c>
      <x:c r="AB11" s="230">
        <x:f>N11</x:f>
        <x:v>0</x:v>
      </x:c>
      <x:c r="AC11" s="256">
        <x:f>'Reporte Componentes R1'!T330+'Reporte Componentes R1'!W330+'Reporte Componentes R1'!X330+'Reporte Componentes R1'!Y330+'Reporte Componentes R1'!Z330++'Reporte Componentes R1'!S330</x:f>
        <x:v>0</x:v>
      </x:c>
      <x:c r="AD11" s="227">
        <x:f t="shared" si="2"/>
        <x:v>0</x:v>
      </x:c>
      <x:c r="AE11" s="227">
        <x:f>'Reporte Componentes R1'!F331</x:f>
        <x:v>0</x:v>
      </x:c>
      <x:c r="AF11" s="258">
        <x:f t="shared" ref="AF11:AF13" si="4">SUM(U11:AD11)</x:f>
        <x:v>0</x:v>
      </x:c>
      <x:c r="AG11" s="440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R1'!F461</x:f>
        <x:v>0</x:v>
      </x:c>
      <x:c r="E12" s="228">
        <x:f>'Reporte Componentes R1'!G461</x:f>
        <x:v>0</x:v>
      </x:c>
      <x:c r="F12" s="228">
        <x:f>'Reporte Componentes R1'!H461</x:f>
        <x:v>0</x:v>
      </x:c>
      <x:c r="G12" s="228">
        <x:f>'Reporte Componentes R1'!I461</x:f>
        <x:v>0</x:v>
      </x:c>
      <x:c r="H12" s="228">
        <x:f>'Reporte Componentes R1'!J461</x:f>
        <x:v>0</x:v>
      </x:c>
      <x:c r="I12" s="228">
        <x:f>'Reporte Componentes R1'!K461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R1'!L461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R1'!M461</x:f>
        <x:v>0</x:v>
      </x:c>
      <x:c r="V12" s="253">
        <x:f>'Reporte Componentes R1'!N461</x:f>
        <x:v>0</x:v>
      </x:c>
      <x:c r="W12" s="253">
        <x:f>'Reporte Componentes R1'!O461</x:f>
        <x:v>0</x:v>
      </x:c>
      <x:c r="X12" s="253">
        <x:f>'Reporte Componentes R1'!P461</x:f>
        <x:v>0</x:v>
      </x:c>
      <x:c r="Y12" s="254">
        <x:f>'Reporte Componentes R1'!Q461</x:f>
        <x:v>0</x:v>
      </x:c>
      <x:c r="Z12" s="255">
        <x:f>L12*-1</x:f>
        <x:v>0</x:v>
      </x:c>
      <x:c r="AA12" s="256">
        <x:f>'Reporte Componentes R1'!R461+'Reporte Componentes R1'!V461+'Reporte Componentes R1'!U461</x:f>
        <x:v>0</x:v>
      </x:c>
      <x:c r="AB12" s="230">
        <x:f>N12</x:f>
        <x:v>0</x:v>
      </x:c>
      <x:c r="AC12" s="256">
        <x:f>'Reporte Componentes R1'!T461+'Reporte Componentes R1'!W461+'Reporte Componentes R1'!X461+'Reporte Componentes R1'!Y461+'Reporte Componentes R1'!Z461++'Reporte Componentes R1'!S461</x:f>
        <x:v>0</x:v>
      </x:c>
      <x:c r="AD12" s="227">
        <x:f t="shared" si="2"/>
        <x:v>0</x:v>
      </x:c>
      <x:c r="AE12" s="227">
        <x:f>'Reporte Componentes R1'!F462</x:f>
        <x:v>0</x:v>
      </x:c>
      <x:c r="AF12" s="258">
        <x:f t="shared" si="4"/>
        <x:v>0</x:v>
      </x:c>
      <x:c r="AG12" s="440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R1'!F559</x:f>
        <x:v>0</x:v>
      </x:c>
      <x:c r="E13" s="233">
        <x:f>'Reporte Componentes R1'!G559</x:f>
        <x:v>0</x:v>
      </x:c>
      <x:c r="F13" s="233">
        <x:f>'Reporte Componentes R1'!H559</x:f>
        <x:v>0</x:v>
      </x:c>
      <x:c r="G13" s="233">
        <x:f>'Reporte Componentes R1'!I559</x:f>
        <x:v>0</x:v>
      </x:c>
      <x:c r="H13" s="233">
        <x:f>'Reporte Componentes R1'!J559</x:f>
        <x:v>0</x:v>
      </x:c>
      <x:c r="I13" s="233">
        <x:f>'Reporte Componentes R1'!K559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R1'!L559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R1'!M559</x:f>
        <x:v>0</x:v>
      </x:c>
      <x:c r="V13" s="233">
        <x:f>'Reporte Componentes R1'!N559</x:f>
        <x:v>0</x:v>
      </x:c>
      <x:c r="W13" s="233">
        <x:f>'Reporte Componentes R1'!O559</x:f>
        <x:v>0</x:v>
      </x:c>
      <x:c r="X13" s="233">
        <x:f>'Reporte Componentes R1'!P559</x:f>
        <x:v>0</x:v>
      </x:c>
      <x:c r="Y13" s="225">
        <x:f>'Reporte Componentes R1'!Q559</x:f>
        <x:v>0</x:v>
      </x:c>
      <x:c r="Z13" s="255">
        <x:f>L13*-1</x:f>
        <x:v>0</x:v>
      </x:c>
      <x:c r="AA13" s="256">
        <x:f>'Reporte Componentes R1'!R559+'Reporte Componentes R1'!V559+'Reporte Componentes R1'!U559</x:f>
        <x:v>0</x:v>
      </x:c>
      <x:c r="AB13" s="230">
        <x:f>N13</x:f>
        <x:v>0</x:v>
      </x:c>
      <x:c r="AC13" s="256">
        <x:f>'Reporte Componentes R1'!T559+'Reporte Componentes R1'!W559+'Reporte Componentes R1'!X559+'Reporte Componentes R1'!Y559+'Reporte Componentes R1'!Z559+'Reporte Componentes R1'!S559</x:f>
        <x:v>0</x:v>
      </x:c>
      <x:c r="AD13" s="227">
        <x:f t="shared" si="2"/>
        <x:v>0</x:v>
      </x:c>
      <x:c r="AE13" s="227">
        <x:f>'Reporte Componentes R1'!F560</x:f>
        <x:v>0</x:v>
      </x:c>
      <x:c r="AF13" s="258">
        <x:f t="shared" si="4"/>
        <x:v>0</x:v>
      </x:c>
      <x:c r="AG13" s="441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442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09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R2'!E46</x:f>
        <x:v>0</x:v>
      </x:c>
      <x:c r="E28" s="228">
        <x:f>'Rem. Anticipos R2'!F46</x:f>
        <x:v>0</x:v>
      </x:c>
      <x:c r="F28" s="228">
        <x:f>'Rem. Anticipos R2'!G46</x:f>
        <x:v>0</x:v>
      </x:c>
      <x:c r="G28" s="228">
        <x:f>'Rem. Anticipos R2'!H46</x:f>
        <x:v>0</x:v>
      </x:c>
      <x:c r="H28" s="228">
        <x:f>'Rem. Anticipos R2'!I46</x:f>
        <x:v>0</x:v>
      </x:c>
      <x:c r="I28" s="228">
        <x:f>'Rem. Anticipos R2'!J46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R2'!K46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R2'!L46</x:f>
        <x:v>0</x:v>
      </x:c>
      <x:c r="V28" s="244">
        <x:f>'Rem. Anticipos R2'!M46</x:f>
        <x:v>0</x:v>
      </x:c>
      <x:c r="W28" s="244">
        <x:f>'Rem. Anticipos R2'!N46</x:f>
        <x:v>0</x:v>
      </x:c>
      <x:c r="X28" s="244">
        <x:f>'Rem. Anticipos R2'!O46</x:f>
        <x:v>0</x:v>
      </x:c>
      <x:c r="Y28" s="245">
        <x:f>'Rem. Anticipos R2'!P46</x:f>
        <x:v>0</x:v>
      </x:c>
      <x:c r="Z28" s="246">
        <x:f>L28*-1</x:f>
        <x:v>0</x:v>
      </x:c>
      <x:c r="AA28" s="247">
        <x:f>'Rem. Anticipos R2'!Q46</x:f>
        <x:v>0</x:v>
      </x:c>
      <x:c r="AB28" s="230">
        <x:f>N28</x:f>
        <x:v>0</x:v>
      </x:c>
      <x:c r="AC28" s="247">
        <x:f>'Rem. Anticipos R2'!R46</x:f>
        <x:v>0</x:v>
      </x:c>
      <x:c r="AD28" s="227">
        <x:f>-J28+AE28</x:f>
        <x:v>0</x:v>
      </x:c>
      <x:c r="AE28" s="227">
        <x:f>'Rem. Anticipos R2'!E47</x:f>
        <x:v>0</x:v>
      </x:c>
      <x:c r="AF28" s="249">
        <x:f>SUM(U28:AD28)</x:f>
        <x:v>0</x:v>
      </x:c>
      <x:c r="AG28" s="439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R2'!E142</x:f>
        <x:v>0</x:v>
      </x:c>
      <x:c r="E29" s="228">
        <x:f>'Rem. Anticipos R2'!F142</x:f>
        <x:v>0</x:v>
      </x:c>
      <x:c r="F29" s="228">
        <x:f>'Rem. Anticipos R2'!G142</x:f>
        <x:v>0</x:v>
      </x:c>
      <x:c r="G29" s="228">
        <x:f>'Rem. Anticipos R2'!H142</x:f>
        <x:v>0</x:v>
      </x:c>
      <x:c r="H29" s="228">
        <x:f>'Rem. Anticipos R2'!I142</x:f>
        <x:v>0</x:v>
      </x:c>
      <x:c r="I29" s="228">
        <x:f>'Rem. Anticipos R2'!J142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R2'!K142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R2'!L142</x:f>
        <x:v>0</x:v>
      </x:c>
      <x:c r="V29" s="253">
        <x:f>'Rem. Anticipos R2'!M142</x:f>
        <x:v>0</x:v>
      </x:c>
      <x:c r="W29" s="253">
        <x:f>'Rem. Anticipos R2'!N142</x:f>
        <x:v>0</x:v>
      </x:c>
      <x:c r="X29" s="253">
        <x:f>'Rem. Anticipos R2'!O142</x:f>
        <x:v>0</x:v>
      </x:c>
      <x:c r="Y29" s="254">
        <x:f>'Rem. Anticipos R2'!P142</x:f>
        <x:v>0</x:v>
      </x:c>
      <x:c r="Z29" s="255">
        <x:f>L29*-1</x:f>
        <x:v>0</x:v>
      </x:c>
      <x:c r="AA29" s="256">
        <x:f>'Rem. Anticipos R2'!Q142</x:f>
        <x:v>0</x:v>
      </x:c>
      <x:c r="AB29" s="230">
        <x:f>N29</x:f>
        <x:v>0</x:v>
      </x:c>
      <x:c r="AC29" s="256">
        <x:f>'Rem. Anticipos R2'!R142</x:f>
        <x:v>0</x:v>
      </x:c>
      <x:c r="AD29" s="227">
        <x:f>-J29+AE29</x:f>
        <x:v>0</x:v>
      </x:c>
      <x:c r="AE29" s="227">
        <x:f>'Rem. Anticipos R2'!E143</x:f>
        <x:v>0</x:v>
      </x:c>
      <x:c r="AF29" s="258">
        <x:f>SUM(U29:AD29)</x:f>
        <x:v>0</x:v>
      </x:c>
      <x:c r="AG29" s="440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R2'!E259</x:f>
        <x:v>0</x:v>
      </x:c>
      <x:c r="E30" s="228">
        <x:f>'Rem. Anticipos R2'!F259</x:f>
        <x:v>0</x:v>
      </x:c>
      <x:c r="F30" s="228">
        <x:f>'Rem. Anticipos R2'!G259</x:f>
        <x:v>0</x:v>
      </x:c>
      <x:c r="G30" s="228">
        <x:f>'Rem. Anticipos R2'!H259</x:f>
        <x:v>0</x:v>
      </x:c>
      <x:c r="H30" s="228">
        <x:f>'Rem. Anticipos R2'!I259</x:f>
        <x:v>0</x:v>
      </x:c>
      <x:c r="I30" s="228">
        <x:f>'Rem. Anticipos R2'!J259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R2'!K259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R2'!L259</x:f>
        <x:v>0</x:v>
      </x:c>
      <x:c r="V30" s="253">
        <x:f>'Rem. Anticipos R2'!M259</x:f>
        <x:v>0</x:v>
      </x:c>
      <x:c r="W30" s="253">
        <x:f>'Rem. Anticipos R2'!N259</x:f>
        <x:v>0</x:v>
      </x:c>
      <x:c r="X30" s="253">
        <x:f>'Rem. Anticipos R2'!O259</x:f>
        <x:v>0</x:v>
      </x:c>
      <x:c r="Y30" s="254">
        <x:f>'Rem. Anticipos R2'!P259</x:f>
        <x:v>0</x:v>
      </x:c>
      <x:c r="Z30" s="255">
        <x:f>L30*-1</x:f>
        <x:v>0</x:v>
      </x:c>
      <x:c r="AA30" s="256">
        <x:f>'Rem. Anticipos R2'!Q259</x:f>
        <x:v>0</x:v>
      </x:c>
      <x:c r="AB30" s="230">
        <x:f>N30</x:f>
        <x:v>0</x:v>
      </x:c>
      <x:c r="AC30" s="256">
        <x:f>'Rem. Anticipos R2'!R259</x:f>
        <x:v>0</x:v>
      </x:c>
      <x:c r="AD30" s="227">
        <x:f t="shared" ref="AD30:AD32" si="10">-J30+AE30</x:f>
        <x:v>0</x:v>
      </x:c>
      <x:c r="AE30" s="227">
        <x:f>'Rem. Anticipos R2'!E260</x:f>
        <x:v>0</x:v>
      </x:c>
      <x:c r="AF30" s="258">
        <x:f>SUM(U30:AD30)</x:f>
        <x:v>0</x:v>
      </x:c>
      <x:c r="AG30" s="440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R2'!E361</x:f>
        <x:v>0</x:v>
      </x:c>
      <x:c r="E31" s="228">
        <x:f>'Rem. Anticipos R2'!F361</x:f>
        <x:v>0</x:v>
      </x:c>
      <x:c r="F31" s="228">
        <x:f>'Rem. Anticipos R2'!G361</x:f>
        <x:v>0</x:v>
      </x:c>
      <x:c r="G31" s="228">
        <x:f>'Rem. Anticipos R2'!H361</x:f>
        <x:v>0</x:v>
      </x:c>
      <x:c r="H31" s="228">
        <x:f>'Rem. Anticipos R2'!I361</x:f>
        <x:v>0</x:v>
      </x:c>
      <x:c r="I31" s="228">
        <x:f>'Rem. Anticipos R2'!J361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R2'!K361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R2'!L361</x:f>
        <x:v>0</x:v>
      </x:c>
      <x:c r="V31" s="253">
        <x:f>'Rem. Anticipos R2'!M361</x:f>
        <x:v>0</x:v>
      </x:c>
      <x:c r="W31" s="253">
        <x:f>'Rem. Anticipos R2'!N361</x:f>
        <x:v>0</x:v>
      </x:c>
      <x:c r="X31" s="253">
        <x:f>'Rem. Anticipos R2'!O361</x:f>
        <x:v>0</x:v>
      </x:c>
      <x:c r="Y31" s="254">
        <x:f>'Rem. Anticipos R2'!P361</x:f>
        <x:v>0</x:v>
      </x:c>
      <x:c r="Z31" s="255">
        <x:f>L31*-1</x:f>
        <x:v>0</x:v>
      </x:c>
      <x:c r="AA31" s="256">
        <x:f>'Rem. Anticipos R2'!Q361</x:f>
        <x:v>0</x:v>
      </x:c>
      <x:c r="AB31" s="230">
        <x:f>N31</x:f>
        <x:v>0</x:v>
      </x:c>
      <x:c r="AC31" s="256">
        <x:f>'Rem. Anticipos R2'!R361</x:f>
        <x:v>0</x:v>
      </x:c>
      <x:c r="AD31" s="227">
        <x:f t="shared" si="10"/>
        <x:v>0</x:v>
      </x:c>
      <x:c r="AE31" s="227">
        <x:f>'Rem. Anticipos R2'!E362</x:f>
        <x:v>0</x:v>
      </x:c>
      <x:c r="AF31" s="258">
        <x:f>SUM(U31:AD31)</x:f>
        <x:v>0</x:v>
      </x:c>
      <x:c r="AG31" s="440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R2'!E441</x:f>
        <x:v>0</x:v>
      </x:c>
      <x:c r="E32" s="233">
        <x:f>'Rem. Anticipos R2'!F441</x:f>
        <x:v>0</x:v>
      </x:c>
      <x:c r="F32" s="233">
        <x:f>'Rem. Anticipos R2'!G441</x:f>
        <x:v>0</x:v>
      </x:c>
      <x:c r="G32" s="233">
        <x:f>'Rem. Anticipos R2'!H441</x:f>
        <x:v>0</x:v>
      </x:c>
      <x:c r="H32" s="233">
        <x:f>'Rem. Anticipos R2'!I441</x:f>
        <x:v>0</x:v>
      </x:c>
      <x:c r="I32" s="233">
        <x:f>'Rem. Anticipos R2'!J441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R2'!K441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R2'!L441</x:f>
        <x:v>0</x:v>
      </x:c>
      <x:c r="V32" s="233">
        <x:f>'Rem. Anticipos R2'!M441</x:f>
        <x:v>0</x:v>
      </x:c>
      <x:c r="W32" s="233">
        <x:f>'Rem. Anticipos R2'!N441</x:f>
        <x:v>0</x:v>
      </x:c>
      <x:c r="X32" s="233">
        <x:f>'Rem. Anticipos R2'!O441</x:f>
        <x:v>0</x:v>
      </x:c>
      <x:c r="Y32" s="225">
        <x:f>'Rem. Anticipos R2'!P441</x:f>
        <x:v>0</x:v>
      </x:c>
      <x:c r="Z32" s="255">
        <x:f>L32*-1</x:f>
        <x:v>0</x:v>
      </x:c>
      <x:c r="AA32" s="256">
        <x:f>'Rem. Anticipos R2'!Q441</x:f>
        <x:v>0</x:v>
      </x:c>
      <x:c r="AB32" s="230">
        <x:f>N32</x:f>
        <x:v>0</x:v>
      </x:c>
      <x:c r="AC32" s="256">
        <x:f>'Rem. Anticipos R2'!R441</x:f>
        <x:v>0</x:v>
      </x:c>
      <x:c r="AD32" s="227">
        <x:f t="shared" si="10"/>
        <x:v>0</x:v>
      </x:c>
      <x:c r="AE32" s="227">
        <x:f>'Rem. Anticipos R2'!E442</x:f>
        <x:v>0</x:v>
      </x:c>
      <x:c r="AF32" s="258">
        <x:f>SUM(U32:AD32)</x:f>
        <x:v>0</x:v>
      </x:c>
      <x:c r="AG32" s="441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442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09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R1'!F57</x:f>
        <x:v>0</x:v>
      </x:c>
      <x:c r="E47" s="228">
        <x:f>'Reporte Componentes R1'!G57</x:f>
        <x:v>0</x:v>
      </x:c>
      <x:c r="F47" s="228">
        <x:f>'Reporte Componentes R1'!H57</x:f>
        <x:v>0</x:v>
      </x:c>
      <x:c r="G47" s="228">
        <x:f>'Reporte Componentes R1'!I57</x:f>
        <x:v>0</x:v>
      </x:c>
      <x:c r="H47" s="228">
        <x:f>'Reporte Componentes R1'!J57</x:f>
        <x:v>0</x:v>
      </x:c>
      <x:c r="I47" s="228">
        <x:f>'Reporte Componentes R1'!K57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R1'!L57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R1'!M57</x:f>
        <x:v>0</x:v>
      </x:c>
      <x:c r="V47" s="244">
        <x:f>'Reporte Componentes R1'!N57</x:f>
        <x:v>0</x:v>
      </x:c>
      <x:c r="W47" s="244">
        <x:f>'Reporte Componentes R1'!O57</x:f>
        <x:v>0</x:v>
      </x:c>
      <x:c r="X47" s="244">
        <x:f>'Reporte Componentes R1'!P57</x:f>
        <x:v>0</x:v>
      </x:c>
      <x:c r="Y47" s="245">
        <x:f>'Reporte Componentes R1'!Q57</x:f>
        <x:v>0</x:v>
      </x:c>
      <x:c r="Z47" s="246">
        <x:f>-L47</x:f>
        <x:v>0</x:v>
      </x:c>
      <x:c r="AA47" s="247">
        <x:f>'Reporte Componentes R1'!R57+'Reporte Componentes R1'!V57+'Reporte Componentes R1'!U57</x:f>
        <x:v>0</x:v>
      </x:c>
      <x:c r="AB47" s="230">
        <x:f>N47</x:f>
        <x:v>0</x:v>
      </x:c>
      <x:c r="AC47" s="247">
        <x:f>'Reporte Componentes R1'!T57+'Reporte Componentes R1'!W57+'Reporte Componentes R1'!X57+'Reporte Componentes R1'!Y57+'Reporte Componentes R1'!Z57+'Reporte Componentes R1'!S57</x:f>
        <x:v>0</x:v>
      </x:c>
      <x:c r="AD47" s="227">
        <x:f>-J47+AE47</x:f>
        <x:v>0</x:v>
      </x:c>
      <x:c r="AE47" s="227">
        <x:f>'Reporte Componentes R1'!F58</x:f>
        <x:v>0</x:v>
      </x:c>
      <x:c r="AF47" s="249">
        <x:f>SUM(U47:AD47)</x:f>
        <x:v>0</x:v>
      </x:c>
      <x:c r="AG47" s="439">
        <x:f>(AF47-O47)</x:f>
        <x:v>0</x:v>
      </x:c>
      <x:c r="AH47" s="1" t="b">
        <x:f t="shared" ref="AH47:AH52" si="15"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R1'!F201</x:f>
        <x:v>0</x:v>
      </x:c>
      <x:c r="E48" s="228">
        <x:f>'Reporte Componentes R1'!G201</x:f>
        <x:v>0</x:v>
      </x:c>
      <x:c r="F48" s="228">
        <x:f>'Reporte Componentes R1'!H201</x:f>
        <x:v>0</x:v>
      </x:c>
      <x:c r="G48" s="228">
        <x:f>'Reporte Componentes R1'!I201</x:f>
        <x:v>0</x:v>
      </x:c>
      <x:c r="H48" s="228">
        <x:f>'Reporte Componentes R1'!J201</x:f>
        <x:v>0</x:v>
      </x:c>
      <x:c r="I48" s="228">
        <x:f>'Reporte Componentes R1'!K201</x:f>
        <x:v>0</x:v>
      </x:c>
      <x:c r="J48" s="224">
        <x:v>0</x:v>
      </x:c>
      <x:c r="K48" s="231">
        <x:f t="shared" ref="K48:K51" si="16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R1'!L201</x:f>
        <x:v>0</x:v>
      </x:c>
      <x:c r="O48" s="231">
        <x:f t="shared" ref="O48:O51" si="17">M48+N48</x:f>
        <x:v>0</x:v>
      </x:c>
      <x:c r="Q48" s="242"/>
      <x:c r="S48" s="250">
        <x:v>2</x:v>
      </x:c>
      <x:c r="T48" s="251" t="s">
        <x:v>11</x:v>
      </x:c>
      <x:c r="U48" s="252">
        <x:f>'Reporte Componentes R1'!M201</x:f>
        <x:v>0</x:v>
      </x:c>
      <x:c r="V48" s="253">
        <x:f>'Reporte Componentes R1'!N201</x:f>
        <x:v>0</x:v>
      </x:c>
      <x:c r="W48" s="253">
        <x:f>'Reporte Componentes R1'!O201</x:f>
        <x:v>0</x:v>
      </x:c>
      <x:c r="X48" s="253">
        <x:f>'Reporte Componentes R1'!P201</x:f>
        <x:v>0</x:v>
      </x:c>
      <x:c r="Y48" s="254">
        <x:f>'Reporte Componentes R1'!Q201</x:f>
        <x:v>0</x:v>
      </x:c>
      <x:c r="Z48" s="255">
        <x:f>-L48</x:f>
        <x:v>0</x:v>
      </x:c>
      <x:c r="AA48" s="256">
        <x:f>'Reporte Componentes R1'!R201+'Reporte Componentes R1'!V201+'Reporte Componentes R1'!U201</x:f>
        <x:v>0</x:v>
      </x:c>
      <x:c r="AB48" s="230">
        <x:f>N48</x:f>
        <x:v>0</x:v>
      </x:c>
      <x:c r="AC48" s="256">
        <x:f>'Reporte Componentes R1'!T201+'Reporte Componentes R1'!W201+'Reporte Componentes R1'!X201+'Reporte Componentes R1'!Y201+'Reporte Componentes R1'!Z201+'Reporte Componentes R1'!S201</x:f>
        <x:v>0</x:v>
      </x:c>
      <x:c r="AD48" s="227">
        <x:f t="shared" ref="AD48:AD51" si="18">-J48+AE48</x:f>
        <x:v>0</x:v>
      </x:c>
      <x:c r="AE48" s="227">
        <x:f>'Reporte Componentes R1'!F202</x:f>
        <x:v>0</x:v>
      </x:c>
      <x:c r="AF48" s="258">
        <x:f>SUM(U48:AD48)</x:f>
        <x:v>0</x:v>
      </x:c>
      <x:c r="AG48" s="440">
        <x:f>(AF48-O48)</x:f>
        <x:v>0</x:v>
      </x:c>
      <x:c r="AH48" s="1" t="b">
        <x:f t="shared" si="15"/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R1'!F332</x:f>
        <x:v>0</x:v>
      </x:c>
      <x:c r="E49" s="228">
        <x:f>'Reporte Componentes R1'!G332</x:f>
        <x:v>0</x:v>
      </x:c>
      <x:c r="F49" s="228">
        <x:f>'Reporte Componentes R1'!H332</x:f>
        <x:v>0</x:v>
      </x:c>
      <x:c r="G49" s="228">
        <x:f>'Reporte Componentes R1'!I332</x:f>
        <x:v>0</x:v>
      </x:c>
      <x:c r="H49" s="228">
        <x:f>'Reporte Componentes R1'!J332</x:f>
        <x:v>0</x:v>
      </x:c>
      <x:c r="I49" s="228">
        <x:f>'Reporte Componentes R1'!K332</x:f>
        <x:v>0</x:v>
      </x:c>
      <x:c r="J49" s="224">
        <x:v>0</x:v>
      </x:c>
      <x:c r="K49" s="231">
        <x:f t="shared" si="16"/>
        <x:v>0</x:v>
      </x:c>
      <x:c r="L49" s="230">
        <x:v>0</x:v>
      </x:c>
      <x:c r="M49" s="231">
        <x:f>K49-L49</x:f>
        <x:v>0</x:v>
      </x:c>
      <x:c r="N49" s="230">
        <x:f>'Reporte Componentes R1'!L332</x:f>
        <x:v>0</x:v>
      </x:c>
      <x:c r="O49" s="231">
        <x:f t="shared" si="17"/>
        <x:v>0</x:v>
      </x:c>
      <x:c r="Q49" s="242"/>
      <x:c r="S49" s="250">
        <x:v>3</x:v>
      </x:c>
      <x:c r="T49" s="251" t="s">
        <x:v>12</x:v>
      </x:c>
      <x:c r="U49" s="252">
        <x:f>'Reporte Componentes R1'!M332</x:f>
        <x:v>0</x:v>
      </x:c>
      <x:c r="V49" s="253">
        <x:f>'Reporte Componentes R1'!N332</x:f>
        <x:v>0</x:v>
      </x:c>
      <x:c r="W49" s="253">
        <x:f>'Reporte Componentes R1'!O332</x:f>
        <x:v>0</x:v>
      </x:c>
      <x:c r="X49" s="253">
        <x:f>'Reporte Componentes R1'!P332</x:f>
        <x:v>0</x:v>
      </x:c>
      <x:c r="Y49" s="254">
        <x:f>'Reporte Componentes R1'!Q332</x:f>
        <x:v>0</x:v>
      </x:c>
      <x:c r="Z49" s="255">
        <x:f>-L49</x:f>
        <x:v>0</x:v>
      </x:c>
      <x:c r="AA49" s="256">
        <x:f>'Reporte Componentes R1'!R332+'Reporte Componentes R1'!V332+'Reporte Componentes R1'!U332</x:f>
        <x:v>0</x:v>
      </x:c>
      <x:c r="AB49" s="230">
        <x:f>N49</x:f>
        <x:v>0</x:v>
      </x:c>
      <x:c r="AC49" s="256">
        <x:f>'Reporte Componentes R1'!T332+'Reporte Componentes R1'!W332+'Reporte Componentes R1'!X332+'Reporte Componentes R1'!Y332+'Reporte Componentes R1'!Z332+'Reporte Componentes R1'!S332</x:f>
        <x:v>0</x:v>
      </x:c>
      <x:c r="AD49" s="227">
        <x:f t="shared" si="18"/>
        <x:v>0</x:v>
      </x:c>
      <x:c r="AE49" s="227">
        <x:f>'Reporte Componentes R1'!F333</x:f>
        <x:v>0</x:v>
      </x:c>
      <x:c r="AF49" s="258">
        <x:f t="shared" ref="AF49:AF51" si="19">SUM(U49:AD49)</x:f>
        <x:v>0</x:v>
      </x:c>
      <x:c r="AG49" s="440">
        <x:f t="shared" ref="AG49:AG51" si="20">(AF49-O49)</x:f>
        <x:v>0</x:v>
      </x:c>
      <x:c r="AH49" s="1" t="b">
        <x:f t="shared" si="15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R1'!F463</x:f>
        <x:v>0</x:v>
      </x:c>
      <x:c r="E50" s="228">
        <x:f>'Reporte Componentes R1'!G463</x:f>
        <x:v>0</x:v>
      </x:c>
      <x:c r="F50" s="228">
        <x:f>'Reporte Componentes R1'!H463</x:f>
        <x:v>0</x:v>
      </x:c>
      <x:c r="G50" s="228">
        <x:f>'Reporte Componentes R1'!I463</x:f>
        <x:v>0</x:v>
      </x:c>
      <x:c r="H50" s="228">
        <x:f>'Reporte Componentes R1'!J463</x:f>
        <x:v>0</x:v>
      </x:c>
      <x:c r="I50" s="228">
        <x:f>'Reporte Componentes R1'!K463</x:f>
        <x:v>0</x:v>
      </x:c>
      <x:c r="J50" s="224">
        <x:v>0</x:v>
      </x:c>
      <x:c r="K50" s="231">
        <x:f t="shared" si="16"/>
        <x:v>0</x:v>
      </x:c>
      <x:c r="L50" s="230">
        <x:v>0</x:v>
      </x:c>
      <x:c r="M50" s="231">
        <x:f>K50-L50</x:f>
        <x:v>0</x:v>
      </x:c>
      <x:c r="N50" s="230">
        <x:f>'Reporte Componentes R1'!L463</x:f>
        <x:v>0</x:v>
      </x:c>
      <x:c r="O50" s="231">
        <x:f t="shared" si="17"/>
        <x:v>0</x:v>
      </x:c>
      <x:c r="Q50" s="242"/>
      <x:c r="S50" s="250">
        <x:v>4</x:v>
      </x:c>
      <x:c r="T50" s="251" t="s">
        <x:v>13</x:v>
      </x:c>
      <x:c r="U50" s="252">
        <x:f>'Reporte Componentes R1'!M463</x:f>
        <x:v>0</x:v>
      </x:c>
      <x:c r="V50" s="253">
        <x:f>'Reporte Componentes R1'!N463</x:f>
        <x:v>0</x:v>
      </x:c>
      <x:c r="W50" s="253">
        <x:f>'Reporte Componentes R1'!O463</x:f>
        <x:v>0</x:v>
      </x:c>
      <x:c r="X50" s="253">
        <x:f>'Reporte Componentes R1'!P463</x:f>
        <x:v>0</x:v>
      </x:c>
      <x:c r="Y50" s="254">
        <x:f>'Reporte Componentes R1'!Q463</x:f>
        <x:v>0</x:v>
      </x:c>
      <x:c r="Z50" s="255">
        <x:f>-L50</x:f>
        <x:v>0</x:v>
      </x:c>
      <x:c r="AA50" s="256">
        <x:f>'Reporte Componentes R1'!R463+'Reporte Componentes R1'!V463+'Reporte Componentes R1'!U463</x:f>
        <x:v>0</x:v>
      </x:c>
      <x:c r="AB50" s="230">
        <x:f>N50</x:f>
        <x:v>0</x:v>
      </x:c>
      <x:c r="AC50" s="256">
        <x:f>'Reporte Componentes R1'!T463+'Reporte Componentes R1'!W463+'Reporte Componentes R1'!X463+'Reporte Componentes R1'!Y463+'Reporte Componentes R1'!Z463+'Reporte Componentes R1'!S463</x:f>
        <x:v>0</x:v>
      </x:c>
      <x:c r="AD50" s="227">
        <x:f t="shared" si="18"/>
        <x:v>0</x:v>
      </x:c>
      <x:c r="AE50" s="227">
        <x:f>'Reporte Componentes R1'!F464</x:f>
        <x:v>0</x:v>
      </x:c>
      <x:c r="AF50" s="258">
        <x:f t="shared" si="19"/>
        <x:v>0</x:v>
      </x:c>
      <x:c r="AG50" s="440">
        <x:f t="shared" si="20"/>
        <x:v>0</x:v>
      </x:c>
      <x:c r="AH50" s="1" t="b">
        <x:f t="shared" si="15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R1'!F561</x:f>
        <x:v>0</x:v>
      </x:c>
      <x:c r="E51" s="233">
        <x:f>'Reporte Componentes R1'!G561</x:f>
        <x:v>0</x:v>
      </x:c>
      <x:c r="F51" s="233">
        <x:f>'Reporte Componentes R1'!H561</x:f>
        <x:v>0</x:v>
      </x:c>
      <x:c r="G51" s="233">
        <x:f>'Reporte Componentes R1'!I561</x:f>
        <x:v>0</x:v>
      </x:c>
      <x:c r="H51" s="233">
        <x:f>'Reporte Componentes R1'!J561</x:f>
        <x:v>0</x:v>
      </x:c>
      <x:c r="I51" s="233">
        <x:f>'Reporte Componentes R1'!K561</x:f>
        <x:v>0</x:v>
      </x:c>
      <x:c r="J51" s="225">
        <x:v>0</x:v>
      </x:c>
      <x:c r="K51" s="231">
        <x:f t="shared" si="16"/>
        <x:v>0</x:v>
      </x:c>
      <x:c r="L51" s="230">
        <x:v>0</x:v>
      </x:c>
      <x:c r="M51" s="234">
        <x:f>K51-L51</x:f>
        <x:v>0</x:v>
      </x:c>
      <x:c r="N51" s="235">
        <x:f>'Reporte Componentes R1'!L561</x:f>
        <x:v>0</x:v>
      </x:c>
      <x:c r="O51" s="234">
        <x:f t="shared" si="17"/>
        <x:v>0</x:v>
      </x:c>
      <x:c r="Q51" s="242"/>
      <x:c r="S51" s="260">
        <x:v>5</x:v>
      </x:c>
      <x:c r="T51" s="261" t="s">
        <x:v>14</x:v>
      </x:c>
      <x:c r="U51" s="232">
        <x:f>'Reporte Componentes R1'!M561</x:f>
        <x:v>0</x:v>
      </x:c>
      <x:c r="V51" s="233">
        <x:f>'Reporte Componentes R1'!N561</x:f>
        <x:v>0</x:v>
      </x:c>
      <x:c r="W51" s="233">
        <x:f>'Reporte Componentes R1'!O561</x:f>
        <x:v>0</x:v>
      </x:c>
      <x:c r="X51" s="233">
        <x:f>'Reporte Componentes R1'!P561</x:f>
        <x:v>0</x:v>
      </x:c>
      <x:c r="Y51" s="225">
        <x:f>'Reporte Componentes R1'!Q561</x:f>
        <x:v>0</x:v>
      </x:c>
      <x:c r="Z51" s="255">
        <x:f>-L51</x:f>
        <x:v>0</x:v>
      </x:c>
      <x:c r="AA51" s="256">
        <x:f>'Reporte Componentes R1'!R561+'Reporte Componentes R1'!V561+'Reporte Componentes R1'!U561</x:f>
        <x:v>0</x:v>
      </x:c>
      <x:c r="AB51" s="230">
        <x:f>N51</x:f>
        <x:v>0</x:v>
      </x:c>
      <x:c r="AC51" s="256">
        <x:f>'Reporte Componentes R1'!T561+'Reporte Componentes R1'!W561+'Reporte Componentes R1'!X561+'Reporte Componentes R1'!Y561+'Reporte Componentes R1'!Z561+'Reporte Componentes R1'!S561</x:f>
        <x:v>0</x:v>
      </x:c>
      <x:c r="AD51" s="227">
        <x:f t="shared" si="18"/>
        <x:v>0</x:v>
      </x:c>
      <x:c r="AE51" s="227">
        <x:f>'Reporte Componentes R1'!F562</x:f>
        <x:v>0</x:v>
      </x:c>
      <x:c r="AF51" s="258">
        <x:f t="shared" si="19"/>
        <x:v>0</x:v>
      </x:c>
      <x:c r="AG51" s="441">
        <x:f t="shared" si="20"/>
        <x:v>0</x:v>
      </x:c>
      <x:c r="AH51" s="1" t="b">
        <x:f t="shared" si="15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442">
        <x:f t="shared" si="23"/>
        <x:v>0</x:v>
      </x:c>
      <x:c r="AH52" s="1" t="b">
        <x:f t="shared" si="15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09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R4'!D76</x:f>
        <x:v>0</x:v>
      </x:c>
      <x:c r="E66" s="228">
        <x:f>'Reversion Pagos R4'!E76</x:f>
        <x:v>0</x:v>
      </x:c>
      <x:c r="F66" s="228">
        <x:f>'Reversion Pagos R4'!F76</x:f>
        <x:v>0</x:v>
      </x:c>
      <x:c r="G66" s="228">
        <x:f>'Reversion Pagos R4'!G76</x:f>
        <x:v>0</x:v>
      </x:c>
      <x:c r="H66" s="228">
        <x:f>'Reversion Pagos R4'!H76</x:f>
        <x:v>0</x:v>
      </x:c>
      <x:c r="I66" s="228">
        <x:f>'Reversion Pagos R4'!I76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R4'!P76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R4'!J76</x:f>
        <x:v>0</x:v>
      </x:c>
      <x:c r="V66" s="244">
        <x:f>'Reversion Pagos R4'!K76</x:f>
        <x:v>0</x:v>
      </x:c>
      <x:c r="W66" s="244">
        <x:f>'Reversion Pagos R4'!L76</x:f>
        <x:v>0</x:v>
      </x:c>
      <x:c r="X66" s="244">
        <x:f>'Reversion Pagos R4'!M76</x:f>
        <x:v>0</x:v>
      </x:c>
      <x:c r="Y66" s="245">
        <x:f>'Reversion Pagos R4'!N76</x:f>
        <x:v>0</x:v>
      </x:c>
      <x:c r="Z66" s="246">
        <x:f>-L66</x:f>
        <x:v>0</x:v>
      </x:c>
      <x:c r="AA66" s="256">
        <x:f>'Reversion Pagos R4'!O76</x:f>
        <x:v>0</x:v>
      </x:c>
      <x:c r="AB66" s="230">
        <x:f>N66</x:f>
        <x:v>0</x:v>
      </x:c>
      <x:c r="AC66" s="256">
        <x:f>+'Reversion Pagos R4'!Q76+'Reversion Pagos R4'!R76</x:f>
        <x:v>0</x:v>
      </x:c>
      <x:c r="AD66" s="227">
        <x:f>-J66+AE66</x:f>
        <x:v>0</x:v>
      </x:c>
      <x:c r="AE66" s="227">
        <x:f>'Reversion Pagos R4'!D77</x:f>
        <x:v>0</x:v>
      </x:c>
      <x:c r="AF66" s="249">
        <x:f>SUM(U66:AD66)</x:f>
        <x:v>0</x:v>
      </x:c>
      <x:c r="AG66" s="439">
        <x:f>(AF66-O66)</x:f>
        <x:v>0</x:v>
      </x:c>
      <x:c r="AH66" s="1" t="b">
        <x:f t="shared" ref="AH66:AH71" si="24"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R4'!D171</x:f>
        <x:v>0</x:v>
      </x:c>
      <x:c r="E67" s="228">
        <x:f>'Reversion Pagos R4'!E171</x:f>
        <x:v>0</x:v>
      </x:c>
      <x:c r="F67" s="228">
        <x:f>'Reversion Pagos R4'!F171</x:f>
        <x:v>0</x:v>
      </x:c>
      <x:c r="G67" s="228">
        <x:f>'Reversion Pagos R4'!G171</x:f>
        <x:v>0</x:v>
      </x:c>
      <x:c r="H67" s="228">
        <x:f>'Reversion Pagos R4'!H171</x:f>
        <x:v>0</x:v>
      </x:c>
      <x:c r="I67" s="228">
        <x:f>'Reversion Pagos R4'!I171</x:f>
        <x:v>0</x:v>
      </x:c>
      <x:c r="J67" s="224">
        <x:v>0</x:v>
      </x:c>
      <x:c r="K67" s="231">
        <x:f t="shared" ref="K67:K70" si="25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R4'!P171</x:f>
        <x:v>0</x:v>
      </x:c>
      <x:c r="O67" s="231">
        <x:f t="shared" ref="O67:O70" si="26">M67+N67</x:f>
        <x:v>0</x:v>
      </x:c>
      <x:c r="Q67" s="242"/>
      <x:c r="S67" s="250">
        <x:v>2</x:v>
      </x:c>
      <x:c r="T67" s="251" t="s">
        <x:v>11</x:v>
      </x:c>
      <x:c r="U67" s="252">
        <x:f>'Reversion Pagos R4'!J171</x:f>
        <x:v>0</x:v>
      </x:c>
      <x:c r="V67" s="253">
        <x:f>'Reversion Pagos R4'!K171</x:f>
        <x:v>0</x:v>
      </x:c>
      <x:c r="W67" s="253">
        <x:f>'Reversion Pagos R4'!L171</x:f>
        <x:v>0</x:v>
      </x:c>
      <x:c r="X67" s="253">
        <x:f>'Reversion Pagos R4'!M171</x:f>
        <x:v>0</x:v>
      </x:c>
      <x:c r="Y67" s="254">
        <x:f>'Reversion Pagos R4'!N171</x:f>
        <x:v>0</x:v>
      </x:c>
      <x:c r="Z67" s="255">
        <x:f t="shared" ref="Z67:Z70" si="27">-L67</x:f>
        <x:v>0</x:v>
      </x:c>
      <x:c r="AA67" s="256">
        <x:f>'Reversion Pagos R4'!O171</x:f>
        <x:v>0</x:v>
      </x:c>
      <x:c r="AB67" s="230">
        <x:f t="shared" ref="AB67:AB70" si="28">N67</x:f>
        <x:v>0</x:v>
      </x:c>
      <x:c r="AC67" s="256">
        <x:f>+'Reversion Pagos R4'!Q171+'Reversion Pagos R4'!R171</x:f>
        <x:v>0</x:v>
      </x:c>
      <x:c r="AD67" s="227">
        <x:f t="shared" ref="AD67:AD70" si="29">-J67+AE67</x:f>
        <x:v>0</x:v>
      </x:c>
      <x:c r="AE67" s="227">
        <x:f>'Reversion Pagos R4'!D172</x:f>
        <x:v>0</x:v>
      </x:c>
      <x:c r="AF67" s="258">
        <x:f>SUM(U67:AD67)</x:f>
        <x:v>0</x:v>
      </x:c>
      <x:c r="AG67" s="440">
        <x:f>(AF67-O67)</x:f>
        <x:v>0</x:v>
      </x:c>
      <x:c r="AH67" s="1" t="b">
        <x:f t="shared" si="24"/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R4'!D208</x:f>
        <x:v>0</x:v>
      </x:c>
      <x:c r="E68" s="228">
        <x:f>'Reversion Pagos R4'!E208</x:f>
        <x:v>0</x:v>
      </x:c>
      <x:c r="F68" s="228">
        <x:f>'Reversion Pagos R4'!F208</x:f>
        <x:v>0</x:v>
      </x:c>
      <x:c r="G68" s="228">
        <x:f>'Reversion Pagos R4'!G208</x:f>
        <x:v>0</x:v>
      </x:c>
      <x:c r="H68" s="228">
        <x:f>'Reversion Pagos R4'!H208</x:f>
        <x:v>0</x:v>
      </x:c>
      <x:c r="I68" s="228">
        <x:f>'Reversion Pagos R4'!I208</x:f>
        <x:v>0</x:v>
      </x:c>
      <x:c r="J68" s="224">
        <x:v>0</x:v>
      </x:c>
      <x:c r="K68" s="231">
        <x:f t="shared" si="25"/>
        <x:v>0</x:v>
      </x:c>
      <x:c r="L68" s="230">
        <x:v>0</x:v>
      </x:c>
      <x:c r="M68" s="231">
        <x:f>K68-L68</x:f>
        <x:v>0</x:v>
      </x:c>
      <x:c r="N68" s="230">
        <x:f>'Reversion Pagos R4'!P208</x:f>
        <x:v>0</x:v>
      </x:c>
      <x:c r="O68" s="231">
        <x:f t="shared" si="26"/>
        <x:v>0</x:v>
      </x:c>
      <x:c r="Q68" s="242"/>
      <x:c r="S68" s="250">
        <x:v>3</x:v>
      </x:c>
      <x:c r="T68" s="251" t="s">
        <x:v>12</x:v>
      </x:c>
      <x:c r="U68" s="252">
        <x:f>'Reversion Pagos R4'!J208</x:f>
        <x:v>0</x:v>
      </x:c>
      <x:c r="V68" s="253">
        <x:f>'Reversion Pagos R4'!K208</x:f>
        <x:v>0</x:v>
      </x:c>
      <x:c r="W68" s="253">
        <x:f>'Reversion Pagos R4'!L208</x:f>
        <x:v>0</x:v>
      </x:c>
      <x:c r="X68" s="253">
        <x:f>'Reversion Pagos R4'!M208</x:f>
        <x:v>0</x:v>
      </x:c>
      <x:c r="Y68" s="254">
        <x:f>'Reversion Pagos R4'!N208</x:f>
        <x:v>0</x:v>
      </x:c>
      <x:c r="Z68" s="255">
        <x:f t="shared" si="27"/>
        <x:v>0</x:v>
      </x:c>
      <x:c r="AA68" s="256">
        <x:f>'Reversion Pagos R4'!O208</x:f>
        <x:v>0</x:v>
      </x:c>
      <x:c r="AB68" s="230">
        <x:f t="shared" si="28"/>
        <x:v>0</x:v>
      </x:c>
      <x:c r="AC68" s="256">
        <x:f>+'Reversion Pagos R4'!Q208+'Reversion Pagos R4'!R208</x:f>
        <x:v>0</x:v>
      </x:c>
      <x:c r="AD68" s="227">
        <x:f t="shared" si="29"/>
        <x:v>0</x:v>
      </x:c>
      <x:c r="AE68" s="227">
        <x:f>'Reversion Pagos R4'!D209</x:f>
        <x:v>0</x:v>
      </x:c>
      <x:c r="AF68" s="258">
        <x:f t="shared" ref="AF68:AF70" si="30">SUM(U68:AD68)</x:f>
        <x:v>0</x:v>
      </x:c>
      <x:c r="AG68" s="440">
        <x:f t="shared" ref="AG68:AG70" si="31">(AF68-O68)</x:f>
        <x:v>0</x:v>
      </x:c>
      <x:c r="AH68" s="1" t="b">
        <x:f t="shared" si="24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R4'!D323</x:f>
        <x:v>0</x:v>
      </x:c>
      <x:c r="E69" s="228">
        <x:f>'Reversion Pagos R4'!E323</x:f>
        <x:v>0</x:v>
      </x:c>
      <x:c r="F69" s="228">
        <x:f>'Reversion Pagos R4'!F323</x:f>
        <x:v>0</x:v>
      </x:c>
      <x:c r="G69" s="228">
        <x:f>'Reversion Pagos R4'!G323</x:f>
        <x:v>0</x:v>
      </x:c>
      <x:c r="H69" s="228">
        <x:f>'Reversion Pagos R4'!H323</x:f>
        <x:v>0</x:v>
      </x:c>
      <x:c r="I69" s="228">
        <x:f>'Reversion Pagos R4'!I323</x:f>
        <x:v>0</x:v>
      </x:c>
      <x:c r="J69" s="224">
        <x:v>0</x:v>
      </x:c>
      <x:c r="K69" s="231">
        <x:f t="shared" si="25"/>
        <x:v>0</x:v>
      </x:c>
      <x:c r="L69" s="230">
        <x:v>0</x:v>
      </x:c>
      <x:c r="M69" s="231">
        <x:f>K69-L69</x:f>
        <x:v>0</x:v>
      </x:c>
      <x:c r="N69" s="230">
        <x:f>'Reversion Pagos R4'!P323</x:f>
        <x:v>0</x:v>
      </x:c>
      <x:c r="O69" s="231">
        <x:f t="shared" si="26"/>
        <x:v>0</x:v>
      </x:c>
      <x:c r="Q69" s="242"/>
      <x:c r="S69" s="250">
        <x:v>4</x:v>
      </x:c>
      <x:c r="T69" s="251" t="s">
        <x:v>13</x:v>
      </x:c>
      <x:c r="U69" s="252">
        <x:f>'Reversion Pagos R4'!J323</x:f>
        <x:v>0</x:v>
      </x:c>
      <x:c r="V69" s="253">
        <x:f>'Reversion Pagos R4'!K323</x:f>
        <x:v>0</x:v>
      </x:c>
      <x:c r="W69" s="253">
        <x:f>'Reversion Pagos R4'!L323</x:f>
        <x:v>0</x:v>
      </x:c>
      <x:c r="X69" s="253">
        <x:f>'Reversion Pagos R4'!M323</x:f>
        <x:v>0</x:v>
      </x:c>
      <x:c r="Y69" s="254">
        <x:f>'Reversion Pagos R4'!N323</x:f>
        <x:v>0</x:v>
      </x:c>
      <x:c r="Z69" s="255">
        <x:f t="shared" si="27"/>
        <x:v>0</x:v>
      </x:c>
      <x:c r="AA69" s="256">
        <x:f>'Reversion Pagos R4'!O323</x:f>
        <x:v>0</x:v>
      </x:c>
      <x:c r="AB69" s="230">
        <x:f t="shared" si="28"/>
        <x:v>0</x:v>
      </x:c>
      <x:c r="AC69" s="256">
        <x:f>+'Reversion Pagos R4'!Q323+'Reversion Pagos R4'!R323</x:f>
        <x:v>0</x:v>
      </x:c>
      <x:c r="AD69" s="227">
        <x:f t="shared" si="29"/>
        <x:v>0</x:v>
      </x:c>
      <x:c r="AE69" s="227">
        <x:f>'Reversion Pagos R4'!D324</x:f>
        <x:v>0</x:v>
      </x:c>
      <x:c r="AF69" s="258">
        <x:f>SUM(U69:AD69)</x:f>
        <x:v>0</x:v>
      </x:c>
      <x:c r="AG69" s="440">
        <x:f>(AF69-O69)</x:f>
        <x:v>0</x:v>
      </x:c>
      <x:c r="AH69" s="1" t="b">
        <x:f t="shared" si="24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R4'!D358</x:f>
        <x:v>0</x:v>
      </x:c>
      <x:c r="E70" s="233">
        <x:f>'Reversion Pagos R4'!E358</x:f>
        <x:v>0</x:v>
      </x:c>
      <x:c r="F70" s="233">
        <x:f>'Reversion Pagos R4'!F358</x:f>
        <x:v>0</x:v>
      </x:c>
      <x:c r="G70" s="233">
        <x:f>'Reversion Pagos R4'!G358</x:f>
        <x:v>0</x:v>
      </x:c>
      <x:c r="H70" s="233">
        <x:f>'Reversion Pagos R4'!H358</x:f>
        <x:v>0</x:v>
      </x:c>
      <x:c r="I70" s="233">
        <x:f>'Reversion Pagos R4'!I358</x:f>
        <x:v>0</x:v>
      </x:c>
      <x:c r="J70" s="225">
        <x:v>0</x:v>
      </x:c>
      <x:c r="K70" s="231">
        <x:f t="shared" si="25"/>
        <x:v>0</x:v>
      </x:c>
      <x:c r="L70" s="230">
        <x:v>0</x:v>
      </x:c>
      <x:c r="M70" s="234">
        <x:f>K70-L70</x:f>
        <x:v>0</x:v>
      </x:c>
      <x:c r="N70" s="230">
        <x:f>'Reversion Pagos R4'!P358</x:f>
        <x:v>0</x:v>
      </x:c>
      <x:c r="O70" s="234">
        <x:f t="shared" si="26"/>
        <x:v>0</x:v>
      </x:c>
      <x:c r="Q70" s="242"/>
      <x:c r="S70" s="260">
        <x:v>5</x:v>
      </x:c>
      <x:c r="T70" s="261" t="s">
        <x:v>14</x:v>
      </x:c>
      <x:c r="U70" s="232">
        <x:f>'Reversion Pagos R4'!J358</x:f>
        <x:v>0</x:v>
      </x:c>
      <x:c r="V70" s="233">
        <x:f>'Reversion Pagos R4'!K358</x:f>
        <x:v>0</x:v>
      </x:c>
      <x:c r="W70" s="233">
        <x:f>'Reversion Pagos R4'!L358</x:f>
        <x:v>0</x:v>
      </x:c>
      <x:c r="X70" s="233">
        <x:f>'Reversion Pagos R4'!M358</x:f>
        <x:v>0</x:v>
      </x:c>
      <x:c r="Y70" s="225">
        <x:f>'Reversion Pagos R4'!N358</x:f>
        <x:v>0</x:v>
      </x:c>
      <x:c r="Z70" s="255">
        <x:f t="shared" si="27"/>
        <x:v>0</x:v>
      </x:c>
      <x:c r="AA70" s="256">
        <x:f>'Reversion Pagos R4'!O358</x:f>
        <x:v>0</x:v>
      </x:c>
      <x:c r="AB70" s="230">
        <x:f t="shared" si="28"/>
        <x:v>0</x:v>
      </x:c>
      <x:c r="AC70" s="256">
        <x:f>+'Reversion Pagos R4'!Q358+'Reversion Pagos R4'!R358</x:f>
        <x:v>0</x:v>
      </x:c>
      <x:c r="AD70" s="227">
        <x:f t="shared" si="29"/>
        <x:v>0</x:v>
      </x:c>
      <x:c r="AE70" s="227">
        <x:f>'Reversion Pagos R4'!D359</x:f>
        <x:v>0</x:v>
      </x:c>
      <x:c r="AF70" s="258">
        <x:f t="shared" si="30"/>
        <x:v>0</x:v>
      </x:c>
      <x:c r="AG70" s="441">
        <x:f t="shared" si="31"/>
        <x:v>0</x:v>
      </x:c>
      <x:c r="AH70" s="1" t="b">
        <x:f t="shared" si="24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442">
        <x:f t="shared" si="33"/>
        <x:v>0</x:v>
      </x:c>
      <x:c r="AH71" s="1" t="b">
        <x:f t="shared" si="24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09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f>'AJUSTES - SF-T'!J47</x:f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439">
        <x:f>AF85-O85</x:f>
        <x:v>0</x:v>
      </x:c>
      <x:c r="AH85" s="1" t="b">
        <x:f t="shared" ref="AH85:AH90" si="35"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f>'AJUSTES - SF-T'!D48</x:f>
        <x:v>0</x:v>
      </x:c>
      <x:c r="E86" s="228">
        <x:f>'AJUSTES - SF-T'!E48</x:f>
        <x:v>0</x:v>
      </x:c>
      <x:c r="F86" s="228">
        <x:f>'AJUSTES - SF-T'!F48</x:f>
        <x:v>0</x:v>
      </x:c>
      <x:c r="G86" s="228">
        <x:f>'AJUSTES - SF-T'!G48</x:f>
        <x:v>0</x:v>
      </x:c>
      <x:c r="H86" s="228">
        <x:f>'AJUSTES - SF-T'!H48</x:f>
        <x:v>0</x:v>
      </x:c>
      <x:c r="I86" s="228">
        <x:f>'AJUSTES - SF-T'!I48</x:f>
        <x:v>0</x:v>
      </x:c>
      <x:c r="J86" s="224">
        <x:f>'AJUSTES - SF-T'!J48</x:f>
        <x:v>0</x:v>
      </x:c>
      <x:c r="K86" s="231">
        <x:f t="shared" ref="K86:K89" si="36">D86-E86-F86-G86-H86-I86-J86</x:f>
        <x:v>0</x:v>
      </x:c>
      <x:c r="L86" s="230">
        <x:v>0</x:v>
      </x:c>
      <x:c r="M86" s="231">
        <x:f>K86-L86</x:f>
        <x:v>0</x:v>
      </x:c>
      <x:c r="N86" s="230">
        <x:f>'AJUSTES - SF-T'!N48</x:f>
        <x:v>0</x:v>
      </x:c>
      <x:c r="O86" s="231">
        <x:f t="shared" ref="O86:O89" si="37">M86+N86</x:f>
        <x:v>0</x:v>
      </x:c>
      <x:c r="Q86" s="242"/>
      <x:c r="S86" s="250">
        <x:v>2</x:v>
      </x:c>
      <x:c r="T86" s="251" t="s">
        <x:v>11</x:v>
      </x:c>
      <x:c r="U86" s="252">
        <x:f>'AJUSTES - SF-T'!U48</x:f>
        <x:v>0</x:v>
      </x:c>
      <x:c r="V86" s="253">
        <x:f>'AJUSTES - SF-T'!V48</x:f>
        <x:v>0</x:v>
      </x:c>
      <x:c r="W86" s="253">
        <x:f>'AJUSTES - SF-T'!W48</x:f>
        <x:v>0</x:v>
      </x:c>
      <x:c r="X86" s="253">
        <x:f>'AJUSTES - SF-T'!X48</x:f>
        <x:v>0</x:v>
      </x:c>
      <x:c r="Y86" s="254">
        <x:f>'AJUSTES - SF-T'!Y48</x:f>
        <x:v>0</x:v>
      </x:c>
      <x:c r="Z86" s="255">
        <x:f>-L86</x:f>
        <x:v>0</x:v>
      </x:c>
      <x:c r="AA86" s="256">
        <x:f>'AJUSTES - SF-T'!AA48</x:f>
        <x:v>0</x:v>
      </x:c>
      <x:c r="AB86" s="230">
        <x:f>N86</x:f>
        <x:v>0</x:v>
      </x:c>
      <x:c r="AC86" s="256">
        <x:v>0</x:v>
      </x:c>
      <x:c r="AD86" s="227">
        <x:f t="shared" ref="AD86:AD88" si="38">-J86+AE86</x:f>
        <x:v>0</x:v>
      </x:c>
      <x:c r="AE86" s="227">
        <x:f>'AJUSTES - SF-T'!AD48</x:f>
        <x:v>0</x:v>
      </x:c>
      <x:c r="AF86" s="258">
        <x:f>SUM(U86:AD86)</x:f>
        <x:v>0</x:v>
      </x:c>
      <x:c r="AG86" s="440">
        <x:f>AF86-O86</x:f>
        <x:v>0</x:v>
      </x:c>
      <x:c r="AH86" s="1" t="b">
        <x:f t="shared" si="35"/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6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7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6">
        <x:v>0</x:v>
      </x:c>
      <x:c r="AB87" s="230">
        <x:v>0</x:v>
      </x:c>
      <x:c r="AC87" s="256">
        <x:v>0</x:v>
      </x:c>
      <x:c r="AD87" s="227">
        <x:f t="shared" si="38"/>
        <x:v>0</x:v>
      </x:c>
      <x:c r="AE87" s="227">
        <x:v>0</x:v>
      </x:c>
      <x:c r="AF87" s="258">
        <x:f t="shared" ref="AF87:AF89" si="39">SUM(U87:AD87)</x:f>
        <x:v>0</x:v>
      </x:c>
      <x:c r="AG87" s="440">
        <x:f>AF87-O87</x:f>
        <x:v>0</x:v>
      </x:c>
      <x:c r="AH87" s="1" t="b">
        <x:f t="shared" si="35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f>'AJUSTES - SF-T'!D50</x:f>
        <x:v>0</x:v>
      </x:c>
      <x:c r="E88" s="228">
        <x:f>'AJUSTES - SF-T'!E50</x:f>
        <x:v>0</x:v>
      </x:c>
      <x:c r="F88" s="228">
        <x:f>'AJUSTES - SF-T'!F50</x:f>
        <x:v>0</x:v>
      </x:c>
      <x:c r="G88" s="228">
        <x:f>'AJUSTES - SF-T'!G50</x:f>
        <x:v>0</x:v>
      </x:c>
      <x:c r="H88" s="228">
        <x:f>'AJUSTES - SF-T'!H50</x:f>
        <x:v>0</x:v>
      </x:c>
      <x:c r="I88" s="228">
        <x:f>'AJUSTES - SF-T'!I50</x:f>
        <x:v>0</x:v>
      </x:c>
      <x:c r="J88" s="224">
        <x:f>'AJUSTES - SF-T'!J50</x:f>
        <x:v>0</x:v>
      </x:c>
      <x:c r="K88" s="231">
        <x:f t="shared" si="36"/>
        <x:v>0</x:v>
      </x:c>
      <x:c r="L88" s="230">
        <x:v>0</x:v>
      </x:c>
      <x:c r="M88" s="231">
        <x:f>K88-L88</x:f>
        <x:v>0</x:v>
      </x:c>
      <x:c r="N88" s="230">
        <x:f>'AJUSTES - SF-T'!N50</x:f>
        <x:v>0</x:v>
      </x:c>
      <x:c r="O88" s="231">
        <x:f t="shared" si="37"/>
        <x:v>0</x:v>
      </x:c>
      <x:c r="Q88" s="242"/>
      <x:c r="S88" s="250">
        <x:v>4</x:v>
      </x:c>
      <x:c r="T88" s="251" t="s">
        <x:v>13</x:v>
      </x:c>
      <x:c r="U88" s="252">
        <x:f>'AJUSTES - SF-T'!U50</x:f>
        <x:v>0</x:v>
      </x:c>
      <x:c r="V88" s="253">
        <x:f>'AJUSTES - SF-T'!V50</x:f>
        <x:v>0</x:v>
      </x:c>
      <x:c r="W88" s="253">
        <x:f>'AJUSTES - SF-T'!W50</x:f>
        <x:v>0</x:v>
      </x:c>
      <x:c r="X88" s="253">
        <x:f>'AJUSTES - SF-T'!X50</x:f>
        <x:v>0</x:v>
      </x:c>
      <x:c r="Y88" s="254">
        <x:f>'AJUSTES - SF-T'!Y50</x:f>
        <x:v>0</x:v>
      </x:c>
      <x:c r="Z88" s="255">
        <x:f>-L88</x:f>
        <x:v>0</x:v>
      </x:c>
      <x:c r="AA88" s="256">
        <x:f>'AJUSTES - SF-T'!AA50</x:f>
        <x:v>0</x:v>
      </x:c>
      <x:c r="AB88" s="230">
        <x:f>N88</x:f>
        <x:v>0</x:v>
      </x:c>
      <x:c r="AC88" s="256">
        <x:v>0</x:v>
      </x:c>
      <x:c r="AD88" s="227">
        <x:f t="shared" si="38"/>
        <x:v>0</x:v>
      </x:c>
      <x:c r="AE88" s="227">
        <x:f>'AJUSTES - SF-T'!AD50</x:f>
        <x:v>0</x:v>
      </x:c>
      <x:c r="AF88" s="258">
        <x:f t="shared" si="39"/>
        <x:v>0</x:v>
      </x:c>
      <x:c r="AG88" s="440">
        <x:f>AF88-O88</x:f>
        <x:v>0</x:v>
      </x:c>
      <x:c r="AH88" s="1" t="b">
        <x:f t="shared" si="35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6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7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6">
        <x:v>0</x:v>
      </x:c>
      <x:c r="AB89" s="230">
        <x:v>0</x:v>
      </x:c>
      <x:c r="AC89" s="256">
        <x:v>0</x:v>
      </x:c>
      <x:c r="AD89" s="227">
        <x:v>0</x:v>
      </x:c>
      <x:c r="AE89" s="227">
        <x:v>0</x:v>
      </x:c>
      <x:c r="AF89" s="258">
        <x:f t="shared" si="39"/>
        <x:v>0</x:v>
      </x:c>
      <x:c r="AG89" s="441">
        <x:f>AF89-O89</x:f>
        <x:v>0</x:v>
      </x:c>
      <x:c r="AH89" s="1" t="b">
        <x:f t="shared" si="35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266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442">
        <x:f t="shared" si="41"/>
        <x:v>0</x:v>
      </x:c>
      <x:c r="AH90" s="1" t="b">
        <x:f t="shared" si="35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214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09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4">
        <x:f t="shared" si="43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0</x:v>
      </x:c>
      <x:c r="AA104" s="247">
        <x:f t="shared" si="44"/>
        <x:v>0</x:v>
      </x:c>
      <x:c r="AB104" s="230">
        <x:f t="shared" si="44"/>
        <x:v>0</x:v>
      </x:c>
      <x:c r="AC104" s="247">
        <x:f t="shared" si="44"/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439">
        <x:f>AF104-O104</x:f>
        <x:v>0</x:v>
      </x:c>
      <x:c r="AH104" s="1" t="b">
        <x:f t="shared" ref="AH104:AH109" si="45"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4">
        <x:f t="shared" si="43"/>
        <x:v>0</x:v>
      </x:c>
      <x:c r="K105" s="231">
        <x:f t="shared" ref="K105:K108" si="46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7">M105+N105</x:f>
        <x:v>0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0</x:v>
      </x:c>
      <x:c r="AA105" s="256">
        <x:f t="shared" si="44"/>
        <x:v>0</x:v>
      </x:c>
      <x:c r="AB105" s="230">
        <x:f t="shared" si="44"/>
        <x:v>0</x:v>
      </x:c>
      <x:c r="AC105" s="256">
        <x:f t="shared" si="44"/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440">
        <x:f>AF105-O105</x:f>
        <x:v>0</x:v>
      </x:c>
      <x:c r="AH105" s="1" t="b">
        <x:f t="shared" si="45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4">
        <x:f t="shared" si="43"/>
        <x:v>0</x:v>
      </x:c>
      <x:c r="K106" s="231">
        <x:f t="shared" si="46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7"/>
        <x:v>0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0</x:v>
      </x:c>
      <x:c r="AA106" s="256">
        <x:f t="shared" si="44"/>
        <x:v>0</x:v>
      </x:c>
      <x:c r="AB106" s="230">
        <x:f t="shared" si="44"/>
        <x:v>0</x:v>
      </x:c>
      <x:c r="AC106" s="256">
        <x:f t="shared" si="44"/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440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4">
        <x:f t="shared" si="43"/>
        <x:v>0</x:v>
      </x:c>
      <x:c r="K107" s="231">
        <x:f t="shared" si="46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7"/>
        <x:v>0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0</x:v>
      </x:c>
      <x:c r="AA107" s="256">
        <x:f t="shared" si="44"/>
        <x:v>0</x:v>
      </x:c>
      <x:c r="AB107" s="230">
        <x:f t="shared" si="44"/>
        <x:v>0</x:v>
      </x:c>
      <x:c r="AC107" s="256">
        <x:f t="shared" si="44"/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440">
        <x:f>AF107-O107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25">
        <x:f t="shared" si="43"/>
        <x:v>0</x:v>
      </x:c>
      <x:c r="K108" s="231">
        <x:f t="shared" si="46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7"/>
        <x:v>0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0</x:v>
      </x:c>
      <x:c r="AA108" s="256">
        <x:f t="shared" si="44"/>
        <x:v>0</x:v>
      </x:c>
      <x:c r="AB108" s="230">
        <x:f t="shared" si="44"/>
        <x:v>0</x:v>
      </x:c>
      <x:c r="AC108" s="256">
        <x:f t="shared" si="44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441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9">SUM(D104:D108)</x:f>
        <x:v>0</x:v>
      </x:c>
      <x:c r="E109" s="226">
        <x:f t="shared" si="49"/>
        <x:v>0</x:v>
      </x:c>
      <x:c r="F109" s="226">
        <x:f t="shared" si="49"/>
        <x:v>0</x:v>
      </x:c>
      <x:c r="G109" s="226">
        <x:f t="shared" si="49"/>
        <x:v>0</x:v>
      </x:c>
      <x:c r="H109" s="226">
        <x:f t="shared" si="49"/>
        <x:v>0</x:v>
      </x:c>
      <x:c r="I109" s="226">
        <x:f t="shared" si="49"/>
        <x:v>0</x:v>
      </x:c>
      <x:c r="J109" s="226">
        <x:f t="shared" si="49"/>
        <x:v>0</x:v>
      </x:c>
      <x:c r="K109" s="236">
        <x:f t="shared" si="49"/>
        <x:v>0</x:v>
      </x:c>
      <x:c r="L109" s="237">
        <x:f t="shared" si="49"/>
        <x:v>0</x:v>
      </x:c>
      <x:c r="M109" s="238">
        <x:f t="shared" si="49"/>
        <x:v>0</x:v>
      </x:c>
      <x:c r="N109" s="237">
        <x:f t="shared" si="49"/>
        <x:v>0</x:v>
      </x:c>
      <x:c r="O109" s="238">
        <x:f t="shared" si="49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0">SUM(V104:V108)</x:f>
        <x:v>0</x:v>
      </x:c>
      <x:c r="W109" s="266">
        <x:f t="shared" si="50"/>
        <x:v>0</x:v>
      </x:c>
      <x:c r="X109" s="266">
        <x:f t="shared" si="50"/>
        <x:v>0</x:v>
      </x:c>
      <x:c r="Y109" s="266">
        <x:f t="shared" si="50"/>
        <x:v>0</x:v>
      </x:c>
      <x:c r="Z109" s="226">
        <x:f t="shared" si="50"/>
        <x:v>0</x:v>
      </x:c>
      <x:c r="AA109" s="226">
        <x:f t="shared" si="50"/>
        <x:v>0</x:v>
      </x:c>
      <x:c r="AB109" s="226">
        <x:f t="shared" si="50"/>
        <x:v>0</x:v>
      </x:c>
      <x:c r="AC109" s="226">
        <x:f t="shared" si="50"/>
        <x:v>0</x:v>
      </x:c>
      <x:c r="AD109" s="226">
        <x:f t="shared" si="50"/>
        <x:v>0</x:v>
      </x:c>
      <x:c r="AE109" s="226">
        <x:f>SUM(AE104:AE108)</x:f>
        <x:v>0</x:v>
      </x:c>
      <x:c r="AF109" s="267">
        <x:f t="shared" si="50"/>
        <x:v>0</x:v>
      </x:c>
      <x:c r="AG109" s="442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06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USUARIOS'!F3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USUARIOS'!F12</x:f>
        <x:v>0</x:v>
      </x:c>
      <x:c r="L125" s="245">
        <x:f>-'ANTICIPOS USUARIOS'!F21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1">D67+N67</x:f>
        <x:v>0</x:v>
      </x:c>
      <x:c r="K126" s="224">
        <x:f>'ANTICIPOS USUARIOS'!F13</x:f>
        <x:v>0</x:v>
      </x:c>
      <x:c r="L126" s="224">
        <x:f>-'ANTICIPOS USUARIOS'!F22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1"/>
        <x:v>0</x:v>
      </x:c>
      <x:c r="K127" s="224">
        <x:f>'ANTICIPOS USUARIOS'!F14</x:f>
        <x:v>0</x:v>
      </x:c>
      <x:c r="L127" s="224">
        <x:f>-'ANTICIPOS USUARIOS'!F23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1"/>
        <x:v>0</x:v>
      </x:c>
      <x:c r="K128" s="224">
        <x:f>'ANTICIPOS USUARIOS'!F15</x:f>
        <x:v>0</x:v>
      </x:c>
      <x:c r="L128" s="224">
        <x:f>-'ANTICIPOS USUARIOS'!F24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USUARIOS'!F7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1"/>
        <x:v>0</x:v>
      </x:c>
      <x:c r="K129" s="224">
        <x:f>'ANTICIPOS USUARIOS'!F16</x:f>
        <x:v>0</x:v>
      </x:c>
      <x:c r="L129" s="224">
        <x:f>-'ANTICIPOS USUARIOS'!F25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2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EAAB Reciprocidad'!F21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v>0</x:v>
      </x:c>
      <x:c r="J142" s="103">
        <x:f t="shared" ref="J142:K146" si="53">G125</x:f>
        <x:v>0</x:v>
      </x:c>
      <x:c r="K142" s="104">
        <x:f t="shared" si="53"/>
        <x:v>0</x:v>
      </x:c>
      <x:c r="L142" s="510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10">
        <x:f>D143-E143-F143-G143-J143-H143-I143</x:f>
        <x:v>0</x:v>
      </x:c>
      <x:c r="M143" s="1" t="b">
        <x:f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10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10">
        <x:f>D145-E145-F145-G145-J145-H145-I145</x:f>
        <x:v>0</x:v>
      </x:c>
      <x:c r="M145" s="1" t="b">
        <x:f t="shared" si="54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EAAB Reciprocidad'!F25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v>0</x:v>
      </x:c>
      <x:c r="J146" s="123">
        <x:f t="shared" si="53"/>
        <x:v>0</x:v>
      </x:c>
      <x:c r="K146" s="125">
        <x:f t="shared" si="53"/>
        <x:v>0</x:v>
      </x:c>
      <x:c r="L146" s="510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10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x14ac:dyDescent="0.2">
      <x:c r="B148" s="2"/>
      <x:c r="H148" s="55"/>
      <x:c r="L148" s="466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L16" sqref="L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Reciprocidad'!F21</x:f>
        <x:v>0</x:v>
      </x:c>
      <x:c r="D3" s="228">
        <x:f>'REMUNERACION Reciprocidad EAAB'!G125</x:f>
        <x:v>0</x:v>
      </x:c>
      <x:c r="E3" s="228">
        <x:f>'REMUNERACION Reciprocidad EAAB'!D28+'REMUNERACION Reciprocidad EAAB'!N28</x:f>
        <x:v>0</x:v>
      </x:c>
      <x:c r="F3" s="228">
        <x:f>'REMUNERACION Reciprocidad EAAB'!I142</x:f>
        <x:v>0</x:v>
      </x:c>
      <x:c r="G3" s="228">
        <x:f>'REMUNERACION Reciprocidad EAAB'!H142</x:f>
        <x:v>0</x:v>
      </x:c>
      <x:c r="H3" s="276">
        <x:f>SUM(C3:G3)</x:f>
        <x:v>0</x:v>
      </x:c>
      <x:c r="I3" s="227">
        <x:f>'REMUNERACION Reciprocidad EAAB'!D104</x:f>
        <x:v>0</x:v>
      </x:c>
      <x:c r="J3" s="228">
        <x:f>'REMUNERACION Reciprocidad EAAB'!N104</x:f>
        <x:v>0</x:v>
      </x:c>
      <x:c r="K3" s="228">
        <x:f>'REMUNERACION Reciprocidad EAAB'!D125</x:f>
        <x:v>0</x:v>
      </x:c>
      <x:c r="L3" s="289">
        <x:f>'REMUNERACION Reciprocidad EAAB'!E125</x:f>
        <x:v>0</x:v>
      </x:c>
      <x:c r="M3" s="228">
        <x:f>-'REMUNERACION Reciprocidad EAAB'!D66-'REMUNERACION Reciprocidad EAAB'!N66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Reciprocidad'!F22</x:f>
        <x:v>0</x:v>
      </x:c>
      <x:c r="D4" s="228">
        <x:f>'REMUNERACION Reciprocidad EAAB'!G126</x:f>
        <x:v>0</x:v>
      </x:c>
      <x:c r="E4" s="228">
        <x:f>'REMUNERACION Reciprocidad EAAB'!D29+'REMUNERACION Reciprocidad EAAB'!N29</x:f>
        <x:v>0</x:v>
      </x:c>
      <x:c r="F4" s="228">
        <x:f>'REMUNERACION Reciprocidad EAAB'!I143</x:f>
        <x:v>0</x:v>
      </x:c>
      <x:c r="G4" s="228">
        <x:f>'REMUNERACION Reciprocidad EAAB'!H143</x:f>
        <x:v>0</x:v>
      </x:c>
      <x:c r="H4" s="276">
        <x:f t="shared" ref="H4:H8" si="1">SUM(C4:G4)</x:f>
        <x:v>0</x:v>
      </x:c>
      <x:c r="I4" s="227">
        <x:f>'REMUNERACION Reciprocidad EAAB'!D105</x:f>
        <x:v>0</x:v>
      </x:c>
      <x:c r="J4" s="228">
        <x:f>'REMUNERACION Reciprocidad EAAB'!N105</x:f>
        <x:v>0</x:v>
      </x:c>
      <x:c r="K4" s="228">
        <x:f>'REMUNERACION Reciprocidad EAAB'!D126</x:f>
        <x:v>0</x:v>
      </x:c>
      <x:c r="L4" s="289">
        <x:f>'REMUNERACION Reciprocidad EAAB'!E126</x:f>
        <x:v>0</x:v>
      </x:c>
      <x:c r="M4" s="228">
        <x:f>-'REMUNERACION Reciprocidad EAAB'!D67-'REMUNERACION Reciprocidad EAAB'!N67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Reciprocidad'!D23</x:f>
        <x:v>0</x:v>
      </x:c>
      <x:c r="D5" s="228">
        <x:f>'REMUNERACION Reciprocidad EAAB'!G127</x:f>
        <x:v>0</x:v>
      </x:c>
      <x:c r="E5" s="228">
        <x:f>'REMUNERACION Reciprocidad EAAB'!D30+'REMUNERACION Reciprocidad EAAB'!N30</x:f>
        <x:v>0</x:v>
      </x:c>
      <x:c r="F5" s="228">
        <x:f>'REMUNERACION Reciprocidad EAAB'!I144</x:f>
        <x:v>0</x:v>
      </x:c>
      <x:c r="G5" s="228">
        <x:f>'REMUNERACION Reciprocidad EAAB'!H144</x:f>
        <x:v>0</x:v>
      </x:c>
      <x:c r="H5" s="276">
        <x:f t="shared" si="1"/>
        <x:v>0</x:v>
      </x:c>
      <x:c r="I5" s="227">
        <x:f>'REMUNERACION Reciprocidad EAAB'!D106</x:f>
        <x:v>0</x:v>
      </x:c>
      <x:c r="J5" s="228">
        <x:f>'REMUNERACION Reciprocidad EAAB'!N106</x:f>
        <x:v>0</x:v>
      </x:c>
      <x:c r="K5" s="228">
        <x:f>'REMUNERACION Reciprocidad EAAB'!D127</x:f>
        <x:v>0</x:v>
      </x:c>
      <x:c r="L5" s="289">
        <x:f>'REMUNERACION Reciprocidad EAAB'!E127</x:f>
        <x:v>0</x:v>
      </x:c>
      <x:c r="M5" s="228">
        <x:f>-'REMUNERACION Reciprocidad EAAB'!D68-'REMUNERACION Reciprocidad EAAB'!N68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Reciprocidad'!F24</x:f>
        <x:v>0</x:v>
      </x:c>
      <x:c r="D6" s="228">
        <x:f>'REMUNERACION Reciprocidad EAAB'!G128</x:f>
        <x:v>0</x:v>
      </x:c>
      <x:c r="E6" s="228">
        <x:f>'REMUNERACION Reciprocidad EAAB'!D31+'REMUNERACION Reciprocidad EAAB'!N31</x:f>
        <x:v>0</x:v>
      </x:c>
      <x:c r="F6" s="228">
        <x:f>'REMUNERACION Reciprocidad EAAB'!I145</x:f>
        <x:v>0</x:v>
      </x:c>
      <x:c r="G6" s="228">
        <x:f>'REMUNERACION Reciprocidad EAAB'!H145</x:f>
        <x:v>0</x:v>
      </x:c>
      <x:c r="H6" s="276">
        <x:f t="shared" si="1"/>
        <x:v>0</x:v>
      </x:c>
      <x:c r="I6" s="227">
        <x:f>'REMUNERACION Reciprocidad EAAB'!D107</x:f>
        <x:v>0</x:v>
      </x:c>
      <x:c r="J6" s="228">
        <x:f>'REMUNERACION Reciprocidad EAAB'!N107</x:f>
        <x:v>0</x:v>
      </x:c>
      <x:c r="K6" s="228">
        <x:f>'REMUNERACION Reciprocidad EAAB'!D128</x:f>
        <x:v>0</x:v>
      </x:c>
      <x:c r="L6" s="289">
        <x:f>'REMUNERACION Reciprocidad EAAB'!E128</x:f>
        <x:v>0</x:v>
      </x:c>
      <x:c r="M6" s="228">
        <x:f>-'REMUNERACION Reciprocidad EAAB'!D69-'REMUNERACION Reciprocidad EAAB'!N69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Reciprocidad'!D25</x:f>
        <x:v>0</x:v>
      </x:c>
      <x:c r="D7" s="228">
        <x:f>'REMUNERACION Reciprocidad EAAB'!G129</x:f>
        <x:v>0</x:v>
      </x:c>
      <x:c r="E7" s="228">
        <x:f>'REMUNERACION Reciprocidad EAAB'!D32+'REMUNERACION Reciprocidad EAAB'!N32</x:f>
        <x:v>0</x:v>
      </x:c>
      <x:c r="F7" s="228">
        <x:f>'REMUNERACION Reciprocidad EAAB'!I146</x:f>
        <x:v>0</x:v>
      </x:c>
      <x:c r="G7" s="228">
        <x:f>'REMUNERACION Reciprocidad EAAB'!H146</x:f>
        <x:v>0</x:v>
      </x:c>
      <x:c r="H7" s="276">
        <x:f t="shared" si="1"/>
        <x:v>0</x:v>
      </x:c>
      <x:c r="I7" s="227">
        <x:f>'REMUNERACION Reciprocidad EAAB'!D108</x:f>
        <x:v>0</x:v>
      </x:c>
      <x:c r="J7" s="228">
        <x:f>'REMUNERACION Reciprocidad EAAB'!N108</x:f>
        <x:v>0</x:v>
      </x:c>
      <x:c r="K7" s="228">
        <x:f>'REMUNERACION Reciprocidad EAAB'!D129</x:f>
        <x:v>0</x:v>
      </x:c>
      <x:c r="L7" s="289">
        <x:f>'REMUNERACION Reciprocidad EAAB'!E129</x:f>
        <x:v>0</x:v>
      </x:c>
      <x:c r="M7" s="228">
        <x:f>-'REMUNERACION Reciprocidad EAAB'!D70-'REMUNERACION Reciprocidad EAAB'!N70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Reciprocidad'!F26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 Reciprocidad EAAB'!E130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Recaudo'!D9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9.710937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 Reciprocidad EAAB'!D101</x:f>
        <x:v>46238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'REMUNERACION Reciprocidad EAAB'!D102</x:f>
        <x:v>0.58333333333333337</x:v>
      </x:c>
      <x:c r="F7" s="2" t="s">
        <x:v>27</x:v>
      </x:c>
      <x:c r="G7" s="9">
        <x:f>'REMUNERACION Reciprocidad EAAB'!G102</x:f>
        <x:v>46219</x:v>
      </x:c>
      <x:c r="J7" s="2" t="s">
        <x:v>28</x:v>
      </x:c>
      <x:c r="K7" s="9">
        <x:f>'REMUNERACION Reciprocidad EAAB'!K102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 Reciprocidad EAAB'!G122</x:f>
        <x:v>46219</x:v>
      </x:c>
      <x:c r="J27" s="2" t="s">
        <x:v>28</x:v>
      </x:c>
      <x:c r="K27" s="9">
        <x:f>'REMUNERACION Reciprocidad EAAB'!K122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06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 Reciprocidad EAAB'!D125</x:f>
        <x:v>0</x:v>
      </x:c>
      <x:c r="E30" s="104">
        <x:f>'REMUNERACION Reciprocidad EAAB'!E125</x:f>
        <x:v>0</x:v>
      </x:c>
      <x:c r="G30" s="272">
        <x:f>'REMUNERACION Reciprocidad EAAB'!G125</x:f>
        <x:v>0</x:v>
      </x:c>
      <x:c r="H30" s="246">
        <x:f>'REMUNERACION Reciprocidad EAAB'!H125</x:f>
        <x:v>0</x:v>
      </x:c>
      <x:c r="I30" s="245">
        <x:f>'REMUNERACION Reciprocidad EAAB'!I125</x:f>
        <x:v>0</x:v>
      </x:c>
      <x:c r="J30" s="245">
        <x:f>'REMUNERACION Reciprocidad EAAB'!J125</x:f>
        <x:v>0</x:v>
      </x:c>
      <x:c r="K30" s="245">
        <x:f>'REMUNERACION Reciprocidad EAAB'!K125</x:f>
        <x:v>0</x:v>
      </x:c>
      <x:c r="L30" s="245">
        <x:f>'REMUNERACION Reciprocidad EAAB'!L125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275">
        <x:f>'REMUNERACION Reciprocidad EAAB'!G126</x:f>
        <x:v>0</x:v>
      </x:c>
      <x:c r="H31" s="276">
        <x:f>'REMUNERACION Reciprocidad EAAB'!H126</x:f>
        <x:v>0</x:v>
      </x:c>
      <x:c r="I31" s="224">
        <x:f>'REMUNERACION Reciprocidad EAAB'!I126</x:f>
        <x:v>0</x:v>
      </x:c>
      <x:c r="J31" s="224">
        <x:f>'REMUNERACION Reciprocidad EAAB'!J126</x:f>
        <x:v>0</x:v>
      </x:c>
      <x:c r="K31" s="224">
        <x:f>'REMUNERACION Reciprocidad EAAB'!K126</x:f>
        <x:v>0</x:v>
      </x:c>
      <x:c r="L31" s="224">
        <x:f>'REMUNERACION Reciprocidad EAAB'!L126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275">
        <x:f>'REMUNERACION Reciprocidad EAAB'!G127</x:f>
        <x:v>0</x:v>
      </x:c>
      <x:c r="H32" s="276">
        <x:f>'REMUNERACION Reciprocidad EAAB'!H127</x:f>
        <x:v>0</x:v>
      </x:c>
      <x:c r="I32" s="224">
        <x:f>'REMUNERACION Reciprocidad EAAB'!I127</x:f>
        <x:v>0</x:v>
      </x:c>
      <x:c r="J32" s="224">
        <x:f>'REMUNERACION Reciprocidad EAAB'!J127</x:f>
        <x:v>0</x:v>
      </x:c>
      <x:c r="K32" s="224">
        <x:f>'REMUNERACION Reciprocidad EAAB'!K127</x:f>
        <x:v>0</x:v>
      </x:c>
      <x:c r="L32" s="224">
        <x:f>'REMUNERACION Reciprocidad EAAB'!L127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275">
        <x:f>'REMUNERACION Reciprocidad EAAB'!G128</x:f>
        <x:v>0</x:v>
      </x:c>
      <x:c r="H33" s="276">
        <x:f>'REMUNERACION Reciprocidad EAAB'!H128</x:f>
        <x:v>0</x:v>
      </x:c>
      <x:c r="I33" s="224">
        <x:f>'REMUNERACION Reciprocidad EAAB'!I128</x:f>
        <x:v>0</x:v>
      </x:c>
      <x:c r="J33" s="224">
        <x:f>'REMUNERACION Reciprocidad EAAB'!J128</x:f>
        <x:v>0</x:v>
      </x:c>
      <x:c r="K33" s="224">
        <x:f>'REMUNERACION Reciprocidad EAAB'!K128</x:f>
        <x:v>0</x:v>
      </x:c>
      <x:c r="L33" s="224">
        <x:f>'REMUNERACION Reciprocidad EAAB'!L128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 Reciprocidad EAAB'!D129</x:f>
        <x:v>0</x:v>
      </x:c>
      <x:c r="E34" s="128">
        <x:f>'REMUNERACION Reciprocidad EAAB'!E129</x:f>
        <x:v>0</x:v>
      </x:c>
      <x:c r="G34" s="275">
        <x:f>'REMUNERACION Reciprocidad EAAB'!G129</x:f>
        <x:v>0</x:v>
      </x:c>
      <x:c r="H34" s="276">
        <x:f>'REMUNERACION Reciprocidad EAAB'!H129</x:f>
        <x:v>0</x:v>
      </x:c>
      <x:c r="I34" s="224">
        <x:f>'REMUNERACION Reciprocidad EAAB'!I129</x:f>
        <x:v>0</x:v>
      </x:c>
      <x:c r="J34" s="224">
        <x:f>'REMUNERACION Reciprocidad EAAB'!J129</x:f>
        <x:v>0</x:v>
      </x:c>
      <x:c r="K34" s="224">
        <x:f>'REMUNERACION Reciprocidad EAAB'!K129</x:f>
        <x:v>0</x:v>
      </x:c>
      <x:c r="L34" s="224">
        <x:f>'REMUNERACION Reciprocidad EAAB'!L129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>SUM(D30:D34)</x:f>
        <x:v>0</x:v>
      </x:c>
      <x:c r="E36" s="100">
        <x:f>'REMUNERACION Reciprocidad EAAB'!E131</x:f>
        <x:v>0</x:v>
      </x:c>
      <x:c r="F36" s="45"/>
      <x:c r="G36" s="286">
        <x:f t="shared" ref="G36:L36" si="5">SUM(G30:G34)</x:f>
        <x:v>0</x:v>
      </x:c>
      <x:c r="H36" s="286">
        <x:f t="shared" si="5"/>
        <x:v>0</x:v>
      </x:c>
      <x:c r="I36" s="286">
        <x:f t="shared" si="5"/>
        <x:v>0</x:v>
      </x:c>
      <x:c r="J36" s="286">
        <x:f t="shared" si="5"/>
        <x:v>0</x:v>
      </x:c>
      <x:c r="K36" s="286">
        <x:f t="shared" si="5"/>
        <x:v>0</x:v>
      </x:c>
      <x:c r="L36" s="286">
        <x:f t="shared" si="5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 Reciprocidad EAAB'!D109</x:f>
        <x:v>1</x:v>
      </x:c>
      <x:c r="E44" s="208" t="b">
        <x:f>E14='REMUNERACION Reciprocidad EAAB'!E109</x:f>
        <x:v>1</x:v>
      </x:c>
      <x:c r="F44" s="208" t="b">
        <x:f>F14='REMUNERACION Reciprocidad EAAB'!F109</x:f>
        <x:v>1</x:v>
      </x:c>
      <x:c r="G44" s="208" t="b">
        <x:f>G14='REMUNERACION Reciprocidad EAAB'!G109</x:f>
        <x:v>1</x:v>
      </x:c>
      <x:c r="H44" s="208" t="b">
        <x:f>H14='REMUNERACION Reciprocidad EAAB'!H109</x:f>
        <x:v>1</x:v>
      </x:c>
      <x:c r="I44" s="208" t="b">
        <x:f>I14='REMUNERACION Reciprocidad EAAB'!I109</x:f>
        <x:v>1</x:v>
      </x:c>
      <x:c r="J44" s="208" t="b">
        <x:f>J14='REMUNERACION Reciprocidad EAAB'!J109</x:f>
        <x:v>1</x:v>
      </x:c>
      <x:c r="K44" s="208" t="b">
        <x:f>K14='REMUNERACION Reciprocidad EAAB'!K109</x:f>
        <x:v>1</x:v>
      </x:c>
      <x:c r="L44" s="208" t="b">
        <x:f>L14='REMUNERACION Reciprocidad EAAB'!L109</x:f>
        <x:v>1</x:v>
      </x:c>
      <x:c r="M44" s="208" t="b">
        <x:f>M14='REMUNERACION Reciprocidad EAAB'!M109</x:f>
        <x:v>1</x:v>
      </x:c>
      <x:c r="N44" s="208" t="b">
        <x:f>N14='REMUNERACION Reciprocidad EAAB'!N109</x:f>
        <x:v>1</x:v>
      </x:c>
      <x:c r="O44" s="208" t="b">
        <x:f>O14='REMUNERACION Reciprocidad EAAB'!O109</x:f>
        <x:v>1</x:v>
      </x:c>
      <x:c r="Q44" s="24"/>
      <x:c r="T44" s="24"/>
    </x:row>
    <x:row r="45" spans="1:20" x14ac:dyDescent="0.2">
      <x:c r="D45" s="208" t="b">
        <x:f>D36='REMUNERACION Reciprocidad EAAB'!D131</x:f>
        <x:v>1</x:v>
      </x:c>
      <x:c r="E45" s="208" t="b">
        <x:f>E36='REMUNERACION Reciprocidad EAAB'!E131</x:f>
        <x:v>1</x:v>
      </x:c>
      <x:c r="F45" s="208" t="b">
        <x:f>F36='REMUNERACION Reciprocidad EAAB'!F131</x:f>
        <x:v>1</x:v>
      </x:c>
      <x:c r="G45" s="208" t="b">
        <x:f>G36='REMUNERACION Reciprocidad EAAB'!G131</x:f>
        <x:v>1</x:v>
      </x:c>
      <x:c r="H45" s="208" t="b">
        <x:f>H36='REMUNERACION Reciprocidad EAAB'!H131</x:f>
        <x:v>1</x:v>
      </x:c>
      <x:c r="I45" s="208" t="b">
        <x:f>I36='REMUNERACION Reciprocidad EAAB'!I131</x:f>
        <x:v>1</x:v>
      </x:c>
      <x:c r="J45" s="208" t="b">
        <x:f>J36='REMUNERACION Reciprocidad EAAB'!J131</x:f>
        <x:v>1</x:v>
      </x:c>
      <x:c r="K45" s="208" t="b">
        <x:f>K36='REMUNERACION Reciprocidad EAAB'!K131</x:f>
        <x:v>1</x:v>
      </x:c>
      <x:c r="L45" s="208" t="b">
        <x:f>L36='REMUNERACION Reciprocidad EAAB'!L131</x:f>
        <x:v>1</x:v>
      </x:c>
      <x:c r="M45" s="208" t="b">
        <x:f>M36='REMUNERACION Reciprocidad EAAB'!M131</x:f>
        <x:v>1</x:v>
      </x:c>
      <x:c r="N45" s="208" t="b">
        <x:f>N36='REMUNERACION Reciprocidad EAAB'!N131</x:f>
        <x:v>1</x:v>
      </x:c>
      <x:c r="O45" s="208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W25" zoomScaleNormal="100" workbookViewId="0">
      <x:selection activeCell="I16" sqref="I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R1'!F60</x:f>
        <x:v>0</x:v>
      </x:c>
      <x:c r="E9" s="228">
        <x:f>'Reporte Componentes R1'!G60</x:f>
        <x:v>0</x:v>
      </x:c>
      <x:c r="F9" s="228">
        <x:f>'Reporte Componentes R1'!H60</x:f>
        <x:v>0</x:v>
      </x:c>
      <x:c r="G9" s="228">
        <x:f>'Reporte Componentes R1'!I60</x:f>
        <x:v>0</x:v>
      </x:c>
      <x:c r="H9" s="228">
        <x:f>'Reporte Componentes R1'!J60</x:f>
        <x:v>0</x:v>
      </x:c>
      <x:c r="I9" s="228">
        <x:f>'Reporte Componentes R1'!K60</x:f>
        <x:v>0</x:v>
      </x:c>
      <x:c r="J9" s="228">
        <x:f>'CONSOLIDADO_TOTAL RECAUDO'!J9</x:f>
        <x:v>0</x:v>
      </x:c>
      <x:c r="K9" s="229">
        <x:f>D9-E9-F9-G9-H9-I9-J9</x:f>
        <x:v>0</x:v>
      </x:c>
      <x:c r="L9" s="230">
        <x:f>'CONSOLIDADO_TOTAL RECAUDO'!L9</x:f>
        <x:v>189185988</x:v>
      </x:c>
      <x:c r="M9" s="229">
        <x:f>K9-L9</x:f>
        <x:v>-189185988</x:v>
      </x:c>
      <x:c r="N9" s="230">
        <x:f>'Reporte Componentes R1'!L60</x:f>
        <x:v>0</x:v>
      </x:c>
      <x:c r="O9" s="229">
        <x:f>M9+N9</x:f>
        <x:v>-189185988</x:v>
      </x:c>
      <x:c r="Q9" s="242"/>
      <x:c r="S9" s="239">
        <x:v>1</x:v>
      </x:c>
      <x:c r="T9" s="240" t="s">
        <x:v>10</x:v>
      </x:c>
      <x:c r="U9" s="243">
        <x:f>'Reporte Componentes R1'!M60</x:f>
        <x:v>0</x:v>
      </x:c>
      <x:c r="V9" s="244">
        <x:f>'Reporte Componentes R1'!N60</x:f>
        <x:v>0</x:v>
      </x:c>
      <x:c r="W9" s="244">
        <x:f>'Reporte Componentes R1'!O60</x:f>
        <x:v>0</x:v>
      </x:c>
      <x:c r="X9" s="244">
        <x:f>'Reporte Componentes R1'!P60</x:f>
        <x:v>0</x:v>
      </x:c>
      <x:c r="Y9" s="245">
        <x:f>'Reporte Componentes R1'!Q60</x:f>
        <x:v>0</x:v>
      </x:c>
      <x:c r="Z9" s="246">
        <x:f>L9*-1</x:f>
        <x:v>-189185988</x:v>
      </x:c>
      <x:c r="AA9" s="247">
        <x:f>'Reporte Componentes R1'!R60+'Reporte Componentes R1'!V60+'Reporte Componentes R1'!U60</x:f>
        <x:v>0</x:v>
      </x:c>
      <x:c r="AB9" s="230">
        <x:f>N9</x:f>
        <x:v>0</x:v>
      </x:c>
      <x:c r="AC9" s="247">
        <x:f>'Reporte Componentes R1'!T60+'Reporte Componentes R1'!W60+'Reporte Componentes R1'!X60+'Reporte Componentes R1'!Y60+'Reporte Componentes R1'!Z60+'Reporte Componentes R1'!S60</x:f>
        <x:v>0</x:v>
      </x:c>
      <x:c r="AD9" s="227">
        <x:f>-J9+AE9</x:f>
        <x:v>0</x:v>
      </x:c>
      <x:c r="AE9" s="227">
        <x:f>'Reporte Componentes R1'!F61</x:f>
        <x:v>0</x:v>
      </x:c>
      <x:c r="AF9" s="249">
        <x:f>SUM(U9:AD9)</x:f>
        <x:v>-189185988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R1'!F204</x:f>
        <x:v>0</x:v>
      </x:c>
      <x:c r="E10" s="228">
        <x:f>'Reporte Componentes R1'!G204</x:f>
        <x:v>0</x:v>
      </x:c>
      <x:c r="F10" s="228">
        <x:f>'Reporte Componentes R1'!H204</x:f>
        <x:v>0</x:v>
      </x:c>
      <x:c r="G10" s="228">
        <x:f>'Reporte Componentes R1'!I204</x:f>
        <x:v>0</x:v>
      </x:c>
      <x:c r="H10" s="228">
        <x:f>'Reporte Componentes R1'!J204</x:f>
        <x:v>0</x:v>
      </x:c>
      <x:c r="I10" s="228">
        <x:f>'Reporte Componentes R1'!K204</x:f>
        <x:v>0</x:v>
      </x:c>
      <x:c r="J10" s="228">
        <x:f>'CONSOLIDADO_TOTAL RECAUDO'!J10</x:f>
        <x:v>0</x:v>
      </x:c>
      <x:c r="K10" s="231">
        <x:f>D10-E10-F10-G10-H10-I10-J10</x:f>
        <x:v>0</x:v>
      </x:c>
      <x:c r="L10" s="230">
        <x:f>'CONSOLIDADO_TOTAL RECAUDO'!L10</x:f>
        <x:v>266580256</x:v>
      </x:c>
      <x:c r="M10" s="231">
        <x:f>K10-L10</x:f>
        <x:v>-266580256</x:v>
      </x:c>
      <x:c r="N10" s="230">
        <x:f>'Reporte Componentes R1'!L204</x:f>
        <x:v>0</x:v>
      </x:c>
      <x:c r="O10" s="231">
        <x:f t="shared" ref="O10:O12" si="0">M10+N10</x:f>
        <x:v>-266580256</x:v>
      </x:c>
      <x:c r="Q10" s="242"/>
      <x:c r="S10" s="250">
        <x:v>2</x:v>
      </x:c>
      <x:c r="T10" s="251" t="s">
        <x:v>11</x:v>
      </x:c>
      <x:c r="U10" s="252">
        <x:f>'Reporte Componentes R1'!M204</x:f>
        <x:v>0</x:v>
      </x:c>
      <x:c r="V10" s="253">
        <x:f>'Reporte Componentes R1'!N204</x:f>
        <x:v>0</x:v>
      </x:c>
      <x:c r="W10" s="253">
        <x:f>'Reporte Componentes R1'!O204</x:f>
        <x:v>0</x:v>
      </x:c>
      <x:c r="X10" s="253">
        <x:f>'Reporte Componentes R1'!P204</x:f>
        <x:v>0</x:v>
      </x:c>
      <x:c r="Y10" s="254">
        <x:f>'Reporte Componentes R1'!Q204</x:f>
        <x:v>0</x:v>
      </x:c>
      <x:c r="Z10" s="255">
        <x:f>L10*-1</x:f>
        <x:v>-266580256</x:v>
      </x:c>
      <x:c r="AA10" s="256">
        <x:f>'Reporte Componentes R1'!R204+'Reporte Componentes R1'!V204+'Reporte Componentes R1'!U204</x:f>
        <x:v>0</x:v>
      </x:c>
      <x:c r="AB10" s="230">
        <x:f>N10</x:f>
        <x:v>0</x:v>
      </x:c>
      <x:c r="AC10" s="256">
        <x:f>'Reporte Componentes R1'!T204+'Reporte Componentes R1'!W204+'Reporte Componentes R1'!X204+'Reporte Componentes R1'!Y204+'Reporte Componentes R1'!Z204+'Reporte Componentes R1'!S204</x:f>
        <x:v>0</x:v>
      </x:c>
      <x:c r="AD10" s="227">
        <x:f t="shared" ref="AD10:AD13" si="1">-J10+AE10</x:f>
        <x:v>0</x:v>
      </x:c>
      <x:c r="AE10" s="227">
        <x:f>'Reporte Componentes R1'!F205</x:f>
        <x:v>0</x:v>
      </x:c>
      <x:c r="AF10" s="258">
        <x:f>SUM(U10:AD10)</x:f>
        <x:v>-266580256</x:v>
      </x:c>
      <x:c r="AG10" s="259">
        <x:f>(AF10-O10)</x:f>
        <x:v>0</x:v>
      </x:c>
      <x:c r="AH10" s="1" t="b">
        <x:f t="shared" ref="AH10:AH14" si="2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R1'!F335</x:f>
        <x:v>0</x:v>
      </x:c>
      <x:c r="E11" s="228">
        <x:f>'Reporte Componentes R1'!G335</x:f>
        <x:v>0</x:v>
      </x:c>
      <x:c r="F11" s="228">
        <x:f>'Reporte Componentes R1'!H335</x:f>
        <x:v>0</x:v>
      </x:c>
      <x:c r="G11" s="228">
        <x:f>'Reporte Componentes R1'!I335</x:f>
        <x:v>0</x:v>
      </x:c>
      <x:c r="H11" s="228">
        <x:f>'Reporte Componentes R1'!J335</x:f>
        <x:v>0</x:v>
      </x:c>
      <x:c r="I11" s="228">
        <x:f>'Reporte Componentes R1'!K335</x:f>
        <x:v>0</x:v>
      </x:c>
      <x:c r="J11" s="228">
        <x:f>'CONSOLIDADO_TOTAL RECAUDO'!J11</x:f>
        <x:v>0</x:v>
      </x:c>
      <x:c r="K11" s="231">
        <x:f t="shared" ref="K11:K13" si="3">D11-E11-F11-G11-H11-I11-J11</x:f>
        <x:v>0</x:v>
      </x:c>
      <x:c r="L11" s="230">
        <x:f>'CONSOLIDADO_TOTAL RECAUDO'!L11</x:f>
        <x:v>154788536</x:v>
      </x:c>
      <x:c r="M11" s="231">
        <x:f>K11-L11</x:f>
        <x:v>-154788536</x:v>
      </x:c>
      <x:c r="N11" s="230">
        <x:f>'Reporte Componentes R1'!L335</x:f>
        <x:v>0</x:v>
      </x:c>
      <x:c r="O11" s="231">
        <x:f t="shared" si="0"/>
        <x:v>-154788536</x:v>
      </x:c>
      <x:c r="Q11" s="242"/>
      <x:c r="S11" s="250">
        <x:v>3</x:v>
      </x:c>
      <x:c r="T11" s="251" t="s">
        <x:v>12</x:v>
      </x:c>
      <x:c r="U11" s="252">
        <x:f>'Reporte Componentes R1'!M335</x:f>
        <x:v>0</x:v>
      </x:c>
      <x:c r="V11" s="253">
        <x:f>'Reporte Componentes R1'!N335</x:f>
        <x:v>0</x:v>
      </x:c>
      <x:c r="W11" s="253">
        <x:f>'Reporte Componentes R1'!O335</x:f>
        <x:v>0</x:v>
      </x:c>
      <x:c r="X11" s="253">
        <x:f>'Reporte Componentes R1'!P335</x:f>
        <x:v>0</x:v>
      </x:c>
      <x:c r="Y11" s="254">
        <x:f>'Reporte Componentes R1'!Q335</x:f>
        <x:v>0</x:v>
      </x:c>
      <x:c r="Z11" s="255">
        <x:f>L11*-1</x:f>
        <x:v>-154788536</x:v>
      </x:c>
      <x:c r="AA11" s="256">
        <x:f>'Reporte Componentes R1'!R335+'Reporte Componentes R1'!V335+'Reporte Componentes R1'!U335</x:f>
        <x:v>0</x:v>
      </x:c>
      <x:c r="AB11" s="230">
        <x:f>N11</x:f>
        <x:v>0</x:v>
      </x:c>
      <x:c r="AC11" s="256">
        <x:f>'Reporte Componentes R1'!T335+'Reporte Componentes R1'!W335+'Reporte Componentes R1'!X335+'Reporte Componentes R1'!Y335+'Reporte Componentes R1'!Z335+'Reporte Componentes R1'!S335</x:f>
        <x:v>0</x:v>
      </x:c>
      <x:c r="AD11" s="227">
        <x:f t="shared" si="1"/>
        <x:v>0</x:v>
      </x:c>
      <x:c r="AE11" s="227">
        <x:f>'Reporte Componentes R1'!F336</x:f>
        <x:v>0</x:v>
      </x:c>
      <x:c r="AF11" s="258">
        <x:f t="shared" ref="AF11:AF13" si="4">SUM(U11:AD11)</x:f>
        <x:v>-154788536</x:v>
      </x:c>
      <x:c r="AG11" s="259">
        <x:f>(AF11-O11)</x:f>
        <x:v>0</x:v>
      </x:c>
      <x:c r="AH11" s="1" t="b">
        <x:f t="shared" si="2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R1'!F466</x:f>
        <x:v>0</x:v>
      </x:c>
      <x:c r="E12" s="228">
        <x:f>'Reporte Componentes R1'!G466</x:f>
        <x:v>0</x:v>
      </x:c>
      <x:c r="F12" s="228">
        <x:f>'Reporte Componentes R1'!H466</x:f>
        <x:v>0</x:v>
      </x:c>
      <x:c r="G12" s="228">
        <x:f>'Reporte Componentes R1'!I466</x:f>
        <x:v>0</x:v>
      </x:c>
      <x:c r="H12" s="228">
        <x:f>'Reporte Componentes R1'!J466</x:f>
        <x:v>0</x:v>
      </x:c>
      <x:c r="I12" s="228">
        <x:f>'Reporte Componentes R1'!K466</x:f>
        <x:v>0</x:v>
      </x:c>
      <x:c r="J12" s="228">
        <x:f>'CONSOLIDADO_TOTAL RECAUDO'!J12</x:f>
        <x:v>0</x:v>
      </x:c>
      <x:c r="K12" s="231">
        <x:f>D12-E12-F12-G12-H12-I12-J12</x:f>
        <x:v>0</x:v>
      </x:c>
      <x:c r="L12" s="230">
        <x:f>'CONSOLIDADO_TOTAL RECAUDO'!L12</x:f>
        <x:v>120391083</x:v>
      </x:c>
      <x:c r="M12" s="231">
        <x:f>K12-L12</x:f>
        <x:v>-120391083</x:v>
      </x:c>
      <x:c r="N12" s="230">
        <x:f>'Reporte Componentes R1'!L466</x:f>
        <x:v>0</x:v>
      </x:c>
      <x:c r="O12" s="231">
        <x:f t="shared" si="0"/>
        <x:v>-120391083</x:v>
      </x:c>
      <x:c r="Q12" s="242"/>
      <x:c r="S12" s="250">
        <x:v>4</x:v>
      </x:c>
      <x:c r="T12" s="251" t="s">
        <x:v>13</x:v>
      </x:c>
      <x:c r="U12" s="252">
        <x:f>'Reporte Componentes R1'!M466</x:f>
        <x:v>0</x:v>
      </x:c>
      <x:c r="V12" s="253">
        <x:f>'Reporte Componentes R1'!N466</x:f>
        <x:v>0</x:v>
      </x:c>
      <x:c r="W12" s="253">
        <x:f>'Reporte Componentes R1'!O466</x:f>
        <x:v>0</x:v>
      </x:c>
      <x:c r="X12" s="253">
        <x:f>'Reporte Componentes R1'!P466</x:f>
        <x:v>0</x:v>
      </x:c>
      <x:c r="Y12" s="254">
        <x:f>'Reporte Componentes R1'!Q466</x:f>
        <x:v>0</x:v>
      </x:c>
      <x:c r="Z12" s="255">
        <x:f>L12*-1</x:f>
        <x:v>-120391083</x:v>
      </x:c>
      <x:c r="AA12" s="256">
        <x:f>'Reporte Componentes R1'!R466+'Reporte Componentes R1'!V466+'Reporte Componentes R1'!U466</x:f>
        <x:v>0</x:v>
      </x:c>
      <x:c r="AB12" s="230">
        <x:f>N12</x:f>
        <x:v>0</x:v>
      </x:c>
      <x:c r="AC12" s="256">
        <x:f>'Reporte Componentes R1'!T466+'Reporte Componentes R1'!W466+'Reporte Componentes R1'!X466+'Reporte Componentes R1'!Y466+'Reporte Componentes R1'!Z466+'Reporte Componentes R1'!S466</x:f>
        <x:v>0</x:v>
      </x:c>
      <x:c r="AD12" s="227">
        <x:f t="shared" si="1"/>
        <x:v>0</x:v>
      </x:c>
      <x:c r="AE12" s="227">
        <x:f>'Reporte Componentes R1'!F467</x:f>
        <x:v>0</x:v>
      </x:c>
      <x:c r="AF12" s="258">
        <x:f t="shared" si="4"/>
        <x:v>-120391083</x:v>
      </x:c>
      <x:c r="AG12" s="259">
        <x:f>(AF12-O12)</x:f>
        <x:v>0</x:v>
      </x:c>
      <x:c r="AH12" s="1" t="b">
        <x:f t="shared" si="2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R1'!F564</x:f>
        <x:v>0</x:v>
      </x:c>
      <x:c r="E13" s="233">
        <x:f>'Reporte Componentes R1'!G564</x:f>
        <x:v>0</x:v>
      </x:c>
      <x:c r="F13" s="233">
        <x:f>'Reporte Componentes R1'!H564</x:f>
        <x:v>0</x:v>
      </x:c>
      <x:c r="G13" s="233">
        <x:f>'Reporte Componentes R1'!I564</x:f>
        <x:v>0</x:v>
      </x:c>
      <x:c r="H13" s="233">
        <x:f>'Reporte Componentes R1'!J564</x:f>
        <x:v>0</x:v>
      </x:c>
      <x:c r="I13" s="233">
        <x:f>'Reporte Componentes R1'!K564</x:f>
        <x:v>0</x:v>
      </x:c>
      <x:c r="J13" s="228">
        <x:f>'CONSOLIDADO_TOTAL RECAUDO'!J13</x:f>
        <x:v>0</x:v>
      </x:c>
      <x:c r="K13" s="231">
        <x:f t="shared" si="3"/>
        <x:v>0</x:v>
      </x:c>
      <x:c r="L13" s="230">
        <x:f>'CONSOLIDADO_TOTAL RECAUDO'!L13</x:f>
        <x:v>128990446</x:v>
      </x:c>
      <x:c r="M13" s="234">
        <x:f>K13-L13</x:f>
        <x:v>-128990446</x:v>
      </x:c>
      <x:c r="N13" s="235">
        <x:f>'Reporte Componentes R1'!L564</x:f>
        <x:v>0</x:v>
      </x:c>
      <x:c r="O13" s="234">
        <x:f>M13+N13</x:f>
        <x:v>-128990446</x:v>
      </x:c>
      <x:c r="Q13" s="242"/>
      <x:c r="S13" s="260">
        <x:v>5</x:v>
      </x:c>
      <x:c r="T13" s="261" t="s">
        <x:v>14</x:v>
      </x:c>
      <x:c r="U13" s="232">
        <x:f>'Reporte Componentes R1'!M564</x:f>
        <x:v>0</x:v>
      </x:c>
      <x:c r="V13" s="233">
        <x:f>'Reporte Componentes R1'!N564</x:f>
        <x:v>0</x:v>
      </x:c>
      <x:c r="W13" s="233">
        <x:f>'Reporte Componentes R1'!O564</x:f>
        <x:v>0</x:v>
      </x:c>
      <x:c r="X13" s="233">
        <x:f>'Reporte Componentes R1'!P564</x:f>
        <x:v>0</x:v>
      </x:c>
      <x:c r="Y13" s="225">
        <x:f>'Reporte Componentes R1'!Q564</x:f>
        <x:v>0</x:v>
      </x:c>
      <x:c r="Z13" s="255">
        <x:f>L13*-1</x:f>
        <x:v>-128990446</x:v>
      </x:c>
      <x:c r="AA13" s="256">
        <x:f>'Reporte Componentes R1'!R564+'Reporte Componentes R1'!V564+'Reporte Componentes R1'!U564</x:f>
        <x:v>0</x:v>
      </x:c>
      <x:c r="AB13" s="230">
        <x:f>N13</x:f>
        <x:v>0</x:v>
      </x:c>
      <x:c r="AC13" s="256">
        <x:f>'Reporte Componentes R1'!T564+'Reporte Componentes R1'!W564+'Reporte Componentes R1'!X564+'Reporte Componentes R1'!Y564+'Reporte Componentes R1'!Z564+'Reporte Componentes R1'!S564</x:f>
        <x:v>0</x:v>
      </x:c>
      <x:c r="AD13" s="227">
        <x:f t="shared" si="1"/>
        <x:v>0</x:v>
      </x:c>
      <x:c r="AE13" s="227">
        <x:f>'Reporte Componentes R1'!F565</x:f>
        <x:v>0</x:v>
      </x:c>
      <x:c r="AF13" s="258">
        <x:f t="shared" si="4"/>
        <x:v>-128990446</x:v>
      </x:c>
      <x:c r="AG13" s="262">
        <x:f>(AF13-O13)</x:f>
        <x:v>0</x:v>
      </x:c>
      <x:c r="AH13" s="1" t="b">
        <x:f t="shared" si="2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859936309</x:v>
      </x:c>
      <x:c r="M14" s="238">
        <x:f t="shared" si="5"/>
        <x:v>-859936309</x:v>
      </x:c>
      <x:c r="N14" s="237">
        <x:f t="shared" si="5"/>
        <x:v>0</x:v>
      </x:c>
      <x:c r="O14" s="238">
        <x:f t="shared" si="5"/>
        <x:v>-859936309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-859936309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-859936309</x:v>
      </x:c>
      <x:c r="AG14" s="268">
        <x:f>SUM(AG9:AG13)</x:f>
        <x:v>0</x:v>
      </x:c>
      <x:c r="AH14" s="1" t="b">
        <x:f t="shared" si="2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ht="12.75" thickBot="1" x14ac:dyDescent="0.25">
      <x:c r="B28" s="239">
        <x:v>1</x:v>
      </x:c>
      <x:c r="C28" s="240" t="s">
        <x:v>10</x:v>
      </x:c>
      <x:c r="D28" s="227">
        <x:f>'Rem. Anticipos R2'!E49</x:f>
        <x:v>0</x:v>
      </x:c>
      <x:c r="E28" s="228">
        <x:f>'Rem. Anticipos R2'!F49</x:f>
        <x:v>0</x:v>
      </x:c>
      <x:c r="F28" s="228">
        <x:f>'Rem. Anticipos R2'!G49</x:f>
        <x:v>0</x:v>
      </x:c>
      <x:c r="G28" s="228">
        <x:f>'Rem. Anticipos R2'!H49</x:f>
        <x:v>0</x:v>
      </x:c>
      <x:c r="H28" s="228">
        <x:f>'Rem. Anticipos R2'!I49</x:f>
        <x:v>0</x:v>
      </x:c>
      <x:c r="I28" s="228">
        <x:f>'Rem. Anticipos R2'!J49</x:f>
        <x:v>0</x:v>
      </x:c>
      <x:c r="J28" s="225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R2'!K49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R2'!L49</x:f>
        <x:v>0</x:v>
      </x:c>
      <x:c r="V28" s="244">
        <x:f>'Rem. Anticipos R2'!M49</x:f>
        <x:v>0</x:v>
      </x:c>
      <x:c r="W28" s="244">
        <x:f>'Rem. Anticipos R2'!N49</x:f>
        <x:v>0</x:v>
      </x:c>
      <x:c r="X28" s="244">
        <x:f>'Rem. Anticipos R2'!O49</x:f>
        <x:v>0</x:v>
      </x:c>
      <x:c r="Y28" s="245">
        <x:f>'Rem. Anticipos R2'!P49</x:f>
        <x:v>0</x:v>
      </x:c>
      <x:c r="Z28" s="246">
        <x:f>L28*-1</x:f>
        <x:v>0</x:v>
      </x:c>
      <x:c r="AA28" s="247">
        <x:f>'Rem. Anticipos R2'!Q49</x:f>
        <x:v>0</x:v>
      </x:c>
      <x:c r="AB28" s="230">
        <x:f>N28</x:f>
        <x:v>0</x:v>
      </x:c>
      <x:c r="AC28" s="247">
        <x:f>'Rem. Anticipos R2'!R49</x:f>
        <x:v>0</x:v>
      </x:c>
      <x:c r="AD28" s="227">
        <x:f>-J28+AE28</x:f>
        <x:v>0</x:v>
      </x:c>
      <x:c r="AE28" s="227">
        <x:f>'Rem. Anticipos R2'!E50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R2'!E145</x:f>
        <x:v>0</x:v>
      </x:c>
      <x:c r="E29" s="228">
        <x:f>'Rem. Anticipos R2'!F145</x:f>
        <x:v>0</x:v>
      </x:c>
      <x:c r="F29" s="228">
        <x:f>'Rem. Anticipos R2'!G145</x:f>
        <x:v>0</x:v>
      </x:c>
      <x:c r="G29" s="228">
        <x:f>'Rem. Anticipos R2'!H145</x:f>
        <x:v>0</x:v>
      </x:c>
      <x:c r="H29" s="228">
        <x:f>'Rem. Anticipos R2'!I145</x:f>
        <x:v>0</x:v>
      </x:c>
      <x:c r="I29" s="228">
        <x:f>'Rem. Anticipos R2'!J145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R2'!K145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R2'!L145</x:f>
        <x:v>0</x:v>
      </x:c>
      <x:c r="V29" s="253">
        <x:f>'Rem. Anticipos R2'!M145</x:f>
        <x:v>0</x:v>
      </x:c>
      <x:c r="W29" s="253">
        <x:f>'Rem. Anticipos R2'!N145</x:f>
        <x:v>0</x:v>
      </x:c>
      <x:c r="X29" s="253">
        <x:f>'Rem. Anticipos R2'!O145</x:f>
        <x:v>0</x:v>
      </x:c>
      <x:c r="Y29" s="254">
        <x:f>'Rem. Anticipos R2'!P145</x:f>
        <x:v>0</x:v>
      </x:c>
      <x:c r="Z29" s="255">
        <x:f>L29*-1</x:f>
        <x:v>0</x:v>
      </x:c>
      <x:c r="AA29" s="256">
        <x:f>'Rem. Anticipos R2'!Q145</x:f>
        <x:v>0</x:v>
      </x:c>
      <x:c r="AB29" s="230">
        <x:f>N29</x:f>
        <x:v>0</x:v>
      </x:c>
      <x:c r="AC29" s="256">
        <x:f>'Rem. Anticipos R2'!R145</x:f>
        <x:v>0</x:v>
      </x:c>
      <x:c r="AD29" s="227">
        <x:f>-J29+AE29</x:f>
        <x:v>0</x:v>
      </x:c>
      <x:c r="AE29" s="227">
        <x:f>'Rem. Anticipos R2'!E146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R2'!E262</x:f>
        <x:v>0</x:v>
      </x:c>
      <x:c r="E30" s="228">
        <x:f>'Rem. Anticipos R2'!F262</x:f>
        <x:v>0</x:v>
      </x:c>
      <x:c r="F30" s="228">
        <x:f>'Rem. Anticipos R2'!G262</x:f>
        <x:v>0</x:v>
      </x:c>
      <x:c r="G30" s="228">
        <x:f>'Rem. Anticipos R2'!H262</x:f>
        <x:v>0</x:v>
      </x:c>
      <x:c r="H30" s="228">
        <x:f>'Rem. Anticipos R2'!I262</x:f>
        <x:v>0</x:v>
      </x:c>
      <x:c r="I30" s="228">
        <x:f>'Rem. Anticipos R2'!J262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R2'!K262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R2'!L262</x:f>
        <x:v>0</x:v>
      </x:c>
      <x:c r="V30" s="253">
        <x:f>'Rem. Anticipos R2'!M262</x:f>
        <x:v>0</x:v>
      </x:c>
      <x:c r="W30" s="253">
        <x:f>'Rem. Anticipos R2'!N262</x:f>
        <x:v>0</x:v>
      </x:c>
      <x:c r="X30" s="253">
        <x:f>'Rem. Anticipos R2'!O262</x:f>
        <x:v>0</x:v>
      </x:c>
      <x:c r="Y30" s="254">
        <x:f>'Rem. Anticipos R2'!P262</x:f>
        <x:v>0</x:v>
      </x:c>
      <x:c r="Z30" s="255">
        <x:f>L30*-1</x:f>
        <x:v>0</x:v>
      </x:c>
      <x:c r="AA30" s="256">
        <x:f>'Rem. Anticipos R2'!Q262</x:f>
        <x:v>0</x:v>
      </x:c>
      <x:c r="AB30" s="230">
        <x:f>N30</x:f>
        <x:v>0</x:v>
      </x:c>
      <x:c r="AC30" s="256">
        <x:f>'Rem. Anticipos R2'!R262</x:f>
        <x:v>0</x:v>
      </x:c>
      <x:c r="AD30" s="227">
        <x:f t="shared" ref="AD30:AD32" si="10">-J30+AE30</x:f>
        <x:v>0</x:v>
      </x:c>
      <x:c r="AE30" s="227">
        <x:f>'Rem. Anticipos R2'!E263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R2'!E364</x:f>
        <x:v>0</x:v>
      </x:c>
      <x:c r="E31" s="228">
        <x:f>'Rem. Anticipos R2'!F364</x:f>
        <x:v>0</x:v>
      </x:c>
      <x:c r="F31" s="228">
        <x:f>'Rem. Anticipos R2'!G364</x:f>
        <x:v>0</x:v>
      </x:c>
      <x:c r="G31" s="228">
        <x:f>'Rem. Anticipos R2'!H364</x:f>
        <x:v>0</x:v>
      </x:c>
      <x:c r="H31" s="228">
        <x:f>'Rem. Anticipos R2'!I364</x:f>
        <x:v>0</x:v>
      </x:c>
      <x:c r="I31" s="228">
        <x:f>'Rem. Anticipos R2'!J364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R2'!K364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R2'!L364</x:f>
        <x:v>0</x:v>
      </x:c>
      <x:c r="V31" s="253">
        <x:f>'Rem. Anticipos R2'!M364</x:f>
        <x:v>0</x:v>
      </x:c>
      <x:c r="W31" s="253">
        <x:f>'Rem. Anticipos R2'!N364</x:f>
        <x:v>0</x:v>
      </x:c>
      <x:c r="X31" s="253">
        <x:f>'Rem. Anticipos R2'!O364</x:f>
        <x:v>0</x:v>
      </x:c>
      <x:c r="Y31" s="254">
        <x:f>'Rem. Anticipos R2'!P364</x:f>
        <x:v>0</x:v>
      </x:c>
      <x:c r="Z31" s="255">
        <x:f>L31*-1</x:f>
        <x:v>0</x:v>
      </x:c>
      <x:c r="AA31" s="256">
        <x:f>'Rem. Anticipos R2'!Q364</x:f>
        <x:v>0</x:v>
      </x:c>
      <x:c r="AB31" s="230">
        <x:f>N31</x:f>
        <x:v>0</x:v>
      </x:c>
      <x:c r="AC31" s="256">
        <x:f>'Rem. Anticipos R2'!R364</x:f>
        <x:v>0</x:v>
      </x:c>
      <x:c r="AD31" s="227">
        <x:f t="shared" si="10"/>
        <x:v>0</x:v>
      </x:c>
      <x:c r="AE31" s="227">
        <x:f>'Rem. Anticipos R2'!E365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R2'!E444</x:f>
        <x:v>0</x:v>
      </x:c>
      <x:c r="E32" s="233">
        <x:f>'Rem. Anticipos R2'!F444</x:f>
        <x:v>0</x:v>
      </x:c>
      <x:c r="F32" s="233">
        <x:f>'Rem. Anticipos R2'!G444</x:f>
        <x:v>0</x:v>
      </x:c>
      <x:c r="G32" s="233">
        <x:f>'Rem. Anticipos R2'!H444</x:f>
        <x:v>0</x:v>
      </x:c>
      <x:c r="H32" s="233">
        <x:f>'Rem. Anticipos R2'!I444</x:f>
        <x:v>0</x:v>
      </x:c>
      <x:c r="I32" s="233">
        <x:f>'Rem. Anticipos R2'!J444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R2'!K444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R2'!L444</x:f>
        <x:v>0</x:v>
      </x:c>
      <x:c r="V32" s="233">
        <x:f>'Rem. Anticipos R2'!M444</x:f>
        <x:v>0</x:v>
      </x:c>
      <x:c r="W32" s="233">
        <x:f>'Rem. Anticipos R2'!N444</x:f>
        <x:v>0</x:v>
      </x:c>
      <x:c r="X32" s="233">
        <x:f>'Rem. Anticipos R2'!O444</x:f>
        <x:v>0</x:v>
      </x:c>
      <x:c r="Y32" s="225">
        <x:f>'Rem. Anticipos R2'!P444</x:f>
        <x:v>0</x:v>
      </x:c>
      <x:c r="Z32" s="255">
        <x:f>L32*-1</x:f>
        <x:v>0</x:v>
      </x:c>
      <x:c r="AA32" s="256">
        <x:f>'Rem. Anticipos R2'!Q444</x:f>
        <x:v>0</x:v>
      </x:c>
      <x:c r="AB32" s="230">
        <x:f>N32</x:f>
        <x:v>0</x:v>
      </x:c>
      <x:c r="AC32" s="256">
        <x:f>'Rem. Anticipos R2'!R444</x:f>
        <x:v>0</x:v>
      </x:c>
      <x:c r="AD32" s="227">
        <x:f t="shared" si="10"/>
        <x:v>0</x:v>
      </x:c>
      <x:c r="AE32" s="227">
        <x:f>'Rem. Anticipos R2'!E445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ref="AC33" si="14">SUM(AC28:AC32)</x:f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ht="12.75" thickBot="1" x14ac:dyDescent="0.25">
      <x:c r="B47" s="239">
        <x:v>1</x:v>
      </x:c>
      <x:c r="C47" s="240" t="s">
        <x:v>10</x:v>
      </x:c>
      <x:c r="D47" s="227">
        <x:f>'Reporte Componentes R1'!F62</x:f>
        <x:v>0</x:v>
      </x:c>
      <x:c r="E47" s="228">
        <x:f>'Reporte Componentes R1'!G62</x:f>
        <x:v>0</x:v>
      </x:c>
      <x:c r="F47" s="228">
        <x:f>'Reporte Componentes R1'!H62</x:f>
        <x:v>0</x:v>
      </x:c>
      <x:c r="G47" s="228">
        <x:f>'Reporte Componentes R1'!I62</x:f>
        <x:v>0</x:v>
      </x:c>
      <x:c r="H47" s="228">
        <x:f>'Reporte Componentes R1'!J62</x:f>
        <x:v>0</x:v>
      </x:c>
      <x:c r="I47" s="228">
        <x:f>'Reporte Componentes R1'!K62</x:f>
        <x:v>0</x:v>
      </x:c>
      <x:c r="J47" s="225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R1'!M62</x:f>
        <x:v>0</x:v>
      </x:c>
      <x:c r="V47" s="244">
        <x:f>'Reporte Componentes R1'!N62</x:f>
        <x:v>0</x:v>
      </x:c>
      <x:c r="W47" s="244">
        <x:f>'Reporte Componentes R1'!O62</x:f>
        <x:v>0</x:v>
      </x:c>
      <x:c r="X47" s="244">
        <x:f>'Reporte Componentes R1'!P62</x:f>
        <x:v>0</x:v>
      </x:c>
      <x:c r="Y47" s="245">
        <x:f>'Reporte Componentes R1'!Q62</x:f>
        <x:v>0</x:v>
      </x:c>
      <x:c r="Z47" s="246">
        <x:f>-L47</x:f>
        <x:v>0</x:v>
      </x:c>
      <x:c r="AA47" s="256">
        <x:f>'Reporte Componentes R1'!R62+'Reporte Componentes R1'!V62+'Reporte Componentes R1'!U62</x:f>
        <x:v>0</x:v>
      </x:c>
      <x:c r="AB47" s="230">
        <x:f>N47</x:f>
        <x:v>0</x:v>
      </x:c>
      <x:c r="AC47" s="247">
        <x:f>'Reporte Componentes R1'!T62+'Reporte Componentes R1'!W62+'Reporte Componentes R1'!X62+'Reporte Componentes R1'!Y62+'Reporte Componentes R1'!Z62+'Reporte Componentes R1'!S62</x:f>
        <x:v>0</x:v>
      </x:c>
      <x:c r="AD47" s="227">
        <x:f>-J47+AE47</x:f>
        <x:v>0</x:v>
      </x:c>
      <x:c r="AE47" s="227">
        <x:f>'Reporte Componentes R1'!F63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R1'!F206</x:f>
        <x:v>0</x:v>
      </x:c>
      <x:c r="E48" s="228">
        <x:f>'Reporte Componentes R1'!G206</x:f>
        <x:v>0</x:v>
      </x:c>
      <x:c r="F48" s="228">
        <x:f>'Reporte Componentes R1'!H206</x:f>
        <x:v>0</x:v>
      </x:c>
      <x:c r="G48" s="228">
        <x:f>'Reporte Componentes R1'!I206</x:f>
        <x:v>0</x:v>
      </x:c>
      <x:c r="H48" s="228">
        <x:f>'Reporte Componentes R1'!J206</x:f>
        <x:v>0</x:v>
      </x:c>
      <x:c r="I48" s="228">
        <x:f>'Reporte Componentes R1'!K206</x:f>
        <x:v>0</x:v>
      </x:c>
      <x:c r="J48" s="224">
        <x:v>0</x:v>
      </x:c>
      <x:c r="K48" s="231">
        <x:f t="shared" ref="K48:K51" si="15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R1'!L206</x:f>
        <x:v>0</x:v>
      </x:c>
      <x:c r="O48" s="231">
        <x:f t="shared" ref="O48:O51" si="16">M48+N48</x:f>
        <x:v>0</x:v>
      </x:c>
      <x:c r="Q48" s="242"/>
      <x:c r="S48" s="250">
        <x:v>2</x:v>
      </x:c>
      <x:c r="T48" s="251" t="s">
        <x:v>11</x:v>
      </x:c>
      <x:c r="U48" s="252">
        <x:f>'Reporte Componentes R1'!M206</x:f>
        <x:v>0</x:v>
      </x:c>
      <x:c r="V48" s="253">
        <x:f>'Reporte Componentes R1'!N206</x:f>
        <x:v>0</x:v>
      </x:c>
      <x:c r="W48" s="253">
        <x:f>'Reporte Componentes R1'!O206</x:f>
        <x:v>0</x:v>
      </x:c>
      <x:c r="X48" s="253">
        <x:f>'Reporte Componentes R1'!P206</x:f>
        <x:v>0</x:v>
      </x:c>
      <x:c r="Y48" s="254">
        <x:f>'Reporte Componentes R1'!Q206</x:f>
        <x:v>0</x:v>
      </x:c>
      <x:c r="Z48" s="255">
        <x:f>-L48</x:f>
        <x:v>0</x:v>
      </x:c>
      <x:c r="AA48" s="256">
        <x:f>'Reporte Componentes R1'!R206+'Reporte Componentes R1'!V206+'Reporte Componentes R1'!U206</x:f>
        <x:v>0</x:v>
      </x:c>
      <x:c r="AB48" s="230">
        <x:f>N48</x:f>
        <x:v>0</x:v>
      </x:c>
      <x:c r="AC48" s="256">
        <x:f>'Reporte Componentes R1'!T206+'Reporte Componentes R1'!W206+'Reporte Componentes R1'!X206+'Reporte Componentes R1'!Y206+'Reporte Componentes R1'!Z206+'Reporte Componentes R1'!S206</x:f>
        <x:v>0</x:v>
      </x:c>
      <x:c r="AD48" s="227">
        <x:f t="shared" ref="AD48:AD51" si="17">-J48+AE48</x:f>
        <x:v>0</x:v>
      </x:c>
      <x:c r="AE48" s="227">
        <x:f>'Reporte Componentes R1'!F207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8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R1'!F337</x:f>
        <x:v>0</x:v>
      </x:c>
      <x:c r="E49" s="228">
        <x:f>'Reporte Componentes R1'!G337</x:f>
        <x:v>0</x:v>
      </x:c>
      <x:c r="F49" s="228">
        <x:f>'Reporte Componentes R1'!H337</x:f>
        <x:v>0</x:v>
      </x:c>
      <x:c r="G49" s="228">
        <x:f>'Reporte Componentes R1'!I337</x:f>
        <x:v>0</x:v>
      </x:c>
      <x:c r="H49" s="228">
        <x:f>'Reporte Componentes R1'!J337</x:f>
        <x:v>0</x:v>
      </x:c>
      <x:c r="I49" s="228">
        <x:f>'Reporte Componentes R1'!K337</x:f>
        <x:v>0</x:v>
      </x:c>
      <x:c r="J49" s="224">
        <x:v>0</x:v>
      </x:c>
      <x:c r="K49" s="231">
        <x:f t="shared" si="15"/>
        <x:v>0</x:v>
      </x:c>
      <x:c r="L49" s="230">
        <x:v>0</x:v>
      </x:c>
      <x:c r="M49" s="231">
        <x:f>K49-L49</x:f>
        <x:v>0</x:v>
      </x:c>
      <x:c r="N49" s="230">
        <x:f>'Reporte Componentes R1'!L337</x:f>
        <x:v>0</x:v>
      </x:c>
      <x:c r="O49" s="231">
        <x:f t="shared" si="16"/>
        <x:v>0</x:v>
      </x:c>
      <x:c r="Q49" s="242"/>
      <x:c r="S49" s="250">
        <x:v>3</x:v>
      </x:c>
      <x:c r="T49" s="251" t="s">
        <x:v>12</x:v>
      </x:c>
      <x:c r="U49" s="252">
        <x:f>'Reporte Componentes R1'!M337</x:f>
        <x:v>0</x:v>
      </x:c>
      <x:c r="V49" s="253">
        <x:f>'Reporte Componentes R1'!N337</x:f>
        <x:v>0</x:v>
      </x:c>
      <x:c r="W49" s="253">
        <x:f>'Reporte Componentes R1'!O337</x:f>
        <x:v>0</x:v>
      </x:c>
      <x:c r="X49" s="253">
        <x:f>'Reporte Componentes R1'!P337</x:f>
        <x:v>0</x:v>
      </x:c>
      <x:c r="Y49" s="254">
        <x:f>'Reporte Componentes R1'!Q337</x:f>
        <x:v>0</x:v>
      </x:c>
      <x:c r="Z49" s="255">
        <x:f>-L49</x:f>
        <x:v>0</x:v>
      </x:c>
      <x:c r="AA49" s="256">
        <x:f>'Reporte Componentes R1'!R337+'Reporte Componentes R1'!V337+'Reporte Componentes R1'!U337</x:f>
        <x:v>0</x:v>
      </x:c>
      <x:c r="AB49" s="230">
        <x:f>N49</x:f>
        <x:v>0</x:v>
      </x:c>
      <x:c r="AC49" s="256">
        <x:f>'Reporte Componentes R1'!T337+'Reporte Componentes R1'!W337+'Reporte Componentes R1'!X337+'Reporte Componentes R1'!Y337+'Reporte Componentes R1'!Z337+'Reporte Componentes R1'!S337</x:f>
        <x:v>0</x:v>
      </x:c>
      <x:c r="AD49" s="227">
        <x:f t="shared" si="17"/>
        <x:v>0</x:v>
      </x:c>
      <x:c r="AE49" s="227">
        <x:f>'Reporte Componentes R1'!F338</x:f>
        <x:v>0</x:v>
      </x:c>
      <x:c r="AF49" s="258">
        <x:f t="shared" ref="AF49:AF51" si="19">SUM(U49:AD49)</x:f>
        <x:v>0</x:v>
      </x:c>
      <x:c r="AG49" s="259">
        <x:f t="shared" ref="AG49:AG51" si="20">(AF49-O49)</x:f>
        <x:v>0</x:v>
      </x:c>
      <x:c r="AH49" s="1" t="b">
        <x:f t="shared" si="18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R1'!F468</x:f>
        <x:v>0</x:v>
      </x:c>
      <x:c r="E50" s="228">
        <x:f>'Reporte Componentes R1'!G468</x:f>
        <x:v>0</x:v>
      </x:c>
      <x:c r="F50" s="228">
        <x:f>'Reporte Componentes R1'!H468</x:f>
        <x:v>0</x:v>
      </x:c>
      <x:c r="G50" s="228">
        <x:f>'Reporte Componentes R1'!I468</x:f>
        <x:v>0</x:v>
      </x:c>
      <x:c r="H50" s="228">
        <x:f>'Reporte Componentes R1'!J468</x:f>
        <x:v>0</x:v>
      </x:c>
      <x:c r="I50" s="228">
        <x:f>'Reporte Componentes R1'!K468</x:f>
        <x:v>0</x:v>
      </x:c>
      <x:c r="J50" s="224">
        <x:v>0</x:v>
      </x:c>
      <x:c r="K50" s="231">
        <x:f t="shared" si="15"/>
        <x:v>0</x:v>
      </x:c>
      <x:c r="L50" s="230">
        <x:v>0</x:v>
      </x:c>
      <x:c r="M50" s="231">
        <x:f>K50-L50</x:f>
        <x:v>0</x:v>
      </x:c>
      <x:c r="N50" s="230">
        <x:f>'Reporte Componentes R1'!L468</x:f>
        <x:v>0</x:v>
      </x:c>
      <x:c r="O50" s="231">
        <x:f t="shared" si="16"/>
        <x:v>0</x:v>
      </x:c>
      <x:c r="Q50" s="242"/>
      <x:c r="S50" s="250">
        <x:v>4</x:v>
      </x:c>
      <x:c r="T50" s="251" t="s">
        <x:v>13</x:v>
      </x:c>
      <x:c r="U50" s="252">
        <x:f>'Reporte Componentes R1'!M468</x:f>
        <x:v>0</x:v>
      </x:c>
      <x:c r="V50" s="253">
        <x:f>'Reporte Componentes R1'!N468</x:f>
        <x:v>0</x:v>
      </x:c>
      <x:c r="W50" s="253">
        <x:f>'Reporte Componentes R1'!O468</x:f>
        <x:v>0</x:v>
      </x:c>
      <x:c r="X50" s="253">
        <x:f>'Reporte Componentes R1'!P468</x:f>
        <x:v>0</x:v>
      </x:c>
      <x:c r="Y50" s="254">
        <x:f>'Reporte Componentes R1'!Q468</x:f>
        <x:v>0</x:v>
      </x:c>
      <x:c r="Z50" s="255">
        <x:f>-L50</x:f>
        <x:v>0</x:v>
      </x:c>
      <x:c r="AA50" s="256">
        <x:f>'Reporte Componentes R1'!R468+'Reporte Componentes R1'!V468+'Reporte Componentes R1'!U468</x:f>
        <x:v>0</x:v>
      </x:c>
      <x:c r="AB50" s="230">
        <x:f>N50</x:f>
        <x:v>0</x:v>
      </x:c>
      <x:c r="AC50" s="256">
        <x:f>'Reporte Componentes R1'!T468+'Reporte Componentes R1'!W468+'Reporte Componentes R1'!X468+'Reporte Componentes R1'!Y468+'Reporte Componentes R1'!Z468+'Reporte Componentes R1'!S468</x:f>
        <x:v>0</x:v>
      </x:c>
      <x:c r="AD50" s="227">
        <x:f t="shared" si="17"/>
        <x:v>0</x:v>
      </x:c>
      <x:c r="AE50" s="227">
        <x:f>'Reporte Componentes R1'!F469</x:f>
        <x:v>0</x:v>
      </x:c>
      <x:c r="AF50" s="258">
        <x:f t="shared" si="19"/>
        <x:v>0</x:v>
      </x:c>
      <x:c r="AG50" s="259">
        <x:f t="shared" si="20"/>
        <x:v>0</x:v>
      </x:c>
      <x:c r="AH50" s="1" t="b">
        <x:f t="shared" si="18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R1'!F566</x:f>
        <x:v>0</x:v>
      </x:c>
      <x:c r="E51" s="233">
        <x:f>'Reporte Componentes R1'!G566</x:f>
        <x:v>0</x:v>
      </x:c>
      <x:c r="F51" s="233">
        <x:f>'Reporte Componentes R1'!H566</x:f>
        <x:v>0</x:v>
      </x:c>
      <x:c r="G51" s="233">
        <x:f>'Reporte Componentes R1'!I566</x:f>
        <x:v>0</x:v>
      </x:c>
      <x:c r="H51" s="233">
        <x:f>'Reporte Componentes R1'!J566</x:f>
        <x:v>0</x:v>
      </x:c>
      <x:c r="I51" s="233">
        <x:f>'Reporte Componentes R1'!K566</x:f>
        <x:v>0</x:v>
      </x:c>
      <x:c r="J51" s="225">
        <x:v>0</x:v>
      </x:c>
      <x:c r="K51" s="231">
        <x:f t="shared" si="15"/>
        <x:v>0</x:v>
      </x:c>
      <x:c r="L51" s="230">
        <x:v>0</x:v>
      </x:c>
      <x:c r="M51" s="234">
        <x:f>K51-L51</x:f>
        <x:v>0</x:v>
      </x:c>
      <x:c r="N51" s="235">
        <x:f>'Reporte Componentes R1'!L566</x:f>
        <x:v>0</x:v>
      </x:c>
      <x:c r="O51" s="234">
        <x:f t="shared" si="16"/>
        <x:v>0</x:v>
      </x:c>
      <x:c r="Q51" s="242"/>
      <x:c r="S51" s="260">
        <x:v>5</x:v>
      </x:c>
      <x:c r="T51" s="261" t="s">
        <x:v>14</x:v>
      </x:c>
      <x:c r="U51" s="232">
        <x:f>'Reporte Componentes R1'!M566</x:f>
        <x:v>0</x:v>
      </x:c>
      <x:c r="V51" s="233">
        <x:f>'Reporte Componentes R1'!N566</x:f>
        <x:v>0</x:v>
      </x:c>
      <x:c r="W51" s="233">
        <x:f>'Reporte Componentes R1'!O566</x:f>
        <x:v>0</x:v>
      </x:c>
      <x:c r="X51" s="233">
        <x:f>'Reporte Componentes R1'!P566</x:f>
        <x:v>0</x:v>
      </x:c>
      <x:c r="Y51" s="225">
        <x:f>'Reporte Componentes R1'!Q566</x:f>
        <x:v>0</x:v>
      </x:c>
      <x:c r="Z51" s="255">
        <x:f>-L51</x:f>
        <x:v>0</x:v>
      </x:c>
      <x:c r="AA51" s="256">
        <x:f>'Reporte Componentes R1'!R566+'Reporte Componentes R1'!V566+'Reporte Componentes R1'!U566</x:f>
        <x:v>0</x:v>
      </x:c>
      <x:c r="AB51" s="230">
        <x:f>N51</x:f>
        <x:v>0</x:v>
      </x:c>
      <x:c r="AC51" s="256">
        <x:f>'Reporte Componentes R1'!T566+'Reporte Componentes R1'!W566+'Reporte Componentes R1'!X566+'Reporte Componentes R1'!Y566+'Reporte Componentes R1'!Z566+'Reporte Componentes R1'!S566</x:f>
        <x:v>0</x:v>
      </x:c>
      <x:c r="AD51" s="227">
        <x:f t="shared" si="17"/>
        <x:v>0</x:v>
      </x:c>
      <x:c r="AE51" s="227">
        <x:f>'Reporte Componentes R1'!F567</x:f>
        <x:v>0</x:v>
      </x:c>
      <x:c r="AF51" s="258">
        <x:f t="shared" si="19"/>
        <x:v>0</x:v>
      </x:c>
      <x:c r="AG51" s="262">
        <x:f t="shared" si="20"/>
        <x:v>0</x:v>
      </x:c>
      <x:c r="AH51" s="1" t="b">
        <x:f t="shared" si="18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1">SUM(D47:D51)</x:f>
        <x:v>0</x:v>
      </x:c>
      <x:c r="E52" s="226">
        <x:f t="shared" si="21"/>
        <x:v>0</x:v>
      </x:c>
      <x:c r="F52" s="226">
        <x:f t="shared" si="21"/>
        <x:v>0</x:v>
      </x:c>
      <x:c r="G52" s="226">
        <x:f t="shared" ref="G52" si="22">SUM(G47:G51)</x:f>
        <x:v>0</x:v>
      </x:c>
      <x:c r="H52" s="226">
        <x:f t="shared" si="21"/>
        <x:v>0</x:v>
      </x:c>
      <x:c r="I52" s="226">
        <x:f t="shared" si="21"/>
        <x:v>0</x:v>
      </x:c>
      <x:c r="J52" s="226">
        <x:f t="shared" si="21"/>
        <x:v>0</x:v>
      </x:c>
      <x:c r="K52" s="236">
        <x:f t="shared" si="21"/>
        <x:v>0</x:v>
      </x:c>
      <x:c r="L52" s="237">
        <x:f t="shared" si="21"/>
        <x:v>0</x:v>
      </x:c>
      <x:c r="M52" s="238">
        <x:f t="shared" si="21"/>
        <x:v>0</x:v>
      </x:c>
      <x:c r="N52" s="237">
        <x:f t="shared" si="21"/>
        <x:v>0</x:v>
      </x:c>
      <x:c r="O52" s="238">
        <x:f t="shared" si="21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3">SUM(V47:V51)</x:f>
        <x:v>0</x:v>
      </x:c>
      <x:c r="W52" s="266">
        <x:f t="shared" si="23"/>
        <x:v>0</x:v>
      </x:c>
      <x:c r="X52" s="266">
        <x:f t="shared" si="23"/>
        <x:v>0</x:v>
      </x:c>
      <x:c r="Y52" s="266">
        <x:f t="shared" si="23"/>
        <x:v>0</x:v>
      </x:c>
      <x:c r="Z52" s="226">
        <x:f t="shared" si="23"/>
        <x:v>0</x:v>
      </x:c>
      <x:c r="AA52" s="226">
        <x:f t="shared" si="23"/>
        <x:v>0</x:v>
      </x:c>
      <x:c r="AB52" s="226">
        <x:f t="shared" si="23"/>
        <x:v>0</x:v>
      </x:c>
      <x:c r="AC52" s="226">
        <x:f t="shared" si="23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3"/>
        <x:v>0</x:v>
      </x:c>
      <x:c r="AG52" s="268">
        <x:f t="shared" si="23"/>
        <x:v>0</x:v>
      </x:c>
      <x:c r="AH52" s="1" t="b">
        <x:f t="shared" si="18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R4'!D79</x:f>
        <x:v>0</x:v>
      </x:c>
      <x:c r="E66" s="228">
        <x:f>'Reversion Pagos R4'!E79</x:f>
        <x:v>0</x:v>
      </x:c>
      <x:c r="F66" s="228">
        <x:f>'Reversion Pagos R4'!F79</x:f>
        <x:v>0</x:v>
      </x:c>
      <x:c r="G66" s="228">
        <x:f>'Reversion Pagos R4'!G79</x:f>
        <x:v>0</x:v>
      </x:c>
      <x:c r="H66" s="228">
        <x:f>'Reversion Pagos R4'!H79</x:f>
        <x:v>0</x:v>
      </x:c>
      <x:c r="I66" s="228">
        <x:f>'Reversion Pagos R4'!I79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R4'!P79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R4'!J79</x:f>
        <x:v>0</x:v>
      </x:c>
      <x:c r="V66" s="244">
        <x:f>'Reversion Pagos R4'!K79</x:f>
        <x:v>0</x:v>
      </x:c>
      <x:c r="W66" s="244">
        <x:f>'Reversion Pagos R4'!L79</x:f>
        <x:v>0</x:v>
      </x:c>
      <x:c r="X66" s="244">
        <x:f>'Reversion Pagos R4'!M79</x:f>
        <x:v>0</x:v>
      </x:c>
      <x:c r="Y66" s="245">
        <x:f>'Reversion Pagos R4'!N79</x:f>
        <x:v>0</x:v>
      </x:c>
      <x:c r="Z66" s="246">
        <x:f>-L66</x:f>
        <x:v>0</x:v>
      </x:c>
      <x:c r="AA66" s="247">
        <x:f>+'Reversion Pagos R4'!O79</x:f>
        <x:v>0</x:v>
      </x:c>
      <x:c r="AB66" s="230">
        <x:f>N66</x:f>
        <x:v>0</x:v>
      </x:c>
      <x:c r="AC66" s="247">
        <x:f>+'Reversion Pagos R4'!Q79+'Reversion Pagos R4'!R79</x:f>
        <x:v>0</x:v>
      </x:c>
      <x:c r="AD66" s="227">
        <x:f>-J66+AE66</x:f>
        <x:v>0</x:v>
      </x:c>
      <x:c r="AE66" s="227">
        <x:f>'Reversion Pagos R4'!D80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R4'!D174</x:f>
        <x:v>0</x:v>
      </x:c>
      <x:c r="E67" s="228">
        <x:f>'Reversion Pagos R4'!E174</x:f>
        <x:v>0</x:v>
      </x:c>
      <x:c r="F67" s="228">
        <x:f>'Reversion Pagos R4'!F174</x:f>
        <x:v>0</x:v>
      </x:c>
      <x:c r="G67" s="228">
        <x:f>'Reversion Pagos R4'!G174</x:f>
        <x:v>0</x:v>
      </x:c>
      <x:c r="H67" s="228">
        <x:f>'Reversion Pagos R4'!H174</x:f>
        <x:v>0</x:v>
      </x:c>
      <x:c r="I67" s="228">
        <x:f>'Reversion Pagos R4'!I174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R4'!P174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R4'!J174</x:f>
        <x:v>0</x:v>
      </x:c>
      <x:c r="V67" s="253">
        <x:f>'Reversion Pagos R4'!K174</x:f>
        <x:v>0</x:v>
      </x:c>
      <x:c r="W67" s="253">
        <x:f>'Reversion Pagos R4'!L174</x:f>
        <x:v>0</x:v>
      </x:c>
      <x:c r="X67" s="253">
        <x:f>'Reversion Pagos R4'!M174</x:f>
        <x:v>0</x:v>
      </x:c>
      <x:c r="Y67" s="254">
        <x:f>'Reversion Pagos R4'!N174</x:f>
        <x:v>0</x:v>
      </x:c>
      <x:c r="Z67" s="255">
        <x:f t="shared" ref="Z67:Z70" si="26">-L67</x:f>
        <x:v>0</x:v>
      </x:c>
      <x:c r="AA67" s="256">
        <x:f>'Reversion Pagos R4'!O174</x:f>
        <x:v>0</x:v>
      </x:c>
      <x:c r="AB67" s="230">
        <x:f t="shared" ref="AB67:AB70" si="27">N67</x:f>
        <x:v>0</x:v>
      </x:c>
      <x:c r="AC67" s="256">
        <x:f>'Reversion Pagos R4'!Q174+'Reversion Pagos R4'!R174</x:f>
        <x:v>0</x:v>
      </x:c>
      <x:c r="AD67" s="227">
        <x:f t="shared" ref="AD67:AD70" si="28">-J67+AE67</x:f>
        <x:v>0</x:v>
      </x:c>
      <x:c r="AE67" s="227">
        <x:f>'Reversion Pagos R4'!D175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R4'!D211</x:f>
        <x:v>0</x:v>
      </x:c>
      <x:c r="E68" s="228">
        <x:f>'Reversion Pagos R4'!E211</x:f>
        <x:v>0</x:v>
      </x:c>
      <x:c r="F68" s="228">
        <x:f>'Reversion Pagos R4'!F211</x:f>
        <x:v>0</x:v>
      </x:c>
      <x:c r="G68" s="228">
        <x:f>'Reversion Pagos R4'!G211</x:f>
        <x:v>0</x:v>
      </x:c>
      <x:c r="H68" s="228">
        <x:f>'Reversion Pagos R4'!H211</x:f>
        <x:v>0</x:v>
      </x:c>
      <x:c r="I68" s="228">
        <x:f>'Reversion Pagos R4'!I211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R4'!P211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R4'!J211</x:f>
        <x:v>0</x:v>
      </x:c>
      <x:c r="V68" s="253">
        <x:f>'Reversion Pagos R4'!K211</x:f>
        <x:v>0</x:v>
      </x:c>
      <x:c r="W68" s="253">
        <x:f>'Reversion Pagos R4'!L211</x:f>
        <x:v>0</x:v>
      </x:c>
      <x:c r="X68" s="253">
        <x:f>'Reversion Pagos R4'!M211</x:f>
        <x:v>0</x:v>
      </x:c>
      <x:c r="Y68" s="254">
        <x:f>'Reversion Pagos R4'!N211</x:f>
        <x:v>0</x:v>
      </x:c>
      <x:c r="Z68" s="255">
        <x:f t="shared" si="26"/>
        <x:v>0</x:v>
      </x:c>
      <x:c r="AA68" s="256">
        <x:f>'Reversion Pagos R4'!O211</x:f>
        <x:v>0</x:v>
      </x:c>
      <x:c r="AB68" s="230">
        <x:f t="shared" si="27"/>
        <x:v>0</x:v>
      </x:c>
      <x:c r="AC68" s="256">
        <x:f>'Reversion Pagos R4'!Q211+'Reversion Pagos R4'!R211</x:f>
        <x:v>0</x:v>
      </x:c>
      <x:c r="AD68" s="227">
        <x:f t="shared" si="28"/>
        <x:v>0</x:v>
      </x:c>
      <x:c r="AE68" s="227">
        <x:f>'Reversion Pagos R4'!D212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R4'!D326</x:f>
        <x:v>0</x:v>
      </x:c>
      <x:c r="E69" s="228">
        <x:f>'Reversion Pagos R4'!E326</x:f>
        <x:v>0</x:v>
      </x:c>
      <x:c r="F69" s="228">
        <x:f>'Reversion Pagos R4'!F326</x:f>
        <x:v>0</x:v>
      </x:c>
      <x:c r="G69" s="228">
        <x:f>'Reversion Pagos R4'!G326</x:f>
        <x:v>0</x:v>
      </x:c>
      <x:c r="H69" s="228">
        <x:f>'Reversion Pagos R4'!H326</x:f>
        <x:v>0</x:v>
      </x:c>
      <x:c r="I69" s="228">
        <x:f>'Reversion Pagos R4'!I326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R4'!P326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R4'!J326</x:f>
        <x:v>0</x:v>
      </x:c>
      <x:c r="V69" s="253">
        <x:f>'Reversion Pagos R4'!K326</x:f>
        <x:v>0</x:v>
      </x:c>
      <x:c r="W69" s="253">
        <x:f>'Reversion Pagos R4'!L326</x:f>
        <x:v>0</x:v>
      </x:c>
      <x:c r="X69" s="253">
        <x:f>'Reversion Pagos R4'!M326</x:f>
        <x:v>0</x:v>
      </x:c>
      <x:c r="Y69" s="254">
        <x:f>'Reversion Pagos R4'!N326</x:f>
        <x:v>0</x:v>
      </x:c>
      <x:c r="Z69" s="255">
        <x:f t="shared" si="26"/>
        <x:v>0</x:v>
      </x:c>
      <x:c r="AA69" s="256">
        <x:f>'Reversion Pagos R4'!O326</x:f>
        <x:v>0</x:v>
      </x:c>
      <x:c r="AB69" s="230">
        <x:f t="shared" si="27"/>
        <x:v>0</x:v>
      </x:c>
      <x:c r="AC69" s="256">
        <x:f>'Reversion Pagos R4'!Q326+'Reversion Pagos R4'!R326</x:f>
        <x:v>0</x:v>
      </x:c>
      <x:c r="AD69" s="227">
        <x:f t="shared" si="28"/>
        <x:v>0</x:v>
      </x:c>
      <x:c r="AE69" s="227">
        <x:f>'Reversion Pagos R4'!D327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R4'!D361</x:f>
        <x:v>0</x:v>
      </x:c>
      <x:c r="E70" s="233">
        <x:f>'Reversion Pagos R4'!E361</x:f>
        <x:v>0</x:v>
      </x:c>
      <x:c r="F70" s="233">
        <x:f>'Reversion Pagos R4'!F361</x:f>
        <x:v>0</x:v>
      </x:c>
      <x:c r="G70" s="233">
        <x:f>'Reversion Pagos R4'!G361</x:f>
        <x:v>0</x:v>
      </x:c>
      <x:c r="H70" s="233">
        <x:f>'Reversion Pagos R4'!H361</x:f>
        <x:v>0</x:v>
      </x:c>
      <x:c r="I70" s="233">
        <x:f>'Reversion Pagos R4'!I361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R4'!P361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R4'!J361</x:f>
        <x:v>0</x:v>
      </x:c>
      <x:c r="V70" s="233">
        <x:f>'Reversion Pagos R4'!K361</x:f>
        <x:v>0</x:v>
      </x:c>
      <x:c r="W70" s="233">
        <x:f>'Reversion Pagos R4'!L361</x:f>
        <x:v>0</x:v>
      </x:c>
      <x:c r="X70" s="233">
        <x:f>'Reversion Pagos R4'!M361</x:f>
        <x:v>0</x:v>
      </x:c>
      <x:c r="Y70" s="225">
        <x:f>'Reversion Pagos R4'!N361</x:f>
        <x:v>0</x:v>
      </x:c>
      <x:c r="Z70" s="255">
        <x:f t="shared" si="26"/>
        <x:v>0</x:v>
      </x:c>
      <x:c r="AA70" s="256">
        <x:f>'Reversion Pagos R4'!O361</x:f>
        <x:v>0</x:v>
      </x:c>
      <x:c r="AB70" s="230">
        <x:f t="shared" si="27"/>
        <x:v>0</x:v>
      </x:c>
      <x:c r="AC70" s="256">
        <x:f>'Reversion Pagos R4'!Q361+'Reversion Pagos R4'!R361</x:f>
        <x:v>0</x:v>
      </x:c>
      <x:c r="AD70" s="227">
        <x:f t="shared" si="28"/>
        <x:v>0</x:v>
      </x:c>
      <x:c r="AE70" s="227">
        <x:f>'Reversion Pagos R4'!D362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ref="AC71" si="34">SUM(AC66:AC70)</x:f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f>'AJUSTES - SF-T'!D47</x:f>
        <x:v>0</x:v>
      </x:c>
      <x:c r="E85" s="228">
        <x:f>'AJUSTES - SF-T'!E47</x:f>
        <x:v>0</x:v>
      </x:c>
      <x:c r="F85" s="228">
        <x:f>'AJUSTES - SF-T'!F47</x:f>
        <x:v>0</x:v>
      </x:c>
      <x:c r="G85" s="228">
        <x:f>'AJUSTES - SF-T'!G47</x:f>
        <x:v>0</x:v>
      </x:c>
      <x:c r="H85" s="228">
        <x:f>'AJUSTES - SF-T'!H47</x:f>
        <x:v>0</x:v>
      </x:c>
      <x:c r="I85" s="228">
        <x:f>'AJUSTES - SF-T'!I47</x:f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f>'AJUSTES - SF-T'!U47</x:f>
        <x:v>0</x:v>
      </x:c>
      <x:c r="V85" s="248">
        <x:f>'AJUSTES - SF-T'!V47</x:f>
        <x:v>0</x:v>
      </x:c>
      <x:c r="W85" s="248">
        <x:f>'AJUSTES - SF-T'!W47</x:f>
        <x:v>0</x:v>
      </x:c>
      <x:c r="X85" s="248">
        <x:f>'AJUSTES - SF-T'!X47</x:f>
        <x:v>0</x:v>
      </x:c>
      <x:c r="Y85" s="248">
        <x:f>'AJUSTES - SF-T'!Y47</x:f>
        <x:v>0</x:v>
      </x:c>
      <x:c r="Z85" s="248">
        <x:f>'AJUSTES - SF-T'!Z47</x:f>
        <x:v>0</x:v>
      </x:c>
      <x:c r="AA85" s="488">
        <x:f>'AJUSTES - SF-T'!AA47</x:f>
        <x:v>0</x:v>
      </x:c>
      <x:c r="AB85" s="248">
        <x:f>'AJUSTES - SF-T'!AB47</x:f>
        <x:v>0</x:v>
      </x:c>
      <x:c r="AC85" s="488">
        <x:v>0</x:v>
      </x:c>
      <x:c r="AD85" s="257">
        <x:f>'AJUSTES - SF-T'!AC47</x:f>
        <x:v>0</x:v>
      </x:c>
      <x:c r="AE85" s="230">
        <x:f>'AJUSTES - SF-T'!AD47</x:f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5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6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7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8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f>'AJUSTES - SF-T'!D49</x:f>
        <x:v>0</x:v>
      </x:c>
      <x:c r="E87" s="228">
        <x:f>'AJUSTES - SF-T'!E49</x:f>
        <x:v>0</x:v>
      </x:c>
      <x:c r="F87" s="228">
        <x:f>'AJUSTES - SF-T'!F49</x:f>
        <x:v>0</x:v>
      </x:c>
      <x:c r="G87" s="228">
        <x:f>'AJUSTES - SF-T'!G49</x:f>
        <x:v>0</x:v>
      </x:c>
      <x:c r="H87" s="228">
        <x:f>'AJUSTES - SF-T'!H49</x:f>
        <x:v>0</x:v>
      </x:c>
      <x:c r="I87" s="228">
        <x:f>'AJUSTES - SF-T'!I49</x:f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f>'AJUSTES - SF-T'!U49</x:f>
        <x:v>0</x:v>
      </x:c>
      <x:c r="V87" s="256">
        <x:f>'AJUSTES - SF-T'!V49</x:f>
        <x:v>0</x:v>
      </x:c>
      <x:c r="W87" s="256">
        <x:f>'AJUSTES - SF-T'!W49</x:f>
        <x:v>0</x:v>
      </x:c>
      <x:c r="X87" s="256">
        <x:f>'AJUSTES - SF-T'!X49</x:f>
        <x:v>0</x:v>
      </x:c>
      <x:c r="Y87" s="256">
        <x:f>'AJUSTES - SF-T'!Y49</x:f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f>'AJUSTES - SF-T'!AC49</x:f>
        <x:v>0</x:v>
      </x:c>
      <x:c r="AE87" s="235">
        <x:f>'AJUSTES - SF-T'!AD49</x:f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8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5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6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7"/>
        <x:v>0</x:v>
      </x:c>
      <x:c r="AE88" s="235">
        <x:v>0</x:v>
      </x:c>
      <x:c r="AF88" s="301">
        <x:f t="shared" ref="AF88:AF89" si="39">SUM(U88:AD88)</x:f>
        <x:v>0</x:v>
      </x:c>
      <x:c r="AG88" s="487">
        <x:f>AF88-O88</x:f>
        <x:v>0</x:v>
      </x:c>
      <x:c r="AH88" s="1" t="b">
        <x:f t="shared" si="38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5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6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9"/>
        <x:v>0</x:v>
      </x:c>
      <x:c r="AG89" s="492">
        <x:f>AF89-O89</x:f>
        <x:v>0</x:v>
      </x:c>
      <x:c r="AH89" s="1" t="b">
        <x:f t="shared" si="38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40">SUM(D85:D89)</x:f>
        <x:v>0</x:v>
      </x:c>
      <x:c r="E90" s="226">
        <x:f t="shared" si="40"/>
        <x:v>0</x:v>
      </x:c>
      <x:c r="F90" s="226">
        <x:f t="shared" si="40"/>
        <x:v>0</x:v>
      </x:c>
      <x:c r="G90" s="226">
        <x:f t="shared" si="40"/>
        <x:v>0</x:v>
      </x:c>
      <x:c r="H90" s="226">
        <x:f t="shared" si="40"/>
        <x:v>0</x:v>
      </x:c>
      <x:c r="I90" s="226">
        <x:f t="shared" si="40"/>
        <x:v>0</x:v>
      </x:c>
      <x:c r="J90" s="226">
        <x:f t="shared" si="40"/>
        <x:v>0</x:v>
      </x:c>
      <x:c r="K90" s="236">
        <x:f t="shared" si="40"/>
        <x:v>0</x:v>
      </x:c>
      <x:c r="L90" s="237">
        <x:f t="shared" si="40"/>
        <x:v>0</x:v>
      </x:c>
      <x:c r="M90" s="238">
        <x:f t="shared" si="40"/>
        <x:v>0</x:v>
      </x:c>
      <x:c r="N90" s="237">
        <x:f t="shared" si="40"/>
        <x:v>0</x:v>
      </x:c>
      <x:c r="O90" s="238">
        <x:f t="shared" si="40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41">SUM(V85:V89)</x:f>
        <x:v>0</x:v>
      </x:c>
      <x:c r="W90" s="485">
        <x:f t="shared" si="41"/>
        <x:v>0</x:v>
      </x:c>
      <x:c r="X90" s="266">
        <x:f t="shared" si="41"/>
        <x:v>0</x:v>
      </x:c>
      <x:c r="Y90" s="266">
        <x:f t="shared" si="41"/>
        <x:v>0</x:v>
      </x:c>
      <x:c r="Z90" s="226">
        <x:f t="shared" si="41"/>
        <x:v>0</x:v>
      </x:c>
      <x:c r="AA90" s="226">
        <x:f t="shared" si="41"/>
        <x:v>0</x:v>
      </x:c>
      <x:c r="AB90" s="226">
        <x:f t="shared" si="41"/>
        <x:v>0</x:v>
      </x:c>
      <x:c r="AC90" s="226">
        <x:f t="shared" ref="AC90" si="42">SUM(AC85:AC89)</x:f>
        <x:v>0</x:v>
      </x:c>
      <x:c r="AD90" s="226">
        <x:f t="shared" si="41"/>
        <x:v>0</x:v>
      </x:c>
      <x:c r="AE90" s="226">
        <x:f t="shared" si="41"/>
        <x:v>0</x:v>
      </x:c>
      <x:c r="AF90" s="267">
        <x:f t="shared" si="41"/>
        <x:v>0</x:v>
      </x:c>
      <x:c r="AG90" s="268">
        <x:f t="shared" si="41"/>
        <x:v>0</x:v>
      </x:c>
      <x:c r="AH90" s="1" t="b">
        <x:f t="shared" si="38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216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3">D9+D28+D47+D66+D85</x:f>
        <x:v>0</x:v>
      </x:c>
      <x:c r="E104" s="228">
        <x:f t="shared" si="43"/>
        <x:v>0</x:v>
      </x:c>
      <x:c r="F104" s="228">
        <x:f t="shared" si="43"/>
        <x:v>0</x:v>
      </x:c>
      <x:c r="G104" s="228">
        <x:f t="shared" si="43"/>
        <x:v>0</x:v>
      </x:c>
      <x:c r="H104" s="228">
        <x:f t="shared" si="43"/>
        <x:v>0</x:v>
      </x:c>
      <x:c r="I104" s="228">
        <x:f t="shared" si="43"/>
        <x:v>0</x:v>
      </x:c>
      <x:c r="J104" s="228">
        <x:f t="shared" si="43"/>
        <x:v>0</x:v>
      </x:c>
      <x:c r="K104" s="229">
        <x:f>D104-E104-F104-G104-H104-I104-J104</x:f>
        <x:v>0</x:v>
      </x:c>
      <x:c r="L104" s="230">
        <x:f>L9+L28+L47+L66+L85</x:f>
        <x:v>189185988</x:v>
      </x:c>
      <x:c r="M104" s="229">
        <x:f>K104-L104</x:f>
        <x:v>-189185988</x:v>
      </x:c>
      <x:c r="N104" s="230">
        <x:f>N9+N28+N47+N66+N85</x:f>
        <x:v>0</x:v>
      </x:c>
      <x:c r="O104" s="229">
        <x:f>M104+N104</x:f>
        <x:v>-189185988</x:v>
      </x:c>
      <x:c r="Q104" s="242"/>
      <x:c r="S104" s="239">
        <x:v>1</x:v>
      </x:c>
      <x:c r="T104" s="240" t="s">
        <x:v>10</x:v>
      </x:c>
      <x:c r="U104" s="243">
        <x:f t="shared" ref="U104:AB108" si="44">U9+U28+U47+U66+U85</x:f>
        <x:v>0</x:v>
      </x:c>
      <x:c r="V104" s="244">
        <x:f t="shared" si="44"/>
        <x:v>0</x:v>
      </x:c>
      <x:c r="W104" s="244">
        <x:f t="shared" si="44"/>
        <x:v>0</x:v>
      </x:c>
      <x:c r="X104" s="244">
        <x:f t="shared" si="44"/>
        <x:v>0</x:v>
      </x:c>
      <x:c r="Y104" s="245">
        <x:f t="shared" si="44"/>
        <x:v>0</x:v>
      </x:c>
      <x:c r="Z104" s="246">
        <x:f t="shared" si="44"/>
        <x:v>-189185988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-189185988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3"/>
        <x:v>0</x:v>
      </x:c>
      <x:c r="E105" s="228">
        <x:f t="shared" si="43"/>
        <x:v>0</x:v>
      </x:c>
      <x:c r="F105" s="228">
        <x:f t="shared" si="43"/>
        <x:v>0</x:v>
      </x:c>
      <x:c r="G105" s="228">
        <x:f t="shared" si="43"/>
        <x:v>0</x:v>
      </x:c>
      <x:c r="H105" s="228">
        <x:f t="shared" si="43"/>
        <x:v>0</x:v>
      </x:c>
      <x:c r="I105" s="228">
        <x:f t="shared" si="43"/>
        <x:v>0</x:v>
      </x:c>
      <x:c r="J105" s="228">
        <x:f t="shared" si="43"/>
        <x:v>0</x:v>
      </x:c>
      <x:c r="K105" s="231">
        <x:f t="shared" ref="K105:K108" si="45">D105-E105-F105-G105-H105-I105-J105</x:f>
        <x:v>0</x:v>
      </x:c>
      <x:c r="L105" s="230">
        <x:f>L10+L29+L48+L67+L86</x:f>
        <x:v>266580256</x:v>
      </x:c>
      <x:c r="M105" s="231">
        <x:f>K105-L105</x:f>
        <x:v>-266580256</x:v>
      </x:c>
      <x:c r="N105" s="230">
        <x:f>N10+N29+N48+N67+N86</x:f>
        <x:v>0</x:v>
      </x:c>
      <x:c r="O105" s="231">
        <x:f t="shared" ref="O105:O108" si="46">M105+N105</x:f>
        <x:v>-266580256</x:v>
      </x:c>
      <x:c r="Q105" s="242"/>
      <x:c r="S105" s="250">
        <x:v>2</x:v>
      </x:c>
      <x:c r="T105" s="251" t="s">
        <x:v>11</x:v>
      </x:c>
      <x:c r="U105" s="252">
        <x:f t="shared" si="44"/>
        <x:v>0</x:v>
      </x:c>
      <x:c r="V105" s="253">
        <x:f t="shared" si="44"/>
        <x:v>0</x:v>
      </x:c>
      <x:c r="W105" s="253">
        <x:f t="shared" si="44"/>
        <x:v>0</x:v>
      </x:c>
      <x:c r="X105" s="253">
        <x:f t="shared" si="44"/>
        <x:v>0</x:v>
      </x:c>
      <x:c r="Y105" s="254">
        <x:f t="shared" si="44"/>
        <x:v>0</x:v>
      </x:c>
      <x:c r="Z105" s="255">
        <x:f t="shared" si="44"/>
        <x:v>-266580256</x:v>
      </x:c>
      <x:c r="AA105" s="256">
        <x:f t="shared" si="44"/>
        <x:v>0</x:v>
      </x:c>
      <x:c r="AB105" s="230">
        <x:f t="shared" si="44"/>
        <x:v>0</x:v>
      </x:c>
      <x:c r="AC105" s="256">
        <x:f t="shared" ref="AC105" si="47">AC10+AC29+AC48+AC67+AC86</x:f>
        <x:v>0</x:v>
      </x:c>
      <x:c r="AD105" s="227">
        <x:f t="shared" ref="AD105:AD106" si="48">-J105+AE105</x:f>
        <x:v>0</x:v>
      </x:c>
      <x:c r="AE105" s="227">
        <x:f>AE10+AE29+AE48+AE67+AE86</x:f>
        <x:v>0</x:v>
      </x:c>
      <x:c r="AF105" s="258">
        <x:f>SUM(U105:AD105)</x:f>
        <x:v>-266580256</x:v>
      </x:c>
      <x:c r="AG105" s="259">
        <x:f>AF105-O105</x:f>
        <x:v>0</x:v>
      </x:c>
      <x:c r="AH105" s="1" t="b">
        <x:f t="shared" ref="AH105:AH109" si="49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3"/>
        <x:v>0</x:v>
      </x:c>
      <x:c r="E106" s="228">
        <x:f t="shared" si="43"/>
        <x:v>0</x:v>
      </x:c>
      <x:c r="F106" s="228">
        <x:f t="shared" si="43"/>
        <x:v>0</x:v>
      </x:c>
      <x:c r="G106" s="228">
        <x:f t="shared" si="43"/>
        <x:v>0</x:v>
      </x:c>
      <x:c r="H106" s="228">
        <x:f t="shared" si="43"/>
        <x:v>0</x:v>
      </x:c>
      <x:c r="I106" s="228">
        <x:f t="shared" si="43"/>
        <x:v>0</x:v>
      </x:c>
      <x:c r="J106" s="228">
        <x:f t="shared" si="43"/>
        <x:v>0</x:v>
      </x:c>
      <x:c r="K106" s="231">
        <x:f t="shared" si="45"/>
        <x:v>0</x:v>
      </x:c>
      <x:c r="L106" s="230">
        <x:f>L11+L30+L49+L68+L87</x:f>
        <x:v>154788536</x:v>
      </x:c>
      <x:c r="M106" s="231">
        <x:f>K106-L106</x:f>
        <x:v>-154788536</x:v>
      </x:c>
      <x:c r="N106" s="230">
        <x:f>N11+N30+N49+N68+N87</x:f>
        <x:v>0</x:v>
      </x:c>
      <x:c r="O106" s="231">
        <x:f t="shared" si="46"/>
        <x:v>-154788536</x:v>
      </x:c>
      <x:c r="Q106" s="242"/>
      <x:c r="S106" s="250">
        <x:v>3</x:v>
      </x:c>
      <x:c r="T106" s="251" t="s">
        <x:v>12</x:v>
      </x:c>
      <x:c r="U106" s="252">
        <x:f t="shared" si="44"/>
        <x:v>0</x:v>
      </x:c>
      <x:c r="V106" s="253">
        <x:f t="shared" si="44"/>
        <x:v>0</x:v>
      </x:c>
      <x:c r="W106" s="253">
        <x:f t="shared" si="44"/>
        <x:v>0</x:v>
      </x:c>
      <x:c r="X106" s="253">
        <x:f t="shared" si="44"/>
        <x:v>0</x:v>
      </x:c>
      <x:c r="Y106" s="254">
        <x:f t="shared" si="44"/>
        <x:v>0</x:v>
      </x:c>
      <x:c r="Z106" s="255">
        <x:f t="shared" si="44"/>
        <x:v>-154788536</x:v>
      </x:c>
      <x:c r="AA106" s="256">
        <x:f t="shared" si="44"/>
        <x:v>0</x:v>
      </x:c>
      <x:c r="AB106" s="230">
        <x:f t="shared" si="44"/>
        <x:v>0</x:v>
      </x:c>
      <x:c r="AC106" s="256">
        <x:f t="shared" ref="AC106" si="50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-154788536</x:v>
      </x:c>
      <x:c r="AG106" s="259">
        <x:f>AF106-O106</x:f>
        <x:v>0</x:v>
      </x:c>
      <x:c r="AH106" s="1" t="b">
        <x:f t="shared" si="49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3"/>
        <x:v>0</x:v>
      </x:c>
      <x:c r="E107" s="228">
        <x:f t="shared" si="43"/>
        <x:v>0</x:v>
      </x:c>
      <x:c r="F107" s="228">
        <x:f t="shared" si="43"/>
        <x:v>0</x:v>
      </x:c>
      <x:c r="G107" s="228">
        <x:f t="shared" si="43"/>
        <x:v>0</x:v>
      </x:c>
      <x:c r="H107" s="228">
        <x:f t="shared" si="43"/>
        <x:v>0</x:v>
      </x:c>
      <x:c r="I107" s="228">
        <x:f t="shared" si="43"/>
        <x:v>0</x:v>
      </x:c>
      <x:c r="J107" s="228">
        <x:f t="shared" si="43"/>
        <x:v>0</x:v>
      </x:c>
      <x:c r="K107" s="231">
        <x:f t="shared" si="45"/>
        <x:v>0</x:v>
      </x:c>
      <x:c r="L107" s="230">
        <x:f>L12+L31+L50+L69+L88</x:f>
        <x:v>120391083</x:v>
      </x:c>
      <x:c r="M107" s="231">
        <x:f>K107-L107</x:f>
        <x:v>-120391083</x:v>
      </x:c>
      <x:c r="N107" s="230">
        <x:f>N12+N31+N50+N69+N88</x:f>
        <x:v>0</x:v>
      </x:c>
      <x:c r="O107" s="231">
        <x:f>M107+N107</x:f>
        <x:v>-120391083</x:v>
      </x:c>
      <x:c r="Q107" s="242"/>
      <x:c r="S107" s="250">
        <x:v>4</x:v>
      </x:c>
      <x:c r="T107" s="251" t="s">
        <x:v>13</x:v>
      </x:c>
      <x:c r="U107" s="252">
        <x:f t="shared" si="44"/>
        <x:v>0</x:v>
      </x:c>
      <x:c r="V107" s="253">
        <x:f t="shared" si="44"/>
        <x:v>0</x:v>
      </x:c>
      <x:c r="W107" s="253">
        <x:f t="shared" si="44"/>
        <x:v>0</x:v>
      </x:c>
      <x:c r="X107" s="253">
        <x:f t="shared" si="44"/>
        <x:v>0</x:v>
      </x:c>
      <x:c r="Y107" s="254">
        <x:f t="shared" si="44"/>
        <x:v>0</x:v>
      </x:c>
      <x:c r="Z107" s="255">
        <x:f t="shared" si="44"/>
        <x:v>-120391083</x:v>
      </x:c>
      <x:c r="AA107" s="256">
        <x:f>AA12+AA31+AA50+AA69+AA88</x:f>
        <x:v>0</x:v>
      </x:c>
      <x:c r="AB107" s="230">
        <x:f t="shared" si="44"/>
        <x:v>0</x:v>
      </x:c>
      <x:c r="AC107" s="256">
        <x:f t="shared" ref="AC107" si="51">AC12+AC31+AC50+AC69+AC88</x:f>
        <x:v>0</x:v>
      </x:c>
      <x:c r="AD107" s="227">
        <x:f t="shared" ref="AD107" si="52">-J107+AE107</x:f>
        <x:v>0</x:v>
      </x:c>
      <x:c r="AE107" s="227">
        <x:f>AE12+AE31+AE50+AE69+AE88</x:f>
        <x:v>0</x:v>
      </x:c>
      <x:c r="AF107" s="258">
        <x:f t="shared" ref="AF107:AF108" si="53">SUM(U107:AD107)</x:f>
        <x:v>-120391083</x:v>
      </x:c>
      <x:c r="AG107" s="259">
        <x:f>AF117-O117</x:f>
        <x:v>0</x:v>
      </x:c>
      <x:c r="AH107" s="1" t="b">
        <x:f t="shared" si="49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3"/>
        <x:v>0</x:v>
      </x:c>
      <x:c r="F108" s="233">
        <x:f t="shared" si="43"/>
        <x:v>0</x:v>
      </x:c>
      <x:c r="G108" s="233">
        <x:f t="shared" si="43"/>
        <x:v>0</x:v>
      </x:c>
      <x:c r="H108" s="233">
        <x:f t="shared" si="43"/>
        <x:v>0</x:v>
      </x:c>
      <x:c r="I108" s="233">
        <x:f t="shared" si="43"/>
        <x:v>0</x:v>
      </x:c>
      <x:c r="J108" s="233">
        <x:f t="shared" si="43"/>
        <x:v>0</x:v>
      </x:c>
      <x:c r="K108" s="231">
        <x:f t="shared" si="45"/>
        <x:v>0</x:v>
      </x:c>
      <x:c r="L108" s="230">
        <x:f>L13+L32+L51+L70+L89</x:f>
        <x:v>128990446</x:v>
      </x:c>
      <x:c r="M108" s="234">
        <x:f>K108-L108</x:f>
        <x:v>-128990446</x:v>
      </x:c>
      <x:c r="N108" s="235">
        <x:f>N13+N32+N51+N70+N89</x:f>
        <x:v>0</x:v>
      </x:c>
      <x:c r="O108" s="234">
        <x:f t="shared" si="46"/>
        <x:v>-128990446</x:v>
      </x:c>
      <x:c r="Q108" s="242"/>
      <x:c r="S108" s="260">
        <x:v>5</x:v>
      </x:c>
      <x:c r="T108" s="261" t="s">
        <x:v>14</x:v>
      </x:c>
      <x:c r="U108" s="232">
        <x:f t="shared" si="44"/>
        <x:v>0</x:v>
      </x:c>
      <x:c r="V108" s="233">
        <x:f t="shared" si="44"/>
        <x:v>0</x:v>
      </x:c>
      <x:c r="W108" s="233">
        <x:f t="shared" si="44"/>
        <x:v>0</x:v>
      </x:c>
      <x:c r="X108" s="233">
        <x:f t="shared" si="44"/>
        <x:v>0</x:v>
      </x:c>
      <x:c r="Y108" s="225">
        <x:f t="shared" si="44"/>
        <x:v>0</x:v>
      </x:c>
      <x:c r="Z108" s="255">
        <x:f t="shared" si="44"/>
        <x:v>-128990446</x:v>
      </x:c>
      <x:c r="AA108" s="256">
        <x:f t="shared" si="44"/>
        <x:v>0</x:v>
      </x:c>
      <x:c r="AB108" s="230">
        <x:f t="shared" si="44"/>
        <x:v>0</x:v>
      </x:c>
      <x:c r="AC108" s="256">
        <x:f t="shared" ref="AC108" si="54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 t="shared" si="53"/>
        <x:v>-128990446</x:v>
      </x:c>
      <x:c r="AG108" s="262">
        <x:f>AF108-O108</x:f>
        <x:v>0</x:v>
      </x:c>
      <x:c r="AH108" s="1" t="b">
        <x:f t="shared" si="49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5">SUM(D104:D108)</x:f>
        <x:v>0</x:v>
      </x:c>
      <x:c r="E109" s="226">
        <x:f t="shared" si="55"/>
        <x:v>0</x:v>
      </x:c>
      <x:c r="F109" s="226">
        <x:f t="shared" si="55"/>
        <x:v>0</x:v>
      </x:c>
      <x:c r="G109" s="226">
        <x:f t="shared" si="55"/>
        <x:v>0</x:v>
      </x:c>
      <x:c r="H109" s="226">
        <x:f t="shared" si="55"/>
        <x:v>0</x:v>
      </x:c>
      <x:c r="I109" s="226">
        <x:f t="shared" si="55"/>
        <x:v>0</x:v>
      </x:c>
      <x:c r="J109" s="226">
        <x:f t="shared" si="55"/>
        <x:v>0</x:v>
      </x:c>
      <x:c r="K109" s="236">
        <x:f t="shared" si="55"/>
        <x:v>0</x:v>
      </x:c>
      <x:c r="L109" s="237">
        <x:f t="shared" si="55"/>
        <x:v>859936309</x:v>
      </x:c>
      <x:c r="M109" s="238">
        <x:f t="shared" si="55"/>
        <x:v>-859936309</x:v>
      </x:c>
      <x:c r="N109" s="237">
        <x:f t="shared" si="55"/>
        <x:v>0</x:v>
      </x:c>
      <x:c r="O109" s="238">
        <x:f t="shared" si="55"/>
        <x:v>-859936309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6">SUM(V104:V108)</x:f>
        <x:v>0</x:v>
      </x:c>
      <x:c r="W109" s="266">
        <x:f t="shared" si="56"/>
        <x:v>0</x:v>
      </x:c>
      <x:c r="X109" s="266">
        <x:f t="shared" si="56"/>
        <x:v>0</x:v>
      </x:c>
      <x:c r="Y109" s="266">
        <x:f t="shared" si="56"/>
        <x:v>0</x:v>
      </x:c>
      <x:c r="Z109" s="226">
        <x:f t="shared" si="56"/>
        <x:v>-859936309</x:v>
      </x:c>
      <x:c r="AA109" s="226">
        <x:f t="shared" si="56"/>
        <x:v>0</x:v>
      </x:c>
      <x:c r="AB109" s="226">
        <x:f t="shared" si="56"/>
        <x:v>0</x:v>
      </x:c>
      <x:c r="AC109" s="226">
        <x:f t="shared" si="56"/>
        <x:v>0</x:v>
      </x:c>
      <x:c r="AD109" s="226">
        <x:f t="shared" si="56"/>
        <x:v>0</x:v>
      </x:c>
      <x:c r="AE109" s="226">
        <x:f>SUM(AE104:AE108)</x:f>
        <x:v>0</x:v>
      </x:c>
      <x:c r="AF109" s="267">
        <x:f t="shared" si="56"/>
        <x:v>-859936309</x:v>
      </x:c>
      <x:c r="AG109" s="268">
        <x:f>SUM(AG104:AG108)</x:f>
        <x:v>0</x:v>
      </x:c>
      <x:c r="AH109" s="1" t="b">
        <x:f t="shared" si="49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USUARIOS'!I3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USUARIOS'!I12</x:f>
        <x:v>0</x:v>
      </x:c>
      <x:c r="L125" s="245">
        <x:f>-'ANTICIPOS USUARIOS'!I21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7">D67+N67</x:f>
        <x:v>0</x:v>
      </x:c>
      <x:c r="K126" s="224">
        <x:f>'ANTICIPOS USUARIOS'!I13</x:f>
        <x:v>0</x:v>
      </x:c>
      <x:c r="L126" s="224">
        <x:f>-'ANTICIPOS USUARIOS'!I22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7"/>
        <x:v>0</x:v>
      </x:c>
      <x:c r="K127" s="224">
        <x:f>'ANTICIPOS USUARIOS'!I14</x:f>
        <x:v>0</x:v>
      </x:c>
      <x:c r="L127" s="224">
        <x:f>-'ANTICIPOS USUARIOS'!I23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7"/>
        <x:v>0</x:v>
      </x:c>
      <x:c r="K128" s="224">
        <x:f>'ANTICIPOS USUARIOS'!I15</x:f>
        <x:v>0</x:v>
      </x:c>
      <x:c r="L128" s="224">
        <x:f>-'ANTICIPOS USUARIOS'!I24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USUARIOS'!I7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7"/>
        <x:v>0</x:v>
      </x:c>
      <x:c r="K129" s="224">
        <x:f>'ANTICIPOS USUARIOS'!I16</x:f>
        <x:v>0</x:v>
      </x:c>
      <x:c r="L129" s="224">
        <x:f>-'ANTICIPOS USUARIOS'!I25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58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ENEL'!F21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BANCO'!E62)</x:f>
        <x:v>0</x:v>
      </x:c>
      <x:c r="J142" s="103">
        <x:f t="shared" ref="J142:K146" si="59">G125</x:f>
        <x:v>0</x:v>
      </x:c>
      <x:c r="K142" s="104">
        <x:f t="shared" si="59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443">
        <x:f>D143-E143-F143-G143-J143-H143-I143</x:f>
        <x:v>0</x:v>
      </x:c>
      <x:c r="M143" s="1" t="b">
        <x:f t="shared" ref="M143:M147" si="60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443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443">
        <x:f>D145-E145-F145-G145-J145-H145-I145</x:f>
        <x:v>0</x:v>
      </x:c>
      <x:c r="M145" s="1" t="b">
        <x:f t="shared" si="60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ENEL'!F25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BANCO'!E72)</x:f>
        <x:v>0</x:v>
      </x:c>
      <x:c r="J146" s="123">
        <x:f t="shared" si="59"/>
        <x:v>0</x:v>
      </x:c>
      <x:c r="K146" s="125">
        <x:f t="shared" si="59"/>
        <x:v>0</x:v>
      </x:c>
      <x:c r="L146" s="443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443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M16" sqref="M16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ENEL'!F21</x:f>
        <x:v>0</x:v>
      </x:c>
      <x:c r="D3" s="228">
        <x:f>REMUNERACION_ENEL!G125</x:f>
        <x:v>0</x:v>
      </x:c>
      <x:c r="E3" s="228">
        <x:f>REMUNERACION_ENEL!D28+REMUNERACION_ENEL!N28</x:f>
        <x:v>0</x:v>
      </x:c>
      <x:c r="F3" s="228">
        <x:f>REMUNERACION_ENEL!I142</x:f>
        <x:v>0</x:v>
      </x:c>
      <x:c r="G3" s="228">
        <x:f>REMUNERACION_ENEL!H142</x:f>
        <x:v>0</x:v>
      </x:c>
      <x:c r="H3" s="276">
        <x:f>SUM(C3:G3)</x:f>
        <x:v>0</x:v>
      </x:c>
      <x:c r="I3" s="227">
        <x:f>REMUNERACION_ENEL!D104</x:f>
        <x:v>0</x:v>
      </x:c>
      <x:c r="J3" s="228">
        <x:f>REMUNERACION_ENEL!N104</x:f>
        <x:v>0</x:v>
      </x:c>
      <x:c r="K3" s="228">
        <x:f>REMUNERACION_ENEL!D125</x:f>
        <x:v>0</x:v>
      </x:c>
      <x:c r="L3" s="289">
        <x:f>REMUNERACION_ENEL!E125</x:f>
        <x:v>0</x:v>
      </x:c>
      <x:c r="M3" s="228">
        <x:f>-REMUNERACION_ENEL!D66-REMUNERACION_ENEL!N66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ENEL'!F22</x:f>
        <x:v>0</x:v>
      </x:c>
      <x:c r="D4" s="228">
        <x:f>REMUNERACION_ENEL!G126</x:f>
        <x:v>0</x:v>
      </x:c>
      <x:c r="E4" s="228">
        <x:f>REMUNERACION_ENEL!D29+REMUNERACION_ENEL!N29</x:f>
        <x:v>0</x:v>
      </x:c>
      <x:c r="F4" s="228">
        <x:f>REMUNERACION_ENEL!I143</x:f>
        <x:v>0</x:v>
      </x:c>
      <x:c r="G4" s="228">
        <x:f>REMUNERACION_ENEL!H143</x:f>
        <x:v>0</x:v>
      </x:c>
      <x:c r="H4" s="276">
        <x:f t="shared" ref="H4:H8" si="1">SUM(C4:G4)</x:f>
        <x:v>0</x:v>
      </x:c>
      <x:c r="I4" s="227">
        <x:f>REMUNERACION_ENEL!D105</x:f>
        <x:v>0</x:v>
      </x:c>
      <x:c r="J4" s="228">
        <x:f>REMUNERACION_ENEL!N105</x:f>
        <x:v>0</x:v>
      </x:c>
      <x:c r="K4" s="228">
        <x:f>REMUNERACION_ENEL!D126</x:f>
        <x:v>0</x:v>
      </x:c>
      <x:c r="L4" s="289">
        <x:f>REMUNERACION_ENEL!E126</x:f>
        <x:v>0</x:v>
      </x:c>
      <x:c r="M4" s="228">
        <x:f>-REMUNERACION_ENEL!D67-REMUNERACION_ENEL!N67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ENEL'!F23</x:f>
        <x:v>0</x:v>
      </x:c>
      <x:c r="D5" s="228">
        <x:f>REMUNERACION_ENEL!G127</x:f>
        <x:v>0</x:v>
      </x:c>
      <x:c r="E5" s="228">
        <x:f>REMUNERACION_ENEL!D30+REMUNERACION_ENEL!N30</x:f>
        <x:v>0</x:v>
      </x:c>
      <x:c r="F5" s="228">
        <x:f>REMUNERACION_ENEL!I144</x:f>
        <x:v>0</x:v>
      </x:c>
      <x:c r="G5" s="228">
        <x:f>REMUNERACION_ENEL!H144</x:f>
        <x:v>0</x:v>
      </x:c>
      <x:c r="H5" s="276">
        <x:f t="shared" si="1"/>
        <x:v>0</x:v>
      </x:c>
      <x:c r="I5" s="227">
        <x:f>REMUNERACION_ENEL!D106</x:f>
        <x:v>0</x:v>
      </x:c>
      <x:c r="J5" s="228">
        <x:f>REMUNERACION_ENEL!N106</x:f>
        <x:v>0</x:v>
      </x:c>
      <x:c r="K5" s="228">
        <x:f>REMUNERACION_ENEL!D127</x:f>
        <x:v>0</x:v>
      </x:c>
      <x:c r="L5" s="289">
        <x:f>REMUNERACION_ENEL!E127</x:f>
        <x:v>0</x:v>
      </x:c>
      <x:c r="M5" s="228">
        <x:f>-REMUNERACION_ENEL!D68-REMUNERACION_ENEL!N68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ENEL'!F24</x:f>
        <x:v>0</x:v>
      </x:c>
      <x:c r="D6" s="228">
        <x:f>REMUNERACION_ENEL!G128</x:f>
        <x:v>0</x:v>
      </x:c>
      <x:c r="E6" s="228">
        <x:f>REMUNERACION_ENEL!D31+REMUNERACION_ENEL!N31</x:f>
        <x:v>0</x:v>
      </x:c>
      <x:c r="F6" s="228">
        <x:f>REMUNERACION_ENEL!I145</x:f>
        <x:v>0</x:v>
      </x:c>
      <x:c r="G6" s="228">
        <x:f>REMUNERACION_ENEL!H145</x:f>
        <x:v>0</x:v>
      </x:c>
      <x:c r="H6" s="276">
        <x:f t="shared" si="1"/>
        <x:v>0</x:v>
      </x:c>
      <x:c r="I6" s="227">
        <x:f>REMUNERACION_ENEL!D107</x:f>
        <x:v>0</x:v>
      </x:c>
      <x:c r="J6" s="228">
        <x:f>REMUNERACION_ENEL!N107</x:f>
        <x:v>0</x:v>
      </x:c>
      <x:c r="K6" s="228">
        <x:f>REMUNERACION_ENEL!D128</x:f>
        <x:v>0</x:v>
      </x:c>
      <x:c r="L6" s="289">
        <x:f>REMUNERACION_ENEL!E128</x:f>
        <x:v>0</x:v>
      </x:c>
      <x:c r="M6" s="228">
        <x:f>-REMUNERACION_ENEL!D69-REMUNERACION_ENEL!N69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ENEL'!F25</x:f>
        <x:v>0</x:v>
      </x:c>
      <x:c r="D7" s="228">
        <x:f>REMUNERACION_ENEL!G129</x:f>
        <x:v>0</x:v>
      </x:c>
      <x:c r="E7" s="228">
        <x:f>REMUNERACION_ENEL!D32+REMUNERACION_ENEL!N32</x:f>
        <x:v>0</x:v>
      </x:c>
      <x:c r="F7" s="228">
        <x:f>REMUNERACION_ENEL!I146</x:f>
        <x:v>0</x:v>
      </x:c>
      <x:c r="G7" s="228">
        <x:f>REMUNERACION_ENEL!H146</x:f>
        <x:v>0</x:v>
      </x:c>
      <x:c r="H7" s="276">
        <x:f t="shared" si="1"/>
        <x:v>0</x:v>
      </x:c>
      <x:c r="I7" s="227">
        <x:f>REMUNERACION_ENEL!D108</x:f>
        <x:v>0</x:v>
      </x:c>
      <x:c r="J7" s="228">
        <x:f>REMUNERACION_ENEL!N108</x:f>
        <x:v>0</x:v>
      </x:c>
      <x:c r="K7" s="228">
        <x:f>REMUNERACION_ENEL!D129</x:f>
        <x:v>0</x:v>
      </x:c>
      <x:c r="L7" s="289">
        <x:f>REMUNERACION_ENEL!E129</x:f>
        <x:v>0</x:v>
      </x:c>
      <x:c r="M7" s="228">
        <x:f>-REMUNERACION_ENEL!D70-REMUNERACION_ENEL!N70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ENEL'!F26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REMUNERACION_ENEL!E130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Recaudo'!D7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zoomScaleNormal="100" workbookViewId="0">
      <x:selection activeCell="F17" sqref="F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REMUNERACION_ENEL!D101</x:f>
        <x:v>46238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REMUNERACION_ENEL!D102</x:f>
        <x:v>0.58333333333333337</x:v>
      </x:c>
      <x:c r="F7" s="2" t="s">
        <x:v>27</x:v>
      </x:c>
      <x:c r="G7" s="9">
        <x:f>REMUNERACION_ENEL!G102</x:f>
        <x:v>46219</x:v>
      </x:c>
      <x:c r="J7" s="2" t="s">
        <x:v>28</x:v>
      </x:c>
      <x:c r="K7" s="9">
        <x:f>REMUNERACION_ENEL!K102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REMUNERACION_ENEL!G122</x:f>
        <x:v>46219</x:v>
      </x:c>
      <x:c r="J27" s="2" t="s">
        <x:v>28</x:v>
      </x:c>
      <x:c r="K27" s="9">
        <x:f>REMUNERACION_ENEL!K122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REMUNERACION_ENEL!D125</x:f>
        <x:v>0</x:v>
      </x:c>
      <x:c r="E30" s="104">
        <x:f>REMUNERACION_ENEL!E125</x:f>
        <x:v>0</x:v>
      </x:c>
      <x:c r="G30" s="272">
        <x:f>REMUNERACION_ENEL!G125</x:f>
        <x:v>0</x:v>
      </x:c>
      <x:c r="H30" s="246">
        <x:f>REMUNERACION_ENEL!H125</x:f>
        <x:v>0</x:v>
      </x:c>
      <x:c r="I30" s="245">
        <x:f>REMUNERACION_ENEL!I125</x:f>
        <x:v>0</x:v>
      </x:c>
      <x:c r="J30" s="245">
        <x:f>REMUNERACION_ENEL!J125</x:f>
        <x:v>0</x:v>
      </x:c>
      <x:c r="K30" s="245">
        <x:f>REMUNERACION_ENEL!K125</x:f>
        <x:v>0</x:v>
      </x:c>
      <x:c r="L30" s="245">
        <x:f>REMUNERACION_ENEL!L125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275">
        <x:f>REMUNERACION_ENEL!G126</x:f>
        <x:v>0</x:v>
      </x:c>
      <x:c r="H31" s="276">
        <x:f>REMUNERACION_ENEL!H126</x:f>
        <x:v>0</x:v>
      </x:c>
      <x:c r="I31" s="224">
        <x:f>REMUNERACION_ENEL!I126</x:f>
        <x:v>0</x:v>
      </x:c>
      <x:c r="J31" s="224">
        <x:f>REMUNERACION_ENEL!J126</x:f>
        <x:v>0</x:v>
      </x:c>
      <x:c r="K31" s="224">
        <x:f>REMUNERACION_ENEL!K126</x:f>
        <x:v>0</x:v>
      </x:c>
      <x:c r="L31" s="224">
        <x:f>REMUNERACION_ENEL!L126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275">
        <x:f>REMUNERACION_ENEL!G127</x:f>
        <x:v>0</x:v>
      </x:c>
      <x:c r="H32" s="276">
        <x:f>REMUNERACION_ENEL!H127</x:f>
        <x:v>0</x:v>
      </x:c>
      <x:c r="I32" s="224">
        <x:f>REMUNERACION_ENEL!I127</x:f>
        <x:v>0</x:v>
      </x:c>
      <x:c r="J32" s="224">
        <x:f>REMUNERACION_ENEL!J127</x:f>
        <x:v>0</x:v>
      </x:c>
      <x:c r="K32" s="224">
        <x:f>REMUNERACION_ENEL!K127</x:f>
        <x:v>0</x:v>
      </x:c>
      <x:c r="L32" s="224">
        <x:f>REMUNERACION_ENEL!L127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275">
        <x:f>REMUNERACION_ENEL!G128</x:f>
        <x:v>0</x:v>
      </x:c>
      <x:c r="H33" s="276">
        <x:f>REMUNERACION_ENEL!H128</x:f>
        <x:v>0</x:v>
      </x:c>
      <x:c r="I33" s="224">
        <x:f>REMUNERACION_ENEL!I128</x:f>
        <x:v>0</x:v>
      </x:c>
      <x:c r="J33" s="224">
        <x:f>REMUNERACION_ENEL!J128</x:f>
        <x:v>0</x:v>
      </x:c>
      <x:c r="K33" s="224">
        <x:f>REMUNERACION_ENEL!K128</x:f>
        <x:v>0</x:v>
      </x:c>
      <x:c r="L33" s="224">
        <x:f>REMUNERACION_ENEL!L128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REMUNERACION_ENEL!D129</x:f>
        <x:v>0</x:v>
      </x:c>
      <x:c r="E34" s="128">
        <x:f>REMUNERACION_ENEL!E129</x:f>
        <x:v>0</x:v>
      </x:c>
      <x:c r="G34" s="275">
        <x:f>REMUNERACION_ENEL!G129</x:f>
        <x:v>0</x:v>
      </x:c>
      <x:c r="H34" s="276">
        <x:f>REMUNERACION_ENEL!H129</x:f>
        <x:v>0</x:v>
      </x:c>
      <x:c r="I34" s="224">
        <x:f>REMUNERACION_ENEL!I129</x:f>
        <x:v>0</x:v>
      </x:c>
      <x:c r="J34" s="224">
        <x:f>REMUNERACION_ENEL!J129</x:f>
        <x:v>0</x:v>
      </x:c>
      <x:c r="K34" s="224">
        <x:f>REMUNERACION_ENEL!K129</x:f>
        <x:v>0</x:v>
      </x:c>
      <x:c r="L34" s="224">
        <x:f>REMUNERACION_ENEL!L129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REMUNERACION_ENEL!E131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D14=REMUNERACION_ENEL!D109</x:f>
        <x:v>1</x:v>
      </x:c>
      <x:c r="E45" s="208" t="b">
        <x:f>E14=REMUNERACION_ENEL!E109</x:f>
        <x:v>1</x:v>
      </x:c>
      <x:c r="F45" s="208" t="b">
        <x:f>F14=REMUNERACION_ENEL!F109</x:f>
        <x:v>1</x:v>
      </x:c>
      <x:c r="G45" s="208" t="b">
        <x:f>G14=REMUNERACION_ENEL!G109</x:f>
        <x:v>1</x:v>
      </x:c>
      <x:c r="H45" s="208" t="b">
        <x:f>H14=REMUNERACION_ENEL!H109</x:f>
        <x:v>1</x:v>
      </x:c>
      <x:c r="I45" s="208" t="b">
        <x:f>I14=REMUNERACION_ENEL!I109</x:f>
        <x:v>1</x:v>
      </x:c>
      <x:c r="J45" s="208" t="b">
        <x:f>J14=REMUNERACION_ENEL!J109</x:f>
        <x:v>1</x:v>
      </x:c>
      <x:c r="K45" s="208" t="b">
        <x:f>K14=REMUNERACION_ENEL!K109</x:f>
        <x:v>1</x:v>
      </x:c>
      <x:c r="L45" s="208" t="b">
        <x:f>L14=REMUNERACION_ENEL!L109</x:f>
        <x:v>1</x:v>
      </x:c>
      <x:c r="M45" s="208" t="b">
        <x:f>M14=REMUNERACION_ENEL!M109</x:f>
        <x:v>1</x:v>
      </x:c>
      <x:c r="N45" s="208" t="b">
        <x:f>N14=REMUNERACION_ENEL!N109</x:f>
        <x:v>1</x:v>
      </x:c>
      <x:c r="O45" s="208" t="b">
        <x:f>O14=REMUNERACION_ENEL!O109</x:f>
        <x:v>1</x:v>
      </x:c>
      <x:c r="Q45" s="24"/>
      <x:c r="T45" s="24"/>
    </x:row>
    <x:row r="46" spans="1:20" x14ac:dyDescent="0.2">
      <x:c r="D46" s="208" t="b">
        <x:f>D36=REMUNERACION_ENEL!D131</x:f>
        <x:v>1</x:v>
      </x:c>
      <x:c r="E46" s="208" t="b">
        <x:f>E36=REMUNERACION_ENEL!E131</x:f>
        <x:v>1</x:v>
      </x:c>
      <x:c r="F46" s="208" t="b">
        <x:f>F36=REMUNERACION_ENEL!F131</x:f>
        <x:v>1</x:v>
      </x:c>
      <x:c r="G46" s="208" t="b">
        <x:f>G36=REMUNERACION_ENEL!G131</x:f>
        <x:v>1</x:v>
      </x:c>
      <x:c r="H46" s="208" t="b">
        <x:f>H36=REMUNERACION_ENEL!H131</x:f>
        <x:v>1</x:v>
      </x:c>
      <x:c r="I46" s="208" t="b">
        <x:f>I36=REMUNERACION_ENEL!I131</x:f>
        <x:v>1</x:v>
      </x:c>
      <x:c r="J46" s="208" t="b">
        <x:f>J36=REMUNERACION_ENEL!J131</x:f>
        <x:v>1</x:v>
      </x:c>
      <x:c r="K46" s="208" t="b">
        <x:f>K36=REMUNERACION_ENEL!K131</x:f>
        <x:v>1</x:v>
      </x:c>
      <x:c r="L46" s="208" t="b">
        <x:f>L36=REMUNERACION_ENEL!L131</x:f>
        <x:v>1</x:v>
      </x:c>
      <x:c r="M46" s="208" t="b">
        <x:f>M36=REMUNERACION_ENEL!M131</x:f>
        <x:v>1</x:v>
      </x:c>
      <x:c r="N46" s="208" t="b">
        <x:f>N36=REMUNERACION_ENEL!N131</x:f>
        <x:v>1</x:v>
      </x:c>
      <x:c r="O46" s="208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zoomScaleNormal="100" workbookViewId="0">
      <x:selection activeCell="K17" sqref="K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19.7109375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1:35" ht="12.75" thickBot="1" x14ac:dyDescent="0.25">
      <x:c r="A1" s="198"/>
      <x:c r="Q1" s="4"/>
      <x:c r="AI1" s="4"/>
    </x:row>
    <x:row r="2" spans="1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1:35" s="241" customFormat="1" x14ac:dyDescent="0.2">
      <x:c r="B9" s="239">
        <x:v>1</x:v>
      </x:c>
      <x:c r="C9" s="240" t="s">
        <x:v>10</x:v>
      </x:c>
      <x:c r="D9" s="227">
        <x:f>'Reporte Componentes R1'!F65</x:f>
        <x:v>0</x:v>
      </x:c>
      <x:c r="E9" s="227">
        <x:f>'Reporte Componentes R1'!G65</x:f>
        <x:v>0</x:v>
      </x:c>
      <x:c r="F9" s="227">
        <x:f>'Reporte Componentes R1'!H65</x:f>
        <x:v>0</x:v>
      </x:c>
      <x:c r="G9" s="227">
        <x:f>'Reporte Componentes R1'!I65</x:f>
        <x:v>0</x:v>
      </x:c>
      <x:c r="H9" s="227">
        <x:f>'Reporte Componentes R1'!J65</x:f>
        <x:v>0</x:v>
      </x:c>
      <x:c r="I9" s="227">
        <x:f>'Reporte Componentes R1'!K65</x:f>
        <x:v>0</x:v>
      </x:c>
      <x:c r="J9" s="227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R1'!L65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R1'!M65</x:f>
        <x:v>0</x:v>
      </x:c>
      <x:c r="V9" s="243">
        <x:f>'Reporte Componentes R1'!N65</x:f>
        <x:v>0</x:v>
      </x:c>
      <x:c r="W9" s="243">
        <x:f>'Reporte Componentes R1'!O65</x:f>
        <x:v>0</x:v>
      </x:c>
      <x:c r="X9" s="243">
        <x:f>'Reporte Componentes R1'!P65</x:f>
        <x:v>0</x:v>
      </x:c>
      <x:c r="Y9" s="243">
        <x:f>'Reporte Componentes R1'!Q65</x:f>
        <x:v>0</x:v>
      </x:c>
      <x:c r="Z9" s="255">
        <x:f>L9*-1</x:f>
        <x:v>0</x:v>
      </x:c>
      <x:c r="AA9" s="256">
        <x:f>'Reporte Componentes R1'!R65+'Reporte Componentes R1'!V175+'Reporte Componentes R1'!U65</x:f>
        <x:v>0</x:v>
      </x:c>
      <x:c r="AB9" s="230">
        <x:f>N9</x:f>
        <x:v>0</x:v>
      </x:c>
      <x:c r="AC9" s="256">
        <x:f>'Reporte Componentes R1'!T65+'Reporte Componentes R1'!W65+'Reporte Componentes R1'!X65+'Reporte Componentes R1'!Y65+'Reporte Componentes R1'!Z65+'Reporte Componentes R1'!S65</x:f>
        <x:v>0</x:v>
      </x:c>
      <x:c r="AD9" s="227">
        <x:f>-J9+AE9</x:f>
        <x:v>0</x:v>
      </x:c>
      <x:c r="AE9" s="227">
        <x:f>'Reporte Componentes R1'!F66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1:35" s="241" customFormat="1" x14ac:dyDescent="0.2">
      <x:c r="B10" s="250">
        <x:v>2</x:v>
      </x:c>
      <x:c r="C10" s="251" t="s">
        <x:v>11</x:v>
      </x:c>
      <x:c r="D10" s="227">
        <x:f>'Reporte Componentes R1'!F209</x:f>
        <x:v>0</x:v>
      </x:c>
      <x:c r="E10" s="227">
        <x:f>'Reporte Componentes R1'!G209</x:f>
        <x:v>0</x:v>
      </x:c>
      <x:c r="F10" s="227">
        <x:f>'Reporte Componentes R1'!H209</x:f>
        <x:v>0</x:v>
      </x:c>
      <x:c r="G10" s="227">
        <x:f>'Reporte Componentes R1'!I209</x:f>
        <x:v>0</x:v>
      </x:c>
      <x:c r="H10" s="227">
        <x:f>'Reporte Componentes R1'!J209</x:f>
        <x:v>0</x:v>
      </x:c>
      <x:c r="I10" s="227">
        <x:f>'Reporte Componentes R1'!K209</x:f>
        <x:v>0</x:v>
      </x:c>
      <x:c r="J10" s="227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R1'!L209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R1'!M209</x:f>
        <x:v>0</x:v>
      </x:c>
      <x:c r="V10" s="252">
        <x:f>'Reporte Componentes R1'!N209</x:f>
        <x:v>0</x:v>
      </x:c>
      <x:c r="W10" s="252">
        <x:f>'Reporte Componentes R1'!O209</x:f>
        <x:v>0</x:v>
      </x:c>
      <x:c r="X10" s="252">
        <x:f>'Reporte Componentes R1'!P209</x:f>
        <x:v>0</x:v>
      </x:c>
      <x:c r="Y10" s="252">
        <x:f>'Reporte Componentes R1'!Q209</x:f>
        <x:v>0</x:v>
      </x:c>
      <x:c r="Z10" s="255">
        <x:f>L10*-1</x:f>
        <x:v>0</x:v>
      </x:c>
      <x:c r="AA10" s="256">
        <x:f>'Reporte Componentes R1'!R209+'Reporte Componentes R1'!V209+'Reporte Componentes R1'!U209</x:f>
        <x:v>0</x:v>
      </x:c>
      <x:c r="AB10" s="230">
        <x:f>N10</x:f>
        <x:v>0</x:v>
      </x:c>
      <x:c r="AC10" s="256">
        <x:f>'Reporte Componentes R1'!T280+'Reporte Componentes R1'!W280+'Reporte Componentes R1'!X280+'Reporte Componentes R1'!Y280+'Reporte Componentes R1'!Z280+'Reporte Componentes R1'!S280</x:f>
        <x:v>0</x:v>
      </x:c>
      <x:c r="AD10" s="227">
        <x:f t="shared" ref="AD10:AD13" si="2">-J10+AE10</x:f>
        <x:v>0</x:v>
      </x:c>
      <x:c r="AE10" s="227">
        <x:f>'Reporte Componentes R1'!F210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1:35" s="241" customFormat="1" x14ac:dyDescent="0.2">
      <x:c r="B11" s="250">
        <x:v>3</x:v>
      </x:c>
      <x:c r="C11" s="251" t="s">
        <x:v>12</x:v>
      </x:c>
      <x:c r="D11" s="227">
        <x:f>'Reporte Componentes R1'!F340</x:f>
        <x:v>0</x:v>
      </x:c>
      <x:c r="E11" s="227">
        <x:f>'Reporte Componentes R1'!G340</x:f>
        <x:v>0</x:v>
      </x:c>
      <x:c r="F11" s="227">
        <x:f>'Reporte Componentes R1'!H340</x:f>
        <x:v>0</x:v>
      </x:c>
      <x:c r="G11" s="227">
        <x:f>'Reporte Componentes R1'!I340</x:f>
        <x:v>0</x:v>
      </x:c>
      <x:c r="H11" s="227">
        <x:f>'Reporte Componentes R1'!J340</x:f>
        <x:v>0</x:v>
      </x:c>
      <x:c r="I11" s="227">
        <x:f>'Reporte Componentes R1'!K340</x:f>
        <x:v>0</x:v>
      </x:c>
      <x:c r="J11" s="227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R1'!M340</x:f>
        <x:v>0</x:v>
      </x:c>
      <x:c r="V11" s="252">
        <x:f>'Reporte Componentes R1'!N340</x:f>
        <x:v>0</x:v>
      </x:c>
      <x:c r="W11" s="252">
        <x:f>'Reporte Componentes R1'!O340</x:f>
        <x:v>0</x:v>
      </x:c>
      <x:c r="X11" s="252">
        <x:f>'Reporte Componentes R1'!P340</x:f>
        <x:v>0</x:v>
      </x:c>
      <x:c r="Y11" s="252">
        <x:f>'Reporte Componentes R1'!Q340</x:f>
        <x:v>0</x:v>
      </x:c>
      <x:c r="Z11" s="255">
        <x:f>L11*-1</x:f>
        <x:v>0</x:v>
      </x:c>
      <x:c r="AA11" s="256">
        <x:f>'Reporte Componentes R1'!R340+'Reporte Componentes R1'!V340+'Reporte Componentes R1'!U340</x:f>
        <x:v>0</x:v>
      </x:c>
      <x:c r="AB11" s="230">
        <x:f>N11</x:f>
        <x:v>0</x:v>
      </x:c>
      <x:c r="AC11" s="256">
        <x:f>'Reporte Componentes R1'!T340+'Reporte Componentes R1'!W340+'Reporte Componentes R1'!X340+'Reporte Componentes R1'!Y340+'Reporte Componentes R1'!Z340+'Reporte Componentes R1'!S340</x:f>
        <x:v>0</x:v>
      </x:c>
      <x:c r="AD11" s="227">
        <x:f t="shared" si="2"/>
        <x:v>0</x:v>
      </x:c>
      <x:c r="AE11" s="227">
        <x:f>'Reporte Componentes R1'!F341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1:35" s="241" customFormat="1" x14ac:dyDescent="0.2">
      <x:c r="B12" s="250">
        <x:v>4</x:v>
      </x:c>
      <x:c r="C12" s="251" t="s">
        <x:v>13</x:v>
      </x:c>
      <x:c r="D12" s="227">
        <x:f>'Reporte Componentes R1'!F471</x:f>
        <x:v>0</x:v>
      </x:c>
      <x:c r="E12" s="227">
        <x:f>'Reporte Componentes R1'!G471</x:f>
        <x:v>0</x:v>
      </x:c>
      <x:c r="F12" s="227">
        <x:f>'Reporte Componentes R1'!H471</x:f>
        <x:v>0</x:v>
      </x:c>
      <x:c r="G12" s="227">
        <x:f>'Reporte Componentes R1'!I471</x:f>
        <x:v>0</x:v>
      </x:c>
      <x:c r="H12" s="227">
        <x:f>'Reporte Componentes R1'!J471</x:f>
        <x:v>0</x:v>
      </x:c>
      <x:c r="I12" s="227">
        <x:f>'Reporte Componentes R1'!K471</x:f>
        <x:v>0</x:v>
      </x:c>
      <x:c r="J12" s="227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R1'!M471</x:f>
        <x:v>0</x:v>
      </x:c>
      <x:c r="V12" s="252">
        <x:f>'Reporte Componentes R1'!N471</x:f>
        <x:v>0</x:v>
      </x:c>
      <x:c r="W12" s="252">
        <x:f>'Reporte Componentes R1'!O471</x:f>
        <x:v>0</x:v>
      </x:c>
      <x:c r="X12" s="252">
        <x:f>'Reporte Componentes R1'!P471</x:f>
        <x:v>0</x:v>
      </x:c>
      <x:c r="Y12" s="252">
        <x:f>'Reporte Componentes R1'!Q471</x:f>
        <x:v>0</x:v>
      </x:c>
      <x:c r="Z12" s="255">
        <x:f>L12*-1</x:f>
        <x:v>0</x:v>
      </x:c>
      <x:c r="AA12" s="256">
        <x:f>'Reporte Componentes R1'!R471+'Reporte Componentes R1'!V471+'Reporte Componentes R1'!U471</x:f>
        <x:v>0</x:v>
      </x:c>
      <x:c r="AB12" s="230">
        <x:f>N12</x:f>
        <x:v>0</x:v>
      </x:c>
      <x:c r="AC12" s="256">
        <x:f>'Reporte Componentes R1'!T471+'Reporte Componentes R1'!W471+'Reporte Componentes R1'!X471+'Reporte Componentes R1'!Y471+'Reporte Componentes R1'!Z471+'Reporte Componentes R1'!S471</x:f>
        <x:v>0</x:v>
      </x:c>
      <x:c r="AD12" s="227">
        <x:f t="shared" si="2"/>
        <x:v>0</x:v>
      </x:c>
      <x:c r="AE12" s="227">
        <x:f>'Reporte Componentes R1'!F472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1:35" s="241" customFormat="1" ht="12.75" thickBot="1" x14ac:dyDescent="0.25">
      <x:c r="B13" s="260">
        <x:v>5</x:v>
      </x:c>
      <x:c r="C13" s="261" t="s">
        <x:v>14</x:v>
      </x:c>
      <x:c r="D13" s="232">
        <x:f>'Reporte Componentes R1'!F569</x:f>
        <x:v>0</x:v>
      </x:c>
      <x:c r="E13" s="232">
        <x:f>'Reporte Componentes R1'!G569</x:f>
        <x:v>0</x:v>
      </x:c>
      <x:c r="F13" s="232">
        <x:f>'Reporte Componentes R1'!H569</x:f>
        <x:v>0</x:v>
      </x:c>
      <x:c r="G13" s="232">
        <x:f>'Reporte Componentes R1'!I569</x:f>
        <x:v>0</x:v>
      </x:c>
      <x:c r="H13" s="232">
        <x:f>'Reporte Componentes R1'!J569</x:f>
        <x:v>0</x:v>
      </x:c>
      <x:c r="I13" s="232">
        <x:f>'Reporte Componentes R1'!K569</x:f>
        <x:v>0</x:v>
      </x:c>
      <x:c r="J13" s="232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R1'!L569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R1'!M569</x:f>
        <x:v>0</x:v>
      </x:c>
      <x:c r="V13" s="232">
        <x:f>'Reporte Componentes R1'!N569</x:f>
        <x:v>0</x:v>
      </x:c>
      <x:c r="W13" s="232">
        <x:f>'Reporte Componentes R1'!O569</x:f>
        <x:v>0</x:v>
      </x:c>
      <x:c r="X13" s="232">
        <x:f>'Reporte Componentes R1'!P569</x:f>
        <x:v>0</x:v>
      </x:c>
      <x:c r="Y13" s="232">
        <x:f>'Reporte Componentes R1'!Q569</x:f>
        <x:v>0</x:v>
      </x:c>
      <x:c r="Z13" s="255">
        <x:f>L13*-1</x:f>
        <x:v>0</x:v>
      </x:c>
      <x:c r="AA13" s="256">
        <x:f>'Reporte Componentes R1'!R569+'Reporte Componentes R1'!V569+'Reporte Componentes R1'!U569</x:f>
        <x:v>0</x:v>
      </x:c>
      <x:c r="AB13" s="230">
        <x:f>N13</x:f>
        <x:v>0</x:v>
      </x:c>
      <x:c r="AC13" s="256">
        <x:f>'Reporte Componentes R1'!T569+'Reporte Componentes R1'!W569+'Reporte Componentes R1'!X569+'Reporte Componentes R1'!Y569+'Reporte Componentes R1'!Z569+'Reporte Componentes R1'!S569</x:f>
        <x:v>0</x:v>
      </x:c>
      <x:c r="AD13" s="227">
        <x:f t="shared" si="2"/>
        <x:v>0</x:v>
      </x:c>
      <x:c r="AE13" s="227">
        <x:f>'Reporte Componentes R1'!F570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1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1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198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R2'!E52</x:f>
        <x:v>0</x:v>
      </x:c>
      <x:c r="E28" s="227">
        <x:f>'Rem. Anticipos R2'!F52</x:f>
        <x:v>0</x:v>
      </x:c>
      <x:c r="F28" s="227">
        <x:f>'Rem. Anticipos R2'!G52</x:f>
        <x:v>0</x:v>
      </x:c>
      <x:c r="G28" s="227">
        <x:f>'Rem. Anticipos R2'!H52</x:f>
        <x:v>0</x:v>
      </x:c>
      <x:c r="H28" s="227">
        <x:f>'Rem. Anticipos R2'!I52</x:f>
        <x:v>0</x:v>
      </x:c>
      <x:c r="I28" s="227">
        <x:f>'Rem. Anticipos R2'!J52</x:f>
        <x:v>0</x:v>
      </x:c>
      <x:c r="J28" s="227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R2'!K52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R2'!L52</x:f>
        <x:v>0</x:v>
      </x:c>
      <x:c r="V28" s="243">
        <x:f>'Rem. Anticipos R2'!M52</x:f>
        <x:v>0</x:v>
      </x:c>
      <x:c r="W28" s="243">
        <x:f>'Rem. Anticipos R2'!N52</x:f>
        <x:v>0</x:v>
      </x:c>
      <x:c r="X28" s="243">
        <x:f>'Rem. Anticipos R2'!O52</x:f>
        <x:v>0</x:v>
      </x:c>
      <x:c r="Y28" s="243">
        <x:f>'Rem. Anticipos R2'!P52</x:f>
        <x:v>0</x:v>
      </x:c>
      <x:c r="Z28" s="246">
        <x:f>L28*-1</x:f>
        <x:v>0</x:v>
      </x:c>
      <x:c r="AA28" s="247">
        <x:f>'Rem. Anticipos R2'!Q52</x:f>
        <x:v>0</x:v>
      </x:c>
      <x:c r="AB28" s="230">
        <x:f>N28</x:f>
        <x:v>0</x:v>
      </x:c>
      <x:c r="AC28" s="247">
        <x:f>'Rem. Anticipos R2'!R52</x:f>
        <x:v>0</x:v>
      </x:c>
      <x:c r="AD28" s="227">
        <x:f>-J28+AE28</x:f>
        <x:v>0</x:v>
      </x:c>
      <x:c r="AE28" s="227">
        <x:f>'Rem. Anticipos R2'!E53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R2'!E148</x:f>
        <x:v>0</x:v>
      </x:c>
      <x:c r="E29" s="228">
        <x:f>'Rem. Anticipos R2'!F148</x:f>
        <x:v>0</x:v>
      </x:c>
      <x:c r="F29" s="228">
        <x:f>'Rem. Anticipos R2'!G148</x:f>
        <x:v>0</x:v>
      </x:c>
      <x:c r="G29" s="228">
        <x:f>'Rem. Anticipos R2'!H148</x:f>
        <x:v>0</x:v>
      </x:c>
      <x:c r="H29" s="228">
        <x:f>'Rem. Anticipos R2'!I148</x:f>
        <x:v>0</x:v>
      </x:c>
      <x:c r="I29" s="228">
        <x:f>'Rem. Anticipos R2'!J148</x:f>
        <x:v>0</x:v>
      </x:c>
      <x:c r="J29" s="224">
        <x:v>0</x:v>
      </x:c>
      <x:c r="K29" s="231">
        <x:f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R2'!K148</x:f>
        <x:v>0</x:v>
      </x:c>
      <x:c r="O29" s="231">
        <x:f t="shared" ref="O29:O32" si="7">M29+N29</x:f>
        <x:v>0</x:v>
      </x:c>
      <x:c r="Q29" s="242"/>
      <x:c r="S29" s="250">
        <x:v>2</x:v>
      </x:c>
      <x:c r="T29" s="251" t="s">
        <x:v>11</x:v>
      </x:c>
      <x:c r="U29" s="252">
        <x:f>'Rem. Anticipos R2'!L148</x:f>
        <x:v>0</x:v>
      </x:c>
      <x:c r="V29" s="253">
        <x:f>'Rem. Anticipos R2'!M148</x:f>
        <x:v>0</x:v>
      </x:c>
      <x:c r="W29" s="253">
        <x:f>'Rem. Anticipos R2'!N148</x:f>
        <x:v>0</x:v>
      </x:c>
      <x:c r="X29" s="253">
        <x:f>'Rem. Anticipos R2'!O148</x:f>
        <x:v>0</x:v>
      </x:c>
      <x:c r="Y29" s="254">
        <x:f>'Rem. Anticipos R2'!P148</x:f>
        <x:v>0</x:v>
      </x:c>
      <x:c r="Z29" s="255">
        <x:f>L29*-1</x:f>
        <x:v>0</x:v>
      </x:c>
      <x:c r="AA29" s="256">
        <x:f>'Rem. Anticipos R2'!Q148</x:f>
        <x:v>0</x:v>
      </x:c>
      <x:c r="AB29" s="230">
        <x:f>N29</x:f>
        <x:v>0</x:v>
      </x:c>
      <x:c r="AC29" s="256">
        <x:f>'Rem. Anticipos R2'!R148</x:f>
        <x:v>0</x:v>
      </x:c>
      <x:c r="AD29" s="227">
        <x:f>-J29+AE29</x:f>
        <x:v>0</x:v>
      </x:c>
      <x:c r="AE29" s="227">
        <x:f>'Rem. Anticipos R2'!E149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8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R2'!E265</x:f>
        <x:v>0</x:v>
      </x:c>
      <x:c r="E30" s="227">
        <x:f>'Rem. Anticipos R2'!F265</x:f>
        <x:v>0</x:v>
      </x:c>
      <x:c r="F30" s="227">
        <x:f>'Rem. Anticipos R2'!G265</x:f>
        <x:v>0</x:v>
      </x:c>
      <x:c r="G30" s="227">
        <x:f>'Rem. Anticipos R2'!H265</x:f>
        <x:v>0</x:v>
      </x:c>
      <x:c r="H30" s="227">
        <x:f>'Rem. Anticipos R2'!I265</x:f>
        <x:v>0</x:v>
      </x:c>
      <x:c r="I30" s="227">
        <x:f>'Rem. Anticipos R2'!J265</x:f>
        <x:v>0</x:v>
      </x:c>
      <x:c r="J30" s="224">
        <x:v>0</x:v>
      </x:c>
      <x:c r="K30" s="231">
        <x:f t="shared" ref="K30:K31" si="9">D30-E30-F30-G30-H30-I30-J30</x:f>
        <x:v>0</x:v>
      </x:c>
      <x:c r="L30" s="230">
        <x:v>0</x:v>
      </x:c>
      <x:c r="M30" s="231">
        <x:f>K30-L30</x:f>
        <x:v>0</x:v>
      </x:c>
      <x:c r="N30" s="230">
        <x:f>'Rem. Anticipos R2'!K265</x:f>
        <x:v>0</x:v>
      </x:c>
      <x:c r="O30" s="231">
        <x:f t="shared" si="7"/>
        <x:v>0</x:v>
      </x:c>
      <x:c r="Q30" s="242"/>
      <x:c r="S30" s="250">
        <x:v>3</x:v>
      </x:c>
      <x:c r="T30" s="251" t="s">
        <x:v>12</x:v>
      </x:c>
      <x:c r="U30" s="252">
        <x:f>'Rem. Anticipos R2'!L265</x:f>
        <x:v>0</x:v>
      </x:c>
      <x:c r="V30" s="252">
        <x:f>'Rem. Anticipos R2'!M265</x:f>
        <x:v>0</x:v>
      </x:c>
      <x:c r="W30" s="252">
        <x:f>'Rem. Anticipos R2'!N265</x:f>
        <x:v>0</x:v>
      </x:c>
      <x:c r="X30" s="252">
        <x:f>'Rem. Anticipos R2'!O265</x:f>
        <x:v>0</x:v>
      </x:c>
      <x:c r="Y30" s="252">
        <x:f>'Rem. Anticipos R2'!P265</x:f>
        <x:v>0</x:v>
      </x:c>
      <x:c r="Z30" s="255">
        <x:f>L30*-1</x:f>
        <x:v>0</x:v>
      </x:c>
      <x:c r="AA30" s="256">
        <x:f>'Rem. Anticipos R2'!Q265</x:f>
        <x:v>0</x:v>
      </x:c>
      <x:c r="AB30" s="230">
        <x:f>N30</x:f>
        <x:v>0</x:v>
      </x:c>
      <x:c r="AC30" s="256">
        <x:f>'Rem. Anticipos R2'!R265</x:f>
        <x:v>0</x:v>
      </x:c>
      <x:c r="AD30" s="227">
        <x:f t="shared" ref="AD30:AD32" si="10">-J30+AE30</x:f>
        <x:v>0</x:v>
      </x:c>
      <x:c r="AE30" s="227">
        <x:f>'Rem. Anticipos R2'!E266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8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R2'!E367</x:f>
        <x:v>0</x:v>
      </x:c>
      <x:c r="E31" s="227">
        <x:f>'Rem. Anticipos R2'!F367</x:f>
        <x:v>0</x:v>
      </x:c>
      <x:c r="F31" s="227">
        <x:f>'Rem. Anticipos R2'!G367</x:f>
        <x:v>0</x:v>
      </x:c>
      <x:c r="G31" s="227">
        <x:f>'Rem. Anticipos R2'!H367</x:f>
        <x:v>0</x:v>
      </x:c>
      <x:c r="H31" s="227">
        <x:f>'Rem. Anticipos R2'!I367</x:f>
        <x:v>0</x:v>
      </x:c>
      <x:c r="I31" s="227">
        <x:f>'Rem. Anticipos R2'!J367</x:f>
        <x:v>0</x:v>
      </x:c>
      <x:c r="J31" s="224">
        <x:v>0</x:v>
      </x:c>
      <x:c r="K31" s="231">
        <x:f t="shared" si="9"/>
        <x:v>0</x:v>
      </x:c>
      <x:c r="L31" s="230">
        <x:v>0</x:v>
      </x:c>
      <x:c r="M31" s="231">
        <x:f>K31-L31</x:f>
        <x:v>0</x:v>
      </x:c>
      <x:c r="N31" s="230">
        <x:f>'Rem. Anticipos R2'!K367</x:f>
        <x:v>0</x:v>
      </x:c>
      <x:c r="O31" s="231">
        <x:f t="shared" si="7"/>
        <x:v>0</x:v>
      </x:c>
      <x:c r="Q31" s="242"/>
      <x:c r="S31" s="250">
        <x:v>4</x:v>
      </x:c>
      <x:c r="T31" s="251" t="s">
        <x:v>13</x:v>
      </x:c>
      <x:c r="U31" s="252">
        <x:f>'Rem. Anticipos R2'!L367</x:f>
        <x:v>0</x:v>
      </x:c>
      <x:c r="V31" s="252">
        <x:f>'Rem. Anticipos R2'!M367</x:f>
        <x:v>0</x:v>
      </x:c>
      <x:c r="W31" s="252">
        <x:f>'Rem. Anticipos R2'!N367</x:f>
        <x:v>0</x:v>
      </x:c>
      <x:c r="X31" s="252">
        <x:f>'Rem. Anticipos R2'!O367</x:f>
        <x:v>0</x:v>
      </x:c>
      <x:c r="Y31" s="252">
        <x:f>'Rem. Anticipos R2'!P367</x:f>
        <x:v>0</x:v>
      </x:c>
      <x:c r="Z31" s="255">
        <x:f>L31*-1</x:f>
        <x:v>0</x:v>
      </x:c>
      <x:c r="AA31" s="256">
        <x:f>'Rem. Anticipos R2'!Q367</x:f>
        <x:v>0</x:v>
      </x:c>
      <x:c r="AB31" s="230">
        <x:f>N31</x:f>
        <x:v>0</x:v>
      </x:c>
      <x:c r="AC31" s="256">
        <x:f>'Rem. Anticipos R2'!R367</x:f>
        <x:v>0</x:v>
      </x:c>
      <x:c r="AD31" s="227">
        <x:f t="shared" si="10"/>
        <x:v>0</x:v>
      </x:c>
      <x:c r="AE31" s="227">
        <x:f>'Rem. Anticipos R2'!E368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8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R2'!E447</x:f>
        <x:v>0</x:v>
      </x:c>
      <x:c r="E32" s="232">
        <x:f>'Rem. Anticipos R2'!F447</x:f>
        <x:v>0</x:v>
      </x:c>
      <x:c r="F32" s="232">
        <x:f>'Rem. Anticipos R2'!G447</x:f>
        <x:v>0</x:v>
      </x:c>
      <x:c r="G32" s="232">
        <x:f>'Rem. Anticipos R2'!H447</x:f>
        <x:v>0</x:v>
      </x:c>
      <x:c r="H32" s="232">
        <x:f>'Rem. Anticipos R2'!I447</x:f>
        <x:v>0</x:v>
      </x:c>
      <x:c r="I32" s="232">
        <x:f>'Rem. Anticipos R2'!J447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R2'!K447</x:f>
        <x:v>0</x:v>
      </x:c>
      <x:c r="O32" s="234">
        <x:f t="shared" si="7"/>
        <x:v>0</x:v>
      </x:c>
      <x:c r="Q32" s="242"/>
      <x:c r="S32" s="260">
        <x:v>5</x:v>
      </x:c>
      <x:c r="T32" s="261" t="s">
        <x:v>14</x:v>
      </x:c>
      <x:c r="U32" s="232">
        <x:f>'Rem. Anticipos R2'!L447</x:f>
        <x:v>0</x:v>
      </x:c>
      <x:c r="V32" s="233">
        <x:f>'Rem. Anticipos R2'!M447</x:f>
        <x:v>0</x:v>
      </x:c>
      <x:c r="W32" s="233">
        <x:f>'Rem. Anticipos R2'!N447</x:f>
        <x:v>0</x:v>
      </x:c>
      <x:c r="X32" s="233">
        <x:f>'Rem. Anticipos R2'!O447</x:f>
        <x:v>0</x:v>
      </x:c>
      <x:c r="Y32" s="225">
        <x:f>'Rem. Anticipos R2'!P447</x:f>
        <x:v>0</x:v>
      </x:c>
      <x:c r="Z32" s="255">
        <x:f>L32*-1</x:f>
        <x:v>0</x:v>
      </x:c>
      <x:c r="AA32" s="256">
        <x:f>'Rem. Anticipos R2'!Q447</x:f>
        <x:v>0</x:v>
      </x:c>
      <x:c r="AB32" s="230">
        <x:f>N32</x:f>
        <x:v>0</x:v>
      </x:c>
      <x:c r="AC32" s="256">
        <x:f>'Rem. Anticipos R2'!R447</x:f>
        <x:v>0</x:v>
      </x:c>
      <x:c r="AD32" s="227">
        <x:f t="shared" si="10"/>
        <x:v>0</x:v>
      </x:c>
      <x:c r="AE32" s="227">
        <x:f>'Rem. Anticipos R2'!E448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8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8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R1'!F67</x:f>
        <x:v>0</x:v>
      </x:c>
      <x:c r="E47" s="227">
        <x:f>'Reporte Componentes R1'!G67</x:f>
        <x:v>0</x:v>
      </x:c>
      <x:c r="F47" s="227">
        <x:f>'Reporte Componentes R1'!H67</x:f>
        <x:v>0</x:v>
      </x:c>
      <x:c r="G47" s="227">
        <x:f>'Reporte Componentes R1'!I67</x:f>
        <x:v>0</x:v>
      </x:c>
      <x:c r="H47" s="227">
        <x:f>'Reporte Componentes R1'!J67</x:f>
        <x:v>0</x:v>
      </x:c>
      <x:c r="I47" s="227">
        <x:f>'Reporte Componentes R1'!K67</x:f>
        <x:v>0</x:v>
      </x:c>
      <x:c r="J47" s="227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R1'!L67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R1'!M67</x:f>
        <x:v>0</x:v>
      </x:c>
      <x:c r="V47" s="243">
        <x:f>'Reporte Componentes R1'!N67</x:f>
        <x:v>0</x:v>
      </x:c>
      <x:c r="W47" s="243">
        <x:f>'Reporte Componentes R1'!O67</x:f>
        <x:v>0</x:v>
      </x:c>
      <x:c r="X47" s="243">
        <x:f>'Reporte Componentes R1'!P67</x:f>
        <x:v>0</x:v>
      </x:c>
      <x:c r="Y47" s="243">
        <x:f>'Reporte Componentes R1'!Q67</x:f>
        <x:v>0</x:v>
      </x:c>
      <x:c r="Z47" s="246">
        <x:f>-L47</x:f>
        <x:v>0</x:v>
      </x:c>
      <x:c r="AA47" s="256">
        <x:f>'Reporte Componentes R1'!R67+'Reporte Componentes R1'!V67+'Reporte Componentes R1'!U67</x:f>
        <x:v>0</x:v>
      </x:c>
      <x:c r="AB47" s="230">
        <x:f>N47</x:f>
        <x:v>0</x:v>
      </x:c>
      <x:c r="AC47" s="247">
        <x:f>'Reporte Componentes R1'!T67+'Reporte Componentes R1'!W67+'Reporte Componentes R1'!X67+'Reporte Componentes R1'!Y67+'Reporte Componentes R1'!Z67+'Reporte Componentes R1'!S67</x:f>
        <x:v>0</x:v>
      </x:c>
      <x:c r="AD47" s="227">
        <x:f>-J47+AE47</x:f>
        <x:v>0</x:v>
      </x:c>
      <x:c r="AE47" s="227">
        <x:f>'Reporte Componentes R1'!F68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R1'!F211</x:f>
        <x:v>0</x:v>
      </x:c>
      <x:c r="E48" s="227">
        <x:f>'Reporte Componentes R1'!G211</x:f>
        <x:v>0</x:v>
      </x:c>
      <x:c r="F48" s="227">
        <x:f>'Reporte Componentes R1'!H211</x:f>
        <x:v>0</x:v>
      </x:c>
      <x:c r="G48" s="227">
        <x:f>'Reporte Componentes R1'!I211</x:f>
        <x:v>0</x:v>
      </x:c>
      <x:c r="H48" s="227">
        <x:f>'Reporte Componentes R1'!J211</x:f>
        <x:v>0</x:v>
      </x:c>
      <x:c r="I48" s="227">
        <x:f>'Reporte Componentes R1'!K211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R1'!L211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R1'!M211</x:f>
        <x:v>0</x:v>
      </x:c>
      <x:c r="V48" s="252">
        <x:f>'Reporte Componentes R1'!N211</x:f>
        <x:v>0</x:v>
      </x:c>
      <x:c r="W48" s="252">
        <x:f>'Reporte Componentes R1'!O211</x:f>
        <x:v>0</x:v>
      </x:c>
      <x:c r="X48" s="252">
        <x:f>'Reporte Componentes R1'!P211</x:f>
        <x:v>0</x:v>
      </x:c>
      <x:c r="Y48" s="252">
        <x:f>'Reporte Componentes R1'!Q211</x:f>
        <x:v>0</x:v>
      </x:c>
      <x:c r="Z48" s="255">
        <x:f>-L48</x:f>
        <x:v>0</x:v>
      </x:c>
      <x:c r="AA48" s="256">
        <x:f>'Reporte Componentes R1'!R211+'Reporte Componentes R1'!V211+'Reporte Componentes R1'!U211</x:f>
        <x:v>0</x:v>
      </x:c>
      <x:c r="AB48" s="230">
        <x:f>N48</x:f>
        <x:v>0</x:v>
      </x:c>
      <x:c r="AC48" s="256">
        <x:f>'Reporte Componentes R1'!T211+'Reporte Componentes R1'!W211+'Reporte Componentes R1'!X211+'Reporte Componentes R1'!Y211+'Reporte Componentes R1'!Z211+'Reporte Componentes R1'!S211</x:f>
        <x:v>0</x:v>
      </x:c>
      <x:c r="AD48" s="227">
        <x:f t="shared" ref="AD48:AD51" si="16">-J48+AE48</x:f>
        <x:v>0</x:v>
      </x:c>
      <x:c r="AE48" s="227">
        <x:f>'Reporte Componentes R1'!F212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R1'!F342</x:f>
        <x:v>0</x:v>
      </x:c>
      <x:c r="E49" s="227">
        <x:f>'Reporte Componentes R1'!G342</x:f>
        <x:v>0</x:v>
      </x:c>
      <x:c r="F49" s="227">
        <x:f>'Reporte Componentes R1'!H342</x:f>
        <x:v>0</x:v>
      </x:c>
      <x:c r="G49" s="227">
        <x:f>'Reporte Componentes R1'!I342</x:f>
        <x:v>0</x:v>
      </x:c>
      <x:c r="H49" s="227">
        <x:f>'Reporte Componentes R1'!J342</x:f>
        <x:v>0</x:v>
      </x:c>
      <x:c r="I49" s="227">
        <x:f>'Reporte Componentes R1'!K342</x:f>
        <x:v>0</x:v>
      </x:c>
      <x:c r="J49" s="227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R1'!L342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R1'!M342</x:f>
        <x:v>0</x:v>
      </x:c>
      <x:c r="V49" s="252">
        <x:f>'Reporte Componentes R1'!N342</x:f>
        <x:v>0</x:v>
      </x:c>
      <x:c r="W49" s="252">
        <x:f>'Reporte Componentes R1'!O342</x:f>
        <x:v>0</x:v>
      </x:c>
      <x:c r="X49" s="252">
        <x:f>'Reporte Componentes R1'!P342</x:f>
        <x:v>0</x:v>
      </x:c>
      <x:c r="Y49" s="252">
        <x:f>'Reporte Componentes R1'!Q342</x:f>
        <x:v>0</x:v>
      </x:c>
      <x:c r="Z49" s="255">
        <x:f>-L49</x:f>
        <x:v>0</x:v>
      </x:c>
      <x:c r="AA49" s="256">
        <x:f>'Reporte Componentes R1'!R342+'Reporte Componentes R1'!V342+'Reporte Componentes R1'!U342</x:f>
        <x:v>0</x:v>
      </x:c>
      <x:c r="AB49" s="230">
        <x:f>N49</x:f>
        <x:v>0</x:v>
      </x:c>
      <x:c r="AC49" s="256">
        <x:f>'Reporte Componentes R1'!T342+'Reporte Componentes R1'!W342+'Reporte Componentes R1'!X342+'Reporte Componentes R1'!Y342+'Reporte Componentes R1'!Z342+'Reporte Componentes R1'!S342</x:f>
        <x:v>0</x:v>
      </x:c>
      <x:c r="AD49" s="227">
        <x:f t="shared" si="16"/>
        <x:v>0</x:v>
      </x:c>
      <x:c r="AE49" s="227">
        <x:f>'Reporte Componentes R1'!F343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R1'!F473</x:f>
        <x:v>0</x:v>
      </x:c>
      <x:c r="E50" s="227">
        <x:f>'Reporte Componentes R1'!G473</x:f>
        <x:v>0</x:v>
      </x:c>
      <x:c r="F50" s="227">
        <x:f>'Reporte Componentes R1'!H473</x:f>
        <x:v>0</x:v>
      </x:c>
      <x:c r="G50" s="227">
        <x:f>'Reporte Componentes R1'!I473</x:f>
        <x:v>0</x:v>
      </x:c>
      <x:c r="H50" s="227">
        <x:f>'Reporte Componentes R1'!J473</x:f>
        <x:v>0</x:v>
      </x:c>
      <x:c r="I50" s="227">
        <x:f>'Reporte Componentes R1'!K473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R1'!L473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R1'!M473</x:f>
        <x:v>0</x:v>
      </x:c>
      <x:c r="V50" s="252">
        <x:f>'Reporte Componentes R1'!N473</x:f>
        <x:v>0</x:v>
      </x:c>
      <x:c r="W50" s="252">
        <x:f>'Reporte Componentes R1'!O473</x:f>
        <x:v>0</x:v>
      </x:c>
      <x:c r="X50" s="252">
        <x:f>'Reporte Componentes R1'!P473</x:f>
        <x:v>0</x:v>
      </x:c>
      <x:c r="Y50" s="252">
        <x:f>'Reporte Componentes R1'!Q473</x:f>
        <x:v>0</x:v>
      </x:c>
      <x:c r="Z50" s="255">
        <x:f>-L50</x:f>
        <x:v>0</x:v>
      </x:c>
      <x:c r="AA50" s="256">
        <x:f>'Reporte Componentes R1'!R473+'Reporte Componentes R1'!V473+'Reporte Componentes R1'!U473</x:f>
        <x:v>0</x:v>
      </x:c>
      <x:c r="AB50" s="230">
        <x:f>N50</x:f>
        <x:v>0</x:v>
      </x:c>
      <x:c r="AC50" s="256">
        <x:f>'Reporte Componentes R1'!T473+'Reporte Componentes R1'!W473+'Reporte Componentes R1'!X473+'Reporte Componentes R1'!Y473+'Reporte Componentes R1'!Z473+'Reporte Componentes R1'!S473</x:f>
        <x:v>0</x:v>
      </x:c>
      <x:c r="AD50" s="227">
        <x:f t="shared" si="16"/>
        <x:v>0</x:v>
      </x:c>
      <x:c r="AE50" s="227">
        <x:f>'Reporte Componentes R1'!F474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R1'!F571</x:f>
        <x:v>0</x:v>
      </x:c>
      <x:c r="E51" s="232">
        <x:f>'Reporte Componentes R1'!G571</x:f>
        <x:v>0</x:v>
      </x:c>
      <x:c r="F51" s="232">
        <x:f>'Reporte Componentes R1'!H571</x:f>
        <x:v>0</x:v>
      </x:c>
      <x:c r="G51" s="232">
        <x:f>'Reporte Componentes R1'!I571</x:f>
        <x:v>0</x:v>
      </x:c>
      <x:c r="H51" s="232">
        <x:f>'Reporte Componentes R1'!J571</x:f>
        <x:v>0</x:v>
      </x:c>
      <x:c r="I51" s="232">
        <x:f>'Reporte Componentes R1'!K571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R1'!M571</x:f>
        <x:v>0</x:v>
      </x:c>
      <x:c r="V51" s="232">
        <x:f>'Reporte Componentes R1'!N571</x:f>
        <x:v>0</x:v>
      </x:c>
      <x:c r="W51" s="232">
        <x:f>'Reporte Componentes R1'!O571</x:f>
        <x:v>0</x:v>
      </x:c>
      <x:c r="X51" s="232">
        <x:f>'Reporte Componentes R1'!P571</x:f>
        <x:v>0</x:v>
      </x:c>
      <x:c r="Y51" s="225">
        <x:f>'Reporte Componentes R1'!Q571</x:f>
        <x:v>0</x:v>
      </x:c>
      <x:c r="Z51" s="255">
        <x:f>-L51</x:f>
        <x:v>0</x:v>
      </x:c>
      <x:c r="AA51" s="256">
        <x:f>'Reporte Componentes R1'!R571+'Reporte Componentes R1'!V571+'Reporte Componentes R1'!U571</x:f>
        <x:v>0</x:v>
      </x:c>
      <x:c r="AB51" s="230">
        <x:f>N51</x:f>
        <x:v>0</x:v>
      </x:c>
      <x:c r="AC51" s="256">
        <x:f>'Reporte Componentes R1'!T571+'Reporte Componentes R1'!W571+'Reporte Componentes R1'!X571+'Reporte Componentes R1'!Y571+'Reporte Componentes R1'!Z571+'Reporte Componentes R1'!S571</x:f>
        <x:v>0</x:v>
      </x:c>
      <x:c r="AD51" s="227">
        <x:f t="shared" si="16"/>
        <x:v>0</x:v>
      </x:c>
      <x:c r="AE51" s="227">
        <x:f>'Reporte Componentes R1'!F572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si="22"/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R4'!D82</x:f>
        <x:v>0</x:v>
      </x:c>
      <x:c r="E66" s="227">
        <x:f>'Reversion Pagos R4'!E82</x:f>
        <x:v>0</x:v>
      </x:c>
      <x:c r="F66" s="227">
        <x:f>'Reversion Pagos R4'!F82</x:f>
        <x:v>0</x:v>
      </x:c>
      <x:c r="G66" s="227">
        <x:f>'Reversion Pagos R4'!G82</x:f>
        <x:v>0</x:v>
      </x:c>
      <x:c r="H66" s="227">
        <x:f>'Reversion Pagos R4'!H82</x:f>
        <x:v>0</x:v>
      </x:c>
      <x:c r="I66" s="227">
        <x:f>'Reversion Pagos R4'!I82</x:f>
        <x:v>0</x:v>
      </x:c>
      <x:c r="J66" s="245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R4'!P82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R4'!J82</x:f>
        <x:v>0</x:v>
      </x:c>
      <x:c r="V66" s="243">
        <x:f>'Reversion Pagos R4'!K82</x:f>
        <x:v>0</x:v>
      </x:c>
      <x:c r="W66" s="243">
        <x:f>'Reversion Pagos R4'!L82</x:f>
        <x:v>0</x:v>
      </x:c>
      <x:c r="X66" s="243">
        <x:f>'Reversion Pagos R4'!M82</x:f>
        <x:v>0</x:v>
      </x:c>
      <x:c r="Y66" s="243">
        <x:f>'Reversion Pagos R4'!N82</x:f>
        <x:v>0</x:v>
      </x:c>
      <x:c r="Z66" s="246">
        <x:f>-L66</x:f>
        <x:v>0</x:v>
      </x:c>
      <x:c r="AA66" s="247">
        <x:f>+'Reversion Pagos R4'!O82</x:f>
        <x:v>0</x:v>
      </x:c>
      <x:c r="AB66" s="230">
        <x:f>N66</x:f>
        <x:v>0</x:v>
      </x:c>
      <x:c r="AC66" s="247">
        <x:f>+'Reversion Pagos R4'!Q82+'Reversion Pagos R4'!R82</x:f>
        <x:v>0</x:v>
      </x:c>
      <x:c r="AD66" s="227">
        <x:f>-J66+AE66</x:f>
        <x:v>0</x:v>
      </x:c>
      <x:c r="AE66" s="227">
        <x:f>'Reversion Pagos R4'!D83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R4'!D177</x:f>
        <x:v>0</x:v>
      </x:c>
      <x:c r="E67" s="227">
        <x:f>'Reversion Pagos R4'!E177</x:f>
        <x:v>0</x:v>
      </x:c>
      <x:c r="F67" s="227">
        <x:f>'Reversion Pagos R4'!F177</x:f>
        <x:v>0</x:v>
      </x:c>
      <x:c r="G67" s="227">
        <x:f>'Reversion Pagos R4'!G177</x:f>
        <x:v>0</x:v>
      </x:c>
      <x:c r="H67" s="227">
        <x:f>'Reversion Pagos R4'!H177</x:f>
        <x:v>0</x:v>
      </x:c>
      <x:c r="I67" s="227">
        <x:f>'Reversion Pagos R4'!I177</x:f>
        <x:v>0</x:v>
      </x:c>
      <x:c r="J67" s="224">
        <x:v>0</x:v>
      </x:c>
      <x:c r="K67" s="231">
        <x:f t="shared" ref="K67:K70" si="23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R4'!P177</x:f>
        <x:v>0</x:v>
      </x:c>
      <x:c r="O67" s="231">
        <x:f t="shared" ref="O67:O70" si="24">M67+N67</x:f>
        <x:v>0</x:v>
      </x:c>
      <x:c r="Q67" s="242"/>
      <x:c r="S67" s="250">
        <x:v>2</x:v>
      </x:c>
      <x:c r="T67" s="251" t="s">
        <x:v>11</x:v>
      </x:c>
      <x:c r="U67" s="252">
        <x:f>'Reversion Pagos R4'!J177</x:f>
        <x:v>0</x:v>
      </x:c>
      <x:c r="V67" s="252">
        <x:f>'Reversion Pagos R4'!K177</x:f>
        <x:v>0</x:v>
      </x:c>
      <x:c r="W67" s="252">
        <x:f>'Reversion Pagos R4'!L177</x:f>
        <x:v>0</x:v>
      </x:c>
      <x:c r="X67" s="252">
        <x:f>'Reversion Pagos R4'!M177</x:f>
        <x:v>0</x:v>
      </x:c>
      <x:c r="Y67" s="252">
        <x:f>'Reversion Pagos R4'!N177</x:f>
        <x:v>0</x:v>
      </x:c>
      <x:c r="Z67" s="255">
        <x:f t="shared" ref="Z67:Z70" si="25">-L67</x:f>
        <x:v>0</x:v>
      </x:c>
      <x:c r="AA67" s="256">
        <x:f>'Reversion Pagos R4'!O177</x:f>
        <x:v>0</x:v>
      </x:c>
      <x:c r="AB67" s="230">
        <x:f t="shared" ref="AB67:AB70" si="26">N67</x:f>
        <x:v>0</x:v>
      </x:c>
      <x:c r="AC67" s="256">
        <x:f>'Reversion Pagos R4'!Q177+'Reversion Pagos R4'!R177</x:f>
        <x:v>0</x:v>
      </x:c>
      <x:c r="AD67" s="227">
        <x:f t="shared" ref="AD67:AD70" si="27">-J67+AE67</x:f>
        <x:v>0</x:v>
      </x:c>
      <x:c r="AE67" s="227">
        <x:f>'Reversion Pagos R4'!D178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8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R4'!D214</x:f>
        <x:v>0</x:v>
      </x:c>
      <x:c r="E68" s="227">
        <x:f>'Reversion Pagos R4'!E214</x:f>
        <x:v>0</x:v>
      </x:c>
      <x:c r="F68" s="227">
        <x:f>'Reversion Pagos R4'!F214</x:f>
        <x:v>0</x:v>
      </x:c>
      <x:c r="G68" s="227">
        <x:f>'Reversion Pagos R4'!G214</x:f>
        <x:v>0</x:v>
      </x:c>
      <x:c r="H68" s="227">
        <x:f>'Reversion Pagos R4'!H214</x:f>
        <x:v>0</x:v>
      </x:c>
      <x:c r="I68" s="227">
        <x:f>'Reversion Pagos R4'!I214</x:f>
        <x:v>0</x:v>
      </x:c>
      <x:c r="J68" s="224">
        <x:v>0</x:v>
      </x:c>
      <x:c r="K68" s="231">
        <x:f t="shared" si="23"/>
        <x:v>0</x:v>
      </x:c>
      <x:c r="L68" s="230">
        <x:v>0</x:v>
      </x:c>
      <x:c r="M68" s="231">
        <x:f>K68-L68</x:f>
        <x:v>0</x:v>
      </x:c>
      <x:c r="N68" s="230">
        <x:f>'Reversion Pagos R4'!P214</x:f>
        <x:v>0</x:v>
      </x:c>
      <x:c r="O68" s="231">
        <x:f t="shared" si="24"/>
        <x:v>0</x:v>
      </x:c>
      <x:c r="Q68" s="242"/>
      <x:c r="S68" s="250">
        <x:v>3</x:v>
      </x:c>
      <x:c r="T68" s="251" t="s">
        <x:v>12</x:v>
      </x:c>
      <x:c r="U68" s="252">
        <x:f>'Reversion Pagos R4'!J214</x:f>
        <x:v>0</x:v>
      </x:c>
      <x:c r="V68" s="252">
        <x:f>'Reversion Pagos R4'!K214</x:f>
        <x:v>0</x:v>
      </x:c>
      <x:c r="W68" s="252">
        <x:f>'Reversion Pagos R4'!L214</x:f>
        <x:v>0</x:v>
      </x:c>
      <x:c r="X68" s="252">
        <x:f>'Reversion Pagos R4'!M214</x:f>
        <x:v>0</x:v>
      </x:c>
      <x:c r="Y68" s="252">
        <x:f>'Reversion Pagos R4'!N214</x:f>
        <x:v>0</x:v>
      </x:c>
      <x:c r="Z68" s="255">
        <x:f t="shared" si="25"/>
        <x:v>0</x:v>
      </x:c>
      <x:c r="AA68" s="256">
        <x:f>'Reversion Pagos R4'!O214</x:f>
        <x:v>0</x:v>
      </x:c>
      <x:c r="AB68" s="230">
        <x:f t="shared" si="26"/>
        <x:v>0</x:v>
      </x:c>
      <x:c r="AC68" s="256">
        <x:f>'Reversion Pagos R4'!Q214+'Reversion Pagos R4'!R214</x:f>
        <x:v>0</x:v>
      </x:c>
      <x:c r="AD68" s="227">
        <x:f t="shared" si="27"/>
        <x:v>0</x:v>
      </x:c>
      <x:c r="AE68" s="227">
        <x:f>'Reversion Pagos R4'!D215</x:f>
        <x:v>0</x:v>
      </x:c>
      <x:c r="AF68" s="258">
        <x:f t="shared" ref="AF68:AF70" si="29">SUM(U68:AD68)</x:f>
        <x:v>0</x:v>
      </x:c>
      <x:c r="AG68" s="259">
        <x:f t="shared" ref="AG68:AG70" si="30">(AF68-O68)</x:f>
        <x:v>0</x:v>
      </x:c>
      <x:c r="AH68" s="1" t="b">
        <x:f t="shared" si="28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R4'!D329</x:f>
        <x:v>0</x:v>
      </x:c>
      <x:c r="E69" s="227">
        <x:f>'Reversion Pagos R4'!E329</x:f>
        <x:v>0</x:v>
      </x:c>
      <x:c r="F69" s="227">
        <x:f>'Reversion Pagos R4'!F329</x:f>
        <x:v>0</x:v>
      </x:c>
      <x:c r="G69" s="227">
        <x:f>'Reversion Pagos R4'!G329</x:f>
        <x:v>0</x:v>
      </x:c>
      <x:c r="H69" s="227">
        <x:f>'Reversion Pagos R4'!H329</x:f>
        <x:v>0</x:v>
      </x:c>
      <x:c r="I69" s="227">
        <x:f>'Reversion Pagos R4'!I329</x:f>
        <x:v>0</x:v>
      </x:c>
      <x:c r="J69" s="224">
        <x:v>0</x:v>
      </x:c>
      <x:c r="K69" s="231">
        <x:f t="shared" si="23"/>
        <x:v>0</x:v>
      </x:c>
      <x:c r="L69" s="230">
        <x:v>0</x:v>
      </x:c>
      <x:c r="M69" s="231">
        <x:f>K69-L69</x:f>
        <x:v>0</x:v>
      </x:c>
      <x:c r="N69" s="230">
        <x:f>'Reversion Pagos R4'!P329</x:f>
        <x:v>0</x:v>
      </x:c>
      <x:c r="O69" s="231">
        <x:f t="shared" si="24"/>
        <x:v>0</x:v>
      </x:c>
      <x:c r="Q69" s="242"/>
      <x:c r="S69" s="250">
        <x:v>4</x:v>
      </x:c>
      <x:c r="T69" s="251" t="s">
        <x:v>13</x:v>
      </x:c>
      <x:c r="U69" s="252">
        <x:f>'Reversion Pagos R4'!J329</x:f>
        <x:v>0</x:v>
      </x:c>
      <x:c r="V69" s="252">
        <x:f>'Reversion Pagos R4'!K329</x:f>
        <x:v>0</x:v>
      </x:c>
      <x:c r="W69" s="252">
        <x:f>'Reversion Pagos R4'!L329</x:f>
        <x:v>0</x:v>
      </x:c>
      <x:c r="X69" s="252">
        <x:f>'Reversion Pagos R4'!M329</x:f>
        <x:v>0</x:v>
      </x:c>
      <x:c r="Y69" s="252">
        <x:f>'Reversion Pagos R4'!N329</x:f>
        <x:v>0</x:v>
      </x:c>
      <x:c r="Z69" s="255">
        <x:f t="shared" si="25"/>
        <x:v>0</x:v>
      </x:c>
      <x:c r="AA69" s="256">
        <x:f>'Reversion Pagos R4'!O329</x:f>
        <x:v>0</x:v>
      </x:c>
      <x:c r="AB69" s="230">
        <x:f t="shared" si="26"/>
        <x:v>0</x:v>
      </x:c>
      <x:c r="AC69" s="256">
        <x:f>'Reversion Pagos R4'!Q329+'Reversion Pagos R4'!R329</x:f>
        <x:v>0</x:v>
      </x:c>
      <x:c r="AD69" s="227">
        <x:f t="shared" si="27"/>
        <x:v>0</x:v>
      </x:c>
      <x:c r="AE69" s="227">
        <x:f>'Reversion Pagos R4'!D330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8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R4'!D364</x:f>
        <x:v>0</x:v>
      </x:c>
      <x:c r="E70" s="232">
        <x:f>'Reversion Pagos R4'!E364</x:f>
        <x:v>0</x:v>
      </x:c>
      <x:c r="F70" s="232">
        <x:f>'Reversion Pagos R4'!F364</x:f>
        <x:v>0</x:v>
      </x:c>
      <x:c r="G70" s="232">
        <x:f>'Reversion Pagos R4'!G364</x:f>
        <x:v>0</x:v>
      </x:c>
      <x:c r="H70" s="232">
        <x:f>'Reversion Pagos R4'!H364</x:f>
        <x:v>0</x:v>
      </x:c>
      <x:c r="I70" s="232">
        <x:f>'Reversion Pagos R4'!I364</x:f>
        <x:v>0</x:v>
      </x:c>
      <x:c r="J70" s="225">
        <x:v>0</x:v>
      </x:c>
      <x:c r="K70" s="231">
        <x:f t="shared" si="23"/>
        <x:v>0</x:v>
      </x:c>
      <x:c r="L70" s="230">
        <x:v>0</x:v>
      </x:c>
      <x:c r="M70" s="234">
        <x:f>K70-L70</x:f>
        <x:v>0</x:v>
      </x:c>
      <x:c r="N70" s="230">
        <x:f>'Reversion Pagos R4'!P364</x:f>
        <x:v>0</x:v>
      </x:c>
      <x:c r="O70" s="234">
        <x:f t="shared" si="24"/>
        <x:v>0</x:v>
      </x:c>
      <x:c r="Q70" s="242"/>
      <x:c r="S70" s="260">
        <x:v>5</x:v>
      </x:c>
      <x:c r="T70" s="261" t="s">
        <x:v>14</x:v>
      </x:c>
      <x:c r="U70" s="232">
        <x:f>'Reversion Pagos R4'!J364</x:f>
        <x:v>0</x:v>
      </x:c>
      <x:c r="V70" s="232">
        <x:f>'Reversion Pagos R4'!K364</x:f>
        <x:v>0</x:v>
      </x:c>
      <x:c r="W70" s="232">
        <x:f>'Reversion Pagos R4'!L364</x:f>
        <x:v>0</x:v>
      </x:c>
      <x:c r="X70" s="232">
        <x:f>'Reversion Pagos R4'!M364</x:f>
        <x:v>0</x:v>
      </x:c>
      <x:c r="Y70" s="232">
        <x:f>'Reversion Pagos R4'!N364</x:f>
        <x:v>0</x:v>
      </x:c>
      <x:c r="Z70" s="255">
        <x:f t="shared" si="25"/>
        <x:v>0</x:v>
      </x:c>
      <x:c r="AA70" s="256">
        <x:f>'Reversion Pagos R4'!O364</x:f>
        <x:v>0</x:v>
      </x:c>
      <x:c r="AB70" s="230">
        <x:f t="shared" si="26"/>
        <x:v>0</x:v>
      </x:c>
      <x:c r="AC70" s="256">
        <x:f>'Reversion Pagos R4'!Q364+'Reversion Pagos R4'!R364</x:f>
        <x:v>0</x:v>
      </x:c>
      <x:c r="AD70" s="227">
        <x:f t="shared" si="27"/>
        <x:v>0</x:v>
      </x:c>
      <x:c r="AE70" s="227">
        <x:f>'Reversion Pagos R4'!D365</x:f>
        <x:v>0</x:v>
      </x:c>
      <x:c r="AF70" s="258">
        <x:f t="shared" si="29"/>
        <x:v>0</x:v>
      </x:c>
      <x:c r="AG70" s="262">
        <x:f t="shared" si="30"/>
        <x:v>0</x:v>
      </x:c>
      <x:c r="AH70" s="1" t="b">
        <x:f t="shared" si="28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1">SUM(D66:D70)</x:f>
        <x:v>0</x:v>
      </x:c>
      <x:c r="E71" s="226">
        <x:f t="shared" si="31"/>
        <x:v>0</x:v>
      </x:c>
      <x:c r="F71" s="226">
        <x:f t="shared" si="31"/>
        <x:v>0</x:v>
      </x:c>
      <x:c r="G71" s="226">
        <x:f t="shared" si="31"/>
        <x:v>0</x:v>
      </x:c>
      <x:c r="H71" s="226">
        <x:f t="shared" si="31"/>
        <x:v>0</x:v>
      </x:c>
      <x:c r="I71" s="226">
        <x:f t="shared" si="31"/>
        <x:v>0</x:v>
      </x:c>
      <x:c r="J71" s="226">
        <x:f t="shared" si="31"/>
        <x:v>0</x:v>
      </x:c>
      <x:c r="K71" s="236">
        <x:f t="shared" si="31"/>
        <x:v>0</x:v>
      </x:c>
      <x:c r="L71" s="237">
        <x:f t="shared" si="31"/>
        <x:v>0</x:v>
      </x:c>
      <x:c r="M71" s="238">
        <x:f t="shared" si="31"/>
        <x:v>0</x:v>
      </x:c>
      <x:c r="N71" s="237">
        <x:f t="shared" si="31"/>
        <x:v>0</x:v>
      </x:c>
      <x:c r="O71" s="238">
        <x:f t="shared" si="31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2">SUM(V66:V70)</x:f>
        <x:v>0</x:v>
      </x:c>
      <x:c r="W71" s="266">
        <x:f t="shared" si="32"/>
        <x:v>0</x:v>
      </x:c>
      <x:c r="X71" s="266">
        <x:f t="shared" si="32"/>
        <x:v>0</x:v>
      </x:c>
      <x:c r="Y71" s="266">
        <x:f t="shared" si="32"/>
        <x:v>0</x:v>
      </x:c>
      <x:c r="Z71" s="226">
        <x:f t="shared" si="32"/>
        <x:v>0</x:v>
      </x:c>
      <x:c r="AA71" s="226">
        <x:f>SUM(AA66:AA70)</x:f>
        <x:v>0</x:v>
      </x:c>
      <x:c r="AB71" s="226">
        <x:f t="shared" si="32"/>
        <x:v>0</x:v>
      </x:c>
      <x:c r="AC71" s="226">
        <x:f t="shared" si="32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2"/>
        <x:v>0</x:v>
      </x:c>
      <x:c r="AG71" s="268">
        <x:f t="shared" si="32"/>
        <x:v>0</x:v>
      </x:c>
      <x:c r="AH71" s="1" t="b">
        <x:f t="shared" si="28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167</x:v>
      </x:c>
      <x:c r="AD84" s="491" t="s">
        <x:v>105</x:v>
      </x:c>
      <x:c r="AE84" s="490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8">
        <x:f>'AJUSTES - SF-T'!J47</x:f>
        <x:v>0</x:v>
      </x:c>
      <x:c r="K85" s="228">
        <x:f>D85-E85-F85-G85-H85-I85-J85</x:f>
        <x:v>0</x:v>
      </x:c>
      <x:c r="L85" s="230">
        <x:v>0</x:v>
      </x:c>
      <x:c r="M85" s="257">
        <x:f>K85-L85</x:f>
        <x:v>0</x:v>
      </x:c>
      <x:c r="N85" s="257">
        <x:f>'AJUSTES - SF-T'!N47</x:f>
        <x:v>0</x:v>
      </x:c>
      <x:c r="O85" s="257">
        <x:f>M85+N85</x:f>
        <x:v>0</x:v>
      </x:c>
      <x:c r="Q85" s="242"/>
      <x:c r="S85" s="239">
        <x:v>1</x:v>
      </x:c>
      <x:c r="T85" s="240" t="s">
        <x:v>10</x:v>
      </x:c>
      <x:c r="U85" s="248">
        <x:v>0</x:v>
      </x:c>
      <x:c r="V85" s="248">
        <x:v>0</x:v>
      </x:c>
      <x:c r="W85" s="248">
        <x:v>0</x:v>
      </x:c>
      <x:c r="X85" s="248">
        <x:v>0</x:v>
      </x:c>
      <x:c r="Y85" s="248">
        <x:v>0</x:v>
      </x:c>
      <x:c r="Z85" s="248">
        <x:f>'AJUSTES - SF-T'!Z47</x:f>
        <x:v>0</x:v>
      </x:c>
      <x:c r="AA85" s="247">
        <x:v>0</x:v>
      </x:c>
      <x:c r="AB85" s="248">
        <x:f>'AJUSTES - SF-T'!AB47</x:f>
        <x:v>0</x:v>
      </x:c>
      <x:c r="AC85" s="488">
        <x:v>0</x:v>
      </x:c>
      <x:c r="AD85" s="257">
        <x:v>0</x:v>
      </x:c>
      <x:c r="AE85" s="230">
        <x:v>0</x:v>
      </x:c>
      <x:c r="AF85" s="299">
        <x:f>SUM(U85:AD85)</x:f>
        <x:v>0</x:v>
      </x:c>
      <x:c r="AG85" s="486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8">
        <x:v>0</x:v>
      </x:c>
      <x:c r="K86" s="228">
        <x:f t="shared" ref="K86:K89" si="33">D86-E86-F86-G86-H86-I86-J86</x:f>
        <x:v>0</x:v>
      </x:c>
      <x:c r="L86" s="230">
        <x:v>0</x:v>
      </x:c>
      <x:c r="M86" s="257">
        <x:f>K86-L86</x:f>
        <x:v>0</x:v>
      </x:c>
      <x:c r="N86" s="257">
        <x:v>0</x:v>
      </x:c>
      <x:c r="O86" s="257">
        <x:f t="shared" ref="O86:O89" si="34">M86+N86</x:f>
        <x:v>0</x:v>
      </x:c>
      <x:c r="Q86" s="242"/>
      <x:c r="S86" s="250">
        <x:v>2</x:v>
      </x:c>
      <x:c r="T86" s="251" t="s">
        <x:v>11</x:v>
      </x:c>
      <x:c r="U86" s="256">
        <x:v>0</x:v>
      </x:c>
      <x:c r="V86" s="256">
        <x:v>0</x:v>
      </x:c>
      <x:c r="W86" s="256">
        <x:v>0</x:v>
      </x:c>
      <x:c r="X86" s="256">
        <x:v>0</x:v>
      </x:c>
      <x:c r="Y86" s="256">
        <x:v>0</x:v>
      </x:c>
      <x:c r="Z86" s="256">
        <x:f>-L86</x:f>
        <x:v>0</x:v>
      </x:c>
      <x:c r="AA86" s="256">
        <x:v>0</x:v>
      </x:c>
      <x:c r="AB86" s="256">
        <x:f>N86</x:f>
        <x:v>0</x:v>
      </x:c>
      <x:c r="AC86" s="235">
        <x:v>0</x:v>
      </x:c>
      <x:c r="AD86" s="256">
        <x:f t="shared" ref="AD86:AD88" si="35">-J86+AE86</x:f>
        <x:v>0</x:v>
      </x:c>
      <x:c r="AE86" s="235">
        <x:v>0</x:v>
      </x:c>
      <x:c r="AF86" s="301">
        <x:f>SUM(U86:AD86)</x:f>
        <x:v>0</x:v>
      </x:c>
      <x:c r="AG86" s="487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8">
        <x:f>'AJUSTES - SF-T'!J49</x:f>
        <x:v>0</x:v>
      </x:c>
      <x:c r="K87" s="228">
        <x:f>D87-E87-F87-G87-H87-I87-J87</x:f>
        <x:v>0</x:v>
      </x:c>
      <x:c r="L87" s="230">
        <x:v>0</x:v>
      </x:c>
      <x:c r="M87" s="257">
        <x:f>K87-L87</x:f>
        <x:v>0</x:v>
      </x:c>
      <x:c r="N87" s="257">
        <x:f>'AJUSTES - SF-T'!N49</x:f>
        <x:v>0</x:v>
      </x:c>
      <x:c r="O87" s="257">
        <x:f>M87+N87</x:f>
        <x:v>0</x:v>
      </x:c>
      <x:c r="Q87" s="242"/>
      <x:c r="S87" s="250">
        <x:v>3</x:v>
      </x:c>
      <x:c r="T87" s="251" t="s">
        <x:v>12</x:v>
      </x:c>
      <x:c r="U87" s="256">
        <x:v>0</x:v>
      </x:c>
      <x:c r="V87" s="256">
        <x:v>0</x:v>
      </x:c>
      <x:c r="W87" s="256">
        <x:v>0</x:v>
      </x:c>
      <x:c r="X87" s="256">
        <x:v>0</x:v>
      </x:c>
      <x:c r="Y87" s="256">
        <x:v>0</x:v>
      </x:c>
      <x:c r="Z87" s="256">
        <x:f>'AJUSTES - SF-T'!Z49</x:f>
        <x:v>0</x:v>
      </x:c>
      <x:c r="AA87" s="256">
        <x:f>'AJUSTES - SF-T'!AA49</x:f>
        <x:v>0</x:v>
      </x:c>
      <x:c r="AB87" s="256">
        <x:f>'AJUSTES - SF-T'!AB49</x:f>
        <x:v>0</x:v>
      </x:c>
      <x:c r="AC87" s="235">
        <x:v>0</x:v>
      </x:c>
      <x:c r="AD87" s="256">
        <x:v>0</x:v>
      </x:c>
      <x:c r="AE87" s="235">
        <x:v>0</x:v>
      </x:c>
      <x:c r="AF87" s="301">
        <x:f>SUM(U87:AD87)</x:f>
        <x:v>0</x:v>
      </x:c>
      <x:c r="AG87" s="487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8">
        <x:v>0</x:v>
      </x:c>
      <x:c r="K88" s="228">
        <x:f t="shared" si="33"/>
        <x:v>0</x:v>
      </x:c>
      <x:c r="L88" s="230">
        <x:v>0</x:v>
      </x:c>
      <x:c r="M88" s="257">
        <x:f>K88-L88</x:f>
        <x:v>0</x:v>
      </x:c>
      <x:c r="N88" s="257">
        <x:v>0</x:v>
      </x:c>
      <x:c r="O88" s="257">
        <x:f t="shared" si="34"/>
        <x:v>0</x:v>
      </x:c>
      <x:c r="Q88" s="242"/>
      <x:c r="S88" s="250">
        <x:v>4</x:v>
      </x:c>
      <x:c r="T88" s="251" t="s">
        <x:v>13</x:v>
      </x:c>
      <x:c r="U88" s="256">
        <x:v>0</x:v>
      </x:c>
      <x:c r="V88" s="256">
        <x:v>0</x:v>
      </x:c>
      <x:c r="W88" s="256">
        <x:v>0</x:v>
      </x:c>
      <x:c r="X88" s="256">
        <x:v>0</x:v>
      </x:c>
      <x:c r="Y88" s="256">
        <x:v>0</x:v>
      </x:c>
      <x:c r="Z88" s="256">
        <x:f>-L88</x:f>
        <x:v>0</x:v>
      </x:c>
      <x:c r="AA88" s="256">
        <x:v>0</x:v>
      </x:c>
      <x:c r="AB88" s="256">
        <x:f>N88</x:f>
        <x:v>0</x:v>
      </x:c>
      <x:c r="AC88" s="235">
        <x:v>0</x:v>
      </x:c>
      <x:c r="AD88" s="256">
        <x:f t="shared" si="35"/>
        <x:v>0</x:v>
      </x:c>
      <x:c r="AE88" s="235">
        <x:v>0</x:v>
      </x:c>
      <x:c r="AF88" s="301">
        <x:f t="shared" ref="AF88:AF89" si="37">SUM(U88:AD88)</x:f>
        <x:v>0</x:v>
      </x:c>
      <x:c r="AG88" s="487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f>'AJUSTES - SF-T'!D51</x:f>
        <x:v>0</x:v>
      </x:c>
      <x:c r="E89" s="233">
        <x:f>'AJUSTES - SF-T'!E51</x:f>
        <x:v>0</x:v>
      </x:c>
      <x:c r="F89" s="233">
        <x:f>'AJUSTES - SF-T'!F51</x:f>
        <x:v>0</x:v>
      </x:c>
      <x:c r="G89" s="233">
        <x:f>'AJUSTES - SF-T'!G51</x:f>
        <x:v>0</x:v>
      </x:c>
      <x:c r="H89" s="233">
        <x:f>'AJUSTES - SF-T'!H51</x:f>
        <x:v>0</x:v>
      </x:c>
      <x:c r="I89" s="233">
        <x:f>'AJUSTES - SF-T'!I51</x:f>
        <x:v>0</x:v>
      </x:c>
      <x:c r="J89" s="233">
        <x:f>'AJUSTES - SF-T'!J51</x:f>
        <x:v>0</x:v>
      </x:c>
      <x:c r="K89" s="233">
        <x:f t="shared" si="33"/>
        <x:v>0</x:v>
      </x:c>
      <x:c r="L89" s="230">
        <x:v>0</x:v>
      </x:c>
      <x:c r="M89" s="282">
        <x:f>K89-L89</x:f>
        <x:v>0</x:v>
      </x:c>
      <x:c r="N89" s="282">
        <x:f>'AJUSTES - SF-T'!N51</x:f>
        <x:v>0</x:v>
      </x:c>
      <x:c r="O89" s="282">
        <x:f t="shared" si="34"/>
        <x:v>0</x:v>
      </x:c>
      <x:c r="Q89" s="242"/>
      <x:c r="S89" s="260">
        <x:v>5</x:v>
      </x:c>
      <x:c r="T89" s="261" t="s">
        <x:v>14</x:v>
      </x:c>
      <x:c r="U89" s="282">
        <x:f>'AJUSTES - SF-T'!U51</x:f>
        <x:v>0</x:v>
      </x:c>
      <x:c r="V89" s="282">
        <x:f>'AJUSTES - SF-T'!V51</x:f>
        <x:v>0</x:v>
      </x:c>
      <x:c r="W89" s="282">
        <x:f>'AJUSTES - SF-T'!W51</x:f>
        <x:v>0</x:v>
      </x:c>
      <x:c r="X89" s="282">
        <x:f>'AJUSTES - SF-T'!X51</x:f>
        <x:v>0</x:v>
      </x:c>
      <x:c r="Y89" s="282">
        <x:f>'AJUSTES - SF-T'!Y51</x:f>
        <x:v>0</x:v>
      </x:c>
      <x:c r="Z89" s="282">
        <x:f>'AJUSTES - SF-T'!Z51</x:f>
        <x:v>0</x:v>
      </x:c>
      <x:c r="AA89" s="256">
        <x:f>'AJUSTES - SF-T'!AA51</x:f>
        <x:v>0</x:v>
      </x:c>
      <x:c r="AB89" s="489">
        <x:f>'AJUSTES - SF-T'!AB51</x:f>
        <x:v>0</x:v>
      </x:c>
      <x:c r="AC89" s="519">
        <x:v>0</x:v>
      </x:c>
      <x:c r="AD89" s="489">
        <x:f>'AJUSTES - SF-T'!AC51</x:f>
        <x:v>0</x:v>
      </x:c>
      <x:c r="AE89" s="230">
        <x:f>'AJUSTES - SF-T'!AD51</x:f>
        <x:v>0</x:v>
      </x:c>
      <x:c r="AF89" s="493">
        <x:f t="shared" si="37"/>
        <x:v>0</x:v>
      </x:c>
      <x:c r="AG89" s="49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48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485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328</x:v>
      </x:c>
      <x:c r="G101" s="58"/>
      <x:c r="H101" s="59"/>
      <x:c r="I101" s="60"/>
      <x:c r="J101" s="59"/>
      <x:c r="L101" s="90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8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C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>AA9+AA28+AA47+AA66+AA85</x:f>
        <x:v>0</x:v>
      </x:c>
      <x:c r="AB104" s="230">
        <x:f>AB9+AB28+AB47+AB66+AB85</x:f>
        <x:v>0</x:v>
      </x:c>
      <x:c r="AC104" s="247">
        <x:f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8">
        <x:f t="shared" si="40"/>
        <x:v>0</x:v>
      </x:c>
      <x:c r="K105" s="231">
        <x:f t="shared" ref="K105:K108" si="42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3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6">
        <x:f t="shared" si="41"/>
        <x:v>0</x:v>
      </x:c>
      <x:c r="AD105" s="227">
        <x:f t="shared" ref="AD105:AD106" si="44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5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8">
        <x:f t="shared" si="40"/>
        <x:v>0</x:v>
      </x:c>
      <x:c r="K106" s="231">
        <x:f t="shared" si="42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3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6">
        <x:f>AC11+AC30+AC49+AC68+AC87</x:f>
        <x:v>0</x:v>
      </x:c>
      <x:c r="AD106" s="227">
        <x:f t="shared" si="44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5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8">
        <x:f t="shared" si="40"/>
        <x:v>0</x:v>
      </x:c>
      <x:c r="K107" s="231">
        <x:f t="shared" si="42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>M107+N107</x:f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6">
        <x:f t="shared" si="41"/>
        <x:v>0</x:v>
      </x:c>
      <x:c r="AD107" s="227">
        <x:f>-J117+AE117</x:f>
        <x:v>0</x:v>
      </x:c>
      <x:c r="AE107" s="227">
        <x:f>AE12+AE31+AE50+AE69+AE88</x:f>
        <x:v>0</x:v>
      </x:c>
      <x:c r="AF107" s="258">
        <x:f>SUM(U117:AD117)</x:f>
        <x:v>0</x:v>
      </x:c>
      <x:c r="AG107" s="259">
        <x:f>AF117-O117</x:f>
        <x:v>0</x:v>
      </x:c>
      <x:c r="AH107" s="1" t="b">
        <x:f t="shared" si="45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33">
        <x:f t="shared" si="40"/>
        <x:v>0</x:v>
      </x:c>
      <x:c r="K108" s="231">
        <x:f t="shared" si="42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3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6">
        <x:f t="shared" si="41"/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5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46">SUM(D104:D108)</x:f>
        <x:v>0</x:v>
      </x:c>
      <x:c r="E109" s="226">
        <x:f t="shared" si="46"/>
        <x:v>0</x:v>
      </x:c>
      <x:c r="F109" s="226">
        <x:f t="shared" si="46"/>
        <x:v>0</x:v>
      </x:c>
      <x:c r="G109" s="226">
        <x:f t="shared" si="46"/>
        <x:v>0</x:v>
      </x:c>
      <x:c r="H109" s="226">
        <x:f t="shared" si="46"/>
        <x:v>0</x:v>
      </x:c>
      <x:c r="I109" s="226">
        <x:f t="shared" si="46"/>
        <x:v>0</x:v>
      </x:c>
      <x:c r="J109" s="226">
        <x:f t="shared" si="46"/>
        <x:v>0</x:v>
      </x:c>
      <x:c r="K109" s="236">
        <x:f t="shared" si="46"/>
        <x:v>0</x:v>
      </x:c>
      <x:c r="L109" s="237">
        <x:f t="shared" si="46"/>
        <x:v>0</x:v>
      </x:c>
      <x:c r="M109" s="238">
        <x:f t="shared" si="46"/>
        <x:v>0</x:v>
      </x:c>
      <x:c r="N109" s="237">
        <x:f t="shared" si="46"/>
        <x:v>0</x:v>
      </x:c>
      <x:c r="O109" s="238">
        <x:f t="shared" si="46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47">SUM(V104:V108)</x:f>
        <x:v>0</x:v>
      </x:c>
      <x:c r="W109" s="266">
        <x:f t="shared" si="47"/>
        <x:v>0</x:v>
      </x:c>
      <x:c r="X109" s="266">
        <x:f t="shared" si="47"/>
        <x:v>0</x:v>
      </x:c>
      <x:c r="Y109" s="266">
        <x:f t="shared" si="47"/>
        <x:v>0</x:v>
      </x:c>
      <x:c r="Z109" s="226">
        <x:f t="shared" si="47"/>
        <x:v>0</x:v>
      </x:c>
      <x:c r="AA109" s="226">
        <x:f t="shared" si="47"/>
        <x:v>0</x:v>
      </x:c>
      <x:c r="AB109" s="226">
        <x:f t="shared" si="47"/>
        <x:v>0</x:v>
      </x:c>
      <x:c r="AC109" s="226">
        <x:f t="shared" si="47"/>
        <x:v>0</x:v>
      </x:c>
      <x:c r="AD109" s="226">
        <x:f t="shared" si="47"/>
        <x:v>0</x:v>
      </x:c>
      <x:c r="AE109" s="226">
        <x:f>SUM(AE104:AE108)</x:f>
        <x:v>0</x:v>
      </x:c>
      <x:c r="AF109" s="267">
        <x:f t="shared" si="47"/>
        <x:v>0</x:v>
      </x:c>
      <x:c r="AG109" s="268">
        <x:f>SUM(AG104:AG108)</x:f>
        <x:v>0</x:v>
      </x:c>
      <x:c r="AH109" s="1" t="b">
        <x:f t="shared" si="45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241"/>
      <x:c r="AB112" s="241"/>
      <x:c r="AC112" s="241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x14ac:dyDescent="0.2">
      <x:c r="B125" s="101">
        <x:v>1</x:v>
      </x:c>
      <x:c r="C125" s="102" t="s">
        <x:v>10</x:v>
      </x:c>
      <x:c r="D125" s="103">
        <x:f>'ANTICIPOS USUARIOS'!L3</x:f>
        <x:v>0</x:v>
      </x:c>
      <x:c r="E125" s="104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USUARIOS'!L12</x:f>
        <x:v>0</x:v>
      </x:c>
      <x:c r="L125" s="245">
        <x:f>-'ANTICIPOS USUARIOS'!L21</x:f>
        <x:v>0</x:v>
      </x:c>
      <x:c r="O125" s="44"/>
      <x:c r="Q125" s="4"/>
    </x:row>
    <x:row r="126" spans="1:35" x14ac:dyDescent="0.2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48">D67+N67</x:f>
        <x:v>0</x:v>
      </x:c>
      <x:c r="K126" s="224">
        <x:f>'ANTICIPOS USUARIOS'!L13</x:f>
        <x:v>0</x:v>
      </x:c>
      <x:c r="L126" s="224">
        <x:f>-'ANTICIPOS USUARIOS'!L22</x:f>
        <x:v>0</x:v>
      </x:c>
      <x:c r="O126" s="44"/>
      <x:c r="Q126" s="4"/>
    </x:row>
    <x:row r="127" spans="1:35" x14ac:dyDescent="0.2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48"/>
        <x:v>0</x:v>
      </x:c>
      <x:c r="K127" s="224">
        <x:f>'ANTICIPOS USUARIOS'!L14</x:f>
        <x:v>0</x:v>
      </x:c>
      <x:c r="L127" s="224">
        <x:f>-'ANTICIPOS USUARIOS'!L23</x:f>
        <x:v>0</x:v>
      </x:c>
      <x:c r="O127" s="44"/>
      <x:c r="Q127" s="4"/>
    </x:row>
    <x:row r="128" spans="1:35" x14ac:dyDescent="0.2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48"/>
        <x:v>0</x:v>
      </x:c>
      <x:c r="K128" s="224">
        <x:f>'ANTICIPOS USUARIOS'!L15</x:f>
        <x:v>0</x:v>
      </x:c>
      <x:c r="L128" s="224">
        <x:f>-'ANTICIPOS USUARIOS'!L24</x:f>
        <x:v>0</x:v>
      </x:c>
      <x:c r="O128" s="44"/>
      <x:c r="Q128" s="4"/>
    </x:row>
    <x:row r="129" spans="1:18" x14ac:dyDescent="0.2">
      <x:c r="B129" s="122">
        <x:v>5</x:v>
      </x:c>
      <x:c r="C129" s="127" t="s">
        <x:v>14</x:v>
      </x:c>
      <x:c r="D129" s="15">
        <x:f>'ANTICIPOS USUARIOS'!L7</x:f>
        <x:v>0</x:v>
      </x:c>
      <x:c r="E129" s="128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48"/>
        <x:v>0</x:v>
      </x:c>
      <x:c r="K129" s="224">
        <x:f>'ANTICIPOS USUARIOS'!L16</x:f>
        <x:v>0</x:v>
      </x:c>
      <x:c r="L129" s="224">
        <x:f>-'ANTICIPOS USUARIOS'!L25</x:f>
        <x:v>0</x:v>
      </x:c>
      <x:c r="O129" s="44"/>
      <x:c r="Q129" s="4"/>
    </x:row>
    <x:row r="130" spans="1:18" ht="12.75" thickBot="1" x14ac:dyDescent="0.25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282"/>
      <x:c r="H130" s="283"/>
      <x:c r="I130" s="225"/>
      <x:c r="J130" s="225"/>
      <x:c r="K130" s="225"/>
      <x:c r="L130" s="225"/>
      <x:c r="O130" s="44"/>
      <x:c r="Q130" s="4"/>
    </x:row>
    <x:row r="131" spans="1:18" ht="12.75" thickBot="1" x14ac:dyDescent="0.25">
      <x:c r="B131" s="92"/>
      <x:c r="C131" s="99" t="s">
        <x:v>2</x:v>
      </x:c>
      <x:c r="D131" s="100">
        <x:f>SUM(D125:D130)</x:f>
        <x:v>0</x:v>
      </x:c>
      <x:c r="E131" s="100">
        <x:f>SUM(E125:E130)</x:f>
        <x:v>0</x:v>
      </x:c>
      <x:c r="F131" s="45"/>
      <x:c r="G131" s="286">
        <x:f t="shared" ref="G131" si="49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45"/>
      <x:c r="N131" s="45"/>
      <x:c r="O131" s="46"/>
      <x:c r="P131" s="2"/>
      <x:c r="Q131" s="4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ENERBIT'!D21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BANCO'!E63)</x:f>
        <x:v>0</x:v>
      </x:c>
      <x:c r="J142" s="103">
        <x:f t="shared" ref="J142:K146" si="50">G125</x:f>
        <x:v>0</x:v>
      </x:c>
      <x:c r="K142" s="104">
        <x:f t="shared" si="50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443">
        <x:f>D143-E143-F143-G143-J143-H143-I143</x:f>
        <x:v>0</x:v>
      </x:c>
      <x:c r="M143" s="1" t="b">
        <x:f t="shared" ref="M143:M147" si="51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443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443">
        <x:f>D145-E145-F145-G145-J145-H145-I145</x:f>
        <x:v>0</x:v>
      </x:c>
      <x:c r="M145" s="1" t="b">
        <x:f t="shared" si="51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ENERBIT'!F25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BANCO'!E73)</x:f>
        <x:v>0</x:v>
      </x:c>
      <x:c r="J146" s="123">
        <x:f t="shared" si="50"/>
        <x:v>0</x:v>
      </x:c>
      <x:c r="K146" s="125">
        <x:f t="shared" si="50"/>
        <x:v>0</x:v>
      </x:c>
      <x:c r="L146" s="443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443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53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topLeftCell="C1" zoomScale="90" zoomScaleNormal="90" workbookViewId="0">
      <x:selection activeCell="L13" sqref="L13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ENERBIT'!D21</x:f>
        <x:v>0</x:v>
      </x:c>
      <x:c r="D3" s="228">
        <x:f>REMUNERACION_ENERBIT!G125</x:f>
        <x:v>0</x:v>
      </x:c>
      <x:c r="E3" s="228">
        <x:f>REMUNERACION_ENERBIT!D28+REMUNERACION_ENERBIT!N28</x:f>
        <x:v>0</x:v>
      </x:c>
      <x:c r="F3" s="228">
        <x:f>REMUNERACION_ENERBIT!I142</x:f>
        <x:v>0</x:v>
      </x:c>
      <x:c r="G3" s="228">
        <x:f>REMUNERACION_ENERBIT!H142</x:f>
        <x:v>0</x:v>
      </x:c>
      <x:c r="H3" s="276">
        <x:f>SUM(C3:G3)</x:f>
        <x:v>0</x:v>
      </x:c>
      <x:c r="I3" s="227">
        <x:f>REMUNERACION_ENERBIT!D104</x:f>
        <x:v>0</x:v>
      </x:c>
      <x:c r="J3" s="228">
        <x:f>REMUNERACION_ENERBIT!N104</x:f>
        <x:v>0</x:v>
      </x:c>
      <x:c r="K3" s="228">
        <x:f>REMUNERACION_ENERBIT!D125</x:f>
        <x:v>0</x:v>
      </x:c>
      <x:c r="L3" s="289">
        <x:f>REMUNERACION_ENERBIT!E125</x:f>
        <x:v>0</x:v>
      </x:c>
      <x:c r="M3" s="228">
        <x:f>-REMUNERACION_ENERBIT!D66-REMUNERACION_ENERBIT!N66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ENERBIT'!D22</x:f>
        <x:v>0</x:v>
      </x:c>
      <x:c r="D4" s="228">
        <x:f>REMUNERACION_ENERBIT!G126</x:f>
        <x:v>0</x:v>
      </x:c>
      <x:c r="E4" s="228">
        <x:f>REMUNERACION_ENERBIT!D29+REMUNERACION_ENERBIT!N29</x:f>
        <x:v>0</x:v>
      </x:c>
      <x:c r="F4" s="228">
        <x:f>REMUNERACION_ENERBIT!I143</x:f>
        <x:v>0</x:v>
      </x:c>
      <x:c r="G4" s="228">
        <x:f>REMUNERACION_ENERBIT!H143</x:f>
        <x:v>0</x:v>
      </x:c>
      <x:c r="H4" s="276">
        <x:f t="shared" ref="H4:H8" si="1">SUM(C4:G4)</x:f>
        <x:v>0</x:v>
      </x:c>
      <x:c r="I4" s="227">
        <x:f>REMUNERACION_ENERBIT!D105</x:f>
        <x:v>0</x:v>
      </x:c>
      <x:c r="J4" s="228">
        <x:f>REMUNERACION_ENERBIT!N105</x:f>
        <x:v>0</x:v>
      </x:c>
      <x:c r="K4" s="228">
        <x:f>REMUNERACION_ENERBIT!D126</x:f>
        <x:v>0</x:v>
      </x:c>
      <x:c r="L4" s="289">
        <x:f>REMUNERACION_ENERBIT!E126</x:f>
        <x:v>0</x:v>
      </x:c>
      <x:c r="M4" s="228">
        <x:f>-REMUNERACION_ENERBIT!D67-REMUNERACION_ENERBIT!N67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ENERBIT'!D23</x:f>
        <x:v>0</x:v>
      </x:c>
      <x:c r="D5" s="228">
        <x:f>REMUNERACION_ENERBIT!G127</x:f>
        <x:v>0</x:v>
      </x:c>
      <x:c r="E5" s="228">
        <x:f>REMUNERACION_ENERBIT!D30+REMUNERACION_ENERBIT!N30</x:f>
        <x:v>0</x:v>
      </x:c>
      <x:c r="F5" s="228">
        <x:f>REMUNERACION_ENERBIT!I144</x:f>
        <x:v>0</x:v>
      </x:c>
      <x:c r="G5" s="228">
        <x:f>REMUNERACION_ENERBIT!H144</x:f>
        <x:v>0</x:v>
      </x:c>
      <x:c r="H5" s="276">
        <x:f t="shared" si="1"/>
        <x:v>0</x:v>
      </x:c>
      <x:c r="I5" s="227">
        <x:f>REMUNERACION_ENERBIT!D106</x:f>
        <x:v>0</x:v>
      </x:c>
      <x:c r="J5" s="228">
        <x:f>REMUNERACION_ENERBIT!N106</x:f>
        <x:v>0</x:v>
      </x:c>
      <x:c r="K5" s="228">
        <x:f>REMUNERACION_ENERBIT!D127</x:f>
        <x:v>0</x:v>
      </x:c>
      <x:c r="L5" s="289">
        <x:f>REMUNERACION_ENERBIT!E127</x:f>
        <x:v>0</x:v>
      </x:c>
      <x:c r="M5" s="228">
        <x:f>-REMUNERACION_ENERBIT!D68-REMUNERACION_ENERBIT!N68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ENERBIT'!D24</x:f>
        <x:v>0</x:v>
      </x:c>
      <x:c r="D6" s="228">
        <x:f>REMUNERACION_ENERBIT!G128</x:f>
        <x:v>0</x:v>
      </x:c>
      <x:c r="E6" s="228">
        <x:f>REMUNERACION_ENERBIT!D31+REMUNERACION_ENERBIT!N31</x:f>
        <x:v>0</x:v>
      </x:c>
      <x:c r="F6" s="228">
        <x:f>REMUNERACION_ENERBIT!I145</x:f>
        <x:v>0</x:v>
      </x:c>
      <x:c r="G6" s="228">
        <x:f>REMUNERACION_ENERBIT!H145</x:f>
        <x:v>0</x:v>
      </x:c>
      <x:c r="H6" s="276">
        <x:f t="shared" si="1"/>
        <x:v>0</x:v>
      </x:c>
      <x:c r="I6" s="227">
        <x:f>REMUNERACION_ENERBIT!D107</x:f>
        <x:v>0</x:v>
      </x:c>
      <x:c r="J6" s="228">
        <x:f>REMUNERACION_ENERBIT!N107</x:f>
        <x:v>0</x:v>
      </x:c>
      <x:c r="K6" s="228">
        <x:f>REMUNERACION_ENERBIT!D128</x:f>
        <x:v>0</x:v>
      </x:c>
      <x:c r="L6" s="289">
        <x:f>REMUNERACION_ENERBIT!E128</x:f>
        <x:v>0</x:v>
      </x:c>
      <x:c r="M6" s="228">
        <x:f>-REMUNERACION_ENERBIT!D69-REMUNERACION_ENERBIT!N69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ENERBIT'!F25</x:f>
        <x:v>0</x:v>
      </x:c>
      <x:c r="D7" s="228">
        <x:f>REMUNERACION_ENERBIT!G129</x:f>
        <x:v>0</x:v>
      </x:c>
      <x:c r="E7" s="228">
        <x:f>REMUNERACION_ENERBIT!D32+REMUNERACION_ENERBIT!N32</x:f>
        <x:v>0</x:v>
      </x:c>
      <x:c r="F7" s="228">
        <x:f>REMUNERACION_ENERBIT!I146</x:f>
        <x:v>0</x:v>
      </x:c>
      <x:c r="G7" s="228">
        <x:f>REMUNERACION_ENERBIT!H146</x:f>
        <x:v>0</x:v>
      </x:c>
      <x:c r="H7" s="276">
        <x:f t="shared" si="1"/>
        <x:v>0</x:v>
      </x:c>
      <x:c r="I7" s="227">
        <x:f>REMUNERACION_ENERBIT!D108</x:f>
        <x:v>0</x:v>
      </x:c>
      <x:c r="J7" s="228">
        <x:f>REMUNERACION_ENERBIT!N108</x:f>
        <x:v>0</x:v>
      </x:c>
      <x:c r="K7" s="228">
        <x:f>REMUNERACION_ENERBIT!D129</x:f>
        <x:v>0</x:v>
      </x:c>
      <x:c r="L7" s="289">
        <x:f>REMUNERACION_ENERBIT!E129</x:f>
        <x:v>0</x:v>
      </x:c>
      <x:c r="M7" s="228">
        <x:f>-REMUNERACION_ENERBIT!D70-REMUNERACION_ENERBIT!N70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ENERBIT'!F26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REMUNERACION_ENERBIT!E130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Recaudo'!D8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J16" sqref="J16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REMUNERACION_ENERBIT!D101</x:f>
        <x:v>46238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REMUNERACION_ENERBIT!D102</x:f>
        <x:v>0.58333333333333337</x:v>
      </x:c>
      <x:c r="F7" s="2" t="s">
        <x:v>27</x:v>
      </x:c>
      <x:c r="G7" s="9">
        <x:f>REMUNERACION_ENERBIT!G102</x:f>
        <x:v>46219</x:v>
      </x:c>
      <x:c r="J7" s="2" t="s">
        <x:v>28</x:v>
      </x:c>
      <x:c r="K7" s="9">
        <x:f>REMUNERACION_ENERBIT!K102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10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590">
        <x:f>REMUNERACION_ENERBIT!D106</x:f>
        <x:v>0</x:v>
      </x:c>
      <x:c r="E11" s="590">
        <x:f>REMUNERACION_ENERBIT!E106</x:f>
        <x:v>0</x:v>
      </x:c>
      <x:c r="F11" s="590">
        <x:f>REMUNERACION_ENERBIT!F106</x:f>
        <x:v>0</x:v>
      </x:c>
      <x:c r="G11" s="590">
        <x:f>REMUNERACION_ENERBIT!G106</x:f>
        <x:v>0</x:v>
      </x:c>
      <x:c r="H11" s="590">
        <x:f>REMUNERACION_ENERBIT!H106</x:f>
        <x:v>0</x:v>
      </x:c>
      <x:c r="I11" s="590">
        <x:f>REMUNERACION_ENERBIT!I106</x:f>
        <x:v>0</x:v>
      </x:c>
      <x:c r="J11" s="590">
        <x:f>REMUNERACION_ENERBIT!J106</x:f>
        <x:v>0</x:v>
      </x:c>
      <x:c r="K11" s="591">
        <x:f t="shared" si="0"/>
        <x:v>0</x:v>
      </x:c>
      <x:c r="L11" s="590">
        <x:f>REMUNERACION_ENERBIT!L106</x:f>
        <x:v>0</x:v>
      </x:c>
      <x:c r="M11" s="591">
        <x:f>K11-L11</x:f>
        <x:v>0</x:v>
      </x:c>
      <x:c r="N11" s="590">
        <x:f>REMUNERACION_ENERBIT!N106</x:f>
        <x:v>0</x:v>
      </x:c>
      <x:c r="O11" s="591">
        <x:f t="shared" si="1"/>
        <x:v>0</x:v>
      </x:c>
      <x:c r="Q11" s="4"/>
      <x:c r="S11" s="16">
        <x:v>3</x:v>
      </x:c>
      <x:c r="T11" s="62" t="s">
        <x:v>12</x:v>
      </x:c>
      <x:c r="U11" s="590">
        <x:f>REMUNERACION_ENERBIT!U106</x:f>
        <x:v>0</x:v>
      </x:c>
      <x:c r="V11" s="590">
        <x:f>REMUNERACION_ENERBIT!V106</x:f>
        <x:v>0</x:v>
      </x:c>
      <x:c r="W11" s="590">
        <x:f>REMUNERACION_ENERBIT!W106</x:f>
        <x:v>0</x:v>
      </x:c>
      <x:c r="X11" s="590">
        <x:f>REMUNERACION_ENERBIT!X106</x:f>
        <x:v>0</x:v>
      </x:c>
      <x:c r="Y11" s="590">
        <x:f>REMUNERACION_ENERBIT!Y106</x:f>
        <x:v>0</x:v>
      </x:c>
      <x:c r="Z11" s="590">
        <x:f>REMUNERACION_ENERBIT!Z106</x:f>
        <x:v>0</x:v>
      </x:c>
      <x:c r="AA11" s="590">
        <x:f>REMUNERACION_ENERBIT!AA106</x:f>
        <x:v>0</x:v>
      </x:c>
      <x:c r="AB11" s="590">
        <x:f>REMUNERACION_ENERBIT!AB106</x:f>
        <x:v>0</x:v>
      </x:c>
      <x:c r="AC11" s="590">
        <x:f>REMUNERACION_ENERBIT!AC106</x:f>
        <x:v>0</x:v>
      </x:c>
      <x:c r="AD11" s="590">
        <x:f>REMUNERACION_ENERBIT!AD106</x:f>
        <x:v>0</x:v>
      </x:c>
      <x:c r="AE11" s="590">
        <x:f>REMUNERACION_ENERBIT!AE106</x:f>
        <x:v>0</x:v>
      </x:c>
      <x:c r="AF11" s="589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REMUNERACION_ENERBIT!G122</x:f>
        <x:v>46219</x:v>
      </x:c>
      <x:c r="J27" s="2" t="s">
        <x:v>28</x:v>
      </x:c>
      <x:c r="K27" s="9">
        <x:f>REMUNERACION_ENERBIT!K122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REMUNERACION_ENERBIT!D125</x:f>
        <x:v>0</x:v>
      </x:c>
      <x:c r="E30" s="104">
        <x:f>REMUNERACION_ENERBIT!E125</x:f>
        <x:v>0</x:v>
      </x:c>
      <x:c r="G30" s="272">
        <x:f>REMUNERACION_ENERBIT!G125</x:f>
        <x:v>0</x:v>
      </x:c>
      <x:c r="H30" s="246">
        <x:f>REMUNERACION_ENERBIT!H125</x:f>
        <x:v>0</x:v>
      </x:c>
      <x:c r="I30" s="245">
        <x:f>REMUNERACION_ENERBIT!I125</x:f>
        <x:v>0</x:v>
      </x:c>
      <x:c r="J30" s="245">
        <x:f>REMUNERACION_ENERBIT!J125</x:f>
        <x:v>0</x:v>
      </x:c>
      <x:c r="K30" s="245">
        <x:f>REMUNERACION_ENERBIT!K125</x:f>
        <x:v>0</x:v>
      </x:c>
      <x:c r="L30" s="245">
        <x:f>REMUNERACION_ENERBIT!L125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275">
        <x:f>REMUNERACION_ENERBIT!G126</x:f>
        <x:v>0</x:v>
      </x:c>
      <x:c r="H31" s="276">
        <x:f>REMUNERACION_ENERBIT!H126</x:f>
        <x:v>0</x:v>
      </x:c>
      <x:c r="I31" s="224">
        <x:f>REMUNERACION_ENERBIT!I126</x:f>
        <x:v>0</x:v>
      </x:c>
      <x:c r="J31" s="224">
        <x:f>REMUNERACION_ENERBIT!J126</x:f>
        <x:v>0</x:v>
      </x:c>
      <x:c r="K31" s="224">
        <x:f>REMUNERACION_ENERBIT!K126</x:f>
        <x:v>0</x:v>
      </x:c>
      <x:c r="L31" s="224">
        <x:f>REMUNERACION_ENERBIT!L126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275">
        <x:f>REMUNERACION_ENERBIT!G127</x:f>
        <x:v>0</x:v>
      </x:c>
      <x:c r="H32" s="276">
        <x:f>REMUNERACION_ENERBIT!H127</x:f>
        <x:v>0</x:v>
      </x:c>
      <x:c r="I32" s="224">
        <x:f>REMUNERACION_ENERBIT!I127</x:f>
        <x:v>0</x:v>
      </x:c>
      <x:c r="J32" s="224">
        <x:f>REMUNERACION_ENERBIT!J127</x:f>
        <x:v>0</x:v>
      </x:c>
      <x:c r="K32" s="224">
        <x:f>REMUNERACION_ENERBIT!K127</x:f>
        <x:v>0</x:v>
      </x:c>
      <x:c r="L32" s="224">
        <x:f>REMUNERACION_ENERBIT!L127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275">
        <x:f>REMUNERACION_ENERBIT!G128</x:f>
        <x:v>0</x:v>
      </x:c>
      <x:c r="H33" s="276">
        <x:f>REMUNERACION_ENERBIT!H128</x:f>
        <x:v>0</x:v>
      </x:c>
      <x:c r="I33" s="224">
        <x:f>REMUNERACION_ENERBIT!I128</x:f>
        <x:v>0</x:v>
      </x:c>
      <x:c r="J33" s="224">
        <x:f>REMUNERACION_ENERBIT!J128</x:f>
        <x:v>0</x:v>
      </x:c>
      <x:c r="K33" s="224">
        <x:f>REMUNERACION_ENERBIT!K128</x:f>
        <x:v>0</x:v>
      </x:c>
      <x:c r="L33" s="224">
        <x:f>REMUNERACION_ENERBIT!L128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REMUNERACION_ENERBIT!D129</x:f>
        <x:v>0</x:v>
      </x:c>
      <x:c r="E34" s="128">
        <x:f>REMUNERACION_ENERBIT!E129</x:f>
        <x:v>0</x:v>
      </x:c>
      <x:c r="G34" s="275">
        <x:f>REMUNERACION_ENERBIT!G129</x:f>
        <x:v>0</x:v>
      </x:c>
      <x:c r="H34" s="276">
        <x:f>REMUNERACION_ENERBIT!H129</x:f>
        <x:v>0</x:v>
      </x:c>
      <x:c r="I34" s="224">
        <x:f>REMUNERACION_ENERBIT!I129</x:f>
        <x:v>0</x:v>
      </x:c>
      <x:c r="J34" s="224">
        <x:f>REMUNERACION_ENERBIT!J129</x:f>
        <x:v>0</x:v>
      </x:c>
      <x:c r="K34" s="224">
        <x:f>REMUNERACION_ENERBIT!K129</x:f>
        <x:v>0</x:v>
      </x:c>
      <x:c r="L34" s="224">
        <x:f>REMUNERACION_ENERBIT!L129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2</x:v>
      </x:c>
      <x:c r="D36" s="100">
        <x:f t="shared" ref="D36" si="5">SUM(D30:D34)</x:f>
        <x:v>0</x:v>
      </x:c>
      <x:c r="E36" s="100">
        <x:f>REMUNERACION_ENERBIT!E131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08" t="b">
        <x:f>D14=REMUNERACION_ENERBIT!D109</x:f>
        <x:v>1</x:v>
      </x:c>
      <x:c r="E45" s="208" t="b">
        <x:f>E14=REMUNERACION_ENERBIT!E109</x:f>
        <x:v>1</x:v>
      </x:c>
      <x:c r="F45" s="208" t="b">
        <x:f>F14=REMUNERACION_ENERBIT!F109</x:f>
        <x:v>1</x:v>
      </x:c>
      <x:c r="G45" s="208" t="b">
        <x:f>G14=REMUNERACION_ENERBIT!G109</x:f>
        <x:v>1</x:v>
      </x:c>
      <x:c r="H45" s="208" t="b">
        <x:f>H14=REMUNERACION_ENERBIT!H109</x:f>
        <x:v>1</x:v>
      </x:c>
      <x:c r="I45" s="208" t="b">
        <x:f>I14=REMUNERACION_ENERBIT!I109</x:f>
        <x:v>1</x:v>
      </x:c>
      <x:c r="J45" s="208" t="b">
        <x:f>J14=REMUNERACION_ENERBIT!J109</x:f>
        <x:v>1</x:v>
      </x:c>
      <x:c r="K45" s="208" t="b">
        <x:f>K14=REMUNERACION_ENERBIT!K109</x:f>
        <x:v>1</x:v>
      </x:c>
      <x:c r="L45" s="208" t="b">
        <x:f>L14=REMUNERACION_ENERBIT!L109</x:f>
        <x:v>1</x:v>
      </x:c>
      <x:c r="M45" s="208" t="b">
        <x:f>M14=REMUNERACION_ENERBIT!M109</x:f>
        <x:v>1</x:v>
      </x:c>
      <x:c r="N45" s="208" t="b">
        <x:f>N14=REMUNERACION_ENERBIT!N109</x:f>
        <x:v>1</x:v>
      </x:c>
      <x:c r="O45" s="208" t="b">
        <x:f>O14=REMUNERACION_ENERBIT!O109</x:f>
        <x:v>1</x:v>
      </x:c>
      <x:c r="Q45" s="24"/>
      <x:c r="T45" s="24"/>
    </x:row>
    <x:row r="46" spans="1:20" x14ac:dyDescent="0.2">
      <x:c r="D46" s="208" t="b">
        <x:f>D36=REMUNERACION_ENERBIT!D131</x:f>
        <x:v>1</x:v>
      </x:c>
      <x:c r="E46" s="208" t="b">
        <x:f>E36=REMUNERACION_ENERBIT!E131</x:f>
        <x:v>1</x:v>
      </x:c>
      <x:c r="F46" s="208" t="b">
        <x:f>F36=REMUNERACION_ENERBIT!F131</x:f>
        <x:v>1</x:v>
      </x:c>
      <x:c r="G46" s="208" t="b">
        <x:f>G36=REMUNERACION_ENERBIT!G131</x:f>
        <x:v>1</x:v>
      </x:c>
      <x:c r="H46" s="208" t="b">
        <x:f>H36=REMUNERACION_ENERBIT!H131</x:f>
        <x:v>1</x:v>
      </x:c>
      <x:c r="I46" s="208" t="b">
        <x:f>I36=REMUNERACION_ENERBIT!I131</x:f>
        <x:v>1</x:v>
      </x:c>
      <x:c r="J46" s="208" t="b">
        <x:f>J36=REMUNERACION_ENERBIT!J131</x:f>
        <x:v>1</x:v>
      </x:c>
      <x:c r="K46" s="208" t="b">
        <x:f>K36=REMUNERACION_ENERBIT!K131</x:f>
        <x:v>1</x:v>
      </x:c>
      <x:c r="L46" s="208" t="b">
        <x:f>L36=REMUNERACION_ENERBIT!L131</x:f>
        <x:v>1</x:v>
      </x:c>
      <x:c r="M46" s="208" t="b">
        <x:f>M36=REMUNERACION_ENERBIT!M131</x:f>
        <x:v>1</x:v>
      </x:c>
      <x:c r="N46" s="208" t="b">
        <x:f>N36=REMUNERACION_ENERBIT!N131</x:f>
        <x:v>1</x:v>
      </x:c>
      <x:c r="O46" s="208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Z1" zoomScaleNormal="100" workbookViewId="0">
      <x:selection activeCell="AL4" sqref="AL4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225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R1'!F70</x:f>
        <x:v>0</x:v>
      </x:c>
      <x:c r="E9" s="228">
        <x:f>'Reporte Componentes R1'!G70</x:f>
        <x:v>0</x:v>
      </x:c>
      <x:c r="F9" s="228">
        <x:f>'Reporte Componentes R1'!H70</x:f>
        <x:v>0</x:v>
      </x:c>
      <x:c r="G9" s="228">
        <x:f>'Reporte Componentes R1'!I70</x:f>
        <x:v>0</x:v>
      </x:c>
      <x:c r="H9" s="228">
        <x:f>'Reporte Componentes R1'!J70</x:f>
        <x:v>0</x:v>
      </x:c>
      <x:c r="I9" s="228">
        <x:f>'Reporte Componentes R1'!K70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R1'!L70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R1'!M70</x:f>
        <x:v>0</x:v>
      </x:c>
      <x:c r="V9" s="244">
        <x:f>'Reporte Componentes R1'!N70</x:f>
        <x:v>0</x:v>
      </x:c>
      <x:c r="W9" s="244">
        <x:f>'Reporte Componentes R1'!O70</x:f>
        <x:v>0</x:v>
      </x:c>
      <x:c r="X9" s="244">
        <x:f>'Reporte Componentes R1'!P70</x:f>
        <x:v>0</x:v>
      </x:c>
      <x:c r="Y9" s="245">
        <x:f>'Reporte Componentes R1'!Q70</x:f>
        <x:v>0</x:v>
      </x:c>
      <x:c r="Z9" s="246">
        <x:f>L9*-1</x:f>
        <x:v>0</x:v>
      </x:c>
      <x:c r="AA9" s="247">
        <x:f>'Reporte Componentes R1'!R70+'Reporte Componentes R1'!V70+'Reporte Componentes R1'!U70</x:f>
        <x:v>0</x:v>
      </x:c>
      <x:c r="AB9" s="230">
        <x:f>N9</x:f>
        <x:v>0</x:v>
      </x:c>
      <x:c r="AC9" s="247">
        <x:f>'Reporte Componentes R1'!T70+'Reporte Componentes R1'!W70+'Reporte Componentes R1'!X70+'Reporte Componentes R1'!Y70+'Reporte Componentes R1'!Z70+'Reporte Componentes R1'!S70</x:f>
        <x:v>0</x:v>
      </x:c>
      <x:c r="AD9" s="227">
        <x:f>-J9+AE9</x:f>
        <x:v>0</x:v>
      </x:c>
      <x:c r="AE9" s="227">
        <x:f>'Reporte Componentes R1'!F71</x:f>
        <x:v>0</x:v>
      </x:c>
      <x:c r="AF9" s="249">
        <x:f>SUM(U9:AD9)</x:f>
        <x:v>0</x:v>
      </x:c>
      <x:c r="AG9" s="247">
        <x:f>(AF9-O9)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R1'!F214</x:f>
        <x:v>0</x:v>
      </x:c>
      <x:c r="E10" s="228">
        <x:f>'Reporte Componentes R1'!G214</x:f>
        <x:v>0</x:v>
      </x:c>
      <x:c r="F10" s="228">
        <x:f>'Reporte Componentes R1'!H214</x:f>
        <x:v>0</x:v>
      </x:c>
      <x:c r="G10" s="228">
        <x:f>'Reporte Componentes R1'!I214</x:f>
        <x:v>0</x:v>
      </x:c>
      <x:c r="H10" s="228">
        <x:f>'Reporte Componentes R1'!J214</x:f>
        <x:v>0</x:v>
      </x:c>
      <x:c r="I10" s="228">
        <x:f>'Reporte Componentes R1'!K214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R1'!L214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R1'!M214</x:f>
        <x:v>0</x:v>
      </x:c>
      <x:c r="V10" s="253">
        <x:f>'Reporte Componentes R1'!N214</x:f>
        <x:v>0</x:v>
      </x:c>
      <x:c r="W10" s="253">
        <x:f>'Reporte Componentes R1'!O214</x:f>
        <x:v>0</x:v>
      </x:c>
      <x:c r="X10" s="253">
        <x:f>'Reporte Componentes R1'!P214</x:f>
        <x:v>0</x:v>
      </x:c>
      <x:c r="Y10" s="254">
        <x:f>'Reporte Componentes R1'!Q214</x:f>
        <x:v>0</x:v>
      </x:c>
      <x:c r="Z10" s="255">
        <x:f>L10*-1</x:f>
        <x:v>0</x:v>
      </x:c>
      <x:c r="AA10" s="256">
        <x:f>'Reporte Componentes R1'!R214+'Reporte Componentes R1'!V214+'Reporte Componentes R1'!U214</x:f>
        <x:v>0</x:v>
      </x:c>
      <x:c r="AB10" s="230">
        <x:f>N10</x:f>
        <x:v>0</x:v>
      </x:c>
      <x:c r="AC10" s="256">
        <x:f>'Reporte Componentes R1'!T214+'Reporte Componentes R1'!W214+'Reporte Componentes R1'!X214+'Reporte Componentes R1'!Y214+'Reporte Componentes R1'!Z214+'Reporte Componentes R1'!S214</x:f>
        <x:v>0</x:v>
      </x:c>
      <x:c r="AD10" s="227">
        <x:f t="shared" ref="AD10:AD13" si="2">-J10+AE10</x:f>
        <x:v>0</x:v>
      </x:c>
      <x:c r="AE10" s="227">
        <x:f>'Reporte Componentes R1'!F215</x:f>
        <x:v>0</x:v>
      </x:c>
      <x:c r="AF10" s="258">
        <x:f>SUM(U10:AD10)</x:f>
        <x:v>0</x:v>
      </x:c>
      <x:c r="AG10" s="259">
        <x:f>(AF10-O10)</x:f>
        <x:v>0</x:v>
      </x:c>
      <x:c r="AH10" s="1" t="b">
        <x:f t="shared" ref="AH10:AH14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R1'!F345</x:f>
        <x:v>0</x:v>
      </x:c>
      <x:c r="E11" s="228">
        <x:f>'Reporte Componentes R1'!G345</x:f>
        <x:v>0</x:v>
      </x:c>
      <x:c r="F11" s="228">
        <x:f>'Reporte Componentes R1'!H345</x:f>
        <x:v>0</x:v>
      </x:c>
      <x:c r="G11" s="228">
        <x:f>'Reporte Componentes R1'!I345</x:f>
        <x:v>0</x:v>
      </x:c>
      <x:c r="H11" s="228">
        <x:f>'Reporte Componentes R1'!J345</x:f>
        <x:v>0</x:v>
      </x:c>
      <x:c r="I11" s="228">
        <x:f>'Reporte Componentes R1'!K345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R1'!L345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R1'!M345</x:f>
        <x:v>0</x:v>
      </x:c>
      <x:c r="V11" s="253">
        <x:f>'Reporte Componentes R1'!N345</x:f>
        <x:v>0</x:v>
      </x:c>
      <x:c r="W11" s="253">
        <x:f>'Reporte Componentes R1'!O345</x:f>
        <x:v>0</x:v>
      </x:c>
      <x:c r="X11" s="253">
        <x:f>'Reporte Componentes R1'!P345</x:f>
        <x:v>0</x:v>
      </x:c>
      <x:c r="Y11" s="254">
        <x:f>'Reporte Componentes R1'!Q345</x:f>
        <x:v>0</x:v>
      </x:c>
      <x:c r="Z11" s="255">
        <x:f>L11*-1</x:f>
        <x:v>0</x:v>
      </x:c>
      <x:c r="AA11" s="256">
        <x:f>'Reporte Componentes R1'!R345+'Reporte Componentes R1'!V345+'Reporte Componentes R1'!U345</x:f>
        <x:v>0</x:v>
      </x:c>
      <x:c r="AB11" s="230">
        <x:f>N11</x:f>
        <x:v>0</x:v>
      </x:c>
      <x:c r="AC11" s="256">
        <x:f>'Reporte Componentes R1'!T345+'Reporte Componentes R1'!W345+'Reporte Componentes R1'!X345+'Reporte Componentes R1'!Y345+'Reporte Componentes R1'!Z345+'Reporte Componentes R1'!S345</x:f>
        <x:v>0</x:v>
      </x:c>
      <x:c r="AD11" s="227">
        <x:f t="shared" si="2"/>
        <x:v>0</x:v>
      </x:c>
      <x:c r="AE11" s="227">
        <x:f>'Reporte Componentes R1'!F346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R1'!F476</x:f>
        <x:v>0</x:v>
      </x:c>
      <x:c r="E12" s="228">
        <x:f>'Reporte Componentes R1'!G476</x:f>
        <x:v>0</x:v>
      </x:c>
      <x:c r="F12" s="228">
        <x:f>'Reporte Componentes R1'!H476</x:f>
        <x:v>0</x:v>
      </x:c>
      <x:c r="G12" s="228">
        <x:f>'Reporte Componentes R1'!I476</x:f>
        <x:v>0</x:v>
      </x:c>
      <x:c r="H12" s="228">
        <x:f>'Reporte Componentes R1'!J476</x:f>
        <x:v>0</x:v>
      </x:c>
      <x:c r="I12" s="228">
        <x:f>'Reporte Componentes R1'!K476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R1'!L476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R1'!M476</x:f>
        <x:v>0</x:v>
      </x:c>
      <x:c r="V12" s="253">
        <x:f>'Reporte Componentes R1'!N476</x:f>
        <x:v>0</x:v>
      </x:c>
      <x:c r="W12" s="253">
        <x:f>'Reporte Componentes R1'!O476</x:f>
        <x:v>0</x:v>
      </x:c>
      <x:c r="X12" s="253">
        <x:f>'Reporte Componentes R1'!P476</x:f>
        <x:v>0</x:v>
      </x:c>
      <x:c r="Y12" s="254">
        <x:f>'Reporte Componentes R1'!Q476</x:f>
        <x:v>0</x:v>
      </x:c>
      <x:c r="Z12" s="255">
        <x:f>L12*-1</x:f>
        <x:v>0</x:v>
      </x:c>
      <x:c r="AA12" s="256">
        <x:f>'Reporte Componentes R1'!R476+'Reporte Componentes R1'!V476+'Reporte Componentes R1'!U476</x:f>
        <x:v>0</x:v>
      </x:c>
      <x:c r="AB12" s="230">
        <x:f>N12</x:f>
        <x:v>0</x:v>
      </x:c>
      <x:c r="AC12" s="256">
        <x:f>'Reporte Componentes R1'!T476+'Reporte Componentes R1'!W476+'Reporte Componentes R1'!X476+'Reporte Componentes R1'!Y476+'Reporte Componentes R1'!Z476+'Reporte Componentes R1'!S476</x:f>
        <x:v>0</x:v>
      </x:c>
      <x:c r="AD12" s="227">
        <x:f t="shared" si="2"/>
        <x:v>0</x:v>
      </x:c>
      <x:c r="AE12" s="227">
        <x:f>'Reporte Componentes R1'!F477</x:f>
        <x:v>0</x:v>
      </x:c>
      <x:c r="AF12" s="258">
        <x:f t="shared" si="4"/>
        <x:v>0</x:v>
      </x:c>
      <x:c r="AG12" s="259">
        <x:f>(AF12-O12)</x:f>
        <x:v>0</x:v>
      </x:c>
      <x:c r="AH12" s="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R1'!F574</x:f>
        <x:v>0</x:v>
      </x:c>
      <x:c r="E13" s="233">
        <x:f>'Reporte Componentes R1'!G574</x:f>
        <x:v>0</x:v>
      </x:c>
      <x:c r="F13" s="233">
        <x:f>'Reporte Componentes R1'!H574</x:f>
        <x:v>0</x:v>
      </x:c>
      <x:c r="G13" s="233">
        <x:f>'Reporte Componentes R1'!I574</x:f>
        <x:v>0</x:v>
      </x:c>
      <x:c r="H13" s="233">
        <x:f>'Reporte Componentes R1'!J574</x:f>
        <x:v>0</x:v>
      </x:c>
      <x:c r="I13" s="233">
        <x:f>'Reporte Componentes R1'!K574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R1'!L574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R1'!M574</x:f>
        <x:v>0</x:v>
      </x:c>
      <x:c r="V13" s="233">
        <x:f>'Reporte Componentes R1'!N574</x:f>
        <x:v>0</x:v>
      </x:c>
      <x:c r="W13" s="233">
        <x:f>'Reporte Componentes R1'!O574</x:f>
        <x:v>0</x:v>
      </x:c>
      <x:c r="X13" s="233">
        <x:f>'Reporte Componentes R1'!P574</x:f>
        <x:v>0</x:v>
      </x:c>
      <x:c r="Y13" s="225">
        <x:f>'Reporte Componentes R1'!Q574</x:f>
        <x:v>0</x:v>
      </x:c>
      <x:c r="Z13" s="255">
        <x:f>L13*-1</x:f>
        <x:v>0</x:v>
      </x:c>
      <x:c r="AA13" s="256">
        <x:f>'Reporte Componentes R1'!R574+'Reporte Componentes R1'!V574+'Reporte Componentes R1'!U574</x:f>
        <x:v>0</x:v>
      </x:c>
      <x:c r="AB13" s="230">
        <x:f>N13</x:f>
        <x:v>0</x:v>
      </x:c>
      <x:c r="AC13" s="256">
        <x:f>'Reporte Componentes R1'!T574+'Reporte Componentes R1'!W574+'Reporte Componentes R1'!X574+'Reporte Componentes R1'!Y574+'Reporte Componentes R1'!Z574+'Reporte Componentes R1'!S574</x:f>
        <x:v>0</x:v>
      </x:c>
      <x:c r="AD13" s="227">
        <x:f t="shared" si="2"/>
        <x:v>0</x:v>
      </x:c>
      <x:c r="AE13" s="227">
        <x:f>'Reporte Componentes R1'!F575</x:f>
        <x:v>0</x:v>
      </x:c>
      <x:c r="AF13" s="258">
        <x:f t="shared" si="4"/>
        <x:v>0</x:v>
      </x:c>
      <x:c r="AG13" s="262">
        <x:f>(AF13-O13)</x:f>
        <x:v>0</x:v>
      </x:c>
      <x:c r="AH13" s="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1" t="b">
        <x:f t="shared" si="3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225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R2'!E55</x:f>
        <x:v>0</x:v>
      </x:c>
      <x:c r="E28" s="228">
        <x:f>'Rem. Anticipos R2'!F55</x:f>
        <x:v>0</x:v>
      </x:c>
      <x:c r="F28" s="228">
        <x:f>'Rem. Anticipos R2'!G55</x:f>
        <x:v>0</x:v>
      </x:c>
      <x:c r="G28" s="228">
        <x:f>'Rem. Anticipos R2'!H55</x:f>
        <x:v>0</x:v>
      </x:c>
      <x:c r="H28" s="228">
        <x:f>'Rem. Anticipos R2'!I55</x:f>
        <x:v>0</x:v>
      </x:c>
      <x:c r="I28" s="228">
        <x:f>'Rem. Anticipos R2'!J55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R2'!K55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R2'!L55</x:f>
        <x:v>0</x:v>
      </x:c>
      <x:c r="V28" s="244">
        <x:f>'Rem. Anticipos R2'!M55</x:f>
        <x:v>0</x:v>
      </x:c>
      <x:c r="W28" s="244">
        <x:f>'Rem. Anticipos R2'!N55</x:f>
        <x:v>0</x:v>
      </x:c>
      <x:c r="X28" s="244">
        <x:f>'Rem. Anticipos R2'!O55</x:f>
        <x:v>0</x:v>
      </x:c>
      <x:c r="Y28" s="244">
        <x:f>'Rem. Anticipos R2'!P55</x:f>
        <x:v>0</x:v>
      </x:c>
      <x:c r="Z28" s="246">
        <x:f>L28*-1</x:f>
        <x:v>0</x:v>
      </x:c>
      <x:c r="AA28" s="247">
        <x:f>'Rem. Anticipos R2'!Q55</x:f>
        <x:v>0</x:v>
      </x:c>
      <x:c r="AB28" s="230">
        <x:f>N28</x:f>
        <x:v>0</x:v>
      </x:c>
      <x:c r="AC28" s="247">
        <x:f>'Rem. Anticipos R2'!R55</x:f>
        <x:v>0</x:v>
      </x:c>
      <x:c r="AD28" s="227">
        <x:f>-J28+AE28</x:f>
        <x:v>0</x:v>
      </x:c>
      <x:c r="AE28" s="227">
        <x:f>'Rem. Anticipos R2'!E56</x:f>
        <x:v>0</x:v>
      </x:c>
      <x:c r="AF28" s="249">
        <x:f>SUM(U28:AD28)</x:f>
        <x:v>0</x:v>
      </x:c>
      <x:c r="AG28" s="247">
        <x:f>(AF28-O28)</x:f>
        <x:v>0</x:v>
      </x:c>
      <x:c r="AH28" s="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R2'!E151</x:f>
        <x:v>0</x:v>
      </x:c>
      <x:c r="E29" s="228">
        <x:f>'Rem. Anticipos R2'!F151</x:f>
        <x:v>0</x:v>
      </x:c>
      <x:c r="F29" s="228">
        <x:f>'Rem. Anticipos R2'!G151</x:f>
        <x:v>0</x:v>
      </x:c>
      <x:c r="G29" s="228">
        <x:f>'Rem. Anticipos R2'!H151</x:f>
        <x:v>0</x:v>
      </x:c>
      <x:c r="H29" s="228">
        <x:f>'Rem. Anticipos R2'!I151</x:f>
        <x:v>0</x:v>
      </x:c>
      <x:c r="I29" s="228">
        <x:f>'Rem. Anticipos R2'!J151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R2'!K151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R2'!L151</x:f>
        <x:v>0</x:v>
      </x:c>
      <x:c r="V29" s="253">
        <x:f>'Rem. Anticipos R2'!M151</x:f>
        <x:v>0</x:v>
      </x:c>
      <x:c r="W29" s="253">
        <x:f>'Rem. Anticipos R2'!N151</x:f>
        <x:v>0</x:v>
      </x:c>
      <x:c r="X29" s="253">
        <x:f>'Rem. Anticipos R2'!O151</x:f>
        <x:v>0</x:v>
      </x:c>
      <x:c r="Y29" s="254">
        <x:f>'Rem. Anticipos R2'!P151</x:f>
        <x:v>0</x:v>
      </x:c>
      <x:c r="Z29" s="255">
        <x:f>L29*-1</x:f>
        <x:v>0</x:v>
      </x:c>
      <x:c r="AA29" s="256">
        <x:f>'Rem. Anticipos R2'!Q151</x:f>
        <x:v>0</x:v>
      </x:c>
      <x:c r="AB29" s="230">
        <x:f>N29</x:f>
        <x:v>0</x:v>
      </x:c>
      <x:c r="AC29" s="256">
        <x:f>'Rem. Anticipos R2'!R151</x:f>
        <x:v>0</x:v>
      </x:c>
      <x:c r="AD29" s="227">
        <x:f>-J29+AE29</x:f>
        <x:v>0</x:v>
      </x:c>
      <x:c r="AE29" s="227">
        <x:f>'Rem. Anticipos R2'!E152</x:f>
        <x:v>0</x:v>
      </x:c>
      <x:c r="AF29" s="258">
        <x:f>SUM(U29:AD29)</x:f>
        <x:v>0</x:v>
      </x:c>
      <x:c r="AG29" s="259">
        <x:f>(AF29-O29)</x:f>
        <x:v>0</x:v>
      </x:c>
      <x:c r="AH29" s="1" t="b">
        <x:f t="shared" ref="AH29:AH33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R2'!E268</x:f>
        <x:v>0</x:v>
      </x:c>
      <x:c r="E30" s="228">
        <x:f>'Rem. Anticipos R2'!F268</x:f>
        <x:v>0</x:v>
      </x:c>
      <x:c r="F30" s="228">
        <x:f>'Rem. Anticipos R2'!G268</x:f>
        <x:v>0</x:v>
      </x:c>
      <x:c r="G30" s="228">
        <x:f>'Rem. Anticipos R2'!H268</x:f>
        <x:v>0</x:v>
      </x:c>
      <x:c r="H30" s="228">
        <x:f>'Rem. Anticipos R2'!I268</x:f>
        <x:v>0</x:v>
      </x:c>
      <x:c r="I30" s="228">
        <x:f>'Rem. Anticipos R2'!J268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R2'!K268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R2'!L268</x:f>
        <x:v>0</x:v>
      </x:c>
      <x:c r="V30" s="253">
        <x:f>'Rem. Anticipos R2'!M268</x:f>
        <x:v>0</x:v>
      </x:c>
      <x:c r="W30" s="253">
        <x:f>'Rem. Anticipos R2'!N268</x:f>
        <x:v>0</x:v>
      </x:c>
      <x:c r="X30" s="253">
        <x:f>'Rem. Anticipos R2'!O268</x:f>
        <x:v>0</x:v>
      </x:c>
      <x:c r="Y30" s="254">
        <x:f>'Rem. Anticipos R2'!P268</x:f>
        <x:v>0</x:v>
      </x:c>
      <x:c r="Z30" s="255">
        <x:f>L30*-1</x:f>
        <x:v>0</x:v>
      </x:c>
      <x:c r="AA30" s="256">
        <x:f>'Rem. Anticipos R2'!Q268</x:f>
        <x:v>0</x:v>
      </x:c>
      <x:c r="AB30" s="230">
        <x:f>N30</x:f>
        <x:v>0</x:v>
      </x:c>
      <x:c r="AC30" s="256">
        <x:f>'Rem. Anticipos R2'!R268</x:f>
        <x:v>0</x:v>
      </x:c>
      <x:c r="AD30" s="227">
        <x:f t="shared" ref="AD30:AD32" si="10">-J30+AE30</x:f>
        <x:v>0</x:v>
      </x:c>
      <x:c r="AE30" s="227">
        <x:f>'Rem. Anticipos R2'!E269</x:f>
        <x:v>0</x:v>
      </x:c>
      <x:c r="AF30" s="258">
        <x:f>SUM(U30:AD30)</x:f>
        <x:v>0</x:v>
      </x:c>
      <x:c r="AG30" s="259">
        <x:f t="shared" ref="AG30:AG31" si="11">(AF30-O30)</x:f>
        <x:v>0</x:v>
      </x:c>
      <x:c r="AH30" s="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R2'!E370</x:f>
        <x:v>0</x:v>
      </x:c>
      <x:c r="E31" s="228">
        <x:f>'Rem. Anticipos R2'!F370</x:f>
        <x:v>0</x:v>
      </x:c>
      <x:c r="F31" s="228">
        <x:f>'Rem. Anticipos R2'!G370</x:f>
        <x:v>0</x:v>
      </x:c>
      <x:c r="G31" s="228">
        <x:f>'Rem. Anticipos R2'!H370</x:f>
        <x:v>0</x:v>
      </x:c>
      <x:c r="H31" s="228">
        <x:f>'Rem. Anticipos R2'!I370</x:f>
        <x:v>0</x:v>
      </x:c>
      <x:c r="I31" s="228">
        <x:f>'Rem. Anticipos R2'!J370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R2'!K370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R2'!L370</x:f>
        <x:v>0</x:v>
      </x:c>
      <x:c r="V31" s="253">
        <x:f>'Rem. Anticipos R2'!M370</x:f>
        <x:v>0</x:v>
      </x:c>
      <x:c r="W31" s="253">
        <x:f>'Rem. Anticipos R2'!N370</x:f>
        <x:v>0</x:v>
      </x:c>
      <x:c r="X31" s="253">
        <x:f>'Rem. Anticipos R2'!O370</x:f>
        <x:v>0</x:v>
      </x:c>
      <x:c r="Y31" s="254">
        <x:f>'Rem. Anticipos R2'!P370</x:f>
        <x:v>0</x:v>
      </x:c>
      <x:c r="Z31" s="255">
        <x:f>L31*-1</x:f>
        <x:v>0</x:v>
      </x:c>
      <x:c r="AA31" s="256">
        <x:f>'Rem. Anticipos R2'!Q370</x:f>
        <x:v>0</x:v>
      </x:c>
      <x:c r="AB31" s="230">
        <x:f>N31</x:f>
        <x:v>0</x:v>
      </x:c>
      <x:c r="AC31" s="256">
        <x:f>'Rem. Anticipos R2'!R370</x:f>
        <x:v>0</x:v>
      </x:c>
      <x:c r="AD31" s="227">
        <x:f t="shared" si="10"/>
        <x:v>0</x:v>
      </x:c>
      <x:c r="AE31" s="227">
        <x:f>'Rem. Anticipos R2'!E371</x:f>
        <x:v>0</x:v>
      </x:c>
      <x:c r="AF31" s="258">
        <x:f>SUM(U31:AD31)</x:f>
        <x:v>0</x:v>
      </x:c>
      <x:c r="AG31" s="259">
        <x:f t="shared" si="11"/>
        <x:v>0</x:v>
      </x:c>
      <x:c r="AH31" s="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R2'!E450</x:f>
        <x:v>0</x:v>
      </x:c>
      <x:c r="E32" s="233">
        <x:f>'Rem. Anticipos R2'!F450</x:f>
        <x:v>0</x:v>
      </x:c>
      <x:c r="F32" s="233">
        <x:f>'Rem. Anticipos R2'!G450</x:f>
        <x:v>0</x:v>
      </x:c>
      <x:c r="G32" s="233">
        <x:f>'Rem. Anticipos R2'!H450</x:f>
        <x:v>0</x:v>
      </x:c>
      <x:c r="H32" s="233">
        <x:f>'Rem. Anticipos R2'!I450</x:f>
        <x:v>0</x:v>
      </x:c>
      <x:c r="I32" s="233">
        <x:f>'Rem. Anticipos R2'!J450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R2'!K450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R2'!L450</x:f>
        <x:v>0</x:v>
      </x:c>
      <x:c r="V32" s="233">
        <x:f>'Rem. Anticipos R2'!M450</x:f>
        <x:v>0</x:v>
      </x:c>
      <x:c r="W32" s="233">
        <x:f>'Rem. Anticipos R2'!N450</x:f>
        <x:v>0</x:v>
      </x:c>
      <x:c r="X32" s="233">
        <x:f>'Rem. Anticipos R2'!O450</x:f>
        <x:v>0</x:v>
      </x:c>
      <x:c r="Y32" s="225">
        <x:f>'Rem. Anticipos R2'!P450</x:f>
        <x:v>0</x:v>
      </x:c>
      <x:c r="Z32" s="255">
        <x:f>L32*-1</x:f>
        <x:v>0</x:v>
      </x:c>
      <x:c r="AA32" s="256">
        <x:f>'Rem. Anticipos R2'!Q450</x:f>
        <x:v>0</x:v>
      </x:c>
      <x:c r="AB32" s="230">
        <x:f>N32</x:f>
        <x:v>0</x:v>
      </x:c>
      <x:c r="AC32" s="256">
        <x:f>'Rem. Anticipos R2'!R450</x:f>
        <x:v>0</x:v>
      </x:c>
      <x:c r="AD32" s="227">
        <x:f t="shared" si="10"/>
        <x:v>0</x:v>
      </x:c>
      <x:c r="AE32" s="227">
        <x:f>'Rem. Anticipos R2'!E451</x:f>
        <x:v>0</x:v>
      </x:c>
      <x:c r="AF32" s="258">
        <x:f>SUM(U32:AD32)</x:f>
        <x:v>0</x:v>
      </x:c>
      <x:c r="AG32" s="262">
        <x:f>(AF32-O32)</x:f>
        <x:v>0</x:v>
      </x:c>
      <x:c r="AH32" s="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1" t="b">
        <x:f t="shared" si="9"/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225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R1'!F72</x:f>
        <x:v>0</x:v>
      </x:c>
      <x:c r="E47" s="228">
        <x:f>'Reporte Componentes R1'!G72</x:f>
        <x:v>0</x:v>
      </x:c>
      <x:c r="F47" s="228">
        <x:f>'Reporte Componentes R1'!H72</x:f>
        <x:v>0</x:v>
      </x:c>
      <x:c r="G47" s="228">
        <x:f>'Reporte Componentes R1'!I72</x:f>
        <x:v>0</x:v>
      </x:c>
      <x:c r="H47" s="228">
        <x:f>'Reporte Componentes R1'!J72</x:f>
        <x:v>0</x:v>
      </x:c>
      <x:c r="I47" s="228">
        <x:f>'Reporte Componentes R1'!K72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R1'!L72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R1'!M72</x:f>
        <x:v>0</x:v>
      </x:c>
      <x:c r="V47" s="244">
        <x:f>'Reporte Componentes R1'!N72</x:f>
        <x:v>0</x:v>
      </x:c>
      <x:c r="W47" s="244">
        <x:f>'Reporte Componentes R1'!O72</x:f>
        <x:v>0</x:v>
      </x:c>
      <x:c r="X47" s="244">
        <x:f>'Reporte Componentes R1'!P72</x:f>
        <x:v>0</x:v>
      </x:c>
      <x:c r="Y47" s="245">
        <x:f>'Reporte Componentes R1'!Q72</x:f>
        <x:v>0</x:v>
      </x:c>
      <x:c r="Z47" s="246">
        <x:f>-L47</x:f>
        <x:v>0</x:v>
      </x:c>
      <x:c r="AA47" s="247">
        <x:f>'Reporte Componentes R1'!R72+'Reporte Componentes R1'!V72+'Reporte Componentes R1'!U72</x:f>
        <x:v>0</x:v>
      </x:c>
      <x:c r="AB47" s="230">
        <x:f>N47</x:f>
        <x:v>0</x:v>
      </x:c>
      <x:c r="AC47" s="247">
        <x:f>'Reporte Componentes R1'!T72+'Reporte Componentes R1'!S72+'Reporte Componentes R1'!W72+'Reporte Componentes R1'!X72+'Reporte Componentes R1'!Y72+'Reporte Componentes R1'!Z72</x:f>
        <x:v>0</x:v>
      </x:c>
      <x:c r="AD47" s="227">
        <x:f>-J47+AE47</x:f>
        <x:v>0</x:v>
      </x:c>
      <x:c r="AE47" s="227">
        <x:f>'Reporte Componentes R1'!F73</x:f>
        <x:v>0</x:v>
      </x:c>
      <x:c r="AF47" s="249">
        <x:f>SUM(U47:AD47)</x:f>
        <x:v>0</x:v>
      </x:c>
      <x:c r="AG47" s="247">
        <x:f>(AF47-O47)</x:f>
        <x:v>0</x:v>
      </x:c>
      <x:c r="AH47" s="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R1'!F216</x:f>
        <x:v>0</x:v>
      </x:c>
      <x:c r="E48" s="228">
        <x:f>'Reporte Componentes R1'!G216</x:f>
        <x:v>0</x:v>
      </x:c>
      <x:c r="F48" s="228">
        <x:f>'Reporte Componentes R1'!H216</x:f>
        <x:v>0</x:v>
      </x:c>
      <x:c r="G48" s="228">
        <x:f>'Reporte Componentes R1'!I216</x:f>
        <x:v>0</x:v>
      </x:c>
      <x:c r="H48" s="228">
        <x:f>'Reporte Componentes R1'!J216</x:f>
        <x:v>0</x:v>
      </x:c>
      <x:c r="I48" s="228">
        <x:f>'Reporte Componentes R1'!K216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R1'!L216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R1'!M216</x:f>
        <x:v>0</x:v>
      </x:c>
      <x:c r="V48" s="253">
        <x:f>'Reporte Componentes R1'!N216</x:f>
        <x:v>0</x:v>
      </x:c>
      <x:c r="W48" s="253">
        <x:f>'Reporte Componentes R1'!O216</x:f>
        <x:v>0</x:v>
      </x:c>
      <x:c r="X48" s="253">
        <x:f>'Reporte Componentes R1'!P216</x:f>
        <x:v>0</x:v>
      </x:c>
      <x:c r="Y48" s="254">
        <x:f>'Reporte Componentes R1'!Q216</x:f>
        <x:v>0</x:v>
      </x:c>
      <x:c r="Z48" s="255">
        <x:f>-L48</x:f>
        <x:v>0</x:v>
      </x:c>
      <x:c r="AA48" s="256">
        <x:f>'Reporte Componentes R1'!R216+'Reporte Componentes R1'!V216+'Reporte Componentes R1'!U216</x:f>
        <x:v>0</x:v>
      </x:c>
      <x:c r="AB48" s="230">
        <x:f>N48</x:f>
        <x:v>0</x:v>
      </x:c>
      <x:c r="AC48" s="256">
        <x:f>'Reporte Componentes R1'!T216+'Reporte Componentes R1'!S216+'Reporte Componentes R1'!W216+'Reporte Componentes R1'!X216+'Reporte Componentes R1'!Y216+'Reporte Componentes R1'!Z216</x:f>
        <x:v>0</x:v>
      </x:c>
      <x:c r="AD48" s="227">
        <x:f t="shared" ref="AD48:AD51" si="16">-J48+AE48</x:f>
        <x:v>0</x:v>
      </x:c>
      <x:c r="AE48" s="227">
        <x:f>'Reporte Componentes R1'!F217</x:f>
        <x:v>0</x:v>
      </x:c>
      <x:c r="AF48" s="258">
        <x:f>SUM(U48:AD48)</x:f>
        <x:v>0</x:v>
      </x:c>
      <x:c r="AG48" s="259">
        <x:f>(AF48-O48)</x:f>
        <x:v>0</x:v>
      </x:c>
      <x:c r="AH48" s="1" t="b">
        <x:f t="shared" ref="AH48:AH52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R1'!F347</x:f>
        <x:v>0</x:v>
      </x:c>
      <x:c r="E49" s="228">
        <x:f>'Reporte Componentes R1'!G347</x:f>
        <x:v>0</x:v>
      </x:c>
      <x:c r="F49" s="228">
        <x:f>'Reporte Componentes R1'!H347</x:f>
        <x:v>0</x:v>
      </x:c>
      <x:c r="G49" s="228">
        <x:f>'Reporte Componentes R1'!I347</x:f>
        <x:v>0</x:v>
      </x:c>
      <x:c r="H49" s="228">
        <x:f>'Reporte Componentes R1'!J347</x:f>
        <x:v>0</x:v>
      </x:c>
      <x:c r="I49" s="228">
        <x:f>'Reporte Componentes R1'!K347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R1'!L347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R1'!M347</x:f>
        <x:v>0</x:v>
      </x:c>
      <x:c r="V49" s="253">
        <x:f>'Reporte Componentes R1'!N347</x:f>
        <x:v>0</x:v>
      </x:c>
      <x:c r="W49" s="253">
        <x:f>'Reporte Componentes R1'!O347</x:f>
        <x:v>0</x:v>
      </x:c>
      <x:c r="X49" s="253">
        <x:f>'Reporte Componentes R1'!P347</x:f>
        <x:v>0</x:v>
      </x:c>
      <x:c r="Y49" s="254">
        <x:f>'Reporte Componentes R1'!Q347</x:f>
        <x:v>0</x:v>
      </x:c>
      <x:c r="Z49" s="255">
        <x:f>-L49</x:f>
        <x:v>0</x:v>
      </x:c>
      <x:c r="AA49" s="256">
        <x:f>'Reporte Componentes R1'!R347+'Reporte Componentes R1'!V347+'Reporte Componentes R1'!U347</x:f>
        <x:v>0</x:v>
      </x:c>
      <x:c r="AB49" s="230">
        <x:f>N49</x:f>
        <x:v>0</x:v>
      </x:c>
      <x:c r="AC49" s="256">
        <x:f>'Reporte Componentes R1'!T347+'Reporte Componentes R1'!S347+'Reporte Componentes R1'!W347+'Reporte Componentes R1'!X347+'Reporte Componentes R1'!Y347+'Reporte Componentes R1'!Z347</x:f>
        <x:v>0</x:v>
      </x:c>
      <x:c r="AD49" s="227">
        <x:f t="shared" si="16"/>
        <x:v>0</x:v>
      </x:c>
      <x:c r="AE49" s="227">
        <x:f>'Reporte Componentes R1'!F348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R1'!F478</x:f>
        <x:v>0</x:v>
      </x:c>
      <x:c r="E50" s="228">
        <x:f>'Reporte Componentes R1'!G478</x:f>
        <x:v>0</x:v>
      </x:c>
      <x:c r="F50" s="228">
        <x:f>'Reporte Componentes R1'!H478</x:f>
        <x:v>0</x:v>
      </x:c>
      <x:c r="G50" s="228">
        <x:f>'Reporte Componentes R1'!I478</x:f>
        <x:v>0</x:v>
      </x:c>
      <x:c r="H50" s="228">
        <x:f>'Reporte Componentes R1'!J478</x:f>
        <x:v>0</x:v>
      </x:c>
      <x:c r="I50" s="228">
        <x:f>'Reporte Componentes R1'!K478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R1'!L478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R1'!M478</x:f>
        <x:v>0</x:v>
      </x:c>
      <x:c r="V50" s="253">
        <x:f>'Reporte Componentes R1'!N478</x:f>
        <x:v>0</x:v>
      </x:c>
      <x:c r="W50" s="253">
        <x:f>'Reporte Componentes R1'!O478</x:f>
        <x:v>0</x:v>
      </x:c>
      <x:c r="X50" s="253">
        <x:f>'Reporte Componentes R1'!P478</x:f>
        <x:v>0</x:v>
      </x:c>
      <x:c r="Y50" s="254">
        <x:f>'Reporte Componentes R1'!Q478</x:f>
        <x:v>0</x:v>
      </x:c>
      <x:c r="Z50" s="255">
        <x:f>-L50</x:f>
        <x:v>0</x:v>
      </x:c>
      <x:c r="AA50" s="256">
        <x:f>'Reporte Componentes R1'!R478+'Reporte Componentes R1'!V478+'Reporte Componentes R1'!U478</x:f>
        <x:v>0</x:v>
      </x:c>
      <x:c r="AB50" s="230">
        <x:f>N50</x:f>
        <x:v>0</x:v>
      </x:c>
      <x:c r="AC50" s="256">
        <x:f>'Reporte Componentes R1'!T478+'Reporte Componentes R1'!S478+'Reporte Componentes R1'!W478+'Reporte Componentes R1'!X478+'Reporte Componentes R1'!Y478+'Reporte Componentes R1'!Z478</x:f>
        <x:v>0</x:v>
      </x:c>
      <x:c r="AD50" s="227">
        <x:f t="shared" si="16"/>
        <x:v>0</x:v>
      </x:c>
      <x:c r="AE50" s="227">
        <x:f>'Reporte Componentes R1'!F479</x:f>
        <x:v>0</x:v>
      </x:c>
      <x:c r="AF50" s="258">
        <x:f t="shared" si="18"/>
        <x:v>0</x:v>
      </x:c>
      <x:c r="AG50" s="259">
        <x:f t="shared" si="19"/>
        <x:v>0</x:v>
      </x:c>
      <x:c r="AH50" s="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R1'!F576</x:f>
        <x:v>0</x:v>
      </x:c>
      <x:c r="E51" s="233">
        <x:f>'Reporte Componentes R1'!G576</x:f>
        <x:v>0</x:v>
      </x:c>
      <x:c r="F51" s="233">
        <x:f>'Reporte Componentes R1'!H576</x:f>
        <x:v>0</x:v>
      </x:c>
      <x:c r="G51" s="233">
        <x:f>'Reporte Componentes R1'!I576</x:f>
        <x:v>0</x:v>
      </x:c>
      <x:c r="H51" s="233">
        <x:f>'Reporte Componentes R1'!J576</x:f>
        <x:v>0</x:v>
      </x:c>
      <x:c r="I51" s="233">
        <x:f>'Reporte Componentes R1'!K576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R1'!L576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R1'!M576</x:f>
        <x:v>0</x:v>
      </x:c>
      <x:c r="V51" s="233">
        <x:f>'Reporte Componentes R1'!N576</x:f>
        <x:v>0</x:v>
      </x:c>
      <x:c r="W51" s="233">
        <x:f>'Reporte Componentes R1'!O576</x:f>
        <x:v>0</x:v>
      </x:c>
      <x:c r="X51" s="233">
        <x:f>'Reporte Componentes R1'!P576</x:f>
        <x:v>0</x:v>
      </x:c>
      <x:c r="Y51" s="225">
        <x:f>'Reporte Componentes R1'!Q576</x:f>
        <x:v>0</x:v>
      </x:c>
      <x:c r="Z51" s="255">
        <x:f>-L51</x:f>
        <x:v>0</x:v>
      </x:c>
      <x:c r="AA51" s="256">
        <x:f>'Reporte Componentes R1'!R576+'Reporte Componentes R1'!V576+'Reporte Componentes R1'!U576</x:f>
        <x:v>0</x:v>
      </x:c>
      <x:c r="AB51" s="230">
        <x:f>N51</x:f>
        <x:v>0</x:v>
      </x:c>
      <x:c r="AC51" s="256">
        <x:f>'Reporte Componentes R1'!T576+'Reporte Componentes R1'!S576+'Reporte Componentes R1'!W576+'Reporte Componentes R1'!X576+'Reporte Componentes R1'!Y576+'Reporte Componentes R1'!Z576</x:f>
        <x:v>0</x:v>
      </x:c>
      <x:c r="AD51" s="227">
        <x:f t="shared" si="16"/>
        <x:v>0</x:v>
      </x:c>
      <x:c r="AE51" s="227">
        <x:f>'Reporte Componentes R1'!F577</x:f>
        <x:v>0</x:v>
      </x:c>
      <x:c r="AF51" s="258">
        <x:f t="shared" si="18"/>
        <x:v>0</x:v>
      </x:c>
      <x:c r="AG51" s="262">
        <x:f t="shared" si="19"/>
        <x:v>0</x:v>
      </x:c>
      <x:c r="AH51" s="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1" t="b">
        <x:f t="shared" si="17"/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225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R4'!D85</x:f>
        <x:v>0</x:v>
      </x:c>
      <x:c r="E66" s="228">
        <x:f>'Reversion Pagos R4'!E85</x:f>
        <x:v>0</x:v>
      </x:c>
      <x:c r="F66" s="228">
        <x:f>'Reversion Pagos R4'!F85</x:f>
        <x:v>0</x:v>
      </x:c>
      <x:c r="G66" s="228">
        <x:f>'Reversion Pagos R4'!G85</x:f>
        <x:v>0</x:v>
      </x:c>
      <x:c r="H66" s="228">
        <x:f>'Reversion Pagos R4'!H85</x:f>
        <x:v>0</x:v>
      </x:c>
      <x:c r="I66" s="228">
        <x:f>'Reversion Pagos R4'!I85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R4'!P85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R4'!J85</x:f>
        <x:v>0</x:v>
      </x:c>
      <x:c r="V66" s="244">
        <x:f>'Reversion Pagos R4'!K85</x:f>
        <x:v>0</x:v>
      </x:c>
      <x:c r="W66" s="244">
        <x:f>'Reversion Pagos R4'!L85</x:f>
        <x:v>0</x:v>
      </x:c>
      <x:c r="X66" s="244">
        <x:f>'Reversion Pagos R4'!M85</x:f>
        <x:v>0</x:v>
      </x:c>
      <x:c r="Y66" s="244">
        <x:f>'Reversion Pagos R4'!N85</x:f>
        <x:v>0</x:v>
      </x:c>
      <x:c r="Z66" s="246">
        <x:f>-L66</x:f>
        <x:v>0</x:v>
      </x:c>
      <x:c r="AA66" s="256">
        <x:f>'Reversion Pagos R4'!O85</x:f>
        <x:v>0</x:v>
      </x:c>
      <x:c r="AB66" s="230">
        <x:f>N66</x:f>
        <x:v>0</x:v>
      </x:c>
      <x:c r="AC66" s="256">
        <x:f>+'Reversion Pagos R4'!Q85+'Reversion Pagos R4'!R85</x:f>
        <x:v>0</x:v>
      </x:c>
      <x:c r="AD66" s="227">
        <x:f>-J66+AE66</x:f>
        <x:v>0</x:v>
      </x:c>
      <x:c r="AE66" s="227">
        <x:f>'Reversion Pagos R4'!D86</x:f>
        <x:v>0</x:v>
      </x:c>
      <x:c r="AF66" s="249">
        <x:f>SUM(U66:AD66)</x:f>
        <x:v>0</x:v>
      </x:c>
      <x:c r="AG66" s="247">
        <x:f>(AF66-O66)</x:f>
        <x:v>0</x:v>
      </x:c>
      <x:c r="AH66" s="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R4'!D180</x:f>
        <x:v>0</x:v>
      </x:c>
      <x:c r="E67" s="228">
        <x:f>'Reversion Pagos R4'!E180</x:f>
        <x:v>0</x:v>
      </x:c>
      <x:c r="F67" s="228">
        <x:f>'Reversion Pagos R4'!F180</x:f>
        <x:v>0</x:v>
      </x:c>
      <x:c r="G67" s="228">
        <x:f>'Reversion Pagos R4'!G180</x:f>
        <x:v>0</x:v>
      </x:c>
      <x:c r="H67" s="228">
        <x:f>'Reversion Pagos R4'!H180</x:f>
        <x:v>0</x:v>
      </x:c>
      <x:c r="I67" s="228">
        <x:f>'Reversion Pagos R4'!I180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R4'!P180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R4'!J180</x:f>
        <x:v>0</x:v>
      </x:c>
      <x:c r="V67" s="253">
        <x:f>'Reversion Pagos R4'!K180</x:f>
        <x:v>0</x:v>
      </x:c>
      <x:c r="W67" s="253">
        <x:f>'Reversion Pagos R4'!L180</x:f>
        <x:v>0</x:v>
      </x:c>
      <x:c r="X67" s="253">
        <x:f>'Reversion Pagos R4'!M180</x:f>
        <x:v>0</x:v>
      </x:c>
      <x:c r="Y67" s="254">
        <x:f>'Reversion Pagos R4'!N180</x:f>
        <x:v>0</x:v>
      </x:c>
      <x:c r="Z67" s="255">
        <x:f t="shared" ref="Z67:Z70" si="26">-L67</x:f>
        <x:v>0</x:v>
      </x:c>
      <x:c r="AA67" s="256">
        <x:f>'Reversion Pagos R4'!O180</x:f>
        <x:v>0</x:v>
      </x:c>
      <x:c r="AB67" s="230">
        <x:f t="shared" ref="AB67:AB70" si="27">N67</x:f>
        <x:v>0</x:v>
      </x:c>
      <x:c r="AC67" s="256">
        <x:f>+'Reversion Pagos R4'!Q180+'Reversion Pagos R4'!R180</x:f>
        <x:v>0</x:v>
      </x:c>
      <x:c r="AD67" s="227">
        <x:f t="shared" ref="AD67:AD70" si="28">-J67+AE67</x:f>
        <x:v>0</x:v>
      </x:c>
      <x:c r="AE67" s="227">
        <x:f>'Reversion Pagos R4'!D181</x:f>
        <x:v>0</x:v>
      </x:c>
      <x:c r="AF67" s="258">
        <x:f>SUM(U67:AD67)</x:f>
        <x:v>0</x:v>
      </x:c>
      <x:c r="AG67" s="259">
        <x:f>(AF67-O67)</x:f>
        <x:v>0</x:v>
      </x:c>
      <x:c r="AH67" s="1" t="b">
        <x:f t="shared" ref="AH67:AH71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R4'!D217</x:f>
        <x:v>0</x:v>
      </x:c>
      <x:c r="E68" s="228">
        <x:f>'Reversion Pagos R4'!E217</x:f>
        <x:v>0</x:v>
      </x:c>
      <x:c r="F68" s="228">
        <x:f>'Reversion Pagos R4'!F217</x:f>
        <x:v>0</x:v>
      </x:c>
      <x:c r="G68" s="228">
        <x:f>'Reversion Pagos R4'!G217</x:f>
        <x:v>0</x:v>
      </x:c>
      <x:c r="H68" s="228">
        <x:f>'Reversion Pagos R4'!H217</x:f>
        <x:v>0</x:v>
      </x:c>
      <x:c r="I68" s="228">
        <x:f>'Reversion Pagos R4'!I217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R4'!P217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R4'!J217</x:f>
        <x:v>0</x:v>
      </x:c>
      <x:c r="V68" s="253">
        <x:f>'Reversion Pagos R4'!K217</x:f>
        <x:v>0</x:v>
      </x:c>
      <x:c r="W68" s="253">
        <x:f>'Reversion Pagos R4'!L217</x:f>
        <x:v>0</x:v>
      </x:c>
      <x:c r="X68" s="253">
        <x:f>'Reversion Pagos R4'!M217</x:f>
        <x:v>0</x:v>
      </x:c>
      <x:c r="Y68" s="254">
        <x:f>'Reversion Pagos R4'!N217</x:f>
        <x:v>0</x:v>
      </x:c>
      <x:c r="Z68" s="255">
        <x:f t="shared" si="26"/>
        <x:v>0</x:v>
      </x:c>
      <x:c r="AA68" s="256">
        <x:f>'Reversion Pagos R4'!O217</x:f>
        <x:v>0</x:v>
      </x:c>
      <x:c r="AB68" s="230">
        <x:f t="shared" si="27"/>
        <x:v>0</x:v>
      </x:c>
      <x:c r="AC68" s="256">
        <x:f>+'Reversion Pagos R4'!Q217+'Reversion Pagos R4'!R217</x:f>
        <x:v>0</x:v>
      </x:c>
      <x:c r="AD68" s="227">
        <x:f t="shared" si="28"/>
        <x:v>0</x:v>
      </x:c>
      <x:c r="AE68" s="227">
        <x:f>'Reversion Pagos R4'!D218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R4'!D332</x:f>
        <x:v>0</x:v>
      </x:c>
      <x:c r="E69" s="228">
        <x:f>'Reversion Pagos R4'!E332</x:f>
        <x:v>0</x:v>
      </x:c>
      <x:c r="F69" s="228">
        <x:f>'Reversion Pagos R4'!F332</x:f>
        <x:v>0</x:v>
      </x:c>
      <x:c r="G69" s="228">
        <x:f>'Reversion Pagos R4'!G332</x:f>
        <x:v>0</x:v>
      </x:c>
      <x:c r="H69" s="228">
        <x:f>'Reversion Pagos R4'!H332</x:f>
        <x:v>0</x:v>
      </x:c>
      <x:c r="I69" s="228">
        <x:f>'Reversion Pagos R4'!I332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R4'!P332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R4'!J332</x:f>
        <x:v>0</x:v>
      </x:c>
      <x:c r="V69" s="253">
        <x:f>'Reversion Pagos R4'!K332</x:f>
        <x:v>0</x:v>
      </x:c>
      <x:c r="W69" s="253">
        <x:f>'Reversion Pagos R4'!L332</x:f>
        <x:v>0</x:v>
      </x:c>
      <x:c r="X69" s="253">
        <x:f>'Reversion Pagos R4'!M332</x:f>
        <x:v>0</x:v>
      </x:c>
      <x:c r="Y69" s="254">
        <x:f>'Reversion Pagos R4'!N332</x:f>
        <x:v>0</x:v>
      </x:c>
      <x:c r="Z69" s="255">
        <x:f t="shared" si="26"/>
        <x:v>0</x:v>
      </x:c>
      <x:c r="AA69" s="256">
        <x:f>'Reversion Pagos R4'!O332</x:f>
        <x:v>0</x:v>
      </x:c>
      <x:c r="AB69" s="230">
        <x:f t="shared" si="27"/>
        <x:v>0</x:v>
      </x:c>
      <x:c r="AC69" s="256">
        <x:f>+'Reversion Pagos R4'!Q332+'Reversion Pagos R4'!R332</x:f>
        <x:v>0</x:v>
      </x:c>
      <x:c r="AD69" s="227">
        <x:f t="shared" si="28"/>
        <x:v>0</x:v>
      </x:c>
      <x:c r="AE69" s="227">
        <x:f>'Reversion Pagos R4'!D333</x:f>
        <x:v>0</x:v>
      </x:c>
      <x:c r="AF69" s="258">
        <x:f>SUM(U69:AD69)</x:f>
        <x:v>0</x:v>
      </x:c>
      <x:c r="AG69" s="259">
        <x:f>(AF69-O69)</x:f>
        <x:v>0</x:v>
      </x:c>
      <x:c r="AH69" s="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R4'!D367</x:f>
        <x:v>0</x:v>
      </x:c>
      <x:c r="E70" s="233">
        <x:f>'Reversion Pagos R4'!E367</x:f>
        <x:v>0</x:v>
      </x:c>
      <x:c r="F70" s="233">
        <x:f>'Reversion Pagos R4'!F367</x:f>
        <x:v>0</x:v>
      </x:c>
      <x:c r="G70" s="233">
        <x:f>'Reversion Pagos R4'!G367</x:f>
        <x:v>0</x:v>
      </x:c>
      <x:c r="H70" s="233">
        <x:f>'Reversion Pagos R4'!H367</x:f>
        <x:v>0</x:v>
      </x:c>
      <x:c r="I70" s="233">
        <x:f>'Reversion Pagos R4'!I367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R4'!P367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R4'!J367</x:f>
        <x:v>0</x:v>
      </x:c>
      <x:c r="V70" s="233">
        <x:f>'Reversion Pagos R4'!K367</x:f>
        <x:v>0</x:v>
      </x:c>
      <x:c r="W70" s="233">
        <x:f>'Reversion Pagos R4'!L367</x:f>
        <x:v>0</x:v>
      </x:c>
      <x:c r="X70" s="233">
        <x:f>'Reversion Pagos R4'!M367</x:f>
        <x:v>0</x:v>
      </x:c>
      <x:c r="Y70" s="225">
        <x:f>'Reversion Pagos R4'!N367</x:f>
        <x:v>0</x:v>
      </x:c>
      <x:c r="Z70" s="255">
        <x:f t="shared" si="26"/>
        <x:v>0</x:v>
      </x:c>
      <x:c r="AA70" s="256">
        <x:f>'Reversion Pagos R4'!O367</x:f>
        <x:v>0</x:v>
      </x:c>
      <x:c r="AB70" s="230">
        <x:f t="shared" si="27"/>
        <x:v>0</x:v>
      </x:c>
      <x:c r="AC70" s="256">
        <x:f>+'Reversion Pagos R4'!Q367+'Reversion Pagos R4'!R367</x:f>
        <x:v>0</x:v>
      </x:c>
      <x:c r="AD70" s="227">
        <x:f t="shared" si="28"/>
        <x:v>0</x:v>
      </x:c>
      <x:c r="AE70" s="227">
        <x:f>'Reversion Pagos R4'!D368</x:f>
        <x:v>0</x:v>
      </x:c>
      <x:c r="AF70" s="258">
        <x:f t="shared" si="30"/>
        <x:v>0</x:v>
      </x:c>
      <x:c r="AG70" s="262">
        <x:f t="shared" si="31"/>
        <x:v>0</x:v>
      </x:c>
      <x:c r="AH70" s="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1" t="b">
        <x:f t="shared" si="29"/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v>0</x:v>
      </x:c>
      <x:c r="AA85" s="246">
        <x:v>0</x:v>
      </x:c>
      <x:c r="AB85" s="246">
        <x:v>0</x:v>
      </x:c>
      <x:c r="AC85" s="247">
        <x:v>0</x:v>
      </x:c>
      <x:c r="AD85" s="246">
        <x:v>0</x:v>
      </x:c>
      <x:c r="AE85" s="246">
        <x:v>0</x:v>
      </x:c>
      <x:c r="AF85" s="249">
        <x:f>SUM(U85:AD85)</x:f>
        <x:v>0</x:v>
      </x:c>
      <x:c r="AG85" s="247">
        <x:f>AF85-O85</x:f>
        <x:v>0</x:v>
      </x:c>
      <x:c r="AH85" s="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v>0</x:v>
      </x:c>
      <x:c r="AA86" s="255">
        <x:v>0</x:v>
      </x:c>
      <x:c r="AB86" s="255">
        <x:v>0</x:v>
      </x:c>
      <x:c r="AC86" s="256">
        <x:v>0</x:v>
      </x:c>
      <x:c r="AD86" s="255">
        <x:v>0</x:v>
      </x:c>
      <x:c r="AE86" s="255">
        <x:v>0</x:v>
      </x:c>
      <x:c r="AF86" s="258">
        <x:f>SUM(U86:AD86)</x:f>
        <x:v>0</x:v>
      </x:c>
      <x:c r="AG86" s="259">
        <x:f>AF86-O86</x:f>
        <x:v>0</x:v>
      </x:c>
      <x:c r="AH86" s="1" t="b">
        <x:f t="shared" ref="AH86:AH90" si="36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v>0</x:v>
      </x:c>
      <x:c r="AA87" s="255">
        <x:v>0</x:v>
      </x:c>
      <x:c r="AB87" s="255">
        <x:v>0</x:v>
      </x:c>
      <x:c r="AC87" s="256">
        <x:v>0</x:v>
      </x:c>
      <x:c r="AD87" s="255">
        <x:v>0</x:v>
      </x:c>
      <x:c r="AE87" s="255">
        <x:v>0</x:v>
      </x:c>
      <x:c r="AF87" s="258">
        <x:f t="shared" ref="AF87:AF89" si="37">SUM(U87:AD87)</x:f>
        <x:v>0</x:v>
      </x:c>
      <x:c r="AG87" s="259">
        <x:f>AF87-O87</x:f>
        <x:v>0</x:v>
      </x:c>
      <x:c r="AH87" s="1" t="b">
        <x:f t="shared" si="36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v>0</x:v>
      </x:c>
      <x:c r="AA88" s="255">
        <x:v>0</x:v>
      </x:c>
      <x:c r="AB88" s="255">
        <x:v>0</x:v>
      </x:c>
      <x:c r="AC88" s="256">
        <x:v>0</x:v>
      </x:c>
      <x:c r="AD88" s="255">
        <x:v>0</x:v>
      </x:c>
      <x:c r="AE88" s="255">
        <x:v>0</x:v>
      </x:c>
      <x:c r="AF88" s="258">
        <x:f t="shared" si="37"/>
        <x:v>0</x:v>
      </x:c>
      <x:c r="AG88" s="259">
        <x:f>AF88-O88</x:f>
        <x:v>0</x:v>
      </x:c>
      <x:c r="AH88" s="1" t="b">
        <x:f t="shared" si="36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v>0</x:v>
      </x:c>
      <x:c r="AA89" s="255">
        <x:v>0</x:v>
      </x:c>
      <x:c r="AB89" s="255">
        <x:v>0</x:v>
      </x:c>
      <x:c r="AC89" s="256">
        <x:v>0</x:v>
      </x:c>
      <x:c r="AD89" s="255">
        <x:v>0</x:v>
      </x:c>
      <x:c r="AE89" s="255">
        <x:v>0</x:v>
      </x:c>
      <x:c r="AF89" s="258">
        <x:f t="shared" si="37"/>
        <x:v>0</x:v>
      </x:c>
      <x:c r="AG89" s="262">
        <x:f>AF89-O89</x:f>
        <x:v>0</x:v>
      </x:c>
      <x:c r="AH89" s="1" t="b">
        <x:f t="shared" si="36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8">SUM(D85:D89)</x:f>
        <x:v>0</x:v>
      </x:c>
      <x:c r="E90" s="226">
        <x:f t="shared" si="38"/>
        <x:v>0</x:v>
      </x:c>
      <x:c r="F90" s="226">
        <x:f t="shared" si="38"/>
        <x:v>0</x:v>
      </x:c>
      <x:c r="G90" s="226">
        <x:f t="shared" si="38"/>
        <x:v>0</x:v>
      </x:c>
      <x:c r="H90" s="226">
        <x:f t="shared" si="38"/>
        <x:v>0</x:v>
      </x:c>
      <x:c r="I90" s="226">
        <x:f t="shared" si="38"/>
        <x:v>0</x:v>
      </x:c>
      <x:c r="J90" s="226">
        <x:f t="shared" si="38"/>
        <x:v>0</x:v>
      </x:c>
      <x:c r="K90" s="236">
        <x:f t="shared" si="38"/>
        <x:v>0</x:v>
      </x:c>
      <x:c r="L90" s="237">
        <x:f t="shared" si="38"/>
        <x:v>0</x:v>
      </x:c>
      <x:c r="M90" s="238">
        <x:f t="shared" si="38"/>
        <x:v>0</x:v>
      </x:c>
      <x:c r="N90" s="237">
        <x:f t="shared" si="38"/>
        <x:v>0</x:v>
      </x:c>
      <x:c r="O90" s="238">
        <x:f t="shared" si="38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39">SUM(V85:V89)</x:f>
        <x:v>0</x:v>
      </x:c>
      <x:c r="W90" s="266">
        <x:f t="shared" si="39"/>
        <x:v>0</x:v>
      </x:c>
      <x:c r="X90" s="266">
        <x:f t="shared" si="39"/>
        <x:v>0</x:v>
      </x:c>
      <x:c r="Y90" s="266">
        <x:f t="shared" si="39"/>
        <x:v>0</x:v>
      </x:c>
      <x:c r="Z90" s="226">
        <x:f t="shared" si="39"/>
        <x:v>0</x:v>
      </x:c>
      <x:c r="AA90" s="226">
        <x:f t="shared" si="39"/>
        <x:v>0</x:v>
      </x:c>
      <x:c r="AB90" s="226">
        <x:f t="shared" si="39"/>
        <x:v>0</x:v>
      </x:c>
      <x:c r="AC90" s="226">
        <x:f t="shared" si="39"/>
        <x:v>0</x:v>
      </x:c>
      <x:c r="AD90" s="226">
        <x:f t="shared" si="39"/>
        <x:v>0</x:v>
      </x:c>
      <x:c r="AE90" s="226">
        <x:f t="shared" si="39"/>
        <x:v>0</x:v>
      </x:c>
      <x:c r="AF90" s="267">
        <x:f t="shared" si="39"/>
        <x:v>0</x:v>
      </x:c>
      <x:c r="AG90" s="268">
        <x:f t="shared" si="39"/>
        <x:v>0</x:v>
      </x:c>
      <x:c r="AH90" s="1" t="b">
        <x:f t="shared" si="36"/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219</x:v>
      </x:c>
      <x:c r="G101" s="58"/>
      <x:c r="H101" s="59"/>
      <x:c r="I101" s="60"/>
      <x:c r="J101" s="59"/>
      <x:c r="K101" s="60"/>
      <x:c r="L101" s="392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0">D9+D28+D47+D66+D85</x:f>
        <x:v>0</x:v>
      </x:c>
      <x:c r="E104" s="228">
        <x:f t="shared" si="40"/>
        <x:v>0</x:v>
      </x:c>
      <x:c r="F104" s="228">
        <x:f t="shared" si="40"/>
        <x:v>0</x:v>
      </x:c>
      <x:c r="G104" s="228">
        <x:f t="shared" si="40"/>
        <x:v>0</x:v>
      </x:c>
      <x:c r="H104" s="228">
        <x:f t="shared" si="40"/>
        <x:v>0</x:v>
      </x:c>
      <x:c r="I104" s="228">
        <x:f t="shared" si="40"/>
        <x:v>0</x:v>
      </x:c>
      <x:c r="J104" s="224">
        <x:f t="shared" si="40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1">U9+U28+U47+U66+U85</x:f>
        <x:v>0</x:v>
      </x:c>
      <x:c r="V104" s="244">
        <x:f t="shared" si="41"/>
        <x:v>0</x:v>
      </x:c>
      <x:c r="W104" s="244">
        <x:f t="shared" si="41"/>
        <x:v>0</x:v>
      </x:c>
      <x:c r="X104" s="244">
        <x:f t="shared" si="41"/>
        <x:v>0</x:v>
      </x:c>
      <x:c r="Y104" s="245">
        <x:f t="shared" si="41"/>
        <x:v>0</x:v>
      </x:c>
      <x:c r="Z104" s="246">
        <x:f t="shared" si="41"/>
        <x:v>0</x:v>
      </x:c>
      <x:c r="AA104" s="247">
        <x:f t="shared" si="41"/>
        <x:v>0</x:v>
      </x:c>
      <x:c r="AB104" s="230">
        <x:f t="shared" si="41"/>
        <x:v>0</x:v>
      </x:c>
      <x:c r="AC104" s="248">
        <x:f t="shared" ref="AC104" si="42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>INT(AG104)=0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0"/>
        <x:v>0</x:v>
      </x:c>
      <x:c r="E105" s="228">
        <x:f t="shared" si="40"/>
        <x:v>0</x:v>
      </x:c>
      <x:c r="F105" s="228">
        <x:f t="shared" si="40"/>
        <x:v>0</x:v>
      </x:c>
      <x:c r="G105" s="228">
        <x:f t="shared" si="40"/>
        <x:v>0</x:v>
      </x:c>
      <x:c r="H105" s="228">
        <x:f t="shared" si="40"/>
        <x:v>0</x:v>
      </x:c>
      <x:c r="I105" s="228">
        <x:f t="shared" si="40"/>
        <x:v>0</x:v>
      </x:c>
      <x:c r="J105" s="224">
        <x:f t="shared" si="40"/>
        <x:v>0</x:v>
      </x:c>
      <x:c r="K105" s="231">
        <x:f t="shared" ref="K105:K108" si="43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4">M105+N105</x:f>
        <x:v>0</x:v>
      </x:c>
      <x:c r="Q105" s="242"/>
      <x:c r="S105" s="250">
        <x:v>2</x:v>
      </x:c>
      <x:c r="T105" s="251" t="s">
        <x:v>11</x:v>
      </x:c>
      <x:c r="U105" s="252">
        <x:f t="shared" si="41"/>
        <x:v>0</x:v>
      </x:c>
      <x:c r="V105" s="253">
        <x:f t="shared" si="41"/>
        <x:v>0</x:v>
      </x:c>
      <x:c r="W105" s="253">
        <x:f t="shared" si="41"/>
        <x:v>0</x:v>
      </x:c>
      <x:c r="X105" s="253">
        <x:f t="shared" si="41"/>
        <x:v>0</x:v>
      </x:c>
      <x:c r="Y105" s="254">
        <x:f t="shared" si="41"/>
        <x:v>0</x:v>
      </x:c>
      <x:c r="Z105" s="255">
        <x:f t="shared" si="41"/>
        <x:v>0</x:v>
      </x:c>
      <x:c r="AA105" s="256">
        <x:f t="shared" si="41"/>
        <x:v>0</x:v>
      </x:c>
      <x:c r="AB105" s="230">
        <x:f t="shared" si="41"/>
        <x:v>0</x:v>
      </x:c>
      <x:c r="AC105" s="257">
        <x:f t="shared" ref="AC105" si="45">AC10+AC29+AC48+AC67+AC86</x:f>
        <x:v>0</x:v>
      </x:c>
      <x:c r="AD105" s="227">
        <x:f t="shared" ref="AD105:AD107" si="46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ref="AH105:AH109" si="47">INT(AG105)=0</x:f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0"/>
        <x:v>0</x:v>
      </x:c>
      <x:c r="E106" s="228">
        <x:f t="shared" si="40"/>
        <x:v>0</x:v>
      </x:c>
      <x:c r="F106" s="228">
        <x:f t="shared" si="40"/>
        <x:v>0</x:v>
      </x:c>
      <x:c r="G106" s="228">
        <x:f t="shared" si="40"/>
        <x:v>0</x:v>
      </x:c>
      <x:c r="H106" s="228">
        <x:f t="shared" si="40"/>
        <x:v>0</x:v>
      </x:c>
      <x:c r="I106" s="228">
        <x:f t="shared" si="40"/>
        <x:v>0</x:v>
      </x:c>
      <x:c r="J106" s="224">
        <x:f t="shared" si="40"/>
        <x:v>0</x:v>
      </x:c>
      <x:c r="K106" s="231">
        <x:f t="shared" si="43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4"/>
        <x:v>0</x:v>
      </x:c>
      <x:c r="Q106" s="242"/>
      <x:c r="S106" s="250">
        <x:v>3</x:v>
      </x:c>
      <x:c r="T106" s="251" t="s">
        <x:v>12</x:v>
      </x:c>
      <x:c r="U106" s="252">
        <x:f t="shared" si="41"/>
        <x:v>0</x:v>
      </x:c>
      <x:c r="V106" s="253">
        <x:f t="shared" si="41"/>
        <x:v>0</x:v>
      </x:c>
      <x:c r="W106" s="253">
        <x:f t="shared" si="41"/>
        <x:v>0</x:v>
      </x:c>
      <x:c r="X106" s="253">
        <x:f t="shared" si="41"/>
        <x:v>0</x:v>
      </x:c>
      <x:c r="Y106" s="254">
        <x:f t="shared" si="41"/>
        <x:v>0</x:v>
      </x:c>
      <x:c r="Z106" s="255">
        <x:f t="shared" si="41"/>
        <x:v>0</x:v>
      </x:c>
      <x:c r="AA106" s="256">
        <x:f t="shared" si="41"/>
        <x:v>0</x:v>
      </x:c>
      <x:c r="AB106" s="230">
        <x:f t="shared" si="41"/>
        <x:v>0</x:v>
      </x:c>
      <x:c r="AC106" s="257">
        <x:f t="shared" ref="AC106" si="48">AC11+AC30+AC49+AC68+AC87</x:f>
        <x:v>0</x:v>
      </x:c>
      <x:c r="AD106" s="227">
        <x:f t="shared" si="46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7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0"/>
        <x:v>0</x:v>
      </x:c>
      <x:c r="E107" s="228">
        <x:f t="shared" si="40"/>
        <x:v>0</x:v>
      </x:c>
      <x:c r="F107" s="228">
        <x:f t="shared" si="40"/>
        <x:v>0</x:v>
      </x:c>
      <x:c r="G107" s="228">
        <x:f t="shared" si="40"/>
        <x:v>0</x:v>
      </x:c>
      <x:c r="H107" s="228">
        <x:f t="shared" si="40"/>
        <x:v>0</x:v>
      </x:c>
      <x:c r="I107" s="228">
        <x:f t="shared" si="40"/>
        <x:v>0</x:v>
      </x:c>
      <x:c r="J107" s="224">
        <x:f t="shared" si="40"/>
        <x:v>0</x:v>
      </x:c>
      <x:c r="K107" s="231">
        <x:f t="shared" si="43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4"/>
        <x:v>0</x:v>
      </x:c>
      <x:c r="Q107" s="242"/>
      <x:c r="S107" s="250">
        <x:v>4</x:v>
      </x:c>
      <x:c r="T107" s="251" t="s">
        <x:v>13</x:v>
      </x:c>
      <x:c r="U107" s="252">
        <x:f t="shared" si="41"/>
        <x:v>0</x:v>
      </x:c>
      <x:c r="V107" s="253">
        <x:f t="shared" si="41"/>
        <x:v>0</x:v>
      </x:c>
      <x:c r="W107" s="253">
        <x:f t="shared" si="41"/>
        <x:v>0</x:v>
      </x:c>
      <x:c r="X107" s="253">
        <x:f t="shared" si="41"/>
        <x:v>0</x:v>
      </x:c>
      <x:c r="Y107" s="254">
        <x:f t="shared" si="41"/>
        <x:v>0</x:v>
      </x:c>
      <x:c r="Z107" s="255">
        <x:f t="shared" si="41"/>
        <x:v>0</x:v>
      </x:c>
      <x:c r="AA107" s="256">
        <x:f t="shared" si="41"/>
        <x:v>0</x:v>
      </x:c>
      <x:c r="AB107" s="230">
        <x:f t="shared" si="41"/>
        <x:v>0</x:v>
      </x:c>
      <x:c r="AC107" s="257">
        <x:f t="shared" ref="AC107" si="49">AC12+AC31+AC50+AC69+AC88</x:f>
        <x:v>0</x:v>
      </x:c>
      <x:c r="AD107" s="227">
        <x:f t="shared" si="46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7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0"/>
        <x:v>0</x:v>
      </x:c>
      <x:c r="F108" s="233">
        <x:f t="shared" si="40"/>
        <x:v>0</x:v>
      </x:c>
      <x:c r="G108" s="233">
        <x:f t="shared" si="40"/>
        <x:v>0</x:v>
      </x:c>
      <x:c r="H108" s="233">
        <x:f t="shared" si="40"/>
        <x:v>0</x:v>
      </x:c>
      <x:c r="I108" s="233">
        <x:f t="shared" si="40"/>
        <x:v>0</x:v>
      </x:c>
      <x:c r="J108" s="225">
        <x:f t="shared" si="40"/>
        <x:v>0</x:v>
      </x:c>
      <x:c r="K108" s="231">
        <x:f t="shared" si="43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4"/>
        <x:v>0</x:v>
      </x:c>
      <x:c r="Q108" s="242"/>
      <x:c r="S108" s="260">
        <x:v>5</x:v>
      </x:c>
      <x:c r="T108" s="261" t="s">
        <x:v>14</x:v>
      </x:c>
      <x:c r="U108" s="232">
        <x:f t="shared" si="41"/>
        <x:v>0</x:v>
      </x:c>
      <x:c r="V108" s="233">
        <x:f t="shared" si="41"/>
        <x:v>0</x:v>
      </x:c>
      <x:c r="W108" s="233">
        <x:f t="shared" si="41"/>
        <x:v>0</x:v>
      </x:c>
      <x:c r="X108" s="233">
        <x:f t="shared" si="41"/>
        <x:v>0</x:v>
      </x:c>
      <x:c r="Y108" s="225">
        <x:f t="shared" si="41"/>
        <x:v>0</x:v>
      </x:c>
      <x:c r="Z108" s="255">
        <x:f t="shared" si="41"/>
        <x:v>0</x:v>
      </x:c>
      <x:c r="AA108" s="256">
        <x:f t="shared" si="41"/>
        <x:v>0</x:v>
      </x:c>
      <x:c r="AB108" s="230">
        <x:f t="shared" si="41"/>
        <x:v>0</x:v>
      </x:c>
      <x:c r="AC108" s="257">
        <x:f t="shared" ref="AC108" si="50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7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1">SUM(D104:D108)</x:f>
        <x:v>0</x:v>
      </x:c>
      <x:c r="E109" s="226">
        <x:f t="shared" si="51"/>
        <x:v>0</x:v>
      </x:c>
      <x:c r="F109" s="226">
        <x:f t="shared" si="51"/>
        <x:v>0</x:v>
      </x:c>
      <x:c r="G109" s="226">
        <x:f t="shared" si="51"/>
        <x:v>0</x:v>
      </x:c>
      <x:c r="H109" s="226">
        <x:f t="shared" si="51"/>
        <x:v>0</x:v>
      </x:c>
      <x:c r="I109" s="226">
        <x:f t="shared" si="51"/>
        <x:v>0</x:v>
      </x:c>
      <x:c r="J109" s="226">
        <x:f t="shared" si="51"/>
        <x:v>0</x:v>
      </x:c>
      <x:c r="K109" s="236">
        <x:f t="shared" si="51"/>
        <x:v>0</x:v>
      </x:c>
      <x:c r="L109" s="237">
        <x:f t="shared" si="51"/>
        <x:v>0</x:v>
      </x:c>
      <x:c r="M109" s="238">
        <x:f t="shared" si="51"/>
        <x:v>0</x:v>
      </x:c>
      <x:c r="N109" s="237">
        <x:f t="shared" si="51"/>
        <x:v>0</x:v>
      </x:c>
      <x:c r="O109" s="238">
        <x:f t="shared" si="51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2">SUM(V104:V108)</x:f>
        <x:v>0</x:v>
      </x:c>
      <x:c r="W109" s="266">
        <x:f t="shared" si="52"/>
        <x:v>0</x:v>
      </x:c>
      <x:c r="X109" s="266">
        <x:f t="shared" si="52"/>
        <x:v>0</x:v>
      </x:c>
      <x:c r="Y109" s="266">
        <x:f t="shared" si="52"/>
        <x:v>0</x:v>
      </x:c>
      <x:c r="Z109" s="226">
        <x:f t="shared" si="52"/>
        <x:v>0</x:v>
      </x:c>
      <x:c r="AA109" s="226">
        <x:f t="shared" si="52"/>
        <x:v>0</x:v>
      </x:c>
      <x:c r="AB109" s="393">
        <x:f t="shared" si="52"/>
        <x:v>0</x:v>
      </x:c>
      <x:c r="AC109" s="226">
        <x:f t="shared" ref="AC109" si="53">SUM(AC104:AC108)</x:f>
        <x:v>0</x:v>
      </x:c>
      <x:c r="AD109" s="226">
        <x:f t="shared" si="52"/>
        <x:v>0</x:v>
      </x:c>
      <x:c r="AE109" s="226">
        <x:f>SUM(AE104:AE108)</x:f>
        <x:v>0</x:v>
      </x:c>
      <x:c r="AF109" s="267">
        <x:f t="shared" si="52"/>
        <x:v>0</x:v>
      </x:c>
      <x:c r="AG109" s="268">
        <x:f>SUM(AG104:AG108)</x:f>
        <x:v>0</x:v>
      </x:c>
      <x:c r="AH109" s="1" t="b">
        <x:f t="shared" si="47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USUARIOS'!O3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USUARIOS'!O12</x:f>
        <x:v>0</x:v>
      </x:c>
      <x:c r="L125" s="245">
        <x:f>-'ANTICIPOS USUARIOS'!O21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USUARIOS'!O4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4">D67+N67</x:f>
        <x:v>0</x:v>
      </x:c>
      <x:c r="K126" s="224">
        <x:f>'ANTICIPOS USUARIOS'!O13</x:f>
        <x:v>0</x:v>
      </x:c>
      <x:c r="L126" s="224">
        <x:f>-'ANTICIPOS USUARIOS'!O22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USUARIOS'!O5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4"/>
        <x:v>0</x:v>
      </x:c>
      <x:c r="K127" s="224">
        <x:f>'ANTICIPOS USUARIOS'!O14</x:f>
        <x:v>0</x:v>
      </x:c>
      <x:c r="L127" s="224">
        <x:f>-'ANTICIPOS USUARIOS'!O23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USUARIOS'!O6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4"/>
        <x:v>0</x:v>
      </x:c>
      <x:c r="K128" s="224">
        <x:f>'ANTICIPOS USUARIOS'!O15</x:f>
        <x:v>0</x:v>
      </x:c>
      <x:c r="L128" s="224">
        <x:f>-'ANTICIPOS USUARIOS'!O24</x:f>
        <x:v>0</x:v>
      </x:c>
      <x:c r="O128" s="273"/>
      <x:c r="Q128" s="242"/>
    </x:row>
    <x:row r="129" spans="1:18" s="241" customFormat="1" x14ac:dyDescent="0.2">
      <x:c r="B129" s="277">
        <x:v>5</x:v>
      </x:c>
      <x:c r="C129" s="278" t="s">
        <x:v>14</x:v>
      </x:c>
      <x:c r="D129" s="228">
        <x:f>'ANTICIPOS USUARIOS'!O7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4"/>
        <x:v>0</x:v>
      </x:c>
      <x:c r="K129" s="224">
        <x:f>'ANTICIPOS USUARIOS'!O16</x:f>
        <x:v>0</x:v>
      </x:c>
      <x:c r="L129" s="224">
        <x:f>-'ANTICIPOS USUARIOS'!O25</x:f>
        <x:v>0</x:v>
      </x:c>
      <x:c r="O129" s="273"/>
      <x:c r="Q129" s="242"/>
    </x:row>
    <x:row r="130" spans="1:18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Directa Occidente'!F26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8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5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8" x14ac:dyDescent="0.2">
      <x:c r="B132" s="2"/>
      <x:c r="C132" s="2"/>
      <x:c r="D132" s="24"/>
      <x:c r="Q132" s="4"/>
    </x:row>
    <x:row r="133" spans="1:18" x14ac:dyDescent="0.2">
      <x:c r="B133" s="2"/>
      <x:c r="C133" s="2"/>
      <x:c r="D133" s="24"/>
      <x:c r="L133" s="1" t="s">
        <x:v>1</x:v>
      </x:c>
      <x:c r="Q133" s="4"/>
    </x:row>
    <x:row r="134" spans="1:18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x14ac:dyDescent="0.2">
      <x:c r="B142" s="101">
        <x:v>1</x:v>
      </x:c>
      <x:c r="C142" s="102" t="s">
        <x:v>10</x:v>
      </x:c>
      <x:c r="D142" s="103">
        <x:f>D104+N104+D125+E125</x:f>
        <x:v>0</x:v>
      </x:c>
      <x:c r="E142" s="103">
        <x:f>'Recaudo Directa Occidente'!F21</x:f>
        <x:v>0</x:v>
      </x:c>
      <x:c r="F142" s="103">
        <x:f>D28+N28</x:f>
        <x:v>0</x:v>
      </x:c>
      <x:c r="G142" s="103">
        <x:f>D66+N66</x:f>
        <x:v>0</x:v>
      </x:c>
      <x:c r="H142" s="103">
        <x:f>D85+N85</x:f>
        <x:v>0</x:v>
      </x:c>
      <x:c r="I142" s="103">
        <x:f>('REPORTE RECAUDO x BANCO'!E75)</x:f>
        <x:v>0</x:v>
      </x:c>
      <x:c r="J142" s="103">
        <x:f t="shared" ref="J142:K146" si="56">G125</x:f>
        <x:v>0</x:v>
      </x:c>
      <x:c r="K142" s="104">
        <x:f t="shared" si="56"/>
        <x:v>0</x:v>
      </x:c>
      <x:c r="L142" s="443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x14ac:dyDescent="0.2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443">
        <x:f>D143-E143-F143-G143-J143-H143-I143</x:f>
        <x:v>0</x:v>
      </x:c>
      <x:c r="M143" s="1" t="b">
        <x:f t="shared" ref="M143:M147" si="57">INT(L143)=0</x:f>
        <x:v>1</x:v>
      </x:c>
      <x:c r="O143" s="119"/>
      <x:c r="P143" s="24"/>
      <x:c r="Q143" s="35"/>
      <x:c r="R143" s="24"/>
    </x:row>
    <x:row r="144" spans="1:18" x14ac:dyDescent="0.2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443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x14ac:dyDescent="0.2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443">
        <x:f>D145-E145-F145-G145-J145-H145-I145</x:f>
        <x:v>0</x:v>
      </x:c>
      <x:c r="M145" s="1" t="b">
        <x:f t="shared" si="57"/>
        <x:v>1</x:v>
      </x:c>
      <x:c r="O145" s="93"/>
      <x:c r="P145" s="24"/>
      <x:c r="Q145" s="35"/>
      <x:c r="R145" s="24"/>
    </x:row>
    <x:row r="146" spans="1:20" ht="12.75" thickBot="1" x14ac:dyDescent="0.25">
      <x:c r="B146" s="122">
        <x:v>5</x:v>
      </x:c>
      <x:c r="C146" s="127" t="s">
        <x:v>14</x:v>
      </x:c>
      <x:c r="D146" s="123">
        <x:f>D108+N108+D129+E129</x:f>
        <x:v>0</x:v>
      </x:c>
      <x:c r="E146" s="18">
        <x:f>'Recaudo Directa Occidente'!F25</x:f>
        <x:v>0</x:v>
      </x:c>
      <x:c r="F146" s="123">
        <x:f>D32+N32</x:f>
        <x:v>0</x:v>
      </x:c>
      <x:c r="G146" s="123">
        <x:f>D70+N70</x:f>
        <x:v>0</x:v>
      </x:c>
      <x:c r="H146" s="123">
        <x:f>D89+N89</x:f>
        <x:v>0</x:v>
      </x:c>
      <x:c r="I146" s="123">
        <x:f>('REPORTE RECAUDO x BANCO'!E79)</x:f>
        <x:v>0</x:v>
      </x:c>
      <x:c r="J146" s="123">
        <x:f t="shared" si="56"/>
        <x:v>0</x:v>
      </x:c>
      <x:c r="K146" s="125">
        <x:f t="shared" si="56"/>
        <x:v>0</x:v>
      </x:c>
      <x:c r="L146" s="443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75" thickBot="1" x14ac:dyDescent="0.25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443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241"/>
      <x:c r="N154" s="24"/>
      <x:c r="O154" s="24"/>
      <x:c r="Q154" s="24"/>
      <x:c r="T154" s="24"/>
    </x:row>
    <x:row r="155" spans="1:20" x14ac:dyDescent="0.2">
      <x:c r="E155" s="241"/>
      <x:c r="N155" s="24"/>
      <x:c r="O155" s="24"/>
      <x:c r="Q155" s="24"/>
      <x:c r="T155" s="24"/>
    </x:row>
    <x:row r="156" spans="1:20" x14ac:dyDescent="0.2">
      <x:c r="E156" s="241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E15" sqref="E15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Directa Occidente'!F21</x:f>
        <x:v>0</x:v>
      </x:c>
      <x:c r="D3" s="228">
        <x:f>'REMUNERACION_OCCIDENTE_ Directa'!G125</x:f>
        <x:v>0</x:v>
      </x:c>
      <x:c r="E3" s="228">
        <x:f>'REMUNERACION_OCCIDENTE_ Directa'!D28+'REMUNERACION_OCCIDENTE_ Directa'!N28</x:f>
        <x:v>0</x:v>
      </x:c>
      <x:c r="F3" s="228">
        <x:f>'REMUNERACION_OCCIDENTE_ Directa'!I142</x:f>
        <x:v>0</x:v>
      </x:c>
      <x:c r="G3" s="228">
        <x:f>'REMUNERACION_OCCIDENTE_ Directa'!H142</x:f>
        <x:v>0</x:v>
      </x:c>
      <x:c r="H3" s="276">
        <x:f>SUM(C3:G3)</x:f>
        <x:v>0</x:v>
      </x:c>
      <x:c r="I3" s="227">
        <x:f>'REMUNERACION_OCCIDENTE_ Directa'!D104</x:f>
        <x:v>0</x:v>
      </x:c>
      <x:c r="J3" s="228">
        <x:f>'REMUNERACION_OCCIDENTE_ Directa'!N104</x:f>
        <x:v>0</x:v>
      </x:c>
      <x:c r="K3" s="228">
        <x:f>'REMUNERACION_OCCIDENTE_ Directa'!D125</x:f>
        <x:v>0</x:v>
      </x:c>
      <x:c r="L3" s="289">
        <x:f>'REMUNERACION_OCCIDENTE_ Directa'!E125</x:f>
        <x:v>0</x:v>
      </x:c>
      <x:c r="M3" s="228">
        <x:f>-'REMUNERACION_OCCIDENTE_ Directa'!D66-'REMUNERACION_OCCIDENTE_ Directa'!N66</x:f>
        <x:v>0</x:v>
      </x:c>
      <x:c r="N3" s="224">
        <x:f>SUM(I3:M3)</x:f>
        <x:v>0</x:v>
      </x:c>
      <x:c r="O3" s="290">
        <x:f t="shared" ref="O3:O8" si="0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Directa Occidente'!F22</x:f>
        <x:v>0</x:v>
      </x:c>
      <x:c r="D4" s="228">
        <x:f>'REMUNERACION_OCCIDENTE_ Directa'!G126</x:f>
        <x:v>0</x:v>
      </x:c>
      <x:c r="E4" s="228">
        <x:f>'REMUNERACION_OCCIDENTE_ Directa'!D29+'REMUNERACION_OCCIDENTE_ Directa'!N29</x:f>
        <x:v>0</x:v>
      </x:c>
      <x:c r="F4" s="228">
        <x:f>'REMUNERACION_OCCIDENTE_ Directa'!I143</x:f>
        <x:v>0</x:v>
      </x:c>
      <x:c r="G4" s="228">
        <x:f>'REMUNERACION_OCCIDENTE_ Directa'!H143</x:f>
        <x:v>0</x:v>
      </x:c>
      <x:c r="H4" s="276">
        <x:f t="shared" ref="H4:H8" si="1">SUM(C4:G4)</x:f>
        <x:v>0</x:v>
      </x:c>
      <x:c r="I4" s="227">
        <x:f>'REMUNERACION_OCCIDENTE_ Directa'!D105</x:f>
        <x:v>0</x:v>
      </x:c>
      <x:c r="J4" s="228">
        <x:f>'REMUNERACION_OCCIDENTE_ Directa'!N105</x:f>
        <x:v>0</x:v>
      </x:c>
      <x:c r="K4" s="228">
        <x:f>'REMUNERACION_OCCIDENTE_ Directa'!D126</x:f>
        <x:v>0</x:v>
      </x:c>
      <x:c r="L4" s="289">
        <x:f>'REMUNERACION_OCCIDENTE_ Directa'!E126</x:f>
        <x:v>0</x:v>
      </x:c>
      <x:c r="M4" s="228">
        <x:f>-'REMUNERACION_OCCIDENTE_ Directa'!D67-'REMUNERACION_OCCIDENTE_ Directa'!N67</x:f>
        <x:v>0</x:v>
      </x:c>
      <x:c r="N4" s="254">
        <x:f>SUM(I4:M4)</x:f>
        <x:v>0</x:v>
      </x:c>
      <x:c r="O4" s="290">
        <x:f t="shared" si="0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Directa Occidente'!F23</x:f>
        <x:v>0</x:v>
      </x:c>
      <x:c r="D5" s="228">
        <x:f>'REMUNERACION_OCCIDENTE_ Directa'!G127</x:f>
        <x:v>0</x:v>
      </x:c>
      <x:c r="E5" s="228">
        <x:f>'REMUNERACION_OCCIDENTE_ Directa'!D30+'REMUNERACION_OCCIDENTE_ Directa'!N30</x:f>
        <x:v>0</x:v>
      </x:c>
      <x:c r="F5" s="228">
        <x:f>'REMUNERACION_OCCIDENTE_ Directa'!I144</x:f>
        <x:v>0</x:v>
      </x:c>
      <x:c r="G5" s="228">
        <x:f>'REMUNERACION_OCCIDENTE_ Directa'!H144</x:f>
        <x:v>0</x:v>
      </x:c>
      <x:c r="H5" s="276">
        <x:f t="shared" si="1"/>
        <x:v>0</x:v>
      </x:c>
      <x:c r="I5" s="227">
        <x:f>'REMUNERACION_OCCIDENTE_ Directa'!D106</x:f>
        <x:v>0</x:v>
      </x:c>
      <x:c r="J5" s="228">
        <x:f>'REMUNERACION_OCCIDENTE_ Directa'!N106</x:f>
        <x:v>0</x:v>
      </x:c>
      <x:c r="K5" s="228">
        <x:f>'REMUNERACION_OCCIDENTE_ Directa'!D127</x:f>
        <x:v>0</x:v>
      </x:c>
      <x:c r="L5" s="289">
        <x:f>'REMUNERACION_OCCIDENTE_ Directa'!E127</x:f>
        <x:v>0</x:v>
      </x:c>
      <x:c r="M5" s="228">
        <x:f>-'REMUNERACION_OCCIDENTE_ Directa'!D68-'REMUNERACION_OCCIDENTE_ Directa'!N68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Directa Occidente'!F24</x:f>
        <x:v>0</x:v>
      </x:c>
      <x:c r="D6" s="228">
        <x:f>'REMUNERACION_OCCIDENTE_ Directa'!G128</x:f>
        <x:v>0</x:v>
      </x:c>
      <x:c r="E6" s="228">
        <x:f>'REMUNERACION_OCCIDENTE_ Directa'!D31+'REMUNERACION_OCCIDENTE_ Directa'!N31</x:f>
        <x:v>0</x:v>
      </x:c>
      <x:c r="F6" s="228">
        <x:f>'REMUNERACION_OCCIDENTE_ Directa'!I145</x:f>
        <x:v>0</x:v>
      </x:c>
      <x:c r="G6" s="228">
        <x:f>'REMUNERACION_OCCIDENTE_ Directa'!H145</x:f>
        <x:v>0</x:v>
      </x:c>
      <x:c r="H6" s="276">
        <x:f t="shared" si="1"/>
        <x:v>0</x:v>
      </x:c>
      <x:c r="I6" s="227">
        <x:f>'REMUNERACION_OCCIDENTE_ Directa'!D107</x:f>
        <x:v>0</x:v>
      </x:c>
      <x:c r="J6" s="228">
        <x:f>'REMUNERACION_OCCIDENTE_ Directa'!N107</x:f>
        <x:v>0</x:v>
      </x:c>
      <x:c r="K6" s="228">
        <x:f>'REMUNERACION_OCCIDENTE_ Directa'!D128</x:f>
        <x:v>0</x:v>
      </x:c>
      <x:c r="L6" s="289">
        <x:f>'REMUNERACION_OCCIDENTE_ Directa'!E128</x:f>
        <x:v>0</x:v>
      </x:c>
      <x:c r="M6" s="228">
        <x:f>-'REMUNERACION_OCCIDENTE_ Directa'!D69-'REMUNERACION_OCCIDENTE_ Directa'!N69</x:f>
        <x:v>0</x:v>
      </x:c>
      <x:c r="N6" s="254">
        <x:f t="shared" ref="N6:N7" si="3">SUM(I6:M6)</x:f>
        <x:v>0</x:v>
      </x:c>
      <x:c r="O6" s="290">
        <x:f t="shared" si="0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Directa Occidente'!F25</x:f>
        <x:v>0</x:v>
      </x:c>
      <x:c r="D7" s="228">
        <x:f>'REMUNERACION_OCCIDENTE_ Directa'!G129</x:f>
        <x:v>0</x:v>
      </x:c>
      <x:c r="E7" s="228">
        <x:f>'REMUNERACION_OCCIDENTE_ Directa'!D32+'REMUNERACION_OCCIDENTE_ Directa'!N32</x:f>
        <x:v>0</x:v>
      </x:c>
      <x:c r="F7" s="228">
        <x:f>'REMUNERACION_OCCIDENTE_ Directa'!I146</x:f>
        <x:v>0</x:v>
      </x:c>
      <x:c r="G7" s="228">
        <x:f>'REMUNERACION_OCCIDENTE_ Directa'!H146</x:f>
        <x:v>0</x:v>
      </x:c>
      <x:c r="H7" s="276">
        <x:f t="shared" si="1"/>
        <x:v>0</x:v>
      </x:c>
      <x:c r="I7" s="227">
        <x:f>'REMUNERACION_OCCIDENTE_ Directa'!D108</x:f>
        <x:v>0</x:v>
      </x:c>
      <x:c r="J7" s="228">
        <x:f>'REMUNERACION_OCCIDENTE_ Directa'!N108</x:f>
        <x:v>0</x:v>
      </x:c>
      <x:c r="K7" s="228">
        <x:f>'REMUNERACION_OCCIDENTE_ Directa'!D129</x:f>
        <x:v>0</x:v>
      </x:c>
      <x:c r="L7" s="289">
        <x:f>'REMUNERACION_OCCIDENTE_ Directa'!E129</x:f>
        <x:v>0</x:v>
      </x:c>
      <x:c r="M7" s="228">
        <x:f>-'REMUNERACION_OCCIDENTE_ Directa'!D70-'REMUNERACION_OCCIDENTE_ Directa'!N70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Directa Occidente'!F26</x:f>
        <x:v>0</x:v>
      </x:c>
      <x:c r="D8" s="292">
        <x:v>0</x:v>
      </x:c>
      <x:c r="E8" s="292">
        <x:v>0</x:v>
      </x:c>
      <x:c r="F8" s="228"/>
      <x:c r="G8" s="292">
        <x:v>0</x:v>
      </x:c>
      <x:c r="H8" s="276">
        <x:f t="shared" si="1"/>
        <x:v>0</x:v>
      </x:c>
      <x:c r="I8" s="293">
        <x:v>0</x:v>
      </x:c>
      <x:c r="J8" s="279">
        <x:v>0</x:v>
      </x:c>
      <x:c r="K8" s="279">
        <x:v>0</x:v>
      </x:c>
      <x:c r="L8" s="289">
        <x:f>'REMUNERACION_OCCIDENTE_ Directa'!E130</x:f>
        <x:v>0</x:v>
      </x:c>
      <x:c r="M8" s="292">
        <x:v>0</x:v>
      </x:c>
      <x:c r="N8" s="294">
        <x:f>SUM(I8:L8)-M8</x:f>
        <x:v>0</x:v>
      </x:c>
      <x:c r="O8" s="290">
        <x:f t="shared" si="0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>SUM(E3:E8)</x:f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132" t="s">
        <x:v>1</x:v>
      </x:c>
    </x:row>
    <x:row r="14" spans="2:16" x14ac:dyDescent="0.2">
      <x:c r="C14" s="200">
        <x:f>'Valida - Control Recaudo'!D10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>
      <x:selection activeCell="H17" sqref="H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'REMUNERACION_OCCIDENTE_ Directa'!D101</x:f>
        <x:v>46238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223">
        <x:f>'REMUNERACION_OCCIDENTE_ Directa'!D102</x:f>
        <x:v>0.58333333333333337</x:v>
      </x:c>
      <x:c r="F7" s="2" t="s">
        <x:v>27</x:v>
      </x:c>
      <x:c r="G7" s="9">
        <x:f>'REMUNERACION_OCCIDENTE_ Directa'!G102</x:f>
        <x:v>46219</x:v>
      </x:c>
      <x:c r="J7" s="2" t="s">
        <x:v>28</x:v>
      </x:c>
      <x:c r="K7" s="9">
        <x:f>'REMUNERACION_OCCIDENTE_ Directa'!K102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x14ac:dyDescent="0.2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x14ac:dyDescent="0.2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x14ac:dyDescent="0.2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x14ac:dyDescent="0.2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75" thickBot="1" x14ac:dyDescent="0.25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05">
        <x:f>AF13-O13</x:f>
        <x:v>0</x:v>
      </x:c>
      <x:c r="AH13" s="1" t="b">
        <x:f t="shared" si="2"/>
        <x:v>1</x:v>
      </x:c>
      <x:c r="AI13" s="4"/>
    </x:row>
    <x:row r="14" spans="2:35" ht="13.5" thickBot="1" x14ac:dyDescent="0.25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'REMUNERACION_OCCIDENTE_ Directa'!G122</x:f>
        <x:v>46219</x:v>
      </x:c>
      <x:c r="J27" s="2" t="s">
        <x:v>28</x:v>
      </x:c>
      <x:c r="K27" s="9">
        <x:f>'REMUNERACION_OCCIDENTE_ Directa'!K122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x14ac:dyDescent="0.2">
      <x:c r="B30" s="101">
        <x:v>1</x:v>
      </x:c>
      <x:c r="C30" s="102" t="s">
        <x:v>10</x:v>
      </x:c>
      <x:c r="D30" s="103">
        <x:f>'REMUNERACION_OCCIDENTE_ Directa'!D125</x:f>
        <x:v>0</x:v>
      </x:c>
      <x:c r="E30" s="104">
        <x:f>'REMUNERACION_OCCIDENTE_ Directa'!E125</x:f>
        <x:v>0</x:v>
      </x:c>
      <x:c r="G30" s="272">
        <x:f>'REMUNERACION_OCCIDENTE_ Directa'!G125</x:f>
        <x:v>0</x:v>
      </x:c>
      <x:c r="H30" s="246">
        <x:f>'REMUNERACION_OCCIDENTE_ Directa'!H125</x:f>
        <x:v>0</x:v>
      </x:c>
      <x:c r="I30" s="245">
        <x:f>'REMUNERACION_OCCIDENTE_ Directa'!I125</x:f>
        <x:v>0</x:v>
      </x:c>
      <x:c r="J30" s="245">
        <x:f>'REMUNERACION_OCCIDENTE_ Directa'!J125</x:f>
        <x:v>0</x:v>
      </x:c>
      <x:c r="K30" s="245">
        <x:f>'REMUNERACION_OCCIDENTE_ Directa'!K125</x:f>
        <x:v>0</x:v>
      </x:c>
      <x:c r="L30" s="245">
        <x:f>'REMUNERACION_OCCIDENTE_ Directa'!L125</x:f>
        <x:v>0</x:v>
      </x:c>
      <x:c r="O30" s="44"/>
      <x:c r="Q30" s="4"/>
    </x:row>
    <x:row r="31" spans="1:35" x14ac:dyDescent="0.2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275">
        <x:f>'REMUNERACION_OCCIDENTE_ Directa'!G126</x:f>
        <x:v>0</x:v>
      </x:c>
      <x:c r="H31" s="276">
        <x:f>'REMUNERACION_OCCIDENTE_ Directa'!H126</x:f>
        <x:v>0</x:v>
      </x:c>
      <x:c r="I31" s="224">
        <x:f>'REMUNERACION_OCCIDENTE_ Directa'!I126</x:f>
        <x:v>0</x:v>
      </x:c>
      <x:c r="J31" s="224">
        <x:f>'REMUNERACION_OCCIDENTE_ Directa'!J126</x:f>
        <x:v>0</x:v>
      </x:c>
      <x:c r="K31" s="224">
        <x:f>'REMUNERACION_OCCIDENTE_ Directa'!K126</x:f>
        <x:v>0</x:v>
      </x:c>
      <x:c r="L31" s="224">
        <x:f>'REMUNERACION_OCCIDENTE_ Directa'!L126</x:f>
        <x:v>0</x:v>
      </x:c>
      <x:c r="O31" s="44"/>
      <x:c r="Q31" s="4"/>
    </x:row>
    <x:row r="32" spans="1:35" x14ac:dyDescent="0.2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275">
        <x:f>'REMUNERACION_OCCIDENTE_ Directa'!G127</x:f>
        <x:v>0</x:v>
      </x:c>
      <x:c r="H32" s="276">
        <x:f>'REMUNERACION_OCCIDENTE_ Directa'!H127</x:f>
        <x:v>0</x:v>
      </x:c>
      <x:c r="I32" s="224">
        <x:f>'REMUNERACION_OCCIDENTE_ Directa'!I127</x:f>
        <x:v>0</x:v>
      </x:c>
      <x:c r="J32" s="224">
        <x:f>'REMUNERACION_OCCIDENTE_ Directa'!J127</x:f>
        <x:v>0</x:v>
      </x:c>
      <x:c r="K32" s="224">
        <x:f>'REMUNERACION_OCCIDENTE_ Directa'!K127</x:f>
        <x:v>0</x:v>
      </x:c>
      <x:c r="L32" s="224">
        <x:f>'REMUNERACION_OCCIDENTE_ Directa'!L127</x:f>
        <x:v>0</x:v>
      </x:c>
      <x:c r="O32" s="44"/>
      <x:c r="Q32" s="4"/>
    </x:row>
    <x:row r="33" spans="1:20" x14ac:dyDescent="0.2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275">
        <x:f>'REMUNERACION_OCCIDENTE_ Directa'!G128</x:f>
        <x:v>0</x:v>
      </x:c>
      <x:c r="H33" s="276">
        <x:f>'REMUNERACION_OCCIDENTE_ Directa'!H128</x:f>
        <x:v>0</x:v>
      </x:c>
      <x:c r="I33" s="224">
        <x:f>'REMUNERACION_OCCIDENTE_ Directa'!I128</x:f>
        <x:v>0</x:v>
      </x:c>
      <x:c r="J33" s="224">
        <x:f>'REMUNERACION_OCCIDENTE_ Directa'!J128</x:f>
        <x:v>0</x:v>
      </x:c>
      <x:c r="K33" s="224">
        <x:f>'REMUNERACION_OCCIDENTE_ Directa'!K128</x:f>
        <x:v>0</x:v>
      </x:c>
      <x:c r="L33" s="224">
        <x:f>'REMUNERACION_OCCIDENTE_ Directa'!L128</x:f>
        <x:v>0</x:v>
      </x:c>
      <x:c r="O33" s="44"/>
      <x:c r="Q33" s="4"/>
    </x:row>
    <x:row r="34" spans="1:20" x14ac:dyDescent="0.2">
      <x:c r="B34" s="122">
        <x:v>5</x:v>
      </x:c>
      <x:c r="C34" s="127" t="s">
        <x:v>14</x:v>
      </x:c>
      <x:c r="D34" s="124">
        <x:f>'REMUNERACION_OCCIDENTE_ Directa'!D129</x:f>
        <x:v>0</x:v>
      </x:c>
      <x:c r="E34" s="128">
        <x:f>'REMUNERACION_OCCIDENTE_ Directa'!E129</x:f>
        <x:v>0</x:v>
      </x:c>
      <x:c r="G34" s="275">
        <x:f>'REMUNERACION_OCCIDENTE_ Directa'!G129</x:f>
        <x:v>0</x:v>
      </x:c>
      <x:c r="H34" s="276">
        <x:f>'REMUNERACION_OCCIDENTE_ Directa'!H129</x:f>
        <x:v>0</x:v>
      </x:c>
      <x:c r="I34" s="224">
        <x:f>'REMUNERACION_OCCIDENTE_ Directa'!I129</x:f>
        <x:v>0</x:v>
      </x:c>
      <x:c r="J34" s="224">
        <x:f>'REMUNERACION_OCCIDENTE_ Directa'!J129</x:f>
        <x:v>0</x:v>
      </x:c>
      <x:c r="K34" s="224">
        <x:f>'REMUNERACION_OCCIDENTE_ Directa'!K129</x:f>
        <x:v>0</x:v>
      </x:c>
      <x:c r="L34" s="224">
        <x:f>'REMUNERACION_OCCIDENTE_ Directa'!L129</x:f>
        <x:v>0</x:v>
      </x:c>
      <x:c r="O34" s="44"/>
      <x:c r="Q34" s="4"/>
    </x:row>
    <x:row r="35" spans="1:20" ht="12.75" thickBot="1" x14ac:dyDescent="0.25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282"/>
      <x:c r="H35" s="283"/>
      <x:c r="I35" s="225"/>
      <x:c r="J35" s="225"/>
      <x:c r="K35" s="225"/>
      <x:c r="L35" s="225"/>
      <x:c r="O35" s="44"/>
      <x:c r="Q35" s="4"/>
    </x:row>
    <x:row r="36" spans="1:20" ht="12.75" thickBot="1" x14ac:dyDescent="0.25">
      <x:c r="B36" s="92"/>
      <x:c r="C36" s="99" t="s">
        <x:v>119</x:v>
      </x:c>
      <x:c r="D36" s="100">
        <x:f t="shared" ref="D36" si="5">SUM(D30:D34)</x:f>
        <x:v>0</x:v>
      </x:c>
      <x:c r="E36" s="100">
        <x:f>'REMUNERACION_OCCIDENTE_ Directa'!E131</x:f>
        <x:v>0</x:v>
      </x:c>
      <x:c r="F36" s="45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45"/>
      <x:c r="N36" s="45"/>
      <x:c r="O36" s="46"/>
      <x:c r="P36" s="2"/>
      <x:c r="Q36" s="4"/>
    </x:row>
    <x:row r="37" spans="1:20" x14ac:dyDescent="0.2">
      <x:c r="B37" s="2"/>
      <x:c r="C37" s="2"/>
      <x:c r="D37" s="24"/>
      <x:c r="Q37" s="4"/>
    </x:row>
    <x:row r="38" spans="1:20" x14ac:dyDescent="0.2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08" t="b">
        <x:f>D14='REMUNERACION_OCCIDENTE_ Directa'!D109</x:f>
        <x:v>1</x:v>
      </x:c>
      <x:c r="E44" s="208" t="b">
        <x:f>E14='REMUNERACION_OCCIDENTE_ Directa'!E109</x:f>
        <x:v>1</x:v>
      </x:c>
      <x:c r="F44" s="208" t="b">
        <x:f>F14='REMUNERACION_OCCIDENTE_ Directa'!F109</x:f>
        <x:v>1</x:v>
      </x:c>
      <x:c r="G44" s="208" t="b">
        <x:f>G14='REMUNERACION_OCCIDENTE_ Directa'!G109</x:f>
        <x:v>1</x:v>
      </x:c>
      <x:c r="H44" s="208" t="b">
        <x:f>H14='REMUNERACION_OCCIDENTE_ Directa'!H109</x:f>
        <x:v>1</x:v>
      </x:c>
      <x:c r="I44" s="208" t="b">
        <x:f>I14='REMUNERACION_OCCIDENTE_ Directa'!I109</x:f>
        <x:v>1</x:v>
      </x:c>
      <x:c r="J44" s="208" t="b">
        <x:f>J14='REMUNERACION_OCCIDENTE_ Directa'!J109</x:f>
        <x:v>1</x:v>
      </x:c>
      <x:c r="K44" s="208" t="b">
        <x:f>K14='REMUNERACION_OCCIDENTE_ Directa'!K109</x:f>
        <x:v>1</x:v>
      </x:c>
      <x:c r="L44" s="208" t="b">
        <x:f>L14='REMUNERACION_OCCIDENTE_ Directa'!L109</x:f>
        <x:v>1</x:v>
      </x:c>
      <x:c r="M44" s="208" t="b">
        <x:f>M14='REMUNERACION_OCCIDENTE_ Directa'!M109</x:f>
        <x:v>1</x:v>
      </x:c>
      <x:c r="N44" s="208" t="b">
        <x:f>N14='REMUNERACION_OCCIDENTE_ Directa'!N109</x:f>
        <x:v>1</x:v>
      </x:c>
      <x:c r="O44" s="208" t="b">
        <x:f>O14='REMUNERACION_OCCIDENTE_ Directa'!O109</x:f>
        <x:v>1</x:v>
      </x:c>
      <x:c r="Q44" s="24"/>
      <x:c r="T44" s="24"/>
    </x:row>
    <x:row r="45" spans="1:20" x14ac:dyDescent="0.2">
      <x:c r="D45" s="208" t="b">
        <x:f>D36='REMUNERACION_OCCIDENTE_ Directa'!D131</x:f>
        <x:v>1</x:v>
      </x:c>
      <x:c r="E45" s="208" t="b">
        <x:f>E36='REMUNERACION_OCCIDENTE_ Directa'!E131</x:f>
        <x:v>1</x:v>
      </x:c>
      <x:c r="F45" s="208" t="b">
        <x:f>F36='REMUNERACION_OCCIDENTE_ Directa'!F131</x:f>
        <x:v>1</x:v>
      </x:c>
      <x:c r="G45" s="208" t="b">
        <x:f>G36='REMUNERACION_OCCIDENTE_ Directa'!G131</x:f>
        <x:v>1</x:v>
      </x:c>
      <x:c r="H45" s="208" t="b">
        <x:f>H36='REMUNERACION_OCCIDENTE_ Directa'!H131</x:f>
        <x:v>1</x:v>
      </x:c>
      <x:c r="I45" s="208" t="b">
        <x:f>I36='REMUNERACION_OCCIDENTE_ Directa'!I131</x:f>
        <x:v>1</x:v>
      </x:c>
      <x:c r="J45" s="208" t="b">
        <x:f>J36='REMUNERACION_OCCIDENTE_ Directa'!J131</x:f>
        <x:v>1</x:v>
      </x:c>
      <x:c r="K45" s="208" t="b">
        <x:f>K36='REMUNERACION_OCCIDENTE_ Directa'!K131</x:f>
        <x:v>1</x:v>
      </x:c>
      <x:c r="L45" s="208" t="b">
        <x:f>L36='REMUNERACION_OCCIDENTE_ Directa'!L131</x:f>
        <x:v>1</x:v>
      </x:c>
      <x:c r="M45" s="208" t="b">
        <x:f>M36='REMUNERACION_OCCIDENTE_ Directa'!M131</x:f>
        <x:v>1</x:v>
      </x:c>
      <x:c r="N45" s="208" t="b">
        <x:f>N36='REMUNERACION_OCCIDENTE_ Directa'!N131</x:f>
        <x:v>1</x:v>
      </x:c>
      <x:c r="O45" s="208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Z1" zoomScaleNormal="100" workbookViewId="0">
      <x:selection activeCell="AM17" sqref="AM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9" width="16" style="1" customWidth="1"/>
    <x:col min="10" max="10" width="15.5703125" style="1" customWidth="1"/>
    <x:col min="11" max="11" width="17.5703125" style="1" customWidth="1"/>
    <x:col min="12" max="12" width="20" style="1" bestFit="1" customWidth="1"/>
    <x:col min="13" max="13" width="21" style="1" bestFit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RECAUDO'!D6</x:f>
        <x:v>46238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75" thickBot="1" x14ac:dyDescent="0.25">
      <x:c r="B7" s="8"/>
      <x:c r="C7" s="511" t="s">
        <x:v>0</x:v>
      </x:c>
      <x:c r="D7" s="198">
        <x:f>'CONSOLIDADO_TOTAL RECAUDO'!D7</x:f>
        <x:v>0.58333333333333337</x:v>
      </x:c>
      <x:c r="F7" s="2" t="s">
        <x:v>27</x:v>
      </x:c>
      <x:c r="G7" s="9">
        <x:f>'CONSOLIDADO_TOTAL RECAUDO'!G7</x:f>
        <x:v>46219</x:v>
      </x:c>
      <x:c r="J7" s="2" t="s">
        <x:v>28</x:v>
      </x:c>
      <x:c r="K7" s="9">
        <x:f>'CONSOLIDADO_TOTAL RECAUDO'!K7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107</x:v>
      </x:c>
      <x:c r="AE8" s="114" t="s">
        <x:v>106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'Reporte Componentes R1'!F75</x:f>
        <x:v>0</x:v>
      </x:c>
      <x:c r="E9" s="228">
        <x:f>'Reporte Componentes R1'!G75</x:f>
        <x:v>0</x:v>
      </x:c>
      <x:c r="F9" s="228">
        <x:f>'Reporte Componentes R1'!H75</x:f>
        <x:v>0</x:v>
      </x:c>
      <x:c r="G9" s="228">
        <x:f>'Reporte Componentes R1'!I75</x:f>
        <x:v>0</x:v>
      </x:c>
      <x:c r="H9" s="228">
        <x:f>'Reporte Componentes R1'!J75</x:f>
        <x:v>0</x:v>
      </x:c>
      <x:c r="I9" s="228">
        <x:f>'Reporte Componentes R1'!K75</x:f>
        <x:v>0</x:v>
      </x:c>
      <x:c r="J9" s="224">
        <x:v>0</x:v>
      </x:c>
      <x:c r="K9" s="229">
        <x:f>D9-E9-F9-G9-H9-I9-J9</x:f>
        <x:v>0</x:v>
      </x:c>
      <x:c r="L9" s="230">
        <x:v>0</x:v>
      </x:c>
      <x:c r="M9" s="229">
        <x:f>K9-L9</x:f>
        <x:v>0</x:v>
      </x:c>
      <x:c r="N9" s="230">
        <x:f>'Reporte Componentes R1'!L75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43">
        <x:f>'Reporte Componentes R1'!M75</x:f>
        <x:v>0</x:v>
      </x:c>
      <x:c r="V9" s="244">
        <x:f>'Reporte Componentes R1'!N75</x:f>
        <x:v>0</x:v>
      </x:c>
      <x:c r="W9" s="244">
        <x:f>'Reporte Componentes R1'!O75</x:f>
        <x:v>0</x:v>
      </x:c>
      <x:c r="X9" s="244">
        <x:f>'Reporte Componentes R1'!P75</x:f>
        <x:v>0</x:v>
      </x:c>
      <x:c r="Y9" s="245">
        <x:f>'Reporte Componentes R1'!Q75</x:f>
        <x:v>0</x:v>
      </x:c>
      <x:c r="Z9" s="246">
        <x:f>L9*-1</x:f>
        <x:v>0</x:v>
      </x:c>
      <x:c r="AA9" s="247">
        <x:f>'Reporte Componentes R1'!R75+'Reporte Componentes R1'!S75</x:f>
        <x:v>0</x:v>
      </x:c>
      <x:c r="AB9" s="230">
        <x:f>N9</x:f>
        <x:v>0</x:v>
      </x:c>
      <x:c r="AC9" s="247">
        <x:f>'Reporte Componentes R1'!Z75</x:f>
        <x:v>0</x:v>
      </x:c>
      <x:c r="AD9" s="227">
        <x:f>-J9+AE9</x:f>
        <x:v>0</x:v>
      </x:c>
      <x:c r="AE9" s="227">
        <x:f>'Reporte Componentes R1'!F76</x:f>
        <x:v>0</x:v>
      </x:c>
      <x:c r="AF9" s="249">
        <x:f>SUM(U9:AD9)</x:f>
        <x:v>0</x:v>
      </x:c>
      <x:c r="AG9" s="247">
        <x:f>(AF9-O9)</x:f>
        <x:v>0</x:v>
      </x:c>
      <x:c r="AH9" s="24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'Reporte Componentes R1'!F219</x:f>
        <x:v>0</x:v>
      </x:c>
      <x:c r="E10" s="228">
        <x:f>'Reporte Componentes R1'!G219</x:f>
        <x:v>0</x:v>
      </x:c>
      <x:c r="F10" s="228">
        <x:f>'Reporte Componentes R1'!H219</x:f>
        <x:v>0</x:v>
      </x:c>
      <x:c r="G10" s="228">
        <x:f>'Reporte Componentes R1'!I219</x:f>
        <x:v>0</x:v>
      </x:c>
      <x:c r="H10" s="228">
        <x:f>'Reporte Componentes R1'!J219</x:f>
        <x:v>0</x:v>
      </x:c>
      <x:c r="I10" s="228">
        <x:f>'Reporte Componentes R1'!K219</x:f>
        <x:v>0</x:v>
      </x:c>
      <x:c r="J10" s="224">
        <x:v>0</x:v>
      </x:c>
      <x:c r="K10" s="231">
        <x:f t="shared" ref="K10:K13" si="0">D10-E10-F10-G10-H10-I10-J10</x:f>
        <x:v>0</x:v>
      </x:c>
      <x:c r="L10" s="230">
        <x:v>0</x:v>
      </x:c>
      <x:c r="M10" s="231">
        <x:f>K10-L10</x:f>
        <x:v>0</x:v>
      </x:c>
      <x:c r="N10" s="230">
        <x:f>'Reporte Componentes R1'!L219</x:f>
        <x:v>0</x:v>
      </x:c>
      <x:c r="O10" s="231">
        <x:f t="shared" ref="O10:O12" si="1">M10+N10</x:f>
        <x:v>0</x:v>
      </x:c>
      <x:c r="Q10" s="242"/>
      <x:c r="S10" s="250">
        <x:v>2</x:v>
      </x:c>
      <x:c r="T10" s="251" t="s">
        <x:v>11</x:v>
      </x:c>
      <x:c r="U10" s="252">
        <x:f>'Reporte Componentes R1'!M219</x:f>
        <x:v>0</x:v>
      </x:c>
      <x:c r="V10" s="253">
        <x:f>'Reporte Componentes R1'!N219</x:f>
        <x:v>0</x:v>
      </x:c>
      <x:c r="W10" s="253">
        <x:f>'Reporte Componentes R1'!O219</x:f>
        <x:v>0</x:v>
      </x:c>
      <x:c r="X10" s="253">
        <x:f>'Reporte Componentes R1'!P219</x:f>
        <x:v>0</x:v>
      </x:c>
      <x:c r="Y10" s="254">
        <x:f>'Reporte Componentes R1'!Q219</x:f>
        <x:v>0</x:v>
      </x:c>
      <x:c r="Z10" s="255">
        <x:f>L10*-1</x:f>
        <x:v>0</x:v>
      </x:c>
      <x:c r="AA10" s="256">
        <x:f>'Reporte Componentes R1'!R219+'Reporte Componentes R1'!S219+'Reporte Componentes R1'!T219</x:f>
        <x:v>0</x:v>
      </x:c>
      <x:c r="AB10" s="230">
        <x:f>N10</x:f>
        <x:v>0</x:v>
      </x:c>
      <x:c r="AC10" s="256">
        <x:f>'Reporte Componentes R1'!Z219</x:f>
        <x:v>0</x:v>
      </x:c>
      <x:c r="AD10" s="227">
        <x:f t="shared" ref="AD10:AD13" si="2">-J10+AE10</x:f>
        <x:v>0</x:v>
      </x:c>
      <x:c r="AE10" s="227">
        <x:f>'Reporte Componentes R1'!F220</x:f>
        <x:v>0</x:v>
      </x:c>
      <x:c r="AF10" s="258">
        <x:f>SUM(U10:AD10)</x:f>
        <x:v>0</x:v>
      </x:c>
      <x:c r="AG10" s="259">
        <x:f>(AF10-O10)</x:f>
        <x:v>0</x:v>
      </x:c>
      <x:c r="AH10" s="241" t="b">
        <x:f t="shared" ref="AH10:AH13" si="3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'Reporte Componentes R1'!F350</x:f>
        <x:v>0</x:v>
      </x:c>
      <x:c r="E11" s="228">
        <x:f>'Reporte Componentes R1'!G350</x:f>
        <x:v>0</x:v>
      </x:c>
      <x:c r="F11" s="228">
        <x:f>'Reporte Componentes R1'!H350</x:f>
        <x:v>0</x:v>
      </x:c>
      <x:c r="G11" s="228">
        <x:f>'Reporte Componentes R1'!I350</x:f>
        <x:v>0</x:v>
      </x:c>
      <x:c r="H11" s="228">
        <x:f>'Reporte Componentes R1'!J350</x:f>
        <x:v>0</x:v>
      </x:c>
      <x:c r="I11" s="228">
        <x:f>'Reporte Componentes R1'!K350</x:f>
        <x:v>0</x:v>
      </x:c>
      <x:c r="J11" s="224">
        <x:v>0</x:v>
      </x:c>
      <x:c r="K11" s="231">
        <x:f t="shared" si="0"/>
        <x:v>0</x:v>
      </x:c>
      <x:c r="L11" s="230">
        <x:v>0</x:v>
      </x:c>
      <x:c r="M11" s="231">
        <x:f>K11-L11</x:f>
        <x:v>0</x:v>
      </x:c>
      <x:c r="N11" s="230">
        <x:f>'Reporte Componentes R1'!L350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52">
        <x:f>'Reporte Componentes R1'!M350</x:f>
        <x:v>0</x:v>
      </x:c>
      <x:c r="V11" s="253">
        <x:f>'Reporte Componentes R1'!N350</x:f>
        <x:v>0</x:v>
      </x:c>
      <x:c r="W11" s="253">
        <x:f>'Reporte Componentes R1'!O350</x:f>
        <x:v>0</x:v>
      </x:c>
      <x:c r="X11" s="253">
        <x:f>'Reporte Componentes R1'!P350</x:f>
        <x:v>0</x:v>
      </x:c>
      <x:c r="Y11" s="254">
        <x:f>'Reporte Componentes R1'!Q350</x:f>
        <x:v>0</x:v>
      </x:c>
      <x:c r="Z11" s="255">
        <x:f>L11*-1</x:f>
        <x:v>0</x:v>
      </x:c>
      <x:c r="AA11" s="256">
        <x:f>'Reporte Componentes R1'!R350+'Reporte Componentes R1'!S350+'Reporte Componentes R1'!T350</x:f>
        <x:v>0</x:v>
      </x:c>
      <x:c r="AB11" s="230">
        <x:f>N11</x:f>
        <x:v>0</x:v>
      </x:c>
      <x:c r="AC11" s="256">
        <x:f>'Reporte Componentes R1'!X350</x:f>
        <x:v>0</x:v>
      </x:c>
      <x:c r="AD11" s="227">
        <x:f t="shared" si="2"/>
        <x:v>0</x:v>
      </x:c>
      <x:c r="AE11" s="227">
        <x:f>'Reporte Componentes R1'!F351</x:f>
        <x:v>0</x:v>
      </x:c>
      <x:c r="AF11" s="258">
        <x:f t="shared" ref="AF11:AF13" si="4">SUM(U11:AD11)</x:f>
        <x:v>0</x:v>
      </x:c>
      <x:c r="AG11" s="259">
        <x:f>(AF11-O11)</x:f>
        <x:v>0</x:v>
      </x:c>
      <x:c r="AH11" s="241" t="b">
        <x:f t="shared" si="3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'Reporte Componentes R1'!F481</x:f>
        <x:v>0</x:v>
      </x:c>
      <x:c r="E12" s="228">
        <x:f>'Reporte Componentes R1'!G481</x:f>
        <x:v>0</x:v>
      </x:c>
      <x:c r="F12" s="228">
        <x:f>'Reporte Componentes R1'!H481</x:f>
        <x:v>0</x:v>
      </x:c>
      <x:c r="G12" s="228">
        <x:f>'Reporte Componentes R1'!I481</x:f>
        <x:v>0</x:v>
      </x:c>
      <x:c r="H12" s="228">
        <x:f>'Reporte Componentes R1'!J481</x:f>
        <x:v>0</x:v>
      </x:c>
      <x:c r="I12" s="228">
        <x:f>'Reporte Componentes R1'!K481</x:f>
        <x:v>0</x:v>
      </x:c>
      <x:c r="J12" s="224">
        <x:v>0</x:v>
      </x:c>
      <x:c r="K12" s="231">
        <x:f t="shared" si="0"/>
        <x:v>0</x:v>
      </x:c>
      <x:c r="L12" s="230">
        <x:v>0</x:v>
      </x:c>
      <x:c r="M12" s="231">
        <x:f>K12-L12</x:f>
        <x:v>0</x:v>
      </x:c>
      <x:c r="N12" s="230">
        <x:f>'Reporte Componentes R1'!L481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52">
        <x:f>'Reporte Componentes R1'!M481</x:f>
        <x:v>0</x:v>
      </x:c>
      <x:c r="V12" s="253">
        <x:f>'Reporte Componentes R1'!N481</x:f>
        <x:v>0</x:v>
      </x:c>
      <x:c r="W12" s="253">
        <x:f>'Reporte Componentes R1'!O481</x:f>
        <x:v>0</x:v>
      </x:c>
      <x:c r="X12" s="253">
        <x:f>'Reporte Componentes R1'!P481</x:f>
        <x:v>0</x:v>
      </x:c>
      <x:c r="Y12" s="254">
        <x:f>'Reporte Componentes R1'!Q481</x:f>
        <x:v>0</x:v>
      </x:c>
      <x:c r="Z12" s="255">
        <x:f>L12*-1</x:f>
        <x:v>0</x:v>
      </x:c>
      <x:c r="AA12" s="256">
        <x:f>'Reporte Componentes R1'!R481+'Reporte Componentes R1'!S481</x:f>
        <x:v>0</x:v>
      </x:c>
      <x:c r="AB12" s="230">
        <x:f>N12</x:f>
        <x:v>0</x:v>
      </x:c>
      <x:c r="AC12" s="256">
        <x:f>'Reporte Componentes R1'!X481</x:f>
        <x:v>0</x:v>
      </x:c>
      <x:c r="AD12" s="227">
        <x:f t="shared" si="2"/>
        <x:v>0</x:v>
      </x:c>
      <x:c r="AE12" s="227">
        <x:f>'Reporte Componentes R1'!F482</x:f>
        <x:v>0</x:v>
      </x:c>
      <x:c r="AF12" s="258">
        <x:f t="shared" si="4"/>
        <x:v>0</x:v>
      </x:c>
      <x:c r="AG12" s="259">
        <x:f>(AF12-O12)</x:f>
        <x:v>0</x:v>
      </x:c>
      <x:c r="AH12" s="241" t="b">
        <x:f t="shared" si="3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32">
        <x:f>'Reporte Componentes R1'!F579</x:f>
        <x:v>0</x:v>
      </x:c>
      <x:c r="E13" s="233">
        <x:f>'Reporte Componentes R1'!G579</x:f>
        <x:v>0</x:v>
      </x:c>
      <x:c r="F13" s="233">
        <x:f>'Reporte Componentes R1'!H579</x:f>
        <x:v>0</x:v>
      </x:c>
      <x:c r="G13" s="233">
        <x:f>'Reporte Componentes R1'!I579</x:f>
        <x:v>0</x:v>
      </x:c>
      <x:c r="H13" s="233">
        <x:f>'Reporte Componentes R1'!J579</x:f>
        <x:v>0</x:v>
      </x:c>
      <x:c r="I13" s="233">
        <x:f>'Reporte Componentes R1'!K579</x:f>
        <x:v>0</x:v>
      </x:c>
      <x:c r="J13" s="225">
        <x:v>0</x:v>
      </x:c>
      <x:c r="K13" s="231">
        <x:f t="shared" si="0"/>
        <x:v>0</x:v>
      </x:c>
      <x:c r="L13" s="230">
        <x:v>0</x:v>
      </x:c>
      <x:c r="M13" s="234">
        <x:f>K13-L13</x:f>
        <x:v>0</x:v>
      </x:c>
      <x:c r="N13" s="235">
        <x:f>'Reporte Componentes R1'!L579</x:f>
        <x:v>0</x:v>
      </x:c>
      <x:c r="O13" s="234">
        <x:f>M13+N13</x:f>
        <x:v>0</x:v>
      </x:c>
      <x:c r="Q13" s="242"/>
      <x:c r="S13" s="260">
        <x:v>5</x:v>
      </x:c>
      <x:c r="T13" s="261" t="s">
        <x:v>14</x:v>
      </x:c>
      <x:c r="U13" s="232">
        <x:f>'Reporte Componentes R1'!M579</x:f>
        <x:v>0</x:v>
      </x:c>
      <x:c r="V13" s="233">
        <x:f>'Reporte Componentes R1'!N579</x:f>
        <x:v>0</x:v>
      </x:c>
      <x:c r="W13" s="233">
        <x:f>'Reporte Componentes R1'!O579</x:f>
        <x:v>0</x:v>
      </x:c>
      <x:c r="X13" s="233">
        <x:f>'Reporte Componentes R1'!P579</x:f>
        <x:v>0</x:v>
      </x:c>
      <x:c r="Y13" s="225">
        <x:f>'Reporte Componentes R1'!Q579</x:f>
        <x:v>0</x:v>
      </x:c>
      <x:c r="Z13" s="255">
        <x:f>L13*-1</x:f>
        <x:v>0</x:v>
      </x:c>
      <x:c r="AA13" s="256">
        <x:f>'Reporte Componentes R1'!R579+'Reporte Componentes R1'!S579+'Reporte Componentes R1'!T579</x:f>
        <x:v>0</x:v>
      </x:c>
      <x:c r="AB13" s="230">
        <x:f>N13</x:f>
        <x:v>0</x:v>
      </x:c>
      <x:c r="AC13" s="256">
        <x:f>'Reporte Componentes R1'!X579</x:f>
        <x:v>0</x:v>
      </x:c>
      <x:c r="AD13" s="227">
        <x:f t="shared" si="2"/>
        <x:v>0</x:v>
      </x:c>
      <x:c r="AE13" s="227">
        <x:f>'Reporte Componentes R1'!F580</x:f>
        <x:v>0</x:v>
      </x:c>
      <x:c r="AF13" s="258">
        <x:f t="shared" si="4"/>
        <x:v>0</x:v>
      </x:c>
      <x:c r="AG13" s="262">
        <x:f>(AF13-O13)</x:f>
        <x:v>0</x:v>
      </x:c>
      <x:c r="AH13" s="241" t="b">
        <x:f t="shared" si="3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>SUM(D9:D13)</x:f>
        <x:v>0</x:v>
      </x:c>
      <x:c r="E14" s="226">
        <x:f t="shared" ref="E14:O14" si="5">SUM(E9:E13)</x:f>
        <x:v>0</x:v>
      </x:c>
      <x:c r="F14" s="226">
        <x:f t="shared" si="5"/>
        <x:v>0</x:v>
      </x:c>
      <x:c r="G14" s="226">
        <x:f t="shared" si="5"/>
        <x:v>0</x:v>
      </x:c>
      <x:c r="H14" s="226">
        <x:f t="shared" si="5"/>
        <x:v>0</x:v>
      </x:c>
      <x:c r="I14" s="226">
        <x:f t="shared" si="5"/>
        <x:v>0</x:v>
      </x:c>
      <x:c r="J14" s="226">
        <x:f t="shared" si="5"/>
        <x:v>0</x:v>
      </x:c>
      <x:c r="K14" s="236">
        <x:f t="shared" si="5"/>
        <x:v>0</x:v>
      </x:c>
      <x:c r="L14" s="237">
        <x:f>SUM(L9:L13)</x:f>
        <x:v>0</x:v>
      </x:c>
      <x:c r="M14" s="238">
        <x:f t="shared" si="5"/>
        <x:v>0</x:v>
      </x:c>
      <x:c r="N14" s="237">
        <x:f t="shared" si="5"/>
        <x:v>0</x:v>
      </x:c>
      <x:c r="O14" s="238">
        <x:f t="shared" si="5"/>
        <x:v>0</x:v>
      </x:c>
      <x:c r="P14" s="265"/>
      <x:c r="Q14" s="242"/>
      <x:c r="S14" s="263"/>
      <x:c r="T14" s="264" t="s">
        <x:v>2</x:v>
      </x:c>
      <x:c r="U14" s="266">
        <x:f>SUM(U9:U13)</x:f>
        <x:v>0</x:v>
      </x:c>
      <x:c r="V14" s="266">
        <x:f t="shared" ref="V14:AF14" si="6">SUM(V9:V13)</x:f>
        <x:v>0</x:v>
      </x:c>
      <x:c r="W14" s="266">
        <x:f t="shared" si="6"/>
        <x:v>0</x:v>
      </x:c>
      <x:c r="X14" s="266">
        <x:f t="shared" si="6"/>
        <x:v>0</x:v>
      </x:c>
      <x:c r="Y14" s="266">
        <x:f t="shared" si="6"/>
        <x:v>0</x:v>
      </x:c>
      <x:c r="Z14" s="226">
        <x:f t="shared" si="6"/>
        <x:v>0</x:v>
      </x:c>
      <x:c r="AA14" s="226">
        <x:f t="shared" si="6"/>
        <x:v>0</x:v>
      </x:c>
      <x:c r="AB14" s="226">
        <x:f t="shared" si="6"/>
        <x:v>0</x:v>
      </x:c>
      <x:c r="AC14" s="226">
        <x:f t="shared" si="6"/>
        <x:v>0</x:v>
      </x:c>
      <x:c r="AD14" s="226">
        <x:f>SUM(AD9:AD13)</x:f>
        <x:v>0</x:v>
      </x:c>
      <x:c r="AE14" s="226">
        <x:f>SUM(AE9:AE13)</x:f>
        <x:v>0</x:v>
      </x:c>
      <x:c r="AF14" s="267">
        <x:f t="shared" si="6"/>
        <x:v>0</x:v>
      </x:c>
      <x:c r="AG14" s="268">
        <x:f>SUM(AG9:AG13)</x:f>
        <x:v>0</x:v>
      </x:c>
      <x:c r="AH14" s="241" t="b">
        <x:f>INT(AG14)=0</x:f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75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x14ac:dyDescent="0.2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.75" thickBot="1" x14ac:dyDescent="0.25">
      <x:c r="Q20" s="4"/>
      <x:c r="AI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5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75" x14ac:dyDescent="0.25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5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75" x14ac:dyDescent="0.25">
      <x:c r="B25" s="8"/>
      <x:c r="C25" s="511" t="s">
        <x:v>17</x:v>
      </x:c>
      <x:c r="D25" s="9">
        <x:f>D6</x:f>
        <x:v>46238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75" thickBot="1" x14ac:dyDescent="0.25">
      <x:c r="B26" s="8"/>
      <x:c r="C26" s="511" t="s">
        <x:v>0</x:v>
      </x:c>
      <x:c r="D26" s="198">
        <x:f>D7</x:f>
        <x:v>0.58333333333333337</x:v>
      </x:c>
      <x:c r="F26" s="2" t="s">
        <x:v>27</x:v>
      </x:c>
      <x:c r="G26" s="9">
        <x:f>G7</x:f>
        <x:v>46219</x:v>
      </x:c>
      <x:c r="J26" s="2" t="s">
        <x:v>28</x:v>
      </x:c>
      <x:c r="K26" s="9">
        <x:f>K7</x:f>
        <x:v>46234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46219</x:v>
      </x:c>
      <x:c r="W26" s="1" t="s">
        <x:v>1</x:v>
      </x:c>
      <x:c r="X26" s="1" t="str">
        <x:f>J26</x:f>
        <x:v>Feha Hasta:</x:v>
      </x:c>
      <x:c r="Y26" s="9">
        <x:f>K26</x:f>
        <x:v>46234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46" t="s">
        <x:v>39</x:v>
      </x:c>
      <x:c r="V27" s="147" t="s">
        <x:v>40</x:v>
      </x:c>
      <x:c r="W27" s="147" t="s">
        <x:v>41</x:v>
      </x:c>
      <x:c r="X27" s="147" t="s">
        <x:v>42</x:v>
      </x:c>
      <x:c r="Y27" s="148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167</x:v>
      </x:c>
      <x:c r="AD27" s="114" t="s">
        <x:v>107</x:v>
      </x:c>
      <x:c r="AE27" s="114" t="s">
        <x:v>106</x:v>
      </x:c>
      <x:c r="AF27" s="39" t="s">
        <x:v>23</x:v>
      </x:c>
      <x:c r="AG27" s="13"/>
      <x:c r="AI27" s="4"/>
    </x:row>
    <x:row r="28" spans="1:35" s="241" customFormat="1" x14ac:dyDescent="0.2">
      <x:c r="B28" s="239">
        <x:v>1</x:v>
      </x:c>
      <x:c r="C28" s="240" t="s">
        <x:v>10</x:v>
      </x:c>
      <x:c r="D28" s="227">
        <x:f>'Rem. Anticipos R2'!E58</x:f>
        <x:v>0</x:v>
      </x:c>
      <x:c r="E28" s="228">
        <x:f>'Rem. Anticipos R2'!F58</x:f>
        <x:v>0</x:v>
      </x:c>
      <x:c r="F28" s="228">
        <x:f>'Rem. Anticipos R2'!G58</x:f>
        <x:v>0</x:v>
      </x:c>
      <x:c r="G28" s="228">
        <x:f>'Rem. Anticipos R2'!H58</x:f>
        <x:v>0</x:v>
      </x:c>
      <x:c r="H28" s="228">
        <x:f>'Rem. Anticipos R2'!I58</x:f>
        <x:v>0</x:v>
      </x:c>
      <x:c r="I28" s="228">
        <x:f>'Rem. Anticipos R2'!J58</x:f>
        <x:v>0</x:v>
      </x:c>
      <x:c r="J28" s="224">
        <x:v>0</x:v>
      </x:c>
      <x:c r="K28" s="229">
        <x:f>D28-E28-F28-G28-H28-I28-J28</x:f>
        <x:v>0</x:v>
      </x:c>
      <x:c r="L28" s="230">
        <x:v>0</x:v>
      </x:c>
      <x:c r="M28" s="229">
        <x:f>K28-L28</x:f>
        <x:v>0</x:v>
      </x:c>
      <x:c r="N28" s="230">
        <x:f>'Rem. Anticipos R2'!K58</x:f>
        <x:v>0</x:v>
      </x:c>
      <x:c r="O28" s="229">
        <x:f>M28+N28</x:f>
        <x:v>0</x:v>
      </x:c>
      <x:c r="Q28" s="242"/>
      <x:c r="S28" s="239">
        <x:v>1</x:v>
      </x:c>
      <x:c r="T28" s="240" t="s">
        <x:v>10</x:v>
      </x:c>
      <x:c r="U28" s="243">
        <x:f>'Rem. Anticipos R2'!L58</x:f>
        <x:v>0</x:v>
      </x:c>
      <x:c r="V28" s="244">
        <x:f>'Rem. Anticipos R2'!M58</x:f>
        <x:v>0</x:v>
      </x:c>
      <x:c r="W28" s="244">
        <x:f>'Rem. Anticipos R2'!N58</x:f>
        <x:v>0</x:v>
      </x:c>
      <x:c r="X28" s="244">
        <x:f>'Rem. Anticipos R2'!O58</x:f>
        <x:v>0</x:v>
      </x:c>
      <x:c r="Y28" s="244">
        <x:f>'Rem. Anticipos R2'!P58</x:f>
        <x:v>0</x:v>
      </x:c>
      <x:c r="Z28" s="246">
        <x:f>L28*-1</x:f>
        <x:v>0</x:v>
      </x:c>
      <x:c r="AA28" s="247">
        <x:f>'Rem. Anticipos R2'!Q58</x:f>
        <x:v>0</x:v>
      </x:c>
      <x:c r="AB28" s="230">
        <x:f>N28</x:f>
        <x:v>0</x:v>
      </x:c>
      <x:c r="AC28" s="247">
        <x:v>0</x:v>
      </x:c>
      <x:c r="AD28" s="227">
        <x:f>-J28+AE28</x:f>
        <x:v>0</x:v>
      </x:c>
      <x:c r="AE28" s="227">
        <x:f>'Rem. Anticipos R2'!E59</x:f>
        <x:v>0</x:v>
      </x:c>
      <x:c r="AF28" s="249">
        <x:f>SUM(U28:AD28)</x:f>
        <x:v>0</x:v>
      </x:c>
      <x:c r="AG28" s="247">
        <x:f>(AF28-O28)</x:f>
        <x:v>0</x:v>
      </x:c>
      <x:c r="AH28" s="241" t="b">
        <x:f>INT(AG28)=0</x:f>
        <x:v>1</x:v>
      </x:c>
      <x:c r="AI28" s="242"/>
    </x:row>
    <x:row r="29" spans="1:35" s="241" customFormat="1" x14ac:dyDescent="0.2">
      <x:c r="B29" s="250">
        <x:v>2</x:v>
      </x:c>
      <x:c r="C29" s="251" t="s">
        <x:v>11</x:v>
      </x:c>
      <x:c r="D29" s="227">
        <x:f>'Rem. Anticipos R2'!E154</x:f>
        <x:v>0</x:v>
      </x:c>
      <x:c r="E29" s="228">
        <x:f>'Rem. Anticipos R2'!F154</x:f>
        <x:v>0</x:v>
      </x:c>
      <x:c r="F29" s="228">
        <x:f>'Rem. Anticipos R2'!G154</x:f>
        <x:v>0</x:v>
      </x:c>
      <x:c r="G29" s="228">
        <x:f>'Rem. Anticipos R2'!H154</x:f>
        <x:v>0</x:v>
      </x:c>
      <x:c r="H29" s="228">
        <x:f>'Rem. Anticipos R2'!I154</x:f>
        <x:v>0</x:v>
      </x:c>
      <x:c r="I29" s="228">
        <x:f>'Rem. Anticipos R2'!J154</x:f>
        <x:v>0</x:v>
      </x:c>
      <x:c r="J29" s="224">
        <x:v>0</x:v>
      </x:c>
      <x:c r="K29" s="231">
        <x:f t="shared" ref="K29:K31" si="7">D29-E29-F29-G29-H29-I29-J29</x:f>
        <x:v>0</x:v>
      </x:c>
      <x:c r="L29" s="230">
        <x:v>0</x:v>
      </x:c>
      <x:c r="M29" s="231">
        <x:f>K29-L29</x:f>
        <x:v>0</x:v>
      </x:c>
      <x:c r="N29" s="230">
        <x:f>'Rem. Anticipos R2'!K154</x:f>
        <x:v>0</x:v>
      </x:c>
      <x:c r="O29" s="231">
        <x:f t="shared" ref="O29:O32" si="8">M29+N29</x:f>
        <x:v>0</x:v>
      </x:c>
      <x:c r="Q29" s="242"/>
      <x:c r="S29" s="250">
        <x:v>2</x:v>
      </x:c>
      <x:c r="T29" s="251" t="s">
        <x:v>11</x:v>
      </x:c>
      <x:c r="U29" s="252">
        <x:f>'Rem. Anticipos R2'!L154</x:f>
        <x:v>0</x:v>
      </x:c>
      <x:c r="V29" s="253">
        <x:f>'Rem. Anticipos R2'!M154</x:f>
        <x:v>0</x:v>
      </x:c>
      <x:c r="W29" s="253">
        <x:f>'Rem. Anticipos R2'!N154</x:f>
        <x:v>0</x:v>
      </x:c>
      <x:c r="X29" s="253">
        <x:f>'Rem. Anticipos R2'!O154</x:f>
        <x:v>0</x:v>
      </x:c>
      <x:c r="Y29" s="254">
        <x:f>'Rem. Anticipos R2'!P154</x:f>
        <x:v>0</x:v>
      </x:c>
      <x:c r="Z29" s="255">
        <x:f>L29*-1</x:f>
        <x:v>0</x:v>
      </x:c>
      <x:c r="AA29" s="256">
        <x:f>'Rem. Anticipos R2'!Q154</x:f>
        <x:v>0</x:v>
      </x:c>
      <x:c r="AB29" s="230">
        <x:f>N29</x:f>
        <x:v>0</x:v>
      </x:c>
      <x:c r="AC29" s="256">
        <x:v>0</x:v>
      </x:c>
      <x:c r="AD29" s="227">
        <x:f>-J29+AE29</x:f>
        <x:v>0</x:v>
      </x:c>
      <x:c r="AE29" s="227">
        <x:f>'Rem. Anticipos R2'!E155</x:f>
        <x:v>0</x:v>
      </x:c>
      <x:c r="AF29" s="258">
        <x:f>SUM(U29:AD29)</x:f>
        <x:v>0</x:v>
      </x:c>
      <x:c r="AG29" s="259">
        <x:f>(AF29-O29)</x:f>
        <x:v>0</x:v>
      </x:c>
      <x:c r="AH29" s="241" t="b">
        <x:f t="shared" ref="AH29:AH32" si="9">INT(AG29)=0</x:f>
        <x:v>1</x:v>
      </x:c>
      <x:c r="AI29" s="242"/>
    </x:row>
    <x:row r="30" spans="1:35" s="241" customFormat="1" x14ac:dyDescent="0.2">
      <x:c r="B30" s="250">
        <x:v>3</x:v>
      </x:c>
      <x:c r="C30" s="251" t="s">
        <x:v>12</x:v>
      </x:c>
      <x:c r="D30" s="227">
        <x:f>'Rem. Anticipos R2'!E271</x:f>
        <x:v>0</x:v>
      </x:c>
      <x:c r="E30" s="228">
        <x:f>'Rem. Anticipos R2'!F271</x:f>
        <x:v>0</x:v>
      </x:c>
      <x:c r="F30" s="228">
        <x:f>'Rem. Anticipos R2'!G271</x:f>
        <x:v>0</x:v>
      </x:c>
      <x:c r="G30" s="228">
        <x:f>'Rem. Anticipos R2'!H271</x:f>
        <x:v>0</x:v>
      </x:c>
      <x:c r="H30" s="228">
        <x:f>'Rem. Anticipos R2'!I271</x:f>
        <x:v>0</x:v>
      </x:c>
      <x:c r="I30" s="228">
        <x:f>'Rem. Anticipos R2'!J271</x:f>
        <x:v>0</x:v>
      </x:c>
      <x:c r="J30" s="224">
        <x:v>0</x:v>
      </x:c>
      <x:c r="K30" s="231">
        <x:f t="shared" si="7"/>
        <x:v>0</x:v>
      </x:c>
      <x:c r="L30" s="230">
        <x:v>0</x:v>
      </x:c>
      <x:c r="M30" s="231">
        <x:f>K30-L30</x:f>
        <x:v>0</x:v>
      </x:c>
      <x:c r="N30" s="230">
        <x:f>'Rem. Anticipos R2'!K271</x:f>
        <x:v>0</x:v>
      </x:c>
      <x:c r="O30" s="231">
        <x:f t="shared" si="8"/>
        <x:v>0</x:v>
      </x:c>
      <x:c r="Q30" s="242"/>
      <x:c r="S30" s="250">
        <x:v>3</x:v>
      </x:c>
      <x:c r="T30" s="251" t="s">
        <x:v>12</x:v>
      </x:c>
      <x:c r="U30" s="252">
        <x:f>'Rem. Anticipos R2'!L271</x:f>
        <x:v>0</x:v>
      </x:c>
      <x:c r="V30" s="253">
        <x:f>'Rem. Anticipos R2'!M271</x:f>
        <x:v>0</x:v>
      </x:c>
      <x:c r="W30" s="253">
        <x:f>'Rem. Anticipos R2'!N271</x:f>
        <x:v>0</x:v>
      </x:c>
      <x:c r="X30" s="253">
        <x:f>'Rem. Anticipos R2'!O271</x:f>
        <x:v>0</x:v>
      </x:c>
      <x:c r="Y30" s="254">
        <x:f>'Rem. Anticipos R2'!P271</x:f>
        <x:v>0</x:v>
      </x:c>
      <x:c r="Z30" s="255">
        <x:f>L30*-1</x:f>
        <x:v>0</x:v>
      </x:c>
      <x:c r="AA30" s="256">
        <x:f>'Rem. Anticipos R2'!Q271</x:f>
        <x:v>0</x:v>
      </x:c>
      <x:c r="AB30" s="230">
        <x:f>N30</x:f>
        <x:v>0</x:v>
      </x:c>
      <x:c r="AC30" s="256">
        <x:v>0</x:v>
      </x:c>
      <x:c r="AD30" s="227">
        <x:f t="shared" ref="AD30:AD32" si="10">-J30+AE30</x:f>
        <x:v>0</x:v>
      </x:c>
      <x:c r="AE30" s="227">
        <x:f>'Rem. Anticipos R2'!E272</x:f>
        <x:v>0</x:v>
      </x:c>
      <x:c r="AF30" s="258">
        <x:f>SUM(U30:AD30)</x:f>
        <x:v>0</x:v>
      </x:c>
      <x:c r="AG30" s="259">
        <x:f>(AF30-O30)</x:f>
        <x:v>0</x:v>
      </x:c>
      <x:c r="AH30" s="241" t="b">
        <x:f t="shared" si="9"/>
        <x:v>1</x:v>
      </x:c>
      <x:c r="AI30" s="242"/>
    </x:row>
    <x:row r="31" spans="1:35" s="241" customFormat="1" x14ac:dyDescent="0.2">
      <x:c r="B31" s="250">
        <x:v>4</x:v>
      </x:c>
      <x:c r="C31" s="251" t="s">
        <x:v>13</x:v>
      </x:c>
      <x:c r="D31" s="227">
        <x:f>'Rem. Anticipos R2'!E373</x:f>
        <x:v>0</x:v>
      </x:c>
      <x:c r="E31" s="228">
        <x:f>'Rem. Anticipos R2'!F373</x:f>
        <x:v>0</x:v>
      </x:c>
      <x:c r="F31" s="228">
        <x:f>'Rem. Anticipos R2'!G373</x:f>
        <x:v>0</x:v>
      </x:c>
      <x:c r="G31" s="228">
        <x:f>'Rem. Anticipos R2'!H373</x:f>
        <x:v>0</x:v>
      </x:c>
      <x:c r="H31" s="228">
        <x:f>'Rem. Anticipos R2'!I373</x:f>
        <x:v>0</x:v>
      </x:c>
      <x:c r="I31" s="228">
        <x:f>'Rem. Anticipos R2'!J373</x:f>
        <x:v>0</x:v>
      </x:c>
      <x:c r="J31" s="224">
        <x:v>0</x:v>
      </x:c>
      <x:c r="K31" s="231">
        <x:f t="shared" si="7"/>
        <x:v>0</x:v>
      </x:c>
      <x:c r="L31" s="230">
        <x:v>0</x:v>
      </x:c>
      <x:c r="M31" s="231">
        <x:f>K31-L31</x:f>
        <x:v>0</x:v>
      </x:c>
      <x:c r="N31" s="230">
        <x:f>'Rem. Anticipos R2'!K373</x:f>
        <x:v>0</x:v>
      </x:c>
      <x:c r="O31" s="231">
        <x:f t="shared" si="8"/>
        <x:v>0</x:v>
      </x:c>
      <x:c r="Q31" s="242"/>
      <x:c r="S31" s="250">
        <x:v>4</x:v>
      </x:c>
      <x:c r="T31" s="251" t="s">
        <x:v>13</x:v>
      </x:c>
      <x:c r="U31" s="252">
        <x:f>'Rem. Anticipos R2'!L373</x:f>
        <x:v>0</x:v>
      </x:c>
      <x:c r="V31" s="253">
        <x:f>'Rem. Anticipos R2'!M373</x:f>
        <x:v>0</x:v>
      </x:c>
      <x:c r="W31" s="253">
        <x:f>'Rem. Anticipos R2'!N373</x:f>
        <x:v>0</x:v>
      </x:c>
      <x:c r="X31" s="253">
        <x:f>'Rem. Anticipos R2'!O373</x:f>
        <x:v>0</x:v>
      </x:c>
      <x:c r="Y31" s="254">
        <x:f>'Rem. Anticipos R2'!P373</x:f>
        <x:v>0</x:v>
      </x:c>
      <x:c r="Z31" s="255">
        <x:f>L31*-1</x:f>
        <x:v>0</x:v>
      </x:c>
      <x:c r="AA31" s="256">
        <x:f>'Rem. Anticipos R2'!Q373</x:f>
        <x:v>0</x:v>
      </x:c>
      <x:c r="AB31" s="230">
        <x:f>N31</x:f>
        <x:v>0</x:v>
      </x:c>
      <x:c r="AC31" s="256">
        <x:v>0</x:v>
      </x:c>
      <x:c r="AD31" s="227">
        <x:f t="shared" si="10"/>
        <x:v>0</x:v>
      </x:c>
      <x:c r="AE31" s="227">
        <x:f>'Rem. Anticipos R2'!E374</x:f>
        <x:v>0</x:v>
      </x:c>
      <x:c r="AF31" s="258">
        <x:f>SUM(U31:AD31)</x:f>
        <x:v>0</x:v>
      </x:c>
      <x:c r="AG31" s="259">
        <x:f t="shared" ref="AG31" si="11">(AF31-O31)</x:f>
        <x:v>0</x:v>
      </x:c>
      <x:c r="AH31" s="241" t="b">
        <x:f t="shared" si="9"/>
        <x:v>1</x:v>
      </x:c>
      <x:c r="AI31" s="242"/>
    </x:row>
    <x:row r="32" spans="1:35" s="241" customFormat="1" ht="12.75" thickBot="1" x14ac:dyDescent="0.25">
      <x:c r="B32" s="260">
        <x:v>5</x:v>
      </x:c>
      <x:c r="C32" s="261" t="s">
        <x:v>14</x:v>
      </x:c>
      <x:c r="D32" s="232">
        <x:f>'Rem. Anticipos R2'!E453</x:f>
        <x:v>0</x:v>
      </x:c>
      <x:c r="E32" s="233">
        <x:f>'Rem. Anticipos R2'!F453</x:f>
        <x:v>0</x:v>
      </x:c>
      <x:c r="F32" s="233">
        <x:f>'Rem. Anticipos R2'!G453</x:f>
        <x:v>0</x:v>
      </x:c>
      <x:c r="G32" s="233">
        <x:f>'Rem. Anticipos R2'!H453</x:f>
        <x:v>0</x:v>
      </x:c>
      <x:c r="H32" s="233">
        <x:f>'Rem. Anticipos R2'!I453</x:f>
        <x:v>0</x:v>
      </x:c>
      <x:c r="I32" s="233">
        <x:f>'Rem. Anticipos R2'!J453</x:f>
        <x:v>0</x:v>
      </x:c>
      <x:c r="J32" s="225">
        <x:v>0</x:v>
      </x:c>
      <x:c r="K32" s="231">
        <x:f>D32-E32-F32-G32-H32-I32-J32</x:f>
        <x:v>0</x:v>
      </x:c>
      <x:c r="L32" s="230">
        <x:v>0</x:v>
      </x:c>
      <x:c r="M32" s="234">
        <x:f>K32-L32</x:f>
        <x:v>0</x:v>
      </x:c>
      <x:c r="N32" s="235">
        <x:f>'Rem. Anticipos R2'!K453</x:f>
        <x:v>0</x:v>
      </x:c>
      <x:c r="O32" s="234">
        <x:f t="shared" si="8"/>
        <x:v>0</x:v>
      </x:c>
      <x:c r="Q32" s="242"/>
      <x:c r="S32" s="260">
        <x:v>5</x:v>
      </x:c>
      <x:c r="T32" s="261" t="s">
        <x:v>14</x:v>
      </x:c>
      <x:c r="U32" s="232">
        <x:f>'Rem. Anticipos R2'!L453</x:f>
        <x:v>0</x:v>
      </x:c>
      <x:c r="V32" s="233">
        <x:f>'Rem. Anticipos R2'!M453</x:f>
        <x:v>0</x:v>
      </x:c>
      <x:c r="W32" s="233">
        <x:f>'Rem. Anticipos R2'!N453</x:f>
        <x:v>0</x:v>
      </x:c>
      <x:c r="X32" s="233">
        <x:f>'Rem. Anticipos R2'!O453</x:f>
        <x:v>0</x:v>
      </x:c>
      <x:c r="Y32" s="225">
        <x:f>'Rem. Anticipos R2'!P453</x:f>
        <x:v>0</x:v>
      </x:c>
      <x:c r="Z32" s="255">
        <x:f>L32*-1</x:f>
        <x:v>0</x:v>
      </x:c>
      <x:c r="AA32" s="256">
        <x:f>'Rem. Anticipos R2'!Q453</x:f>
        <x:v>0</x:v>
      </x:c>
      <x:c r="AB32" s="230">
        <x:f>N32</x:f>
        <x:v>0</x:v>
      </x:c>
      <x:c r="AC32" s="256">
        <x:v>0</x:v>
      </x:c>
      <x:c r="AD32" s="227">
        <x:f t="shared" si="10"/>
        <x:v>0</x:v>
      </x:c>
      <x:c r="AE32" s="227">
        <x:f>'Rem. Anticipos R2'!E454</x:f>
        <x:v>0</x:v>
      </x:c>
      <x:c r="AF32" s="258">
        <x:f>SUM(U32:AD32)</x:f>
        <x:v>0</x:v>
      </x:c>
      <x:c r="AG32" s="262">
        <x:f>(AF32-O32)</x:f>
        <x:v>0</x:v>
      </x:c>
      <x:c r="AH32" s="241" t="b">
        <x:f t="shared" si="9"/>
        <x:v>1</x:v>
      </x:c>
      <x:c r="AI32" s="242"/>
    </x:row>
    <x:row r="33" spans="1:35" s="241" customFormat="1" ht="13.5" thickBot="1" x14ac:dyDescent="0.25">
      <x:c r="B33" s="263"/>
      <x:c r="C33" s="264" t="s">
        <x:v>2</x:v>
      </x:c>
      <x:c r="D33" s="226">
        <x:f>SUM(D28:D32)</x:f>
        <x:v>0</x:v>
      </x:c>
      <x:c r="E33" s="226">
        <x:f>SUM(E28:E32)</x:f>
        <x:v>0</x:v>
      </x:c>
      <x:c r="F33" s="226">
        <x:f t="shared" ref="F33:O33" si="12">SUM(F28:F32)</x:f>
        <x:v>0</x:v>
      </x:c>
      <x:c r="G33" s="226">
        <x:f t="shared" si="12"/>
        <x:v>0</x:v>
      </x:c>
      <x:c r="H33" s="226">
        <x:f t="shared" si="12"/>
        <x:v>0</x:v>
      </x:c>
      <x:c r="I33" s="226">
        <x:f t="shared" si="12"/>
        <x:v>0</x:v>
      </x:c>
      <x:c r="J33" s="226">
        <x:f t="shared" si="12"/>
        <x:v>0</x:v>
      </x:c>
      <x:c r="K33" s="236">
        <x:f t="shared" si="12"/>
        <x:v>0</x:v>
      </x:c>
      <x:c r="L33" s="237">
        <x:f t="shared" si="12"/>
        <x:v>0</x:v>
      </x:c>
      <x:c r="M33" s="238">
        <x:f t="shared" si="12"/>
        <x:v>0</x:v>
      </x:c>
      <x:c r="N33" s="237">
        <x:f t="shared" si="12"/>
        <x:v>0</x:v>
      </x:c>
      <x:c r="O33" s="238">
        <x:f t="shared" si="12"/>
        <x:v>0</x:v>
      </x:c>
      <x:c r="P33" s="265"/>
      <x:c r="Q33" s="242"/>
      <x:c r="S33" s="263"/>
      <x:c r="T33" s="264" t="s">
        <x:v>2</x:v>
      </x:c>
      <x:c r="U33" s="266">
        <x:f>SUM(U28:U32)</x:f>
        <x:v>0</x:v>
      </x:c>
      <x:c r="V33" s="266">
        <x:f t="shared" ref="V33:AG33" si="13">SUM(V28:V32)</x:f>
        <x:v>0</x:v>
      </x:c>
      <x:c r="W33" s="266">
        <x:f t="shared" si="13"/>
        <x:v>0</x:v>
      </x:c>
      <x:c r="X33" s="266">
        <x:f t="shared" si="13"/>
        <x:v>0</x:v>
      </x:c>
      <x:c r="Y33" s="266">
        <x:f t="shared" si="13"/>
        <x:v>0</x:v>
      </x:c>
      <x:c r="Z33" s="226">
        <x:f t="shared" si="13"/>
        <x:v>0</x:v>
      </x:c>
      <x:c r="AA33" s="226">
        <x:f t="shared" si="13"/>
        <x:v>0</x:v>
      </x:c>
      <x:c r="AB33" s="226">
        <x:f t="shared" si="13"/>
        <x:v>0</x:v>
      </x:c>
      <x:c r="AC33" s="226">
        <x:f t="shared" si="13"/>
        <x:v>0</x:v>
      </x:c>
      <x:c r="AD33" s="226">
        <x:f>SUM(AD28:AD32)</x:f>
        <x:v>0</x:v>
      </x:c>
      <x:c r="AE33" s="226">
        <x:f>SUM(AE28:AE32)</x:f>
        <x:v>0</x:v>
      </x:c>
      <x:c r="AF33" s="267">
        <x:f t="shared" si="13"/>
        <x:v>0</x:v>
      </x:c>
      <x:c r="AG33" s="268">
        <x:f t="shared" si="13"/>
        <x:v>0</x:v>
      </x:c>
      <x:c r="AH33" s="241" t="b">
        <x:f>INT(AG33)=0</x:f>
        <x:v>1</x:v>
      </x:c>
      <x:c r="AI33" s="242"/>
    </x:row>
    <x:row r="34" spans="1:35" ht="12.75" thickBot="1" x14ac:dyDescent="0.25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75" thickBot="1" x14ac:dyDescent="0.25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75" thickBot="1" x14ac:dyDescent="0.25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x14ac:dyDescent="0.2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x14ac:dyDescent="0.2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.75" thickBot="1" x14ac:dyDescent="0.25">
      <x:c r="Q39" s="4"/>
      <x:c r="AI39" s="4"/>
    </x:row>
    <x:row r="40" spans="1:35" x14ac:dyDescent="0.2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5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75" x14ac:dyDescent="0.25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5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75" x14ac:dyDescent="0.25">
      <x:c r="B44" s="8"/>
      <x:c r="C44" s="511" t="s">
        <x:v>17</x:v>
      </x:c>
      <x:c r="D44" s="9">
        <x:f>D6</x:f>
        <x:v>46238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75" thickBot="1" x14ac:dyDescent="0.25">
      <x:c r="B45" s="8"/>
      <x:c r="C45" s="511" t="s">
        <x:v>0</x:v>
      </x:c>
      <x:c r="D45" s="198">
        <x:f>D7</x:f>
        <x:v>0.58333333333333337</x:v>
      </x:c>
      <x:c r="F45" s="2" t="s">
        <x:v>27</x:v>
      </x:c>
      <x:c r="G45" s="9">
        <x:f>G7</x:f>
        <x:v>46219</x:v>
      </x:c>
      <x:c r="J45" s="2" t="s">
        <x:v>28</x:v>
      </x:c>
      <x:c r="K45" s="9">
        <x:f>K7</x:f>
        <x:v>46234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46219</x:v>
      </x:c>
      <x:c r="W45" s="1" t="s">
        <x:v>1</x:v>
      </x:c>
      <x:c r="X45" s="1" t="str">
        <x:f>J45</x:f>
        <x:v>Feha Hasta:</x:v>
      </x:c>
      <x:c r="Y45" s="9">
        <x:f>K45</x:f>
        <x:v>46234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46" t="s">
        <x:v>39</x:v>
      </x:c>
      <x:c r="V46" s="147" t="s">
        <x:v>40</x:v>
      </x:c>
      <x:c r="W46" s="147" t="s">
        <x:v>41</x:v>
      </x:c>
      <x:c r="X46" s="147" t="s">
        <x:v>42</x:v>
      </x:c>
      <x:c r="Y46" s="148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167</x:v>
      </x:c>
      <x:c r="AD46" s="114" t="s">
        <x:v>107</x:v>
      </x:c>
      <x:c r="AE46" s="114" t="s">
        <x:v>106</x:v>
      </x:c>
      <x:c r="AF46" s="39" t="s">
        <x:v>23</x:v>
      </x:c>
      <x:c r="AG46" s="13"/>
      <x:c r="AI46" s="4"/>
    </x:row>
    <x:row r="47" spans="1:35" s="241" customFormat="1" x14ac:dyDescent="0.2">
      <x:c r="B47" s="239">
        <x:v>1</x:v>
      </x:c>
      <x:c r="C47" s="240" t="s">
        <x:v>10</x:v>
      </x:c>
      <x:c r="D47" s="227">
        <x:f>'Reporte Componentes R1'!F77</x:f>
        <x:v>0</x:v>
      </x:c>
      <x:c r="E47" s="228">
        <x:f>'Reporte Componentes R1'!G77</x:f>
        <x:v>0</x:v>
      </x:c>
      <x:c r="F47" s="228">
        <x:f>'Reporte Componentes R1'!H77</x:f>
        <x:v>0</x:v>
      </x:c>
      <x:c r="G47" s="228">
        <x:f>'Reporte Componentes R1'!I77</x:f>
        <x:v>0</x:v>
      </x:c>
      <x:c r="H47" s="228">
        <x:f>'Reporte Componentes R1'!J77</x:f>
        <x:v>0</x:v>
      </x:c>
      <x:c r="I47" s="228">
        <x:f>'Reporte Componentes R1'!K77</x:f>
        <x:v>0</x:v>
      </x:c>
      <x:c r="J47" s="224">
        <x:v>0</x:v>
      </x:c>
      <x:c r="K47" s="229">
        <x:f>D47-E47-F47-G47-H47-I47-J47</x:f>
        <x:v>0</x:v>
      </x:c>
      <x:c r="L47" s="230">
        <x:v>0</x:v>
      </x:c>
      <x:c r="M47" s="229">
        <x:f>K47-L47</x:f>
        <x:v>0</x:v>
      </x:c>
      <x:c r="N47" s="230">
        <x:f>'Reporte Componentes R1'!L77</x:f>
        <x:v>0</x:v>
      </x:c>
      <x:c r="O47" s="229">
        <x:f>M47+N47</x:f>
        <x:v>0</x:v>
      </x:c>
      <x:c r="Q47" s="242"/>
      <x:c r="S47" s="239">
        <x:v>1</x:v>
      </x:c>
      <x:c r="T47" s="240" t="s">
        <x:v>10</x:v>
      </x:c>
      <x:c r="U47" s="243">
        <x:f>'Reporte Componentes R1'!M77</x:f>
        <x:v>0</x:v>
      </x:c>
      <x:c r="V47" s="244">
        <x:f>'Reporte Componentes R1'!N77</x:f>
        <x:v>0</x:v>
      </x:c>
      <x:c r="W47" s="244">
        <x:f>'Reporte Componentes R1'!O77</x:f>
        <x:v>0</x:v>
      </x:c>
      <x:c r="X47" s="244">
        <x:f>'Reporte Componentes R1'!P77</x:f>
        <x:v>0</x:v>
      </x:c>
      <x:c r="Y47" s="245">
        <x:f>'Reporte Componentes R1'!Q77</x:f>
        <x:v>0</x:v>
      </x:c>
      <x:c r="Z47" s="246">
        <x:f>-L47</x:f>
        <x:v>0</x:v>
      </x:c>
      <x:c r="AA47" s="247">
        <x:f>'Reporte Componentes R1'!R77+'Reporte Componentes R1'!S77</x:f>
        <x:v>0</x:v>
      </x:c>
      <x:c r="AB47" s="230">
        <x:f>N47</x:f>
        <x:v>0</x:v>
      </x:c>
      <x:c r="AC47" s="247">
        <x:v>0</x:v>
      </x:c>
      <x:c r="AD47" s="227">
        <x:f>-J47+AE47</x:f>
        <x:v>0</x:v>
      </x:c>
      <x:c r="AE47" s="227">
        <x:f>'Reporte Componentes R1'!F78</x:f>
        <x:v>0</x:v>
      </x:c>
      <x:c r="AF47" s="249">
        <x:f>SUM(U47:AD47)</x:f>
        <x:v>0</x:v>
      </x:c>
      <x:c r="AG47" s="247">
        <x:f>(AF47-O47)</x:f>
        <x:v>0</x:v>
      </x:c>
      <x:c r="AH47" s="241" t="b">
        <x:f>INT(AG47)=0</x:f>
        <x:v>1</x:v>
      </x:c>
      <x:c r="AI47" s="242"/>
    </x:row>
    <x:row r="48" spans="1:35" s="241" customFormat="1" x14ac:dyDescent="0.2">
      <x:c r="B48" s="250">
        <x:v>2</x:v>
      </x:c>
      <x:c r="C48" s="251" t="s">
        <x:v>11</x:v>
      </x:c>
      <x:c r="D48" s="227">
        <x:f>'Reporte Componentes R1'!F221</x:f>
        <x:v>0</x:v>
      </x:c>
      <x:c r="E48" s="228">
        <x:f>'Reporte Componentes R1'!G221</x:f>
        <x:v>0</x:v>
      </x:c>
      <x:c r="F48" s="228">
        <x:f>'Reporte Componentes R1'!H221</x:f>
        <x:v>0</x:v>
      </x:c>
      <x:c r="G48" s="228">
        <x:f>'Reporte Componentes R1'!I221</x:f>
        <x:v>0</x:v>
      </x:c>
      <x:c r="H48" s="228">
        <x:f>'Reporte Componentes R1'!J221</x:f>
        <x:v>0</x:v>
      </x:c>
      <x:c r="I48" s="228">
        <x:f>'Reporte Componentes R1'!K221</x:f>
        <x:v>0</x:v>
      </x:c>
      <x:c r="J48" s="224">
        <x:v>0</x:v>
      </x:c>
      <x:c r="K48" s="231">
        <x:f t="shared" ref="K48:K51" si="14">D48-E48-F48-G48-H48-I48-J48</x:f>
        <x:v>0</x:v>
      </x:c>
      <x:c r="L48" s="230">
        <x:v>0</x:v>
      </x:c>
      <x:c r="M48" s="231">
        <x:f>K48-L48</x:f>
        <x:v>0</x:v>
      </x:c>
      <x:c r="N48" s="230">
        <x:f>'Reporte Componentes R1'!L221</x:f>
        <x:v>0</x:v>
      </x:c>
      <x:c r="O48" s="231">
        <x:f t="shared" ref="O48:O51" si="15">M48+N48</x:f>
        <x:v>0</x:v>
      </x:c>
      <x:c r="Q48" s="242"/>
      <x:c r="S48" s="250">
        <x:v>2</x:v>
      </x:c>
      <x:c r="T48" s="251" t="s">
        <x:v>11</x:v>
      </x:c>
      <x:c r="U48" s="252">
        <x:f>'Reporte Componentes R1'!M221</x:f>
        <x:v>0</x:v>
      </x:c>
      <x:c r="V48" s="253">
        <x:f>'Reporte Componentes R1'!N221</x:f>
        <x:v>0</x:v>
      </x:c>
      <x:c r="W48" s="253">
        <x:f>'Reporte Componentes R1'!O221</x:f>
        <x:v>0</x:v>
      </x:c>
      <x:c r="X48" s="253">
        <x:f>'Reporte Componentes R1'!P221</x:f>
        <x:v>0</x:v>
      </x:c>
      <x:c r="Y48" s="254">
        <x:f>'Reporte Componentes R1'!Q221</x:f>
        <x:v>0</x:v>
      </x:c>
      <x:c r="Z48" s="255">
        <x:f>-L48</x:f>
        <x:v>0</x:v>
      </x:c>
      <x:c r="AA48" s="256">
        <x:f>'Reporte Componentes R1'!R221+'Reporte Componentes R1'!S221+'Reporte Componentes R1'!T221</x:f>
        <x:v>0</x:v>
      </x:c>
      <x:c r="AB48" s="230">
        <x:f>N48</x:f>
        <x:v>0</x:v>
      </x:c>
      <x:c r="AC48" s="256">
        <x:v>0</x:v>
      </x:c>
      <x:c r="AD48" s="227">
        <x:f t="shared" ref="AD48:AD51" si="16">-J48+AE48</x:f>
        <x:v>0</x:v>
      </x:c>
      <x:c r="AE48" s="227">
        <x:f>'Reporte Componentes R1'!F222</x:f>
        <x:v>0</x:v>
      </x:c>
      <x:c r="AF48" s="258">
        <x:f>SUM(U48:AD48)</x:f>
        <x:v>0</x:v>
      </x:c>
      <x:c r="AG48" s="259">
        <x:f>(AF48-O48)</x:f>
        <x:v>0</x:v>
      </x:c>
      <x:c r="AH48" s="241" t="b">
        <x:f t="shared" ref="AH48:AH51" si="17">INT(AG48)=0</x:f>
        <x:v>1</x:v>
      </x:c>
      <x:c r="AI48" s="242"/>
    </x:row>
    <x:row r="49" spans="1:35" s="241" customFormat="1" x14ac:dyDescent="0.2">
      <x:c r="B49" s="250">
        <x:v>3</x:v>
      </x:c>
      <x:c r="C49" s="251" t="s">
        <x:v>12</x:v>
      </x:c>
      <x:c r="D49" s="227">
        <x:f>'Reporte Componentes R1'!F352</x:f>
        <x:v>0</x:v>
      </x:c>
      <x:c r="E49" s="228">
        <x:f>'Reporte Componentes R1'!G352</x:f>
        <x:v>0</x:v>
      </x:c>
      <x:c r="F49" s="228">
        <x:f>'Reporte Componentes R1'!H352</x:f>
        <x:v>0</x:v>
      </x:c>
      <x:c r="G49" s="228">
        <x:f>'Reporte Componentes R1'!I352</x:f>
        <x:v>0</x:v>
      </x:c>
      <x:c r="H49" s="228">
        <x:f>'Reporte Componentes R1'!J352</x:f>
        <x:v>0</x:v>
      </x:c>
      <x:c r="I49" s="228">
        <x:f>'Reporte Componentes R1'!K352</x:f>
        <x:v>0</x:v>
      </x:c>
      <x:c r="J49" s="224">
        <x:v>0</x:v>
      </x:c>
      <x:c r="K49" s="231">
        <x:f t="shared" si="14"/>
        <x:v>0</x:v>
      </x:c>
      <x:c r="L49" s="230">
        <x:v>0</x:v>
      </x:c>
      <x:c r="M49" s="231">
        <x:f>K49-L49</x:f>
        <x:v>0</x:v>
      </x:c>
      <x:c r="N49" s="230">
        <x:f>'Reporte Componentes R1'!L352</x:f>
        <x:v>0</x:v>
      </x:c>
      <x:c r="O49" s="231">
        <x:f t="shared" si="15"/>
        <x:v>0</x:v>
      </x:c>
      <x:c r="Q49" s="242"/>
      <x:c r="S49" s="250">
        <x:v>3</x:v>
      </x:c>
      <x:c r="T49" s="251" t="s">
        <x:v>12</x:v>
      </x:c>
      <x:c r="U49" s="252">
        <x:f>'Reporte Componentes R1'!M352</x:f>
        <x:v>0</x:v>
      </x:c>
      <x:c r="V49" s="253">
        <x:f>'Reporte Componentes R1'!N352</x:f>
        <x:v>0</x:v>
      </x:c>
      <x:c r="W49" s="253">
        <x:f>'Reporte Componentes R1'!O352</x:f>
        <x:v>0</x:v>
      </x:c>
      <x:c r="X49" s="253">
        <x:f>'Reporte Componentes R1'!P352</x:f>
        <x:v>0</x:v>
      </x:c>
      <x:c r="Y49" s="254">
        <x:f>'Reporte Componentes R1'!Q352</x:f>
        <x:v>0</x:v>
      </x:c>
      <x:c r="Z49" s="255">
        <x:f>-L49</x:f>
        <x:v>0</x:v>
      </x:c>
      <x:c r="AA49" s="256">
        <x:f>'Reporte Componentes R1'!R352+'Reporte Componentes R1'!S352+'Reporte Componentes R1'!T352</x:f>
        <x:v>0</x:v>
      </x:c>
      <x:c r="AB49" s="230">
        <x:f>N49</x:f>
        <x:v>0</x:v>
      </x:c>
      <x:c r="AC49" s="256">
        <x:v>0</x:v>
      </x:c>
      <x:c r="AD49" s="227">
        <x:f t="shared" si="16"/>
        <x:v>0</x:v>
      </x:c>
      <x:c r="AE49" s="227">
        <x:f>'Reporte Componentes R1'!F353</x:f>
        <x:v>0</x:v>
      </x:c>
      <x:c r="AF49" s="258">
        <x:f t="shared" ref="AF49:AF51" si="18">SUM(U49:AD49)</x:f>
        <x:v>0</x:v>
      </x:c>
      <x:c r="AG49" s="259">
        <x:f t="shared" ref="AG49:AG51" si="19">(AF49-O49)</x:f>
        <x:v>0</x:v>
      </x:c>
      <x:c r="AH49" s="241" t="b">
        <x:f t="shared" si="17"/>
        <x:v>1</x:v>
      </x:c>
      <x:c r="AI49" s="242"/>
    </x:row>
    <x:row r="50" spans="1:35" s="241" customFormat="1" x14ac:dyDescent="0.2">
      <x:c r="B50" s="250">
        <x:v>4</x:v>
      </x:c>
      <x:c r="C50" s="251" t="s">
        <x:v>13</x:v>
      </x:c>
      <x:c r="D50" s="227">
        <x:f>'Reporte Componentes R1'!F483</x:f>
        <x:v>0</x:v>
      </x:c>
      <x:c r="E50" s="228">
        <x:f>'Reporte Componentes R1'!G483</x:f>
        <x:v>0</x:v>
      </x:c>
      <x:c r="F50" s="228">
        <x:f>'Reporte Componentes R1'!H483</x:f>
        <x:v>0</x:v>
      </x:c>
      <x:c r="G50" s="228">
        <x:f>'Reporte Componentes R1'!I483</x:f>
        <x:v>0</x:v>
      </x:c>
      <x:c r="H50" s="228">
        <x:f>'Reporte Componentes R1'!J483</x:f>
        <x:v>0</x:v>
      </x:c>
      <x:c r="I50" s="228">
        <x:f>'Reporte Componentes R1'!K483</x:f>
        <x:v>0</x:v>
      </x:c>
      <x:c r="J50" s="224">
        <x:v>0</x:v>
      </x:c>
      <x:c r="K50" s="231">
        <x:f t="shared" si="14"/>
        <x:v>0</x:v>
      </x:c>
      <x:c r="L50" s="230">
        <x:v>0</x:v>
      </x:c>
      <x:c r="M50" s="231">
        <x:f>K50-L50</x:f>
        <x:v>0</x:v>
      </x:c>
      <x:c r="N50" s="230">
        <x:f>'Reporte Componentes R1'!L483</x:f>
        <x:v>0</x:v>
      </x:c>
      <x:c r="O50" s="231">
        <x:f t="shared" si="15"/>
        <x:v>0</x:v>
      </x:c>
      <x:c r="Q50" s="242"/>
      <x:c r="S50" s="250">
        <x:v>4</x:v>
      </x:c>
      <x:c r="T50" s="251" t="s">
        <x:v>13</x:v>
      </x:c>
      <x:c r="U50" s="252">
        <x:f>'Reporte Componentes R1'!M483</x:f>
        <x:v>0</x:v>
      </x:c>
      <x:c r="V50" s="253">
        <x:f>'Reporte Componentes R1'!N483</x:f>
        <x:v>0</x:v>
      </x:c>
      <x:c r="W50" s="253">
        <x:f>'Reporte Componentes R1'!O483</x:f>
        <x:v>0</x:v>
      </x:c>
      <x:c r="X50" s="253">
        <x:f>'Reporte Componentes R1'!P483</x:f>
        <x:v>0</x:v>
      </x:c>
      <x:c r="Y50" s="254">
        <x:f>'Reporte Componentes R1'!Q483</x:f>
        <x:v>0</x:v>
      </x:c>
      <x:c r="Z50" s="255">
        <x:f>-L50</x:f>
        <x:v>0</x:v>
      </x:c>
      <x:c r="AA50" s="256">
        <x:f>'Reporte Componentes R1'!R483+'Reporte Componentes R1'!S483</x:f>
        <x:v>0</x:v>
      </x:c>
      <x:c r="AB50" s="230">
        <x:f>N50</x:f>
        <x:v>0</x:v>
      </x:c>
      <x:c r="AC50" s="256">
        <x:v>0</x:v>
      </x:c>
      <x:c r="AD50" s="227">
        <x:f t="shared" si="16"/>
        <x:v>0</x:v>
      </x:c>
      <x:c r="AE50" s="227">
        <x:f>'Reporte Componentes R1'!F484</x:f>
        <x:v>0</x:v>
      </x:c>
      <x:c r="AF50" s="258">
        <x:f t="shared" si="18"/>
        <x:v>0</x:v>
      </x:c>
      <x:c r="AG50" s="259">
        <x:f t="shared" si="19"/>
        <x:v>0</x:v>
      </x:c>
      <x:c r="AH50" s="241" t="b">
        <x:f t="shared" si="17"/>
        <x:v>1</x:v>
      </x:c>
      <x:c r="AI50" s="242"/>
    </x:row>
    <x:row r="51" spans="1:35" s="241" customFormat="1" ht="12.75" thickBot="1" x14ac:dyDescent="0.25">
      <x:c r="B51" s="260">
        <x:v>5</x:v>
      </x:c>
      <x:c r="C51" s="261" t="s">
        <x:v>14</x:v>
      </x:c>
      <x:c r="D51" s="232">
        <x:f>'Reporte Componentes R1'!F581</x:f>
        <x:v>0</x:v>
      </x:c>
      <x:c r="E51" s="233">
        <x:f>'Reporte Componentes R1'!G581</x:f>
        <x:v>0</x:v>
      </x:c>
      <x:c r="F51" s="233">
        <x:f>'Reporte Componentes R1'!H581</x:f>
        <x:v>0</x:v>
      </x:c>
      <x:c r="G51" s="233">
        <x:f>'Reporte Componentes R1'!I581</x:f>
        <x:v>0</x:v>
      </x:c>
      <x:c r="H51" s="233">
        <x:f>'Reporte Componentes R1'!J581</x:f>
        <x:v>0</x:v>
      </x:c>
      <x:c r="I51" s="233">
        <x:f>'Reporte Componentes R1'!K581</x:f>
        <x:v>0</x:v>
      </x:c>
      <x:c r="J51" s="225">
        <x:v>0</x:v>
      </x:c>
      <x:c r="K51" s="231">
        <x:f t="shared" si="14"/>
        <x:v>0</x:v>
      </x:c>
      <x:c r="L51" s="230">
        <x:v>0</x:v>
      </x:c>
      <x:c r="M51" s="234">
        <x:f>K51-L51</x:f>
        <x:v>0</x:v>
      </x:c>
      <x:c r="N51" s="235">
        <x:f>'Reporte Componentes R1'!L581</x:f>
        <x:v>0</x:v>
      </x:c>
      <x:c r="O51" s="234">
        <x:f t="shared" si="15"/>
        <x:v>0</x:v>
      </x:c>
      <x:c r="Q51" s="242"/>
      <x:c r="S51" s="260">
        <x:v>5</x:v>
      </x:c>
      <x:c r="T51" s="261" t="s">
        <x:v>14</x:v>
      </x:c>
      <x:c r="U51" s="232">
        <x:f>'Reporte Componentes R1'!M581</x:f>
        <x:v>0</x:v>
      </x:c>
      <x:c r="V51" s="233">
        <x:f>'Reporte Componentes R1'!N581</x:f>
        <x:v>0</x:v>
      </x:c>
      <x:c r="W51" s="233">
        <x:f>'Reporte Componentes R1'!O581</x:f>
        <x:v>0</x:v>
      </x:c>
      <x:c r="X51" s="233">
        <x:f>'Reporte Componentes R1'!P581</x:f>
        <x:v>0</x:v>
      </x:c>
      <x:c r="Y51" s="225">
        <x:f>'Reporte Componentes R1'!Q581</x:f>
        <x:v>0</x:v>
      </x:c>
      <x:c r="Z51" s="255">
        <x:f>-L51</x:f>
        <x:v>0</x:v>
      </x:c>
      <x:c r="AA51" s="256">
        <x:f>'Reporte Componentes R1'!R581+'Reporte Componentes R1'!S581+'Reporte Componentes R1'!T581</x:f>
        <x:v>0</x:v>
      </x:c>
      <x:c r="AB51" s="230">
        <x:f>N51</x:f>
        <x:v>0</x:v>
      </x:c>
      <x:c r="AC51" s="256">
        <x:v>0</x:v>
      </x:c>
      <x:c r="AD51" s="227">
        <x:f t="shared" si="16"/>
        <x:v>0</x:v>
      </x:c>
      <x:c r="AE51" s="227">
        <x:f>'Reporte Componentes R1'!F582</x:f>
        <x:v>0</x:v>
      </x:c>
      <x:c r="AF51" s="258">
        <x:f t="shared" si="18"/>
        <x:v>0</x:v>
      </x:c>
      <x:c r="AG51" s="262">
        <x:f t="shared" si="19"/>
        <x:v>0</x:v>
      </x:c>
      <x:c r="AH51" s="241" t="b">
        <x:f t="shared" si="17"/>
        <x:v>1</x:v>
      </x:c>
      <x:c r="AI51" s="242"/>
    </x:row>
    <x:row r="52" spans="1:35" s="241" customFormat="1" ht="13.5" thickBot="1" x14ac:dyDescent="0.25">
      <x:c r="B52" s="263"/>
      <x:c r="C52" s="264" t="s">
        <x:v>2</x:v>
      </x:c>
      <x:c r="D52" s="226">
        <x:f t="shared" ref="D52:O52" si="20">SUM(D47:D51)</x:f>
        <x:v>0</x:v>
      </x:c>
      <x:c r="E52" s="226">
        <x:f t="shared" si="20"/>
        <x:v>0</x:v>
      </x:c>
      <x:c r="F52" s="226">
        <x:f t="shared" si="20"/>
        <x:v>0</x:v>
      </x:c>
      <x:c r="G52" s="226">
        <x:f t="shared" ref="G52" si="21">SUM(G47:G51)</x:f>
        <x:v>0</x:v>
      </x:c>
      <x:c r="H52" s="226">
        <x:f t="shared" si="20"/>
        <x:v>0</x:v>
      </x:c>
      <x:c r="I52" s="226">
        <x:f t="shared" si="20"/>
        <x:v>0</x:v>
      </x:c>
      <x:c r="J52" s="226">
        <x:f t="shared" si="20"/>
        <x:v>0</x:v>
      </x:c>
      <x:c r="K52" s="236">
        <x:f t="shared" si="20"/>
        <x:v>0</x:v>
      </x:c>
      <x:c r="L52" s="237">
        <x:f t="shared" si="20"/>
        <x:v>0</x:v>
      </x:c>
      <x:c r="M52" s="238">
        <x:f t="shared" si="20"/>
        <x:v>0</x:v>
      </x:c>
      <x:c r="N52" s="237">
        <x:f t="shared" si="20"/>
        <x:v>0</x:v>
      </x:c>
      <x:c r="O52" s="238">
        <x:f t="shared" si="20"/>
        <x:v>0</x:v>
      </x:c>
      <x:c r="P52" s="265"/>
      <x:c r="Q52" s="242"/>
      <x:c r="S52" s="263"/>
      <x:c r="T52" s="264" t="s">
        <x:v>2</x:v>
      </x:c>
      <x:c r="U52" s="266">
        <x:f>SUM(U47:U51)</x:f>
        <x:v>0</x:v>
      </x:c>
      <x:c r="V52" s="266">
        <x:f t="shared" ref="V52:AG52" si="22">SUM(V47:V51)</x:f>
        <x:v>0</x:v>
      </x:c>
      <x:c r="W52" s="266">
        <x:f t="shared" si="22"/>
        <x:v>0</x:v>
      </x:c>
      <x:c r="X52" s="266">
        <x:f t="shared" si="22"/>
        <x:v>0</x:v>
      </x:c>
      <x:c r="Y52" s="266">
        <x:f t="shared" si="22"/>
        <x:v>0</x:v>
      </x:c>
      <x:c r="Z52" s="226">
        <x:f t="shared" si="22"/>
        <x:v>0</x:v>
      </x:c>
      <x:c r="AA52" s="226">
        <x:f t="shared" si="22"/>
        <x:v>0</x:v>
      </x:c>
      <x:c r="AB52" s="226">
        <x:f t="shared" si="22"/>
        <x:v>0</x:v>
      </x:c>
      <x:c r="AC52" s="226">
        <x:f t="shared" ref="AC52" si="23">SUM(AC47:AC51)</x:f>
        <x:v>0</x:v>
      </x:c>
      <x:c r="AD52" s="226">
        <x:f>SUM(AD47:AD51)</x:f>
        <x:v>0</x:v>
      </x:c>
      <x:c r="AE52" s="226">
        <x:f>SUM(AE47:AE51)</x:f>
        <x:v>0</x:v>
      </x:c>
      <x:c r="AF52" s="267">
        <x:f t="shared" si="22"/>
        <x:v>0</x:v>
      </x:c>
      <x:c r="AG52" s="268">
        <x:f t="shared" si="22"/>
        <x:v>0</x:v>
      </x:c>
      <x:c r="AH52" s="241" t="b">
        <x:f>INT(AG52)=0</x:f>
        <x:v>1</x:v>
      </x:c>
      <x:c r="AI52" s="242"/>
    </x:row>
    <x:row r="53" spans="1:35" ht="12.75" thickBot="1" x14ac:dyDescent="0.25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75" thickBot="1" x14ac:dyDescent="0.25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75" thickBot="1" x14ac:dyDescent="0.25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x14ac:dyDescent="0.2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x14ac:dyDescent="0.2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.75" thickBot="1" x14ac:dyDescent="0.25">
      <x:c r="Q58" s="4"/>
      <x:c r="AI58" s="4"/>
    </x:row>
    <x:row r="59" spans="1:35" x14ac:dyDescent="0.2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5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75" x14ac:dyDescent="0.25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5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75" x14ac:dyDescent="0.25">
      <x:c r="B63" s="8"/>
      <x:c r="C63" s="511" t="s">
        <x:v>17</x:v>
      </x:c>
      <x:c r="D63" s="9">
        <x:f>D6</x:f>
        <x:v>46238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75" thickBot="1" x14ac:dyDescent="0.25">
      <x:c r="B64" s="8"/>
      <x:c r="C64" s="511" t="s">
        <x:v>0</x:v>
      </x:c>
      <x:c r="D64" s="198">
        <x:f>D7</x:f>
        <x:v>0.58333333333333337</x:v>
      </x:c>
      <x:c r="F64" s="2" t="s">
        <x:v>27</x:v>
      </x:c>
      <x:c r="G64" s="9">
        <x:f>G7</x:f>
        <x:v>46219</x:v>
      </x:c>
      <x:c r="J64" s="2" t="s">
        <x:v>28</x:v>
      </x:c>
      <x:c r="K64" s="9">
        <x:f>K7</x:f>
        <x:v>46234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46219</x:v>
      </x:c>
      <x:c r="W64" s="1" t="s">
        <x:v>1</x:v>
      </x:c>
      <x:c r="X64" s="1" t="str">
        <x:f>J64</x:f>
        <x:v>Feha Hasta:</x:v>
      </x:c>
      <x:c r="Y64" s="9">
        <x:f>K64</x:f>
        <x:v>46234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46" t="s">
        <x:v>39</x:v>
      </x:c>
      <x:c r="V65" s="147" t="s">
        <x:v>40</x:v>
      </x:c>
      <x:c r="W65" s="147" t="s">
        <x:v>41</x:v>
      </x:c>
      <x:c r="X65" s="147" t="s">
        <x:v>42</x:v>
      </x:c>
      <x:c r="Y65" s="148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167</x:v>
      </x:c>
      <x:c r="AD65" s="114" t="s">
        <x:v>107</x:v>
      </x:c>
      <x:c r="AE65" s="114" t="s">
        <x:v>106</x:v>
      </x:c>
      <x:c r="AF65" s="39" t="s">
        <x:v>23</x:v>
      </x:c>
      <x:c r="AG65" s="13"/>
      <x:c r="AI65" s="4"/>
    </x:row>
    <x:row r="66" spans="1:35" s="241" customFormat="1" x14ac:dyDescent="0.2">
      <x:c r="B66" s="239">
        <x:v>1</x:v>
      </x:c>
      <x:c r="C66" s="240" t="s">
        <x:v>10</x:v>
      </x:c>
      <x:c r="D66" s="227">
        <x:f>'Reversion Pagos R4'!D88</x:f>
        <x:v>0</x:v>
      </x:c>
      <x:c r="E66" s="228">
        <x:f>'Reversion Pagos R4'!E88</x:f>
        <x:v>0</x:v>
      </x:c>
      <x:c r="F66" s="228">
        <x:f>'Reversion Pagos R4'!F88</x:f>
        <x:v>0</x:v>
      </x:c>
      <x:c r="G66" s="228">
        <x:f>'Reversion Pagos R4'!G88</x:f>
        <x:v>0</x:v>
      </x:c>
      <x:c r="H66" s="228">
        <x:f>'Reversion Pagos R4'!H88</x:f>
        <x:v>0</x:v>
      </x:c>
      <x:c r="I66" s="228">
        <x:f>'Reversion Pagos R4'!I88</x:f>
        <x:v>0</x:v>
      </x:c>
      <x:c r="J66" s="224">
        <x:v>0</x:v>
      </x:c>
      <x:c r="K66" s="229">
        <x:f>D66-E66-F66-G66-H66-I66-J66</x:f>
        <x:v>0</x:v>
      </x:c>
      <x:c r="L66" s="230">
        <x:v>0</x:v>
      </x:c>
      <x:c r="M66" s="229">
        <x:f>K66-L66</x:f>
        <x:v>0</x:v>
      </x:c>
      <x:c r="N66" s="230">
        <x:f>'Reversion Pagos R4'!P88</x:f>
        <x:v>0</x:v>
      </x:c>
      <x:c r="O66" s="229">
        <x:f>M66+N66</x:f>
        <x:v>0</x:v>
      </x:c>
      <x:c r="Q66" s="242"/>
      <x:c r="S66" s="239">
        <x:v>1</x:v>
      </x:c>
      <x:c r="T66" s="240" t="s">
        <x:v>10</x:v>
      </x:c>
      <x:c r="U66" s="243">
        <x:f>'Reversion Pagos R4'!J88</x:f>
        <x:v>0</x:v>
      </x:c>
      <x:c r="V66" s="244">
        <x:f>'Reversion Pagos R4'!K88</x:f>
        <x:v>0</x:v>
      </x:c>
      <x:c r="W66" s="244">
        <x:f>'Reversion Pagos R4'!L88</x:f>
        <x:v>0</x:v>
      </x:c>
      <x:c r="X66" s="244">
        <x:f>'Reversion Pagos R4'!M88</x:f>
        <x:v>0</x:v>
      </x:c>
      <x:c r="Y66" s="244">
        <x:f>'Reversion Pagos R4'!N88</x:f>
        <x:v>0</x:v>
      </x:c>
      <x:c r="Z66" s="246">
        <x:f>-L66</x:f>
        <x:v>0</x:v>
      </x:c>
      <x:c r="AA66" s="247">
        <x:f>'Reversion Pagos R4'!O88+'Reversion Pagos R4'!Q88</x:f>
        <x:v>0</x:v>
      </x:c>
      <x:c r="AB66" s="230">
        <x:f>N66</x:f>
        <x:v>0</x:v>
      </x:c>
      <x:c r="AC66" s="247">
        <x:v>0</x:v>
      </x:c>
      <x:c r="AD66" s="227">
        <x:f>-J66+AE66</x:f>
        <x:v>0</x:v>
      </x:c>
      <x:c r="AE66" s="227">
        <x:f>'Reversion Pagos R4'!D89</x:f>
        <x:v>0</x:v>
      </x:c>
      <x:c r="AF66" s="249">
        <x:f>SUM(U66:AD66)</x:f>
        <x:v>0</x:v>
      </x:c>
      <x:c r="AG66" s="247">
        <x:f>(AF66-O66)</x:f>
        <x:v>0</x:v>
      </x:c>
      <x:c r="AH66" s="241" t="b">
        <x:f>INT(AG66)=0</x:f>
        <x:v>1</x:v>
      </x:c>
      <x:c r="AI66" s="242"/>
    </x:row>
    <x:row r="67" spans="1:35" s="241" customFormat="1" x14ac:dyDescent="0.2">
      <x:c r="B67" s="250">
        <x:v>2</x:v>
      </x:c>
      <x:c r="C67" s="251" t="s">
        <x:v>11</x:v>
      </x:c>
      <x:c r="D67" s="227">
        <x:f>'Reversion Pagos R4'!D183</x:f>
        <x:v>0</x:v>
      </x:c>
      <x:c r="E67" s="228">
        <x:f>'Reversion Pagos R4'!E183</x:f>
        <x:v>0</x:v>
      </x:c>
      <x:c r="F67" s="228">
        <x:f>'Reversion Pagos R4'!F183</x:f>
        <x:v>0</x:v>
      </x:c>
      <x:c r="G67" s="228">
        <x:f>'Reversion Pagos R4'!G183</x:f>
        <x:v>0</x:v>
      </x:c>
      <x:c r="H67" s="228">
        <x:f>'Reversion Pagos R4'!H183</x:f>
        <x:v>0</x:v>
      </x:c>
      <x:c r="I67" s="228">
        <x:f>'Reversion Pagos R4'!I183</x:f>
        <x:v>0</x:v>
      </x:c>
      <x:c r="J67" s="224">
        <x:v>0</x:v>
      </x:c>
      <x:c r="K67" s="231">
        <x:f t="shared" ref="K67:K70" si="24">D67-E67-F67-G67-H67-I67-J67</x:f>
        <x:v>0</x:v>
      </x:c>
      <x:c r="L67" s="230">
        <x:v>0</x:v>
      </x:c>
      <x:c r="M67" s="231">
        <x:f>K67-L67</x:f>
        <x:v>0</x:v>
      </x:c>
      <x:c r="N67" s="230">
        <x:f>'Reversion Pagos R4'!P183</x:f>
        <x:v>0</x:v>
      </x:c>
      <x:c r="O67" s="231">
        <x:f t="shared" ref="O67:O70" si="25">M67+N67</x:f>
        <x:v>0</x:v>
      </x:c>
      <x:c r="Q67" s="242"/>
      <x:c r="S67" s="250">
        <x:v>2</x:v>
      </x:c>
      <x:c r="T67" s="251" t="s">
        <x:v>11</x:v>
      </x:c>
      <x:c r="U67" s="252">
        <x:f>'Reversion Pagos R4'!J183</x:f>
        <x:v>0</x:v>
      </x:c>
      <x:c r="V67" s="253">
        <x:f>'Reversion Pagos R4'!K183</x:f>
        <x:v>0</x:v>
      </x:c>
      <x:c r="W67" s="253">
        <x:f>'Reversion Pagos R4'!L183</x:f>
        <x:v>0</x:v>
      </x:c>
      <x:c r="X67" s="253">
        <x:f>'Reversion Pagos R4'!M183</x:f>
        <x:v>0</x:v>
      </x:c>
      <x:c r="Y67" s="254">
        <x:f>'Reversion Pagos R4'!N183</x:f>
        <x:v>0</x:v>
      </x:c>
      <x:c r="Z67" s="255">
        <x:f t="shared" ref="Z67:Z70" si="26">-L67</x:f>
        <x:v>0</x:v>
      </x:c>
      <x:c r="AA67" s="256">
        <x:f>'Reversion Pagos R4'!O183</x:f>
        <x:v>0</x:v>
      </x:c>
      <x:c r="AB67" s="230">
        <x:f t="shared" ref="AB67:AB70" si="27">N67</x:f>
        <x:v>0</x:v>
      </x:c>
      <x:c r="AC67" s="256">
        <x:v>0</x:v>
      </x:c>
      <x:c r="AD67" s="227">
        <x:f t="shared" ref="AD67:AD70" si="28">-J67+AE67</x:f>
        <x:v>0</x:v>
      </x:c>
      <x:c r="AE67" s="227">
        <x:f>'Reversion Pagos R4'!D184</x:f>
        <x:v>0</x:v>
      </x:c>
      <x:c r="AF67" s="258">
        <x:f>SUM(U67:AD67)</x:f>
        <x:v>0</x:v>
      </x:c>
      <x:c r="AG67" s="259">
        <x:f>(AF67-O67)</x:f>
        <x:v>0</x:v>
      </x:c>
      <x:c r="AH67" s="241" t="b">
        <x:f t="shared" ref="AH67:AH70" si="29">INT(AG67)=0</x:f>
        <x:v>1</x:v>
      </x:c>
      <x:c r="AI67" s="242"/>
    </x:row>
    <x:row r="68" spans="1:35" s="241" customFormat="1" x14ac:dyDescent="0.2">
      <x:c r="B68" s="250">
        <x:v>3</x:v>
      </x:c>
      <x:c r="C68" s="251" t="s">
        <x:v>12</x:v>
      </x:c>
      <x:c r="D68" s="227">
        <x:f>'Reversion Pagos R4'!D220</x:f>
        <x:v>0</x:v>
      </x:c>
      <x:c r="E68" s="228">
        <x:f>'Reversion Pagos R4'!E220</x:f>
        <x:v>0</x:v>
      </x:c>
      <x:c r="F68" s="228">
        <x:f>'Reversion Pagos R4'!F220</x:f>
        <x:v>0</x:v>
      </x:c>
      <x:c r="G68" s="228">
        <x:f>'Reversion Pagos R4'!G220</x:f>
        <x:v>0</x:v>
      </x:c>
      <x:c r="H68" s="228">
        <x:f>'Reversion Pagos R4'!H220</x:f>
        <x:v>0</x:v>
      </x:c>
      <x:c r="I68" s="228">
        <x:f>'Reversion Pagos R4'!I220</x:f>
        <x:v>0</x:v>
      </x:c>
      <x:c r="J68" s="224">
        <x:v>0</x:v>
      </x:c>
      <x:c r="K68" s="231">
        <x:f t="shared" si="24"/>
        <x:v>0</x:v>
      </x:c>
      <x:c r="L68" s="230">
        <x:v>0</x:v>
      </x:c>
      <x:c r="M68" s="231">
        <x:f>K68-L68</x:f>
        <x:v>0</x:v>
      </x:c>
      <x:c r="N68" s="230">
        <x:f>'Reversion Pagos R4'!P220</x:f>
        <x:v>0</x:v>
      </x:c>
      <x:c r="O68" s="231">
        <x:f t="shared" si="25"/>
        <x:v>0</x:v>
      </x:c>
      <x:c r="Q68" s="242"/>
      <x:c r="S68" s="250">
        <x:v>3</x:v>
      </x:c>
      <x:c r="T68" s="251" t="s">
        <x:v>12</x:v>
      </x:c>
      <x:c r="U68" s="252">
        <x:f>'Reversion Pagos R4'!J220</x:f>
        <x:v>0</x:v>
      </x:c>
      <x:c r="V68" s="253">
        <x:f>'Reversion Pagos R4'!K220</x:f>
        <x:v>0</x:v>
      </x:c>
      <x:c r="W68" s="253">
        <x:f>'Reversion Pagos R4'!L220</x:f>
        <x:v>0</x:v>
      </x:c>
      <x:c r="X68" s="253">
        <x:f>'Reversion Pagos R4'!M220</x:f>
        <x:v>0</x:v>
      </x:c>
      <x:c r="Y68" s="254">
        <x:f>'Reversion Pagos R4'!N220</x:f>
        <x:v>0</x:v>
      </x:c>
      <x:c r="Z68" s="255">
        <x:f t="shared" si="26"/>
        <x:v>0</x:v>
      </x:c>
      <x:c r="AA68" s="256">
        <x:f>'Reversion Pagos R4'!O220</x:f>
        <x:v>0</x:v>
      </x:c>
      <x:c r="AB68" s="230">
        <x:f t="shared" si="27"/>
        <x:v>0</x:v>
      </x:c>
      <x:c r="AC68" s="256">
        <x:v>0</x:v>
      </x:c>
      <x:c r="AD68" s="227">
        <x:f t="shared" si="28"/>
        <x:v>0</x:v>
      </x:c>
      <x:c r="AE68" s="227">
        <x:f>'Reversion Pagos R4'!D221</x:f>
        <x:v>0</x:v>
      </x:c>
      <x:c r="AF68" s="258">
        <x:f t="shared" ref="AF68:AF70" si="30">SUM(U68:AD68)</x:f>
        <x:v>0</x:v>
      </x:c>
      <x:c r="AG68" s="259">
        <x:f t="shared" ref="AG68:AG70" si="31">(AF68-O68)</x:f>
        <x:v>0</x:v>
      </x:c>
      <x:c r="AH68" s="241" t="b">
        <x:f t="shared" si="29"/>
        <x:v>1</x:v>
      </x:c>
      <x:c r="AI68" s="242"/>
    </x:row>
    <x:row r="69" spans="1:35" s="241" customFormat="1" x14ac:dyDescent="0.2">
      <x:c r="B69" s="250">
        <x:v>4</x:v>
      </x:c>
      <x:c r="C69" s="251" t="s">
        <x:v>13</x:v>
      </x:c>
      <x:c r="D69" s="227">
        <x:f>'Reversion Pagos R4'!D335</x:f>
        <x:v>0</x:v>
      </x:c>
      <x:c r="E69" s="228">
        <x:f>'Reversion Pagos R4'!E335</x:f>
        <x:v>0</x:v>
      </x:c>
      <x:c r="F69" s="228">
        <x:f>'Reversion Pagos R4'!F335</x:f>
        <x:v>0</x:v>
      </x:c>
      <x:c r="G69" s="228">
        <x:f>'Reversion Pagos R4'!G335</x:f>
        <x:v>0</x:v>
      </x:c>
      <x:c r="H69" s="228">
        <x:f>'Reversion Pagos R4'!H335</x:f>
        <x:v>0</x:v>
      </x:c>
      <x:c r="I69" s="228">
        <x:f>'Reversion Pagos R4'!I335</x:f>
        <x:v>0</x:v>
      </x:c>
      <x:c r="J69" s="224">
        <x:v>0</x:v>
      </x:c>
      <x:c r="K69" s="231">
        <x:f t="shared" si="24"/>
        <x:v>0</x:v>
      </x:c>
      <x:c r="L69" s="230">
        <x:v>0</x:v>
      </x:c>
      <x:c r="M69" s="231">
        <x:f>K69-L69</x:f>
        <x:v>0</x:v>
      </x:c>
      <x:c r="N69" s="230">
        <x:f>'Reversion Pagos R4'!P335</x:f>
        <x:v>0</x:v>
      </x:c>
      <x:c r="O69" s="231">
        <x:f t="shared" si="25"/>
        <x:v>0</x:v>
      </x:c>
      <x:c r="Q69" s="242"/>
      <x:c r="S69" s="250">
        <x:v>4</x:v>
      </x:c>
      <x:c r="T69" s="251" t="s">
        <x:v>13</x:v>
      </x:c>
      <x:c r="U69" s="252">
        <x:f>'Reversion Pagos R4'!J335</x:f>
        <x:v>0</x:v>
      </x:c>
      <x:c r="V69" s="253">
        <x:f>'Reversion Pagos R4'!K335</x:f>
        <x:v>0</x:v>
      </x:c>
      <x:c r="W69" s="253">
        <x:f>'Reversion Pagos R4'!L335</x:f>
        <x:v>0</x:v>
      </x:c>
      <x:c r="X69" s="253">
        <x:f>'Reversion Pagos R4'!M335</x:f>
        <x:v>0</x:v>
      </x:c>
      <x:c r="Y69" s="254">
        <x:f>'Reversion Pagos R4'!N335</x:f>
        <x:v>0</x:v>
      </x:c>
      <x:c r="Z69" s="255">
        <x:f t="shared" si="26"/>
        <x:v>0</x:v>
      </x:c>
      <x:c r="AA69" s="256">
        <x:f>'Reversion Pagos R4'!O335</x:f>
        <x:v>0</x:v>
      </x:c>
      <x:c r="AB69" s="230">
        <x:f t="shared" si="27"/>
        <x:v>0</x:v>
      </x:c>
      <x:c r="AC69" s="256">
        <x:v>0</x:v>
      </x:c>
      <x:c r="AD69" s="227">
        <x:f t="shared" si="28"/>
        <x:v>0</x:v>
      </x:c>
      <x:c r="AE69" s="227">
        <x:f>'Reversion Pagos R4'!D336</x:f>
        <x:v>0</x:v>
      </x:c>
      <x:c r="AF69" s="258">
        <x:f>SUM(U69:AD69)</x:f>
        <x:v>0</x:v>
      </x:c>
      <x:c r="AG69" s="259">
        <x:f>(AF69-O69)</x:f>
        <x:v>0</x:v>
      </x:c>
      <x:c r="AH69" s="241" t="b">
        <x:f t="shared" si="29"/>
        <x:v>1</x:v>
      </x:c>
      <x:c r="AI69" s="242"/>
    </x:row>
    <x:row r="70" spans="1:35" s="241" customFormat="1" ht="12.75" thickBot="1" x14ac:dyDescent="0.25">
      <x:c r="B70" s="260">
        <x:v>5</x:v>
      </x:c>
      <x:c r="C70" s="261" t="s">
        <x:v>14</x:v>
      </x:c>
      <x:c r="D70" s="232">
        <x:f>'Reversion Pagos R4'!D370</x:f>
        <x:v>0</x:v>
      </x:c>
      <x:c r="E70" s="233">
        <x:f>'Reversion Pagos R4'!E370</x:f>
        <x:v>0</x:v>
      </x:c>
      <x:c r="F70" s="233">
        <x:f>'Reversion Pagos R4'!F370</x:f>
        <x:v>0</x:v>
      </x:c>
      <x:c r="G70" s="233">
        <x:f>'Reversion Pagos R4'!G370</x:f>
        <x:v>0</x:v>
      </x:c>
      <x:c r="H70" s="233">
        <x:f>'Reversion Pagos R4'!H370</x:f>
        <x:v>0</x:v>
      </x:c>
      <x:c r="I70" s="233">
        <x:f>'Reversion Pagos R4'!I370</x:f>
        <x:v>0</x:v>
      </x:c>
      <x:c r="J70" s="225">
        <x:v>0</x:v>
      </x:c>
      <x:c r="K70" s="231">
        <x:f t="shared" si="24"/>
        <x:v>0</x:v>
      </x:c>
      <x:c r="L70" s="230">
        <x:v>0</x:v>
      </x:c>
      <x:c r="M70" s="234">
        <x:f>K70-L70</x:f>
        <x:v>0</x:v>
      </x:c>
      <x:c r="N70" s="230">
        <x:f>'Reversion Pagos R4'!P370</x:f>
        <x:v>0</x:v>
      </x:c>
      <x:c r="O70" s="234">
        <x:f t="shared" si="25"/>
        <x:v>0</x:v>
      </x:c>
      <x:c r="Q70" s="242"/>
      <x:c r="S70" s="260">
        <x:v>5</x:v>
      </x:c>
      <x:c r="T70" s="261" t="s">
        <x:v>14</x:v>
      </x:c>
      <x:c r="U70" s="232">
        <x:f>'Reversion Pagos R4'!J370</x:f>
        <x:v>0</x:v>
      </x:c>
      <x:c r="V70" s="233">
        <x:f>'Reversion Pagos R4'!K370</x:f>
        <x:v>0</x:v>
      </x:c>
      <x:c r="W70" s="233">
        <x:f>'Reversion Pagos R4'!L370</x:f>
        <x:v>0</x:v>
      </x:c>
      <x:c r="X70" s="233">
        <x:f>'Reversion Pagos R4'!M370</x:f>
        <x:v>0</x:v>
      </x:c>
      <x:c r="Y70" s="225">
        <x:f>'Reversion Pagos R4'!N370</x:f>
        <x:v>0</x:v>
      </x:c>
      <x:c r="Z70" s="255">
        <x:f t="shared" si="26"/>
        <x:v>0</x:v>
      </x:c>
      <x:c r="AA70" s="256">
        <x:f>'Reversion Pagos R4'!O370</x:f>
        <x:v>0</x:v>
      </x:c>
      <x:c r="AB70" s="230">
        <x:f t="shared" si="27"/>
        <x:v>0</x:v>
      </x:c>
      <x:c r="AC70" s="256">
        <x:v>0</x:v>
      </x:c>
      <x:c r="AD70" s="227">
        <x:f t="shared" si="28"/>
        <x:v>0</x:v>
      </x:c>
      <x:c r="AE70" s="227">
        <x:f>'Reversion Pagos R4'!D371</x:f>
        <x:v>0</x:v>
      </x:c>
      <x:c r="AF70" s="258">
        <x:f t="shared" si="30"/>
        <x:v>0</x:v>
      </x:c>
      <x:c r="AG70" s="262">
        <x:f t="shared" si="31"/>
        <x:v>0</x:v>
      </x:c>
      <x:c r="AH70" s="241" t="b">
        <x:f t="shared" si="29"/>
        <x:v>1</x:v>
      </x:c>
      <x:c r="AI70" s="242"/>
    </x:row>
    <x:row r="71" spans="1:35" s="241" customFormat="1" ht="13.5" thickBot="1" x14ac:dyDescent="0.25">
      <x:c r="B71" s="263"/>
      <x:c r="C71" s="264" t="s">
        <x:v>2</x:v>
      </x:c>
      <x:c r="D71" s="226">
        <x:f t="shared" ref="D71:O71" si="32">SUM(D66:D70)</x:f>
        <x:v>0</x:v>
      </x:c>
      <x:c r="E71" s="226">
        <x:f t="shared" si="32"/>
        <x:v>0</x:v>
      </x:c>
      <x:c r="F71" s="226">
        <x:f t="shared" si="32"/>
        <x:v>0</x:v>
      </x:c>
      <x:c r="G71" s="226">
        <x:f t="shared" si="32"/>
        <x:v>0</x:v>
      </x:c>
      <x:c r="H71" s="226">
        <x:f t="shared" si="32"/>
        <x:v>0</x:v>
      </x:c>
      <x:c r="I71" s="226">
        <x:f t="shared" si="32"/>
        <x:v>0</x:v>
      </x:c>
      <x:c r="J71" s="226">
        <x:f t="shared" si="32"/>
        <x:v>0</x:v>
      </x:c>
      <x:c r="K71" s="236">
        <x:f t="shared" si="32"/>
        <x:v>0</x:v>
      </x:c>
      <x:c r="L71" s="237">
        <x:f t="shared" si="32"/>
        <x:v>0</x:v>
      </x:c>
      <x:c r="M71" s="238">
        <x:f t="shared" si="32"/>
        <x:v>0</x:v>
      </x:c>
      <x:c r="N71" s="237">
        <x:f t="shared" si="32"/>
        <x:v>0</x:v>
      </x:c>
      <x:c r="O71" s="238">
        <x:f t="shared" si="32"/>
        <x:v>0</x:v>
      </x:c>
      <x:c r="P71" s="265"/>
      <x:c r="Q71" s="242"/>
      <x:c r="S71" s="263"/>
      <x:c r="T71" s="264" t="s">
        <x:v>2</x:v>
      </x:c>
      <x:c r="U71" s="266">
        <x:f>SUM(U66:U70)</x:f>
        <x:v>0</x:v>
      </x:c>
      <x:c r="V71" s="266">
        <x:f t="shared" ref="V71:AG71" si="33">SUM(V66:V70)</x:f>
        <x:v>0</x:v>
      </x:c>
      <x:c r="W71" s="266">
        <x:f t="shared" si="33"/>
        <x:v>0</x:v>
      </x:c>
      <x:c r="X71" s="266">
        <x:f t="shared" si="33"/>
        <x:v>0</x:v>
      </x:c>
      <x:c r="Y71" s="266">
        <x:f t="shared" si="33"/>
        <x:v>0</x:v>
      </x:c>
      <x:c r="Z71" s="226">
        <x:f t="shared" si="33"/>
        <x:v>0</x:v>
      </x:c>
      <x:c r="AA71" s="226">
        <x:f>SUM(AA66:AA70)</x:f>
        <x:v>0</x:v>
      </x:c>
      <x:c r="AB71" s="226">
        <x:f t="shared" si="33"/>
        <x:v>0</x:v>
      </x:c>
      <x:c r="AC71" s="226">
        <x:f t="shared" si="33"/>
        <x:v>0</x:v>
      </x:c>
      <x:c r="AD71" s="226">
        <x:f>SUM(AD66:AD70)</x:f>
        <x:v>0</x:v>
      </x:c>
      <x:c r="AE71" s="226">
        <x:f>SUM(AE66:AE70)</x:f>
        <x:v>0</x:v>
      </x:c>
      <x:c r="AF71" s="267">
        <x:f t="shared" si="33"/>
        <x:v>0</x:v>
      </x:c>
      <x:c r="AG71" s="268">
        <x:f t="shared" si="33"/>
        <x:v>0</x:v>
      </x:c>
      <x:c r="AH71" s="241" t="b">
        <x:f>INT(AG71)=0</x:f>
        <x:v>1</x:v>
      </x:c>
      <x:c r="AI71" s="242"/>
    </x:row>
    <x:row r="72" spans="1:35" ht="12.75" thickBot="1" x14ac:dyDescent="0.25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75" thickBot="1" x14ac:dyDescent="0.25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75" thickBot="1" x14ac:dyDescent="0.25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x14ac:dyDescent="0.2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x14ac:dyDescent="0.2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.75" thickBot="1" x14ac:dyDescent="0.25">
      <x:c r="Q77" s="4"/>
      <x:c r="AI77" s="4"/>
    </x:row>
    <x:row r="78" spans="1:35" x14ac:dyDescent="0.2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5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75" x14ac:dyDescent="0.25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5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75" x14ac:dyDescent="0.25">
      <x:c r="B82" s="8"/>
      <x:c r="C82" s="511" t="s">
        <x:v>17</x:v>
      </x:c>
      <x:c r="D82" s="9">
        <x:f>D6</x:f>
        <x:v>46238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75" thickBot="1" x14ac:dyDescent="0.25">
      <x:c r="B83" s="8"/>
      <x:c r="C83" s="511" t="s">
        <x:v>0</x:v>
      </x:c>
      <x:c r="D83" s="198">
        <x:f>D7</x:f>
        <x:v>0.58333333333333337</x:v>
      </x:c>
      <x:c r="F83" s="2" t="s">
        <x:v>27</x:v>
      </x:c>
      <x:c r="G83" s="9">
        <x:f>G7</x:f>
        <x:v>46219</x:v>
      </x:c>
      <x:c r="J83" s="2" t="s">
        <x:v>28</x:v>
      </x:c>
      <x:c r="K83" s="9">
        <x:f>K7</x:f>
        <x:v>46234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46219</x:v>
      </x:c>
      <x:c r="W83" s="1" t="s">
        <x:v>1</x:v>
      </x:c>
      <x:c r="X83" s="1" t="str">
        <x:f>J83</x:f>
        <x:v>Feha Hasta:</x:v>
      </x:c>
      <x:c r="Y83" s="9">
        <x:f>K83</x:f>
        <x:v>46234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46" t="s">
        <x:v>39</x:v>
      </x:c>
      <x:c r="V84" s="147" t="s">
        <x:v>40</x:v>
      </x:c>
      <x:c r="W84" s="147" t="s">
        <x:v>41</x:v>
      </x:c>
      <x:c r="X84" s="147" t="s">
        <x:v>42</x:v>
      </x:c>
      <x:c r="Y84" s="148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167</x:v>
      </x:c>
      <x:c r="AD84" s="114" t="s">
        <x:v>105</x:v>
      </x:c>
      <x:c r="AE84" s="114" t="s">
        <x:v>104</x:v>
      </x:c>
      <x:c r="AF84" s="39" t="s">
        <x:v>23</x:v>
      </x:c>
      <x:c r="AG84" s="13"/>
      <x:c r="AI84" s="4"/>
    </x:row>
    <x:row r="85" spans="1:35" s="241" customFormat="1" x14ac:dyDescent="0.2">
      <x:c r="B85" s="239">
        <x:v>1</x:v>
      </x:c>
      <x:c r="C85" s="240" t="s">
        <x:v>10</x:v>
      </x:c>
      <x:c r="D85" s="227">
        <x:v>0</x:v>
      </x:c>
      <x:c r="E85" s="228">
        <x:v>0</x:v>
      </x:c>
      <x:c r="F85" s="228">
        <x:v>0</x:v>
      </x:c>
      <x:c r="G85" s="228">
        <x:v>0</x:v>
      </x:c>
      <x:c r="H85" s="228">
        <x:v>0</x:v>
      </x:c>
      <x:c r="I85" s="228">
        <x:v>0</x:v>
      </x:c>
      <x:c r="J85" s="224">
        <x:v>0</x:v>
      </x:c>
      <x:c r="K85" s="229">
        <x:f>D85-E85-F85-G85-H85-I85-J85</x:f>
        <x:v>0</x:v>
      </x:c>
      <x:c r="L85" s="230">
        <x:v>0</x:v>
      </x:c>
      <x:c r="M85" s="229">
        <x:f>K85-L85</x:f>
        <x:v>0</x:v>
      </x:c>
      <x:c r="N85" s="230">
        <x:v>0</x:v>
      </x:c>
      <x:c r="O85" s="229">
        <x:f>M85+N85</x:f>
        <x:v>0</x:v>
      </x:c>
      <x:c r="Q85" s="242"/>
      <x:c r="S85" s="239">
        <x:v>1</x:v>
      </x:c>
      <x:c r="T85" s="240" t="s">
        <x:v>10</x:v>
      </x:c>
      <x:c r="U85" s="243">
        <x:v>0</x:v>
      </x:c>
      <x:c r="V85" s="244">
        <x:v>0</x:v>
      </x:c>
      <x:c r="W85" s="244">
        <x:v>0</x:v>
      </x:c>
      <x:c r="X85" s="244">
        <x:v>0</x:v>
      </x:c>
      <x:c r="Y85" s="245">
        <x:v>0</x:v>
      </x:c>
      <x:c r="Z85" s="246">
        <x:f>-L85</x:f>
        <x:v>0</x:v>
      </x:c>
      <x:c r="AA85" s="247">
        <x:v>0</x:v>
      </x:c>
      <x:c r="AB85" s="230">
        <x:f>N85</x:f>
        <x:v>0</x:v>
      </x:c>
      <x:c r="AC85" s="247">
        <x:v>0</x:v>
      </x:c>
      <x:c r="AD85" s="227">
        <x:f>-J85+AE85</x:f>
        <x:v>0</x:v>
      </x:c>
      <x:c r="AE85" s="227">
        <x:v>0</x:v>
      </x:c>
      <x:c r="AF85" s="249">
        <x:f>SUM(U85:AD85)</x:f>
        <x:v>0</x:v>
      </x:c>
      <x:c r="AG85" s="247">
        <x:f>AF85-O85</x:f>
        <x:v>0</x:v>
      </x:c>
      <x:c r="AH85" s="241" t="b">
        <x:f>INT(AG85)=0</x:f>
        <x:v>1</x:v>
      </x:c>
      <x:c r="AI85" s="242"/>
    </x:row>
    <x:row r="86" spans="1:35" s="241" customFormat="1" x14ac:dyDescent="0.2">
      <x:c r="B86" s="250">
        <x:v>2</x:v>
      </x:c>
      <x:c r="C86" s="251" t="s">
        <x:v>11</x:v>
      </x:c>
      <x:c r="D86" s="227">
        <x:v>0</x:v>
      </x:c>
      <x:c r="E86" s="228">
        <x:v>0</x:v>
      </x:c>
      <x:c r="F86" s="228">
        <x:v>0</x:v>
      </x:c>
      <x:c r="G86" s="228">
        <x:v>0</x:v>
      </x:c>
      <x:c r="H86" s="228">
        <x:v>0</x:v>
      </x:c>
      <x:c r="I86" s="228">
        <x:v>0</x:v>
      </x:c>
      <x:c r="J86" s="224">
        <x:v>0</x:v>
      </x:c>
      <x:c r="K86" s="231">
        <x:f t="shared" ref="K86:K89" si="34">D86-E86-F86-G86-H86-I86-J86</x:f>
        <x:v>0</x:v>
      </x:c>
      <x:c r="L86" s="230">
        <x:v>0</x:v>
      </x:c>
      <x:c r="M86" s="231">
        <x:f>K86-L86</x:f>
        <x:v>0</x:v>
      </x:c>
      <x:c r="N86" s="230">
        <x:v>0</x:v>
      </x:c>
      <x:c r="O86" s="231">
        <x:f t="shared" ref="O86:O89" si="35">M86+N86</x:f>
        <x:v>0</x:v>
      </x:c>
      <x:c r="Q86" s="242"/>
      <x:c r="S86" s="250">
        <x:v>2</x:v>
      </x:c>
      <x:c r="T86" s="251" t="s">
        <x:v>11</x:v>
      </x:c>
      <x:c r="U86" s="252">
        <x:v>0</x:v>
      </x:c>
      <x:c r="V86" s="253">
        <x:v>0</x:v>
      </x:c>
      <x:c r="W86" s="253">
        <x:v>0</x:v>
      </x:c>
      <x:c r="X86" s="253">
        <x:v>0</x:v>
      </x:c>
      <x:c r="Y86" s="254">
        <x:v>0</x:v>
      </x:c>
      <x:c r="Z86" s="255">
        <x:f>-L86</x:f>
        <x:v>0</x:v>
      </x:c>
      <x:c r="AA86" s="256">
        <x:v>0</x:v>
      </x:c>
      <x:c r="AB86" s="230">
        <x:f>N86</x:f>
        <x:v>0</x:v>
      </x:c>
      <x:c r="AC86" s="256">
        <x:v>0</x:v>
      </x:c>
      <x:c r="AD86" s="227">
        <x:f t="shared" ref="AD86:AD89" si="36">-J86+AE86</x:f>
        <x:v>0</x:v>
      </x:c>
      <x:c r="AE86" s="227">
        <x:v>0</x:v>
      </x:c>
      <x:c r="AF86" s="258">
        <x:f>SUM(U86:AD86)</x:f>
        <x:v>0</x:v>
      </x:c>
      <x:c r="AG86" s="259">
        <x:f>AF86-O86</x:f>
        <x:v>0</x:v>
      </x:c>
      <x:c r="AH86" s="241" t="b">
        <x:f t="shared" ref="AH86:AH89" si="37">INT(AG86)=0</x:f>
        <x:v>1</x:v>
      </x:c>
      <x:c r="AI86" s="242"/>
    </x:row>
    <x:row r="87" spans="1:35" s="241" customFormat="1" x14ac:dyDescent="0.2">
      <x:c r="B87" s="250">
        <x:v>3</x:v>
      </x:c>
      <x:c r="C87" s="251" t="s">
        <x:v>12</x:v>
      </x:c>
      <x:c r="D87" s="227">
        <x:v>0</x:v>
      </x:c>
      <x:c r="E87" s="228">
        <x:v>0</x:v>
      </x:c>
      <x:c r="F87" s="228">
        <x:v>0</x:v>
      </x:c>
      <x:c r="G87" s="228">
        <x:v>0</x:v>
      </x:c>
      <x:c r="H87" s="228">
        <x:v>0</x:v>
      </x:c>
      <x:c r="I87" s="228">
        <x:v>0</x:v>
      </x:c>
      <x:c r="J87" s="224">
        <x:v>0</x:v>
      </x:c>
      <x:c r="K87" s="231">
        <x:f t="shared" si="34"/>
        <x:v>0</x:v>
      </x:c>
      <x:c r="L87" s="230">
        <x:v>0</x:v>
      </x:c>
      <x:c r="M87" s="231">
        <x:f>K87-L87</x:f>
        <x:v>0</x:v>
      </x:c>
      <x:c r="N87" s="230">
        <x:v>0</x:v>
      </x:c>
      <x:c r="O87" s="231">
        <x:f t="shared" si="35"/>
        <x:v>0</x:v>
      </x:c>
      <x:c r="Q87" s="242"/>
      <x:c r="S87" s="250">
        <x:v>3</x:v>
      </x:c>
      <x:c r="T87" s="251" t="s">
        <x:v>12</x:v>
      </x:c>
      <x:c r="U87" s="252">
        <x:v>0</x:v>
      </x:c>
      <x:c r="V87" s="253">
        <x:v>0</x:v>
      </x:c>
      <x:c r="W87" s="253">
        <x:v>0</x:v>
      </x:c>
      <x:c r="X87" s="253">
        <x:v>0</x:v>
      </x:c>
      <x:c r="Y87" s="254">
        <x:v>0</x:v>
      </x:c>
      <x:c r="Z87" s="255">
        <x:f>-L87</x:f>
        <x:v>0</x:v>
      </x:c>
      <x:c r="AA87" s="256">
        <x:v>0</x:v>
      </x:c>
      <x:c r="AB87" s="230">
        <x:f>N87</x:f>
        <x:v>0</x:v>
      </x:c>
      <x:c r="AC87" s="256">
        <x:v>0</x:v>
      </x:c>
      <x:c r="AD87" s="227">
        <x:f t="shared" si="36"/>
        <x:v>0</x:v>
      </x:c>
      <x:c r="AE87" s="227">
        <x:v>0</x:v>
      </x:c>
      <x:c r="AF87" s="258">
        <x:f t="shared" ref="AF87:AF89" si="38">SUM(U87:AD87)</x:f>
        <x:v>0</x:v>
      </x:c>
      <x:c r="AG87" s="259">
        <x:f>AF87-O87</x:f>
        <x:v>0</x:v>
      </x:c>
      <x:c r="AH87" s="241" t="b">
        <x:f t="shared" si="37"/>
        <x:v>1</x:v>
      </x:c>
      <x:c r="AI87" s="242"/>
    </x:row>
    <x:row r="88" spans="1:35" s="241" customFormat="1" x14ac:dyDescent="0.2">
      <x:c r="B88" s="250">
        <x:v>4</x:v>
      </x:c>
      <x:c r="C88" s="251" t="s">
        <x:v>13</x:v>
      </x:c>
      <x:c r="D88" s="227">
        <x:v>0</x:v>
      </x:c>
      <x:c r="E88" s="228">
        <x:v>0</x:v>
      </x:c>
      <x:c r="F88" s="228">
        <x:v>0</x:v>
      </x:c>
      <x:c r="G88" s="228">
        <x:v>0</x:v>
      </x:c>
      <x:c r="H88" s="228">
        <x:v>0</x:v>
      </x:c>
      <x:c r="I88" s="228">
        <x:v>0</x:v>
      </x:c>
      <x:c r="J88" s="224">
        <x:v>0</x:v>
      </x:c>
      <x:c r="K88" s="231">
        <x:f t="shared" si="34"/>
        <x:v>0</x:v>
      </x:c>
      <x:c r="L88" s="230">
        <x:v>0</x:v>
      </x:c>
      <x:c r="M88" s="231">
        <x:f>K88-L88</x:f>
        <x:v>0</x:v>
      </x:c>
      <x:c r="N88" s="230">
        <x:v>0</x:v>
      </x:c>
      <x:c r="O88" s="231">
        <x:f t="shared" si="35"/>
        <x:v>0</x:v>
      </x:c>
      <x:c r="Q88" s="242"/>
      <x:c r="S88" s="250">
        <x:v>4</x:v>
      </x:c>
      <x:c r="T88" s="251" t="s">
        <x:v>13</x:v>
      </x:c>
      <x:c r="U88" s="252">
        <x:v>0</x:v>
      </x:c>
      <x:c r="V88" s="253">
        <x:v>0</x:v>
      </x:c>
      <x:c r="W88" s="253">
        <x:v>0</x:v>
      </x:c>
      <x:c r="X88" s="253">
        <x:v>0</x:v>
      </x:c>
      <x:c r="Y88" s="254">
        <x:v>0</x:v>
      </x:c>
      <x:c r="Z88" s="255">
        <x:f>-L88</x:f>
        <x:v>0</x:v>
      </x:c>
      <x:c r="AA88" s="256">
        <x:v>0</x:v>
      </x:c>
      <x:c r="AB88" s="230">
        <x:f>N88</x:f>
        <x:v>0</x:v>
      </x:c>
      <x:c r="AC88" s="256">
        <x:v>0</x:v>
      </x:c>
      <x:c r="AD88" s="227">
        <x:f t="shared" si="36"/>
        <x:v>0</x:v>
      </x:c>
      <x:c r="AE88" s="227">
        <x:v>0</x:v>
      </x:c>
      <x:c r="AF88" s="258">
        <x:f t="shared" si="38"/>
        <x:v>0</x:v>
      </x:c>
      <x:c r="AG88" s="259">
        <x:f>AF88-O88</x:f>
        <x:v>0</x:v>
      </x:c>
      <x:c r="AH88" s="241" t="b">
        <x:f t="shared" si="37"/>
        <x:v>1</x:v>
      </x:c>
      <x:c r="AI88" s="242"/>
    </x:row>
    <x:row r="89" spans="1:35" s="241" customFormat="1" ht="12.75" thickBot="1" x14ac:dyDescent="0.25">
      <x:c r="B89" s="260">
        <x:v>5</x:v>
      </x:c>
      <x:c r="C89" s="261" t="s">
        <x:v>14</x:v>
      </x:c>
      <x:c r="D89" s="232">
        <x:v>0</x:v>
      </x:c>
      <x:c r="E89" s="233">
        <x:v>0</x:v>
      </x:c>
      <x:c r="F89" s="233">
        <x:v>0</x:v>
      </x:c>
      <x:c r="G89" s="233">
        <x:v>0</x:v>
      </x:c>
      <x:c r="H89" s="233">
        <x:v>0</x:v>
      </x:c>
      <x:c r="I89" s="233">
        <x:v>0</x:v>
      </x:c>
      <x:c r="J89" s="225">
        <x:v>0</x:v>
      </x:c>
      <x:c r="K89" s="231">
        <x:f t="shared" si="34"/>
        <x:v>0</x:v>
      </x:c>
      <x:c r="L89" s="230">
        <x:v>0</x:v>
      </x:c>
      <x:c r="M89" s="234">
        <x:f>K89-L89</x:f>
        <x:v>0</x:v>
      </x:c>
      <x:c r="N89" s="235">
        <x:v>0</x:v>
      </x:c>
      <x:c r="O89" s="234">
        <x:f t="shared" si="35"/>
        <x:v>0</x:v>
      </x:c>
      <x:c r="Q89" s="242"/>
      <x:c r="S89" s="260">
        <x:v>5</x:v>
      </x:c>
      <x:c r="T89" s="261" t="s">
        <x:v>14</x:v>
      </x:c>
      <x:c r="U89" s="232">
        <x:v>0</x:v>
      </x:c>
      <x:c r="V89" s="233">
        <x:v>0</x:v>
      </x:c>
      <x:c r="W89" s="233">
        <x:v>0</x:v>
      </x:c>
      <x:c r="X89" s="233">
        <x:v>0</x:v>
      </x:c>
      <x:c r="Y89" s="225">
        <x:v>0</x:v>
      </x:c>
      <x:c r="Z89" s="255">
        <x:f>-L89</x:f>
        <x:v>0</x:v>
      </x:c>
      <x:c r="AA89" s="256">
        <x:v>0</x:v>
      </x:c>
      <x:c r="AB89" s="230">
        <x:f>N89</x:f>
        <x:v>0</x:v>
      </x:c>
      <x:c r="AC89" s="256">
        <x:v>0</x:v>
      </x:c>
      <x:c r="AD89" s="227">
        <x:f t="shared" si="36"/>
        <x:v>0</x:v>
      </x:c>
      <x:c r="AE89" s="227">
        <x:v>0</x:v>
      </x:c>
      <x:c r="AF89" s="258">
        <x:f t="shared" si="38"/>
        <x:v>0</x:v>
      </x:c>
      <x:c r="AG89" s="262">
        <x:f>AF89-O89</x:f>
        <x:v>0</x:v>
      </x:c>
      <x:c r="AH89" s="241" t="b">
        <x:f t="shared" si="37"/>
        <x:v>1</x:v>
      </x:c>
      <x:c r="AI89" s="242"/>
    </x:row>
    <x:row r="90" spans="1:35" s="241" customFormat="1" ht="13.5" thickBot="1" x14ac:dyDescent="0.25">
      <x:c r="B90" s="263"/>
      <x:c r="C90" s="264" t="s">
        <x:v>2</x:v>
      </x:c>
      <x:c r="D90" s="226">
        <x:f t="shared" ref="D90:O90" si="39">SUM(D85:D89)</x:f>
        <x:v>0</x:v>
      </x:c>
      <x:c r="E90" s="226">
        <x:f t="shared" si="39"/>
        <x:v>0</x:v>
      </x:c>
      <x:c r="F90" s="226">
        <x:f t="shared" si="39"/>
        <x:v>0</x:v>
      </x:c>
      <x:c r="G90" s="226">
        <x:f t="shared" si="39"/>
        <x:v>0</x:v>
      </x:c>
      <x:c r="H90" s="226">
        <x:f t="shared" si="39"/>
        <x:v>0</x:v>
      </x:c>
      <x:c r="I90" s="226">
        <x:f t="shared" si="39"/>
        <x:v>0</x:v>
      </x:c>
      <x:c r="J90" s="226">
        <x:f t="shared" si="39"/>
        <x:v>0</x:v>
      </x:c>
      <x:c r="K90" s="236">
        <x:f t="shared" si="39"/>
        <x:v>0</x:v>
      </x:c>
      <x:c r="L90" s="237">
        <x:f t="shared" si="39"/>
        <x:v>0</x:v>
      </x:c>
      <x:c r="M90" s="238">
        <x:f t="shared" si="39"/>
        <x:v>0</x:v>
      </x:c>
      <x:c r="N90" s="237">
        <x:f t="shared" si="39"/>
        <x:v>0</x:v>
      </x:c>
      <x:c r="O90" s="238">
        <x:f t="shared" si="39"/>
        <x:v>0</x:v>
      </x:c>
      <x:c r="P90" s="265"/>
      <x:c r="Q90" s="242"/>
      <x:c r="S90" s="263"/>
      <x:c r="T90" s="264" t="s">
        <x:v>2</x:v>
      </x:c>
      <x:c r="U90" s="266">
        <x:f>SUM(U85:U89)</x:f>
        <x:v>0</x:v>
      </x:c>
      <x:c r="V90" s="266">
        <x:f t="shared" ref="V90:AG90" si="40">SUM(V85:V89)</x:f>
        <x:v>0</x:v>
      </x:c>
      <x:c r="W90" s="266">
        <x:f t="shared" si="40"/>
        <x:v>0</x:v>
      </x:c>
      <x:c r="X90" s="266">
        <x:f t="shared" si="40"/>
        <x:v>0</x:v>
      </x:c>
      <x:c r="Y90" s="266">
        <x:f t="shared" si="40"/>
        <x:v>0</x:v>
      </x:c>
      <x:c r="Z90" s="226">
        <x:f t="shared" si="40"/>
        <x:v>0</x:v>
      </x:c>
      <x:c r="AA90" s="226">
        <x:f t="shared" si="40"/>
        <x:v>0</x:v>
      </x:c>
      <x:c r="AB90" s="226">
        <x:f t="shared" si="40"/>
        <x:v>0</x:v>
      </x:c>
      <x:c r="AC90" s="226">
        <x:f t="shared" si="40"/>
        <x:v>0</x:v>
      </x:c>
      <x:c r="AD90" s="226">
        <x:f t="shared" si="40"/>
        <x:v>0</x:v>
      </x:c>
      <x:c r="AE90" s="226">
        <x:f t="shared" si="40"/>
        <x:v>0</x:v>
      </x:c>
      <x:c r="AF90" s="267">
        <x:f t="shared" si="40"/>
        <x:v>0</x:v>
      </x:c>
      <x:c r="AG90" s="268">
        <x:f t="shared" si="40"/>
        <x:v>0</x:v>
      </x:c>
      <x:c r="AH90" s="241" t="b">
        <x:f>INT(AG90)=0</x:f>
        <x:v>1</x:v>
      </x:c>
      <x:c r="AI90" s="242"/>
    </x:row>
    <x:row r="91" spans="1:35" ht="12.75" thickBot="1" x14ac:dyDescent="0.25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75" thickBot="1" x14ac:dyDescent="0.25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75" thickBot="1" x14ac:dyDescent="0.25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x14ac:dyDescent="0.2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x14ac:dyDescent="0.2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.75" thickBot="1" x14ac:dyDescent="0.25">
      <x:c r="Q96" s="4"/>
      <x:c r="AI96" s="4"/>
    </x:row>
    <x:row r="97" spans="2:36" x14ac:dyDescent="0.2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5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75" x14ac:dyDescent="0.25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5" x14ac:dyDescent="0.25">
      <x:c r="B100" s="8"/>
      <x:c r="F100" s="2" t="s">
        <x:v>30</x:v>
      </x:c>
      <x:c r="G100" s="2"/>
      <x:c r="L100" s="90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75" x14ac:dyDescent="0.25">
      <x:c r="B101" s="8"/>
      <x:c r="C101" s="511" t="s">
        <x:v>17</x:v>
      </x:c>
      <x:c r="D101" s="9">
        <x:f>D6</x:f>
        <x:v>46238</x:v>
      </x:c>
      <x:c r="F101" s="58" t="s">
        <x:v>220</x:v>
      </x:c>
      <x:c r="G101" s="58"/>
      <x:c r="H101" s="59"/>
      <x:c r="I101" s="60"/>
      <x:c r="J101" s="59"/>
      <x:c r="K101" s="60"/>
      <x:c r="L101" s="90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8" thickBot="1" x14ac:dyDescent="0.35">
      <x:c r="B102" s="8"/>
      <x:c r="C102" s="511" t="s">
        <x:v>0</x:v>
      </x:c>
      <x:c r="D102" s="198">
        <x:f>D7</x:f>
        <x:v>0.58333333333333337</x:v>
      </x:c>
      <x:c r="F102" s="2" t="s">
        <x:v>27</x:v>
      </x:c>
      <x:c r="G102" s="9">
        <x:f>G7</x:f>
        <x:v>46219</x:v>
      </x:c>
      <x:c r="J102" s="2" t="s">
        <x:v>28</x:v>
      </x:c>
      <x:c r="K102" s="9">
        <x:f>K7</x:f>
        <x:v>46234</x:v>
      </x:c>
      <x:c r="L102" s="91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46219</x:v>
      </x:c>
      <x:c r="W102" s="1" t="s">
        <x:v>1</x:v>
      </x:c>
      <x:c r="X102" s="1" t="str">
        <x:f>J102</x:f>
        <x:v>Feha Hasta:</x:v>
      </x:c>
      <x:c r="Y102" s="9">
        <x:f>K102</x:f>
        <x:v>46234</x:v>
      </x:c>
      <x:c r="Z102" s="1" t="s">
        <x:v>1</x:v>
      </x:c>
      <x:c r="AF102" s="48"/>
      <x:c r="AG102" s="2"/>
      <x:c r="AI102" s="4"/>
      <x:c r="AJ102" s="105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46" t="s">
        <x:v>39</x:v>
      </x:c>
      <x:c r="V103" s="147" t="s">
        <x:v>40</x:v>
      </x:c>
      <x:c r="W103" s="147" t="s">
        <x:v>41</x:v>
      </x:c>
      <x:c r="X103" s="147" t="s">
        <x:v>42</x:v>
      </x:c>
      <x:c r="Y103" s="148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167</x:v>
      </x:c>
      <x:c r="AD103" s="114" t="s">
        <x:v>105</x:v>
      </x:c>
      <x:c r="AE103" s="114" t="s">
        <x:v>104</x:v>
      </x:c>
      <x:c r="AF103" s="39" t="s">
        <x:v>23</x:v>
      </x:c>
      <x:c r="AG103" s="13"/>
      <x:c r="AI103" s="4"/>
    </x:row>
    <x:row r="104" spans="2:36" s="241" customFormat="1" x14ac:dyDescent="0.2">
      <x:c r="B104" s="239">
        <x:v>1</x:v>
      </x:c>
      <x:c r="C104" s="240" t="s">
        <x:v>10</x:v>
      </x:c>
      <x:c r="D104" s="227">
        <x:f t="shared" ref="D104:J108" si="41">D9+D28+D47+D66+D85</x:f>
        <x:v>0</x:v>
      </x:c>
      <x:c r="E104" s="228">
        <x:f t="shared" si="41"/>
        <x:v>0</x:v>
      </x:c>
      <x:c r="F104" s="228">
        <x:f t="shared" si="41"/>
        <x:v>0</x:v>
      </x:c>
      <x:c r="G104" s="228">
        <x:f t="shared" si="41"/>
        <x:v>0</x:v>
      </x:c>
      <x:c r="H104" s="228">
        <x:f t="shared" si="41"/>
        <x:v>0</x:v>
      </x:c>
      <x:c r="I104" s="228">
        <x:f t="shared" si="41"/>
        <x:v>0</x:v>
      </x:c>
      <x:c r="J104" s="224">
        <x:f t="shared" si="41"/>
        <x:v>0</x:v>
      </x:c>
      <x:c r="K104" s="229">
        <x:f>D104-E104-F104-G104-H104-I104-J104</x:f>
        <x:v>0</x:v>
      </x:c>
      <x:c r="L104" s="230">
        <x:f>L9+L28+L47+L66+L85</x:f>
        <x:v>0</x:v>
      </x:c>
      <x:c r="M104" s="229">
        <x:f>K104-L104</x:f>
        <x:v>0</x:v>
      </x:c>
      <x:c r="N104" s="230">
        <x:f>N9+N28+N47+N66+N85</x:f>
        <x:v>0</x:v>
      </x:c>
      <x:c r="O104" s="229">
        <x:f>M104+N104</x:f>
        <x:v>0</x:v>
      </x:c>
      <x:c r="Q104" s="242"/>
      <x:c r="S104" s="239">
        <x:v>1</x:v>
      </x:c>
      <x:c r="T104" s="240" t="s">
        <x:v>10</x:v>
      </x:c>
      <x:c r="U104" s="243">
        <x:f t="shared" ref="U104:AB108" si="42">U9+U28+U47+U66+U85</x:f>
        <x:v>0</x:v>
      </x:c>
      <x:c r="V104" s="244">
        <x:f t="shared" si="42"/>
        <x:v>0</x:v>
      </x:c>
      <x:c r="W104" s="244">
        <x:f t="shared" si="42"/>
        <x:v>0</x:v>
      </x:c>
      <x:c r="X104" s="244">
        <x:f t="shared" si="42"/>
        <x:v>0</x:v>
      </x:c>
      <x:c r="Y104" s="245">
        <x:f t="shared" si="42"/>
        <x:v>0</x:v>
      </x:c>
      <x:c r="Z104" s="246">
        <x:f t="shared" si="42"/>
        <x:v>0</x:v>
      </x:c>
      <x:c r="AA104" s="247">
        <x:f t="shared" si="42"/>
        <x:v>0</x:v>
      </x:c>
      <x:c r="AB104" s="230">
        <x:f t="shared" si="42"/>
        <x:v>0</x:v>
      </x:c>
      <x:c r="AC104" s="247">
        <x:f t="shared" ref="AC104" si="43">AC9+AC28+AC47+AC66+AC85</x:f>
        <x:v>0</x:v>
      </x:c>
      <x:c r="AD104" s="227">
        <x:f>-J104+AE104</x:f>
        <x:v>0</x:v>
      </x:c>
      <x:c r="AE104" s="227">
        <x:f>AE9+AE28+AE47+AE66+AE85</x:f>
        <x:v>0</x:v>
      </x:c>
      <x:c r="AF104" s="249">
        <x:f>SUM(U104:AD104)</x:f>
        <x:v>0</x:v>
      </x:c>
      <x:c r="AG104" s="247">
        <x:f>AF104-O104</x:f>
        <x:v>0</x:v>
      </x:c>
      <x:c r="AH104" s="1" t="b">
        <x:f t="shared" ref="AH104:AH109" si="44">INT(ABS(AG104))=0</x:f>
        <x:v>1</x:v>
      </x:c>
      <x:c r="AI104" s="242"/>
    </x:row>
    <x:row r="105" spans="2:36" s="241" customFormat="1" x14ac:dyDescent="0.2">
      <x:c r="B105" s="250">
        <x:v>2</x:v>
      </x:c>
      <x:c r="C105" s="251" t="s">
        <x:v>11</x:v>
      </x:c>
      <x:c r="D105" s="227">
        <x:f t="shared" si="41"/>
        <x:v>0</x:v>
      </x:c>
      <x:c r="E105" s="228">
        <x:f t="shared" si="41"/>
        <x:v>0</x:v>
      </x:c>
      <x:c r="F105" s="228">
        <x:f t="shared" si="41"/>
        <x:v>0</x:v>
      </x:c>
      <x:c r="G105" s="228">
        <x:f t="shared" si="41"/>
        <x:v>0</x:v>
      </x:c>
      <x:c r="H105" s="228">
        <x:f t="shared" si="41"/>
        <x:v>0</x:v>
      </x:c>
      <x:c r="I105" s="228">
        <x:f t="shared" si="41"/>
        <x:v>0</x:v>
      </x:c>
      <x:c r="J105" s="224">
        <x:f t="shared" si="41"/>
        <x:v>0</x:v>
      </x:c>
      <x:c r="K105" s="231">
        <x:f t="shared" ref="K105:K108" si="45">D105-E105-F105-G105-H105-I105-J105</x:f>
        <x:v>0</x:v>
      </x:c>
      <x:c r="L105" s="230">
        <x:f>L10+L29+L48+L67+L86</x:f>
        <x:v>0</x:v>
      </x:c>
      <x:c r="M105" s="231">
        <x:f>K105-L105</x:f>
        <x:v>0</x:v>
      </x:c>
      <x:c r="N105" s="230">
        <x:f>N10+N29+N48+N67+N86</x:f>
        <x:v>0</x:v>
      </x:c>
      <x:c r="O105" s="231">
        <x:f t="shared" ref="O105:O108" si="46">M105+N105</x:f>
        <x:v>0</x:v>
      </x:c>
      <x:c r="Q105" s="242"/>
      <x:c r="S105" s="250">
        <x:v>2</x:v>
      </x:c>
      <x:c r="T105" s="251" t="s">
        <x:v>11</x:v>
      </x:c>
      <x:c r="U105" s="252">
        <x:f t="shared" si="42"/>
        <x:v>0</x:v>
      </x:c>
      <x:c r="V105" s="253">
        <x:f t="shared" si="42"/>
        <x:v>0</x:v>
      </x:c>
      <x:c r="W105" s="253">
        <x:f t="shared" si="42"/>
        <x:v>0</x:v>
      </x:c>
      <x:c r="X105" s="253">
        <x:f t="shared" si="42"/>
        <x:v>0</x:v>
      </x:c>
      <x:c r="Y105" s="254">
        <x:f t="shared" si="42"/>
        <x:v>0</x:v>
      </x:c>
      <x:c r="Z105" s="255">
        <x:f t="shared" si="42"/>
        <x:v>0</x:v>
      </x:c>
      <x:c r="AA105" s="256">
        <x:f t="shared" si="42"/>
        <x:v>0</x:v>
      </x:c>
      <x:c r="AB105" s="230">
        <x:f t="shared" si="42"/>
        <x:v>0</x:v>
      </x:c>
      <x:c r="AC105" s="256">
        <x:f t="shared" ref="AC105" si="47">AC10+AC29+AC48+AC67+AC86</x:f>
        <x:v>0</x:v>
      </x:c>
      <x:c r="AD105" s="227">
        <x:f t="shared" ref="AD105:AD107" si="48">-J105+AE105</x:f>
        <x:v>0</x:v>
      </x:c>
      <x:c r="AE105" s="227">
        <x:f>AE10+AE29+AE48+AE67+AE86</x:f>
        <x:v>0</x:v>
      </x:c>
      <x:c r="AF105" s="258">
        <x:f>SUM(U105:AD105)</x:f>
        <x:v>0</x:v>
      </x:c>
      <x:c r="AG105" s="259">
        <x:f>AF105-O105</x:f>
        <x:v>0</x:v>
      </x:c>
      <x:c r="AH105" s="1" t="b">
        <x:f t="shared" si="44"/>
        <x:v>1</x:v>
      </x:c>
      <x:c r="AI105" s="242"/>
    </x:row>
    <x:row r="106" spans="2:36" s="241" customFormat="1" x14ac:dyDescent="0.2">
      <x:c r="B106" s="250">
        <x:v>3</x:v>
      </x:c>
      <x:c r="C106" s="251" t="s">
        <x:v>12</x:v>
      </x:c>
      <x:c r="D106" s="227">
        <x:f t="shared" si="41"/>
        <x:v>0</x:v>
      </x:c>
      <x:c r="E106" s="228">
        <x:f t="shared" si="41"/>
        <x:v>0</x:v>
      </x:c>
      <x:c r="F106" s="228">
        <x:f t="shared" si="41"/>
        <x:v>0</x:v>
      </x:c>
      <x:c r="G106" s="228">
        <x:f t="shared" si="41"/>
        <x:v>0</x:v>
      </x:c>
      <x:c r="H106" s="228">
        <x:f t="shared" si="41"/>
        <x:v>0</x:v>
      </x:c>
      <x:c r="I106" s="228">
        <x:f t="shared" si="41"/>
        <x:v>0</x:v>
      </x:c>
      <x:c r="J106" s="224">
        <x:f t="shared" si="41"/>
        <x:v>0</x:v>
      </x:c>
      <x:c r="K106" s="231">
        <x:f t="shared" si="45"/>
        <x:v>0</x:v>
      </x:c>
      <x:c r="L106" s="230">
        <x:f>L11+L30+L49+L68+L87</x:f>
        <x:v>0</x:v>
      </x:c>
      <x:c r="M106" s="231">
        <x:f>K106-L106</x:f>
        <x:v>0</x:v>
      </x:c>
      <x:c r="N106" s="230">
        <x:f>N11+N30+N49+N68+N87</x:f>
        <x:v>0</x:v>
      </x:c>
      <x:c r="O106" s="231">
        <x:f t="shared" si="46"/>
        <x:v>0</x:v>
      </x:c>
      <x:c r="Q106" s="242"/>
      <x:c r="S106" s="250">
        <x:v>3</x:v>
      </x:c>
      <x:c r="T106" s="251" t="s">
        <x:v>12</x:v>
      </x:c>
      <x:c r="U106" s="252">
        <x:f t="shared" si="42"/>
        <x:v>0</x:v>
      </x:c>
      <x:c r="V106" s="253">
        <x:f t="shared" si="42"/>
        <x:v>0</x:v>
      </x:c>
      <x:c r="W106" s="253">
        <x:f t="shared" si="42"/>
        <x:v>0</x:v>
      </x:c>
      <x:c r="X106" s="253">
        <x:f t="shared" si="42"/>
        <x:v>0</x:v>
      </x:c>
      <x:c r="Y106" s="254">
        <x:f t="shared" si="42"/>
        <x:v>0</x:v>
      </x:c>
      <x:c r="Z106" s="255">
        <x:f t="shared" si="42"/>
        <x:v>0</x:v>
      </x:c>
      <x:c r="AA106" s="256">
        <x:f t="shared" si="42"/>
        <x:v>0</x:v>
      </x:c>
      <x:c r="AB106" s="230">
        <x:f t="shared" si="42"/>
        <x:v>0</x:v>
      </x:c>
      <x:c r="AC106" s="256">
        <x:f t="shared" ref="AC106" si="49">AC11+AC30+AC49+AC68+AC87</x:f>
        <x:v>0</x:v>
      </x:c>
      <x:c r="AD106" s="227">
        <x:f t="shared" si="48"/>
        <x:v>0</x:v>
      </x:c>
      <x:c r="AE106" s="227">
        <x:f>AE11+AE30+AE49+AE68+AE87</x:f>
        <x:v>0</x:v>
      </x:c>
      <x:c r="AF106" s="258">
        <x:f>SUM(U106:AD106)</x:f>
        <x:v>0</x:v>
      </x:c>
      <x:c r="AG106" s="259">
        <x:f>AF106-O106</x:f>
        <x:v>0</x:v>
      </x:c>
      <x:c r="AH106" s="1" t="b">
        <x:f t="shared" si="44"/>
        <x:v>1</x:v>
      </x:c>
      <x:c r="AI106" s="242"/>
    </x:row>
    <x:row r="107" spans="2:36" s="241" customFormat="1" x14ac:dyDescent="0.2">
      <x:c r="B107" s="250">
        <x:v>4</x:v>
      </x:c>
      <x:c r="C107" s="251" t="s">
        <x:v>13</x:v>
      </x:c>
      <x:c r="D107" s="227">
        <x:f t="shared" si="41"/>
        <x:v>0</x:v>
      </x:c>
      <x:c r="E107" s="228">
        <x:f t="shared" si="41"/>
        <x:v>0</x:v>
      </x:c>
      <x:c r="F107" s="228">
        <x:f t="shared" si="41"/>
        <x:v>0</x:v>
      </x:c>
      <x:c r="G107" s="228">
        <x:f t="shared" si="41"/>
        <x:v>0</x:v>
      </x:c>
      <x:c r="H107" s="228">
        <x:f t="shared" si="41"/>
        <x:v>0</x:v>
      </x:c>
      <x:c r="I107" s="228">
        <x:f t="shared" si="41"/>
        <x:v>0</x:v>
      </x:c>
      <x:c r="J107" s="224">
        <x:f t="shared" si="41"/>
        <x:v>0</x:v>
      </x:c>
      <x:c r="K107" s="231">
        <x:f t="shared" si="45"/>
        <x:v>0</x:v>
      </x:c>
      <x:c r="L107" s="230">
        <x:f>L12+L31+L50+L69+L88</x:f>
        <x:v>0</x:v>
      </x:c>
      <x:c r="M107" s="231">
        <x:f>K107-L107</x:f>
        <x:v>0</x:v>
      </x:c>
      <x:c r="N107" s="230">
        <x:f>N12+N31+N50+N69+N88</x:f>
        <x:v>0</x:v>
      </x:c>
      <x:c r="O107" s="231">
        <x:f t="shared" si="46"/>
        <x:v>0</x:v>
      </x:c>
      <x:c r="Q107" s="242"/>
      <x:c r="S107" s="250">
        <x:v>4</x:v>
      </x:c>
      <x:c r="T107" s="251" t="s">
        <x:v>13</x:v>
      </x:c>
      <x:c r="U107" s="252">
        <x:f t="shared" si="42"/>
        <x:v>0</x:v>
      </x:c>
      <x:c r="V107" s="253">
        <x:f t="shared" si="42"/>
        <x:v>0</x:v>
      </x:c>
      <x:c r="W107" s="253">
        <x:f t="shared" si="42"/>
        <x:v>0</x:v>
      </x:c>
      <x:c r="X107" s="253">
        <x:f t="shared" si="42"/>
        <x:v>0</x:v>
      </x:c>
      <x:c r="Y107" s="254">
        <x:f t="shared" si="42"/>
        <x:v>0</x:v>
      </x:c>
      <x:c r="Z107" s="255">
        <x:f t="shared" si="42"/>
        <x:v>0</x:v>
      </x:c>
      <x:c r="AA107" s="256">
        <x:f t="shared" si="42"/>
        <x:v>0</x:v>
      </x:c>
      <x:c r="AB107" s="230">
        <x:f t="shared" si="42"/>
        <x:v>0</x:v>
      </x:c>
      <x:c r="AC107" s="256">
        <x:f t="shared" ref="AC107" si="50">AC12+AC31+AC50+AC69+AC88</x:f>
        <x:v>0</x:v>
      </x:c>
      <x:c r="AD107" s="227">
        <x:f t="shared" si="48"/>
        <x:v>0</x:v>
      </x:c>
      <x:c r="AE107" s="227">
        <x:f>AE12+AE31+AE50+AE69+AE88</x:f>
        <x:v>0</x:v>
      </x:c>
      <x:c r="AF107" s="258">
        <x:f>SUM(U107:AD107)</x:f>
        <x:v>0</x:v>
      </x:c>
      <x:c r="AG107" s="259">
        <x:f>AF107-O107</x:f>
        <x:v>0</x:v>
      </x:c>
      <x:c r="AH107" s="1" t="b">
        <x:f t="shared" si="44"/>
        <x:v>1</x:v>
      </x:c>
      <x:c r="AI107" s="242"/>
    </x:row>
    <x:row r="108" spans="2:36" s="241" customFormat="1" ht="12.75" thickBot="1" x14ac:dyDescent="0.25">
      <x:c r="B108" s="260">
        <x:v>5</x:v>
      </x:c>
      <x:c r="C108" s="261" t="s">
        <x:v>14</x:v>
      </x:c>
      <x:c r="D108" s="232">
        <x:f>D13+D32+D51+D70+D89</x:f>
        <x:v>0</x:v>
      </x:c>
      <x:c r="E108" s="233">
        <x:f t="shared" si="41"/>
        <x:v>0</x:v>
      </x:c>
      <x:c r="F108" s="233">
        <x:f t="shared" si="41"/>
        <x:v>0</x:v>
      </x:c>
      <x:c r="G108" s="233">
        <x:f t="shared" si="41"/>
        <x:v>0</x:v>
      </x:c>
      <x:c r="H108" s="233">
        <x:f t="shared" si="41"/>
        <x:v>0</x:v>
      </x:c>
      <x:c r="I108" s="233">
        <x:f t="shared" si="41"/>
        <x:v>0</x:v>
      </x:c>
      <x:c r="J108" s="225">
        <x:f t="shared" si="41"/>
        <x:v>0</x:v>
      </x:c>
      <x:c r="K108" s="231">
        <x:f t="shared" si="45"/>
        <x:v>0</x:v>
      </x:c>
      <x:c r="L108" s="230">
        <x:f>L13+L32+L51+L70+L89</x:f>
        <x:v>0</x:v>
      </x:c>
      <x:c r="M108" s="234">
        <x:f>K108-L108</x:f>
        <x:v>0</x:v>
      </x:c>
      <x:c r="N108" s="235">
        <x:f>N13+N32+N51+N70+N89</x:f>
        <x:v>0</x:v>
      </x:c>
      <x:c r="O108" s="234">
        <x:f t="shared" si="46"/>
        <x:v>0</x:v>
      </x:c>
      <x:c r="Q108" s="242"/>
      <x:c r="S108" s="260">
        <x:v>5</x:v>
      </x:c>
      <x:c r="T108" s="261" t="s">
        <x:v>14</x:v>
      </x:c>
      <x:c r="U108" s="232">
        <x:f t="shared" si="42"/>
        <x:v>0</x:v>
      </x:c>
      <x:c r="V108" s="233">
        <x:f t="shared" si="42"/>
        <x:v>0</x:v>
      </x:c>
      <x:c r="W108" s="233">
        <x:f t="shared" si="42"/>
        <x:v>0</x:v>
      </x:c>
      <x:c r="X108" s="233">
        <x:f t="shared" si="42"/>
        <x:v>0</x:v>
      </x:c>
      <x:c r="Y108" s="225">
        <x:f t="shared" si="42"/>
        <x:v>0</x:v>
      </x:c>
      <x:c r="Z108" s="255">
        <x:f t="shared" si="42"/>
        <x:v>0</x:v>
      </x:c>
      <x:c r="AA108" s="256">
        <x:f t="shared" si="42"/>
        <x:v>0</x:v>
      </x:c>
      <x:c r="AB108" s="230">
        <x:f t="shared" si="42"/>
        <x:v>0</x:v>
      </x:c>
      <x:c r="AC108" s="256">
        <x:f t="shared" ref="AC108" si="51">AC13+AC32+AC51+AC70+AC89</x:f>
        <x:v>0</x:v>
      </x:c>
      <x:c r="AD108" s="227">
        <x:f>-J108+AE108</x:f>
        <x:v>0</x:v>
      </x:c>
      <x:c r="AE108" s="227">
        <x:f>AE13+AE32+AE51+AE70+AE89</x:f>
        <x:v>0</x:v>
      </x:c>
      <x:c r="AF108" s="258">
        <x:f>SUM(U108:AD108)</x:f>
        <x:v>0</x:v>
      </x:c>
      <x:c r="AG108" s="262">
        <x:f>AF108-O108</x:f>
        <x:v>0</x:v>
      </x:c>
      <x:c r="AH108" s="1" t="b">
        <x:f t="shared" si="44"/>
        <x:v>1</x:v>
      </x:c>
      <x:c r="AI108" s="242"/>
    </x:row>
    <x:row r="109" spans="2:36" s="241" customFormat="1" ht="13.5" thickBot="1" x14ac:dyDescent="0.25">
      <x:c r="B109" s="263"/>
      <x:c r="C109" s="264" t="s">
        <x:v>2</x:v>
      </x:c>
      <x:c r="D109" s="226">
        <x:f t="shared" ref="D109:O109" si="52">SUM(D104:D108)</x:f>
        <x:v>0</x:v>
      </x:c>
      <x:c r="E109" s="226">
        <x:f t="shared" si="52"/>
        <x:v>0</x:v>
      </x:c>
      <x:c r="F109" s="226">
        <x:f t="shared" si="52"/>
        <x:v>0</x:v>
      </x:c>
      <x:c r="G109" s="226">
        <x:f t="shared" si="52"/>
        <x:v>0</x:v>
      </x:c>
      <x:c r="H109" s="226">
        <x:f t="shared" si="52"/>
        <x:v>0</x:v>
      </x:c>
      <x:c r="I109" s="226">
        <x:f t="shared" si="52"/>
        <x:v>0</x:v>
      </x:c>
      <x:c r="J109" s="226">
        <x:f t="shared" si="52"/>
        <x:v>0</x:v>
      </x:c>
      <x:c r="K109" s="236">
        <x:f t="shared" si="52"/>
        <x:v>0</x:v>
      </x:c>
      <x:c r="L109" s="237">
        <x:f t="shared" si="52"/>
        <x:v>0</x:v>
      </x:c>
      <x:c r="M109" s="238">
        <x:f t="shared" si="52"/>
        <x:v>0</x:v>
      </x:c>
      <x:c r="N109" s="237">
        <x:f t="shared" si="52"/>
        <x:v>0</x:v>
      </x:c>
      <x:c r="O109" s="238">
        <x:f t="shared" si="52"/>
        <x:v>0</x:v>
      </x:c>
      <x:c r="P109" s="265"/>
      <x:c r="Q109" s="242"/>
      <x:c r="S109" s="263"/>
      <x:c r="T109" s="264" t="s">
        <x:v>2</x:v>
      </x:c>
      <x:c r="U109" s="266">
        <x:f>SUM(U104:U108)</x:f>
        <x:v>0</x:v>
      </x:c>
      <x:c r="V109" s="266">
        <x:f t="shared" ref="V109:AF109" si="53">SUM(V104:V108)</x:f>
        <x:v>0</x:v>
      </x:c>
      <x:c r="W109" s="266">
        <x:f t="shared" si="53"/>
        <x:v>0</x:v>
      </x:c>
      <x:c r="X109" s="266">
        <x:f t="shared" si="53"/>
        <x:v>0</x:v>
      </x:c>
      <x:c r="Y109" s="266">
        <x:f t="shared" si="53"/>
        <x:v>0</x:v>
      </x:c>
      <x:c r="Z109" s="226">
        <x:f t="shared" si="53"/>
        <x:v>0</x:v>
      </x:c>
      <x:c r="AA109" s="226">
        <x:f t="shared" si="53"/>
        <x:v>0</x:v>
      </x:c>
      <x:c r="AB109" s="226">
        <x:f t="shared" si="53"/>
        <x:v>0</x:v>
      </x:c>
      <x:c r="AC109" s="226">
        <x:f t="shared" ref="AC109" si="54">SUM(AC104:AC108)</x:f>
        <x:v>0</x:v>
      </x:c>
      <x:c r="AD109" s="226">
        <x:f t="shared" si="53"/>
        <x:v>0</x:v>
      </x:c>
      <x:c r="AE109" s="226">
        <x:f>SUM(AE104:AE108)</x:f>
        <x:v>0</x:v>
      </x:c>
      <x:c r="AF109" s="267">
        <x:f t="shared" si="53"/>
        <x:v>0</x:v>
      </x:c>
      <x:c r="AG109" s="268">
        <x:f>SUM(AG104:AG108)</x:f>
        <x:v>0</x:v>
      </x:c>
      <x:c r="AH109" s="1" t="b">
        <x:f t="shared" si="44"/>
        <x:v>1</x:v>
      </x:c>
      <x:c r="AI109" s="242"/>
    </x:row>
    <x:row r="110" spans="2:36" ht="12.75" thickBot="1" x14ac:dyDescent="0.25">
      <x:c r="B110" s="2"/>
      <x:c r="C110" s="2"/>
      <x:c r="D110" s="149"/>
      <x:c r="E110" s="24"/>
      <x:c r="F110" s="24"/>
      <x:c r="G110" s="24"/>
      <x:c r="H110" s="24"/>
      <x:c r="I110" s="24"/>
      <x:c r="J110" s="149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75" thickBot="1" x14ac:dyDescent="0.25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75" thickBot="1" x14ac:dyDescent="0.25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x14ac:dyDescent="0.2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189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x14ac:dyDescent="0.2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.75" thickBot="1" x14ac:dyDescent="0.25">
      <x:c r="Q115" s="4"/>
    </x:row>
    <x:row r="116" spans="1:35" x14ac:dyDescent="0.2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5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75" x14ac:dyDescent="0.25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x14ac:dyDescent="0.2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x14ac:dyDescent="0.2">
      <x:c r="B120" s="8"/>
      <x:c r="I120" s="2"/>
      <x:c r="J120" s="2"/>
      <x:c r="O120" s="10"/>
      <x:c r="P120" s="2"/>
      <x:c r="Q120" s="4"/>
    </x:row>
    <x:row r="121" spans="1:35" ht="15.75" x14ac:dyDescent="0.25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x14ac:dyDescent="0.2">
      <x:c r="B122" s="8"/>
      <x:c r="F122" s="2" t="s">
        <x:v>27</x:v>
      </x:c>
      <x:c r="G122" s="9">
        <x:f>G7</x:f>
        <x:v>46219</x:v>
      </x:c>
      <x:c r="J122" s="2" t="s">
        <x:v>28</x:v>
      </x:c>
      <x:c r="K122" s="9">
        <x:f>K7</x:f>
        <x:v>46234</x:v>
      </x:c>
      <x:c r="O122" s="10"/>
      <x:c r="P122" s="2"/>
      <x:c r="Q122" s="4"/>
    </x:row>
    <x:row r="123" spans="1:35" ht="12.75" thickBot="1" x14ac:dyDescent="0.25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75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97" t="s">
        <x:v>47</x:v>
      </x:c>
      <x:c r="H124" s="73" t="s">
        <x:v>56</x:v>
      </x:c>
      <x:c r="I124" s="73" t="s">
        <x:v>130</x:v>
      </x:c>
      <x:c r="J124" s="73" t="s">
        <x:v>171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241" customFormat="1" x14ac:dyDescent="0.2">
      <x:c r="B125" s="270">
        <x:v>1</x:v>
      </x:c>
      <x:c r="C125" s="271" t="s">
        <x:v>10</x:v>
      </x:c>
      <x:c r="D125" s="244">
        <x:f>'ANTICIPOS USUARIOS'!R3</x:f>
        <x:v>0</x:v>
      </x:c>
      <x:c r="E125" s="245">
        <x:v>0</x:v>
      </x:c>
      <x:c r="G125" s="272">
        <x:f>D47+N47</x:f>
        <x:v>0</x:v>
      </x:c>
      <x:c r="H125" s="246">
        <x:f>D28+N28</x:f>
        <x:v>0</x:v>
      </x:c>
      <x:c r="I125" s="245">
        <x:f>D85+N85</x:f>
        <x:v>0</x:v>
      </x:c>
      <x:c r="J125" s="245">
        <x:f>D66+N66</x:f>
        <x:v>0</x:v>
      </x:c>
      <x:c r="K125" s="245">
        <x:f>'ANTICIPOS USUARIOS'!R12</x:f>
        <x:v>0</x:v>
      </x:c>
      <x:c r="L125" s="245">
        <x:f>-'ANTICIPOS USUARIOS'!R21</x:f>
        <x:v>0</x:v>
      </x:c>
      <x:c r="O125" s="273"/>
      <x:c r="Q125" s="242"/>
    </x:row>
    <x:row r="126" spans="1:35" s="241" customFormat="1" x14ac:dyDescent="0.2">
      <x:c r="B126" s="250">
        <x:v>2</x:v>
      </x:c>
      <x:c r="C126" s="274" t="s">
        <x:v>11</x:v>
      </x:c>
      <x:c r="D126" s="228">
        <x:f>'ANTICIPOS USUARIOS'!R4</x:f>
        <x:v>0</x:v>
      </x:c>
      <x:c r="E126" s="224">
        <x:v>0</x:v>
      </x:c>
      <x:c r="G126" s="275">
        <x:f>D48+N48</x:f>
        <x:v>0</x:v>
      </x:c>
      <x:c r="H126" s="276">
        <x:f>D29+N29</x:f>
        <x:v>0</x:v>
      </x:c>
      <x:c r="I126" s="224">
        <x:f>D86+N86</x:f>
        <x:v>0</x:v>
      </x:c>
      <x:c r="J126" s="224">
        <x:f t="shared" ref="J126:J129" si="55">D67+N67</x:f>
        <x:v>0</x:v>
      </x:c>
      <x:c r="K126" s="224">
        <x:f>'ANTICIPOS USUARIOS'!R13</x:f>
        <x:v>0</x:v>
      </x:c>
      <x:c r="L126" s="224">
        <x:f>-'ANTICIPOS USUARIOS'!R22</x:f>
        <x:v>0</x:v>
      </x:c>
      <x:c r="O126" s="273"/>
      <x:c r="Q126" s="242"/>
    </x:row>
    <x:row r="127" spans="1:35" s="241" customFormat="1" x14ac:dyDescent="0.2">
      <x:c r="B127" s="250">
        <x:v>3</x:v>
      </x:c>
      <x:c r="C127" s="274" t="s">
        <x:v>12</x:v>
      </x:c>
      <x:c r="D127" s="228">
        <x:f>'ANTICIPOS USUARIOS'!R5</x:f>
        <x:v>0</x:v>
      </x:c>
      <x:c r="E127" s="224">
        <x:v>0</x:v>
      </x:c>
      <x:c r="G127" s="275">
        <x:f>D49+N49</x:f>
        <x:v>0</x:v>
      </x:c>
      <x:c r="H127" s="276">
        <x:f>D30+N30</x:f>
        <x:v>0</x:v>
      </x:c>
      <x:c r="I127" s="224">
        <x:f>D87+N87</x:f>
        <x:v>0</x:v>
      </x:c>
      <x:c r="J127" s="224">
        <x:f t="shared" si="55"/>
        <x:v>0</x:v>
      </x:c>
      <x:c r="K127" s="224">
        <x:f>'ANTICIPOS USUARIOS'!R14</x:f>
        <x:v>0</x:v>
      </x:c>
      <x:c r="L127" s="224">
        <x:f>-'ANTICIPOS USUARIOS'!R23</x:f>
        <x:v>0</x:v>
      </x:c>
      <x:c r="O127" s="273"/>
      <x:c r="Q127" s="242"/>
    </x:row>
    <x:row r="128" spans="1:35" s="241" customFormat="1" x14ac:dyDescent="0.2">
      <x:c r="B128" s="250">
        <x:v>4</x:v>
      </x:c>
      <x:c r="C128" s="274" t="s">
        <x:v>13</x:v>
      </x:c>
      <x:c r="D128" s="228">
        <x:f>'ANTICIPOS USUARIOS'!R6</x:f>
        <x:v>0</x:v>
      </x:c>
      <x:c r="E128" s="224">
        <x:v>0</x:v>
      </x:c>
      <x:c r="G128" s="275">
        <x:f>D50+N50</x:f>
        <x:v>0</x:v>
      </x:c>
      <x:c r="H128" s="276">
        <x:f>D31+N31</x:f>
        <x:v>0</x:v>
      </x:c>
      <x:c r="I128" s="224">
        <x:f>D88+N88</x:f>
        <x:v>0</x:v>
      </x:c>
      <x:c r="J128" s="224">
        <x:f t="shared" si="55"/>
        <x:v>0</x:v>
      </x:c>
      <x:c r="K128" s="224">
        <x:f>'ANTICIPOS USUARIOS'!R15</x:f>
        <x:v>0</x:v>
      </x:c>
      <x:c r="L128" s="224">
        <x:f>-'ANTICIPOS USUARIOS'!R24</x:f>
        <x:v>0</x:v>
      </x:c>
      <x:c r="O128" s="273"/>
      <x:c r="Q128" s="242"/>
    </x:row>
    <x:row r="129" spans="1:19" s="241" customFormat="1" x14ac:dyDescent="0.2">
      <x:c r="B129" s="277">
        <x:v>5</x:v>
      </x:c>
      <x:c r="C129" s="278" t="s">
        <x:v>14</x:v>
      </x:c>
      <x:c r="D129" s="228">
        <x:f>'ANTICIPOS USUARIOS'!R7</x:f>
        <x:v>0</x:v>
      </x:c>
      <x:c r="E129" s="280">
        <x:v>0</x:v>
      </x:c>
      <x:c r="G129" s="275">
        <x:f>D51+N51</x:f>
        <x:v>0</x:v>
      </x:c>
      <x:c r="H129" s="276">
        <x:f>D32+N32</x:f>
        <x:v>0</x:v>
      </x:c>
      <x:c r="I129" s="224">
        <x:f>D89+N89</x:f>
        <x:v>0</x:v>
      </x:c>
      <x:c r="J129" s="224">
        <x:f t="shared" si="55"/>
        <x:v>0</x:v>
      </x:c>
      <x:c r="K129" s="224">
        <x:f>'ANTICIPOS USUARIOS'!R16</x:f>
        <x:v>0</x:v>
      </x:c>
      <x:c r="L129" s="224">
        <x:f>-'ANTICIPOS USUARIOS'!R25</x:f>
        <x:v>0</x:v>
      </x:c>
      <x:c r="O129" s="273"/>
      <x:c r="Q129" s="242"/>
    </x:row>
    <x:row r="130" spans="1:19" s="241" customFormat="1" ht="12.75" thickBot="1" x14ac:dyDescent="0.25">
      <x:c r="B130" s="260" t="s">
        <x:v>89</x:v>
      </x:c>
      <x:c r="C130" s="281" t="s">
        <x:v>113</x:v>
      </x:c>
      <x:c r="D130" s="233"/>
      <x:c r="E130" s="225">
        <x:f>'Recaudo EAAB + Ciud Limp'!D26</x:f>
        <x:v>0</x:v>
      </x:c>
      <x:c r="G130" s="282"/>
      <x:c r="H130" s="283"/>
      <x:c r="I130" s="225"/>
      <x:c r="J130" s="225"/>
      <x:c r="K130" s="225"/>
      <x:c r="L130" s="225"/>
      <x:c r="O130" s="273"/>
      <x:c r="Q130" s="242"/>
    </x:row>
    <x:row r="131" spans="1:19" s="241" customFormat="1" ht="12.75" thickBot="1" x14ac:dyDescent="0.25">
      <x:c r="B131" s="284"/>
      <x:c r="C131" s="285" t="s">
        <x:v>2</x:v>
      </x:c>
      <x:c r="D131" s="286">
        <x:f>SUM(D125:D130)</x:f>
        <x:v>0</x:v>
      </x:c>
      <x:c r="E131" s="286">
        <x:f>SUM(E125:E130)</x:f>
        <x:v>0</x:v>
      </x:c>
      <x:c r="F131" s="287"/>
      <x:c r="G131" s="286">
        <x:f t="shared" ref="G131" si="56">SUM(G125:G129)</x:f>
        <x:v>0</x:v>
      </x:c>
      <x:c r="H131" s="286">
        <x:f>SUM(H125:H130)</x:f>
        <x:v>0</x:v>
      </x:c>
      <x:c r="I131" s="286">
        <x:f>SUM(I125:I130)</x:f>
        <x:v>0</x:v>
      </x:c>
      <x:c r="J131" s="286">
        <x:f>SUM(J125:J130)</x:f>
        <x:v>0</x:v>
      </x:c>
      <x:c r="K131" s="286">
        <x:f>SUM(K125:K130)</x:f>
        <x:v>0</x:v>
      </x:c>
      <x:c r="L131" s="286">
        <x:f>SUM(L125:L130)</x:f>
        <x:v>0</x:v>
      </x:c>
      <x:c r="M131" s="287"/>
      <x:c r="N131" s="287"/>
      <x:c r="O131" s="288"/>
      <x:c r="P131" s="265"/>
      <x:c r="Q131" s="242"/>
    </x:row>
    <x:row r="132" spans="1:19" x14ac:dyDescent="0.2">
      <x:c r="B132" s="2"/>
      <x:c r="C132" s="2"/>
      <x:c r="D132" s="24"/>
      <x:c r="Q132" s="4"/>
    </x:row>
    <x:row r="133" spans="1:19" x14ac:dyDescent="0.2">
      <x:c r="B133" s="2"/>
      <x:c r="C133" s="2"/>
      <x:c r="D133" s="24"/>
      <x:c r="L133" s="1" t="s">
        <x:v>1</x:v>
      </x:c>
      <x:c r="Q133" s="4"/>
    </x:row>
    <x:row r="134" spans="1:19" ht="12.75" thickBot="1" x14ac:dyDescent="0.25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x14ac:dyDescent="0.2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x14ac:dyDescent="0.2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x14ac:dyDescent="0.2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x14ac:dyDescent="0.2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x14ac:dyDescent="0.2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25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75" thickBot="1" x14ac:dyDescent="0.25">
      <x:c r="B141" s="97" t="s">
        <x:v>3</x:v>
      </x:c>
      <x:c r="C141" s="98" t="s">
        <x:v>9</x:v>
      </x:c>
      <x:c r="D141" s="98" t="s">
        <x:v>44</x:v>
      </x:c>
      <x:c r="E141" s="98" t="s">
        <x:v>45</x:v>
      </x:c>
      <x:c r="F141" s="98" t="s">
        <x:v>31</x:v>
      </x:c>
      <x:c r="G141" s="98" t="s">
        <x:v>91</x:v>
      </x:c>
      <x:c r="H141" s="98" t="s">
        <x:v>128</x:v>
      </x:c>
      <x:c r="I141" s="98" t="s">
        <x:v>127</x:v>
      </x:c>
      <x:c r="J141" s="98" t="s">
        <x:v>47</x:v>
      </x:c>
      <x:c r="K141" s="98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241" customFormat="1" x14ac:dyDescent="0.2">
      <x:c r="B142" s="270">
        <x:v>1</x:v>
      </x:c>
      <x:c r="C142" s="271" t="s">
        <x:v>10</x:v>
      </x:c>
      <x:c r="D142" s="244">
        <x:f>D104+N104+D125+E125</x:f>
        <x:v>0</x:v>
      </x:c>
      <x:c r="E142" s="244">
        <x:f>'Recaudo EAAB + Ciud Limp'!D21</x:f>
        <x:v>0</x:v>
      </x:c>
      <x:c r="F142" s="244">
        <x:f>D28+N28</x:f>
        <x:v>0</x:v>
      </x:c>
      <x:c r="G142" s="244">
        <x:f>D66+N66</x:f>
        <x:v>0</x:v>
      </x:c>
      <x:c r="H142" s="244">
        <x:f>D85+N85</x:f>
        <x:v>0</x:v>
      </x:c>
      <x:c r="I142" s="244">
        <x:v>0</x:v>
      </x:c>
      <x:c r="J142" s="244">
        <x:f t="shared" ref="J142:K146" si="57">G125</x:f>
        <x:v>0</x:v>
      </x:c>
      <x:c r="K142" s="245">
        <x:f t="shared" si="57"/>
        <x:v>0</x:v>
      </x:c>
      <x:c r="L142" s="443">
        <x:f>D142-E142-F142-G142-J142-H142-I142</x:f>
        <x:v>0</x:v>
      </x:c>
      <x:c r="M142" s="1" t="b">
        <x:f t="shared" ref="M142:M147" si="58">INT(ABS(L142))=0</x:f>
        <x:v>1</x:v>
      </x:c>
      <x:c r="P142" s="296"/>
      <x:c r="Q142" s="297"/>
      <x:c r="R142" s="296"/>
      <x:c r="S142" s="1"/>
    </x:row>
    <x:row r="143" spans="1:19" s="241" customFormat="1" x14ac:dyDescent="0.2">
      <x:c r="B143" s="250">
        <x:v>2</x:v>
      </x:c>
      <x:c r="C143" s="274" t="s">
        <x:v>11</x:v>
      </x:c>
      <x:c r="D143" s="253">
        <x:f>D105+N105+D126+E126</x:f>
        <x:v>0</x:v>
      </x:c>
      <x:c r="E143" s="253">
        <x:f>'Recaudo EAAB + Ciud Limp'!D22</x:f>
        <x:v>0</x:v>
      </x:c>
      <x:c r="F143" s="253">
        <x:f>D29+N29</x:f>
        <x:v>0</x:v>
      </x:c>
      <x:c r="G143" s="253">
        <x:f>D67+N67</x:f>
        <x:v>0</x:v>
      </x:c>
      <x:c r="H143" s="253">
        <x:f>D86+N86</x:f>
        <x:v>0</x:v>
      </x:c>
      <x:c r="I143" s="253">
        <x:v>0</x:v>
      </x:c>
      <x:c r="J143" s="253">
        <x:f t="shared" si="57"/>
        <x:v>0</x:v>
      </x:c>
      <x:c r="K143" s="254">
        <x:f t="shared" si="57"/>
        <x:v>0</x:v>
      </x:c>
      <x:c r="L143" s="443">
        <x:f>D143-E143-F143-G143-J143-H143-I143</x:f>
        <x:v>0</x:v>
      </x:c>
      <x:c r="M143" s="1" t="b">
        <x:f t="shared" si="58"/>
        <x:v>1</x:v>
      </x:c>
      <x:c r="P143" s="296"/>
      <x:c r="Q143" s="297"/>
      <x:c r="R143" s="296"/>
      <x:c r="S143" s="1"/>
    </x:row>
    <x:row r="144" spans="1:19" s="241" customFormat="1" x14ac:dyDescent="0.2">
      <x:c r="B144" s="250">
        <x:v>3</x:v>
      </x:c>
      <x:c r="C144" s="274" t="s">
        <x:v>12</x:v>
      </x:c>
      <x:c r="D144" s="253">
        <x:f>D106+N106+D127+E127</x:f>
        <x:v>0</x:v>
      </x:c>
      <x:c r="E144" s="253">
        <x:f>'Recaudo EAAB + Ciud Limp'!D23</x:f>
        <x:v>0</x:v>
      </x:c>
      <x:c r="F144" s="253">
        <x:f>D30+N30</x:f>
        <x:v>0</x:v>
      </x:c>
      <x:c r="G144" s="253">
        <x:f>D68+N68</x:f>
        <x:v>0</x:v>
      </x:c>
      <x:c r="H144" s="253">
        <x:f>D87+N87</x:f>
        <x:v>0</x:v>
      </x:c>
      <x:c r="I144" s="253">
        <x:v>0</x:v>
      </x:c>
      <x:c r="J144" s="253">
        <x:f t="shared" si="57"/>
        <x:v>0</x:v>
      </x:c>
      <x:c r="K144" s="254">
        <x:f t="shared" si="57"/>
        <x:v>0</x:v>
      </x:c>
      <x:c r="L144" s="443">
        <x:f>D144-E144-F144-G144-J144-H144-I144</x:f>
        <x:v>0</x:v>
      </x:c>
      <x:c r="M144" s="1" t="b">
        <x:f t="shared" si="58"/>
        <x:v>1</x:v>
      </x:c>
      <x:c r="P144" s="296"/>
      <x:c r="Q144" s="297"/>
      <x:c r="R144" s="296"/>
      <x:c r="S144" s="1"/>
    </x:row>
    <x:row r="145" spans="1:20" s="241" customFormat="1" x14ac:dyDescent="0.2">
      <x:c r="B145" s="250">
        <x:v>4</x:v>
      </x:c>
      <x:c r="C145" s="274" t="s">
        <x:v>13</x:v>
      </x:c>
      <x:c r="D145" s="253">
        <x:f>D107+N107+D128+E128</x:f>
        <x:v>0</x:v>
      </x:c>
      <x:c r="E145" s="253">
        <x:f>'Recaudo EAAB + Ciud Limp'!D24</x:f>
        <x:v>0</x:v>
      </x:c>
      <x:c r="F145" s="253">
        <x:f>D31+N31</x:f>
        <x:v>0</x:v>
      </x:c>
      <x:c r="G145" s="253">
        <x:f>D69+N69</x:f>
        <x:v>0</x:v>
      </x:c>
      <x:c r="H145" s="253">
        <x:f>D88+N88</x:f>
        <x:v>0</x:v>
      </x:c>
      <x:c r="I145" s="253">
        <x:v>0</x:v>
      </x:c>
      <x:c r="J145" s="253">
        <x:f t="shared" si="57"/>
        <x:v>0</x:v>
      </x:c>
      <x:c r="K145" s="254">
        <x:f t="shared" si="57"/>
        <x:v>0</x:v>
      </x:c>
      <x:c r="L145" s="443">
        <x:f>D145-E145-F145-G145-J145-H145-I145</x:f>
        <x:v>0</x:v>
      </x:c>
      <x:c r="M145" s="1" t="b">
        <x:f t="shared" si="58"/>
        <x:v>1</x:v>
      </x:c>
      <x:c r="P145" s="296"/>
      <x:c r="Q145" s="297"/>
      <x:c r="R145" s="296"/>
      <x:c r="S145" s="1"/>
    </x:row>
    <x:row r="146" spans="1:20" s="241" customFormat="1" ht="12.75" thickBot="1" x14ac:dyDescent="0.25">
      <x:c r="B146" s="277">
        <x:v>5</x:v>
      </x:c>
      <x:c r="C146" s="278" t="s">
        <x:v>14</x:v>
      </x:c>
      <x:c r="D146" s="292">
        <x:f>D108+N108+D129+E129</x:f>
        <x:v>0</x:v>
      </x:c>
      <x:c r="E146" s="253">
        <x:f>'Recaudo EAAB + Ciud Limp'!D25</x:f>
        <x:v>0</x:v>
      </x:c>
      <x:c r="F146" s="292">
        <x:f>D32+N32</x:f>
        <x:v>0</x:v>
      </x:c>
      <x:c r="G146" s="292">
        <x:f>D70+N70</x:f>
        <x:v>0</x:v>
      </x:c>
      <x:c r="H146" s="292">
        <x:f>D89+N89</x:f>
        <x:v>0</x:v>
      </x:c>
      <x:c r="I146" s="292">
        <x:v>0</x:v>
      </x:c>
      <x:c r="J146" s="292">
        <x:f t="shared" si="57"/>
        <x:v>0</x:v>
      </x:c>
      <x:c r="K146" s="294">
        <x:f t="shared" si="57"/>
        <x:v>0</x:v>
      </x:c>
      <x:c r="L146" s="443">
        <x:f>D146-E146-F146-G146-J146-H146-I146</x:f>
        <x:v>0</x:v>
      </x:c>
      <x:c r="M146" s="1" t="b">
        <x:f t="shared" si="58"/>
        <x:v>1</x:v>
      </x:c>
      <x:c r="P146" s="296"/>
      <x:c r="Q146" s="297"/>
      <x:c r="R146" s="296"/>
      <x:c r="S146" s="1"/>
    </x:row>
    <x:row r="147" spans="1:20" s="241" customFormat="1" ht="12.75" thickBot="1" x14ac:dyDescent="0.25">
      <x:c r="B147" s="263"/>
      <x:c r="C147" s="264" t="s">
        <x:v>2</x:v>
      </x:c>
      <x:c r="D147" s="298">
        <x:f>SUM(D142:D146)</x:f>
        <x:v>0</x:v>
      </x:c>
      <x:c r="E147" s="298">
        <x:f>SUM(E142:E146)</x:f>
        <x:v>0</x:v>
      </x:c>
      <x:c r="F147" s="298">
        <x:f t="shared" ref="F147:K147" si="59">SUM(F142:F146)</x:f>
        <x:v>0</x:v>
      </x:c>
      <x:c r="G147" s="298">
        <x:f t="shared" si="59"/>
        <x:v>0</x:v>
      </x:c>
      <x:c r="H147" s="298">
        <x:f t="shared" si="59"/>
        <x:v>0</x:v>
      </x:c>
      <x:c r="I147" s="298">
        <x:f t="shared" si="59"/>
        <x:v>0</x:v>
      </x:c>
      <x:c r="J147" s="298">
        <x:f t="shared" si="59"/>
        <x:v>0</x:v>
      </x:c>
      <x:c r="K147" s="298">
        <x:f t="shared" si="59"/>
        <x:v>0</x:v>
      </x:c>
      <x:c r="L147" s="443">
        <x:f>SUM(L142:L146)</x:f>
        <x:v>0</x:v>
      </x:c>
      <x:c r="M147" s="1" t="b">
        <x:f t="shared" si="58"/>
        <x:v>1</x:v>
      </x:c>
      <x:c r="P147" s="296"/>
      <x:c r="Q147" s="297"/>
      <x:c r="R147" s="296"/>
      <x:c r="S147" s="1"/>
    </x:row>
    <x:row r="148" spans="1:20" x14ac:dyDescent="0.2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x14ac:dyDescent="0.2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x14ac:dyDescent="0.2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topLeftCell="C1" zoomScale="90" zoomScaleNormal="90" workbookViewId="0">
      <x:selection activeCell="M14" sqref="M14"/>
    </x:sheetView>
  </x:sheetViews>
  <x:sheetFormatPr baseColWidth="10" defaultRowHeight="12.75" x14ac:dyDescent="0.2"/>
  <x:cols>
    <x:col min="1" max="1" width="3" customWidth="1"/>
    <x:col min="2" max="2" width="4.28515625" bestFit="1" customWidth="1"/>
    <x:col min="3" max="3" width="16.7109375" customWidth="1"/>
    <x:col min="4" max="4" width="14.28515625" customWidth="1"/>
    <x:col min="5" max="7" width="17.7109375" customWidth="1"/>
    <x:col min="8" max="8" width="18.28515625" customWidth="1"/>
    <x:col min="9" max="9" width="15.7109375" customWidth="1"/>
    <x:col min="10" max="10" width="16.42578125" customWidth="1"/>
    <x:col min="11" max="11" width="15.7109375" customWidth="1"/>
    <x:col min="12" max="13" width="18.28515625" customWidth="1"/>
    <x:col min="14" max="14" width="15.7109375" customWidth="1"/>
    <x:col min="15" max="15" width="14.28515625" customWidth="1"/>
    <x:col min="16" max="16" width="14.42578125" customWidth="1"/>
  </x:cols>
  <x:sheetData>
    <x:row r="1" spans="2:16" ht="13.5" thickBot="1" x14ac:dyDescent="0.25"/>
    <x:row r="2" spans="2:16" ht="36.75" thickBot="1" x14ac:dyDescent="0.25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20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21" t="s">
        <x:v>54</x:v>
      </x:c>
    </x:row>
    <x:row r="3" spans="2:16" s="291" customFormat="1" x14ac:dyDescent="0.2">
      <x:c r="B3" s="239">
        <x:v>1</x:v>
      </x:c>
      <x:c r="C3" s="228">
        <x:f>'Recaudo EAAB + Ciud Limp'!D21</x:f>
        <x:v>0</x:v>
      </x:c>
      <x:c r="D3" s="228">
        <x:f>'REMUNERACION_EAAB-CL'!G125</x:f>
        <x:v>0</x:v>
      </x:c>
      <x:c r="E3" s="228">
        <x:f>'REMUNERACION_EAAB-CL'!H125</x:f>
        <x:v>0</x:v>
      </x:c>
      <x:c r="F3" s="228">
        <x:v>0</x:v>
      </x:c>
      <x:c r="G3" s="228">
        <x:f>'REMUNERACION_EAAB-CL'!I125</x:f>
        <x:v>0</x:v>
      </x:c>
      <x:c r="H3" s="276">
        <x:f t="shared" ref="H3:H8" si="0">SUM(C3:G3)</x:f>
        <x:v>0</x:v>
      </x:c>
      <x:c r="I3" s="227">
        <x:f>'REMUNERACION_EAAB-CL'!D104</x:f>
        <x:v>0</x:v>
      </x:c>
      <x:c r="J3" s="228">
        <x:f>'REMUNERACION_EAAB-CL'!N104</x:f>
        <x:v>0</x:v>
      </x:c>
      <x:c r="K3" s="228">
        <x:f>'REMUNERACION_EAAB-CL'!D125</x:f>
        <x:v>0</x:v>
      </x:c>
      <x:c r="L3" s="289">
        <x:f>'REMUNERACION_EAAB-CL'!E125</x:f>
        <x:v>0</x:v>
      </x:c>
      <x:c r="M3" s="228">
        <x:f>-'REMUNERACION_EAAB-CL'!D66+'REMUNERACION_EAAB-CL'!N66</x:f>
        <x:v>0</x:v>
      </x:c>
      <x:c r="N3" s="224">
        <x:f>SUM(I3:M3)</x:f>
        <x:v>0</x:v>
      </x:c>
      <x:c r="O3" s="290">
        <x:f t="shared" ref="O3:O8" si="1">H3-N3</x:f>
        <x:v>0</x:v>
      </x:c>
      <x:c r="P3" s="1" t="b">
        <x:f>INT(O3)=0</x:f>
        <x:v>1</x:v>
      </x:c>
    </x:row>
    <x:row r="4" spans="2:16" s="291" customFormat="1" x14ac:dyDescent="0.2">
      <x:c r="B4" s="250">
        <x:v>2</x:v>
      </x:c>
      <x:c r="C4" s="253">
        <x:f>'Recaudo EAAB + Ciud Limp'!D22</x:f>
        <x:v>0</x:v>
      </x:c>
      <x:c r="D4" s="228">
        <x:f>'REMUNERACION_EAAB-CL'!G126</x:f>
        <x:v>0</x:v>
      </x:c>
      <x:c r="E4" s="228">
        <x:f>'REMUNERACION_EAAB-CL'!H126</x:f>
        <x:v>0</x:v>
      </x:c>
      <x:c r="F4" s="228">
        <x:v>0</x:v>
      </x:c>
      <x:c r="G4" s="228">
        <x:f>'REMUNERACION_EAAB-CL'!I126</x:f>
        <x:v>0</x:v>
      </x:c>
      <x:c r="H4" s="276">
        <x:f t="shared" si="0"/>
        <x:v>0</x:v>
      </x:c>
      <x:c r="I4" s="227">
        <x:f>'REMUNERACION_EAAB-CL'!D105</x:f>
        <x:v>0</x:v>
      </x:c>
      <x:c r="J4" s="228">
        <x:f>'REMUNERACION_EAAB-CL'!N105</x:f>
        <x:v>0</x:v>
      </x:c>
      <x:c r="K4" s="228">
        <x:f>'REMUNERACION_EAAB-CL'!D126</x:f>
        <x:v>0</x:v>
      </x:c>
      <x:c r="L4" s="289">
        <x:f>'REMUNERACION_EAAB-CL'!E126</x:f>
        <x:v>0</x:v>
      </x:c>
      <x:c r="M4" s="228">
        <x:f>-'REMUNERACION_EAAB-CL'!D67+'REMUNERACION_EAAB-CL'!N67</x:f>
        <x:v>0</x:v>
      </x:c>
      <x:c r="N4" s="254">
        <x:f>SUM(I4:M4)</x:f>
        <x:v>0</x:v>
      </x:c>
      <x:c r="O4" s="290">
        <x:f t="shared" si="1"/>
        <x:v>0</x:v>
      </x:c>
      <x:c r="P4" s="1" t="b">
        <x:f t="shared" ref="P4:P9" si="2">INT(O4)=0</x:f>
        <x:v>1</x:v>
      </x:c>
    </x:row>
    <x:row r="5" spans="2:16" s="291" customFormat="1" x14ac:dyDescent="0.2">
      <x:c r="B5" s="250">
        <x:v>3</x:v>
      </x:c>
      <x:c r="C5" s="253">
        <x:f>'Recaudo EAAB + Ciud Limp'!D23</x:f>
        <x:v>0</x:v>
      </x:c>
      <x:c r="D5" s="228">
        <x:f>'REMUNERACION_EAAB-CL'!G127</x:f>
        <x:v>0</x:v>
      </x:c>
      <x:c r="E5" s="228">
        <x:f>'REMUNERACION_EAAB-CL'!H127</x:f>
        <x:v>0</x:v>
      </x:c>
      <x:c r="F5" s="228">
        <x:v>0</x:v>
      </x:c>
      <x:c r="G5" s="228">
        <x:f>'REMUNERACION_EAAB-CL'!I127</x:f>
        <x:v>0</x:v>
      </x:c>
      <x:c r="H5" s="276">
        <x:f t="shared" si="0"/>
        <x:v>0</x:v>
      </x:c>
      <x:c r="I5" s="227">
        <x:f>'REMUNERACION_EAAB-CL'!D106</x:f>
        <x:v>0</x:v>
      </x:c>
      <x:c r="J5" s="228">
        <x:f>'REMUNERACION_EAAB-CL'!N106</x:f>
        <x:v>0</x:v>
      </x:c>
      <x:c r="K5" s="228">
        <x:f>'REMUNERACION_EAAB-CL'!D127</x:f>
        <x:v>0</x:v>
      </x:c>
      <x:c r="L5" s="289">
        <x:f>'REMUNERACION_EAAB-CL'!E127</x:f>
        <x:v>0</x:v>
      </x:c>
      <x:c r="M5" s="228">
        <x:f>-'REMUNERACION_EAAB-CL'!D68+'REMUNERACION_EAAB-CL'!N68</x:f>
        <x:v>0</x:v>
      </x:c>
      <x:c r="N5" s="254">
        <x:f>SUM(I5:M5)</x:f>
        <x:v>0</x:v>
      </x:c>
      <x:c r="O5" s="290">
        <x:f>H5-N5</x:f>
        <x:v>0</x:v>
      </x:c>
      <x:c r="P5" s="1" t="b">
        <x:f t="shared" si="2"/>
        <x:v>1</x:v>
      </x:c>
    </x:row>
    <x:row r="6" spans="2:16" s="291" customFormat="1" x14ac:dyDescent="0.2">
      <x:c r="B6" s="250">
        <x:v>4</x:v>
      </x:c>
      <x:c r="C6" s="253">
        <x:f>'Recaudo EAAB + Ciud Limp'!D24</x:f>
        <x:v>0</x:v>
      </x:c>
      <x:c r="D6" s="228">
        <x:f>'REMUNERACION_EAAB-CL'!G128</x:f>
        <x:v>0</x:v>
      </x:c>
      <x:c r="E6" s="228">
        <x:f>'REMUNERACION_EAAB-CL'!H128</x:f>
        <x:v>0</x:v>
      </x:c>
      <x:c r="F6" s="228">
        <x:v>0</x:v>
      </x:c>
      <x:c r="G6" s="228">
        <x:f>'REMUNERACION_EAAB-CL'!I128</x:f>
        <x:v>0</x:v>
      </x:c>
      <x:c r="H6" s="276">
        <x:f t="shared" si="0"/>
        <x:v>0</x:v>
      </x:c>
      <x:c r="I6" s="227">
        <x:f>'REMUNERACION_EAAB-CL'!D107</x:f>
        <x:v>0</x:v>
      </x:c>
      <x:c r="J6" s="228">
        <x:f>'REMUNERACION_EAAB-CL'!N107</x:f>
        <x:v>0</x:v>
      </x:c>
      <x:c r="K6" s="228">
        <x:f>'REMUNERACION_EAAB-CL'!D128</x:f>
        <x:v>0</x:v>
      </x:c>
      <x:c r="L6" s="289">
        <x:f>'REMUNERACION_EAAB-CL'!E128</x:f>
        <x:v>0</x:v>
      </x:c>
      <x:c r="M6" s="228">
        <x:f>-'REMUNERACION_EAAB-CL'!D69+'REMUNERACION_EAAB-CL'!N69</x:f>
        <x:v>0</x:v>
      </x:c>
      <x:c r="N6" s="254">
        <x:f t="shared" ref="N6:N7" si="3">SUM(I6:M6)</x:f>
        <x:v>0</x:v>
      </x:c>
      <x:c r="O6" s="290">
        <x:f t="shared" si="1"/>
        <x:v>0</x:v>
      </x:c>
      <x:c r="P6" s="1" t="b">
        <x:f t="shared" si="2"/>
        <x:v>1</x:v>
      </x:c>
    </x:row>
    <x:row r="7" spans="2:16" s="291" customFormat="1" x14ac:dyDescent="0.2">
      <x:c r="B7" s="250">
        <x:v>5</x:v>
      </x:c>
      <x:c r="C7" s="253">
        <x:f>'Recaudo EAAB + Ciud Limp'!D25</x:f>
        <x:v>0</x:v>
      </x:c>
      <x:c r="D7" s="228">
        <x:f>'REMUNERACION_EAAB-CL'!G129</x:f>
        <x:v>0</x:v>
      </x:c>
      <x:c r="E7" s="228">
        <x:f>'REMUNERACION_EAAB-CL'!H129</x:f>
        <x:v>0</x:v>
      </x:c>
      <x:c r="F7" s="228">
        <x:v>0</x:v>
      </x:c>
      <x:c r="G7" s="228">
        <x:f>'REMUNERACION_EAAB-CL'!I129</x:f>
        <x:v>0</x:v>
      </x:c>
      <x:c r="H7" s="276">
        <x:f t="shared" si="0"/>
        <x:v>0</x:v>
      </x:c>
      <x:c r="I7" s="227">
        <x:f>'REMUNERACION_EAAB-CL'!D108</x:f>
        <x:v>0</x:v>
      </x:c>
      <x:c r="J7" s="228">
        <x:f>'REMUNERACION_EAAB-CL'!N108</x:f>
        <x:v>0</x:v>
      </x:c>
      <x:c r="K7" s="228">
        <x:f>'REMUNERACION_EAAB-CL'!D129</x:f>
        <x:v>0</x:v>
      </x:c>
      <x:c r="L7" s="289">
        <x:f>'REMUNERACION_EAAB-CL'!E129</x:f>
        <x:v>0</x:v>
      </x:c>
      <x:c r="M7" s="228">
        <x:f>-'REMUNERACION_EAAB-CL'!D70+'REMUNERACION_EAAB-CL'!N70</x:f>
        <x:v>0</x:v>
      </x:c>
      <x:c r="N7" s="254">
        <x:f t="shared" si="3"/>
        <x:v>0</x:v>
      </x:c>
      <x:c r="O7" s="290">
        <x:f>H7-N7</x:f>
        <x:v>0</x:v>
      </x:c>
      <x:c r="P7" s="1" t="b">
        <x:f t="shared" si="2"/>
        <x:v>1</x:v>
      </x:c>
    </x:row>
    <x:row r="8" spans="2:16" s="291" customFormat="1" ht="13.5" thickBot="1" x14ac:dyDescent="0.25">
      <x:c r="B8" s="277" t="s">
        <x:v>89</x:v>
      </x:c>
      <x:c r="C8" s="253">
        <x:f>'Recaudo EAAB + Ciud Limp'!F26</x:f>
        <x:v>0</x:v>
      </x:c>
      <x:c r="D8" s="292">
        <x:v>0</x:v>
      </x:c>
      <x:c r="E8" s="292">
        <x:v>0</x:v>
      </x:c>
      <x:c r="F8" s="292">
        <x:v>0</x:v>
      </x:c>
      <x:c r="G8" s="292">
        <x:v>0</x:v>
      </x:c>
      <x:c r="H8" s="276">
        <x:f t="shared" si="0"/>
        <x:v>0</x:v>
      </x:c>
      <x:c r="I8" s="293">
        <x:v>0</x:v>
      </x:c>
      <x:c r="J8" s="279">
        <x:v>0</x:v>
      </x:c>
      <x:c r="K8" s="279">
        <x:v>0</x:v>
      </x:c>
      <x:c r="L8" s="289">
        <x:f>'REMUNERACION_EAAB-CL'!E130</x:f>
        <x:v>0</x:v>
      </x:c>
      <x:c r="M8" s="228">
        <x:v>0</x:v>
      </x:c>
      <x:c r="N8" s="294">
        <x:f>SUM(I8:L8)-M8</x:f>
        <x:v>0</x:v>
      </x:c>
      <x:c r="O8" s="290">
        <x:f t="shared" si="1"/>
        <x:v>0</x:v>
      </x:c>
      <x:c r="P8" s="1" t="b">
        <x:f t="shared" si="2"/>
        <x:v>1</x:v>
      </x:c>
    </x:row>
    <x:row r="9" spans="2:16" s="291" customFormat="1" ht="13.5" thickBot="1" x14ac:dyDescent="0.25">
      <x:c r="B9" s="263"/>
      <x:c r="C9" s="226">
        <x:f>SUM(C3:C8)</x:f>
        <x:v>0</x:v>
      </x:c>
      <x:c r="D9" s="226">
        <x:f t="shared" ref="D9:M9" si="4">SUM(D3:D8)</x:f>
        <x:v>0</x:v>
      </x:c>
      <x:c r="E9" s="226">
        <x:f t="shared" si="4"/>
        <x:v>0</x:v>
      </x:c>
      <x:c r="F9" s="226">
        <x:f t="shared" si="4"/>
        <x:v>0</x:v>
      </x:c>
      <x:c r="G9" s="226">
        <x:f t="shared" si="4"/>
        <x:v>0</x:v>
      </x:c>
      <x:c r="H9" s="226">
        <x:f t="shared" si="4"/>
        <x:v>0</x:v>
      </x:c>
      <x:c r="I9" s="226">
        <x:f t="shared" si="4"/>
        <x:v>0</x:v>
      </x:c>
      <x:c r="J9" s="226">
        <x:f t="shared" si="4"/>
        <x:v>0</x:v>
      </x:c>
      <x:c r="K9" s="226">
        <x:f t="shared" si="4"/>
        <x:v>0</x:v>
      </x:c>
      <x:c r="L9" s="226">
        <x:f t="shared" si="4"/>
        <x:v>0</x:v>
      </x:c>
      <x:c r="M9" s="226">
        <x:f t="shared" si="4"/>
        <x:v>0</x:v>
      </x:c>
      <x:c r="N9" s="226">
        <x:f>SUM(N3:N8)</x:f>
        <x:v>0</x:v>
      </x:c>
      <x:c r="O9" s="295">
        <x:f>SUM(O3:O8)</x:f>
        <x:v>0</x:v>
      </x:c>
      <x:c r="P9" s="1" t="b">
        <x:f t="shared" si="2"/>
        <x:v>1</x:v>
      </x:c>
    </x:row>
    <x:row r="11" spans="2:16" x14ac:dyDescent="0.2">
      <x:c r="B11" s="95" t="s">
        <x:v>89</x:v>
      </x:c>
      <x:c r="C11" s="96" t="s">
        <x:v>90</x:v>
      </x:c>
      <x:c r="M11" s="130"/>
      <x:c r="O11" s="126"/>
    </x:row>
    <x:row r="12" spans="2:16" x14ac:dyDescent="0.2">
      <x:c r="C12" s="132"/>
    </x:row>
    <x:row r="13" spans="2:16" x14ac:dyDescent="0.2">
      <x:c r="B13" s="131"/>
      <x:c r="C13" s="96" t="s">
        <x:v>1</x:v>
      </x:c>
    </x:row>
    <x:row r="14" spans="2:16" x14ac:dyDescent="0.2">
      <x:c r="C14" s="200">
        <x:f>'Valida - Control Recaudo'!E3+'Valida - Control Recaudo'!E5</x:f>
        <x:v>0</x:v>
      </x:c>
    </x:row>
    <x:row r="15" spans="2:16" x14ac:dyDescent="0.2">
      <x:c r="C15" s="202" t="b">
        <x:f>C14=C9</x:f>
        <x:v>1</x:v>
      </x:c>
    </x:row>
    <x:row r="16" spans="2:16" x14ac:dyDescent="0.2">
      <x:c r="C16" s="191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topLeftCell="V1" zoomScale="98" zoomScaleNormal="98" workbookViewId="0">
      <x:selection activeCell="L17" sqref="L17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5.28515625" style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6.5703125" style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9.42578125" style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16384" width="11.42578125" style="1"/>
  </x:cols>
  <x:sheetData>
    <x:row r="1" spans="2:35" ht="12.75" thickBot="1" x14ac:dyDescent="0.25">
      <x:c r="Q1" s="4"/>
      <x:c r="AI1" s="4"/>
    </x:row>
    <x:row r="2" spans="2:35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5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75" x14ac:dyDescent="0.25">
      <x:c r="B6" s="8"/>
      <x:c r="C6" s="511" t="s">
        <x:v>17</x:v>
      </x:c>
      <x:c r="D6" s="9">
        <x:f>'CONSOLIDADO_TOTAL RECAUDO'!D101</x:f>
        <x:v>46238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75" thickBot="1" x14ac:dyDescent="0.25">
      <x:c r="B7" s="8"/>
      <x:c r="C7" s="2" t="s">
        <x:v>0</x:v>
      </x:c>
      <x:c r="D7" s="198">
        <x:f>'CONSOLIDADO_TOTAL RECAUDO'!D102</x:f>
        <x:v>0.58333333333333337</x:v>
      </x:c>
      <x:c r="F7" s="2" t="s">
        <x:v>27</x:v>
      </x:c>
      <x:c r="G7" s="9">
        <x:f>'CONSOLIDADO_TOTAL RECAUDO'!G102</x:f>
        <x:v>46219</x:v>
      </x:c>
      <x:c r="J7" s="2" t="s">
        <x:v>28</x:v>
      </x:c>
      <x:c r="K7" s="9">
        <x:f>'CONSOLIDADO_TOTAL RECAUDO'!K102</x:f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46219</x:v>
      </x:c>
      <x:c r="W7" s="1" t="s">
        <x:v>1</x:v>
      </x:c>
      <x:c r="X7" s="1" t="str">
        <x:f>J7</x:f>
        <x:v>Feha Hasta:</x:v>
      </x:c>
      <x:c r="Y7" s="9">
        <x:f>K7</x:f>
        <x:v>46234</x:v>
      </x:c>
      <x:c r="Z7" s="1" t="s">
        <x:v>1</x:v>
      </x:c>
      <x:c r="AF7" s="48"/>
      <x:c r="AG7" s="2"/>
      <x:c r="AI7" s="4"/>
    </x:row>
    <x:row r="8" spans="2:35" ht="72.75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241" customFormat="1" x14ac:dyDescent="0.2">
      <x:c r="B9" s="239">
        <x:v>1</x:v>
      </x:c>
      <x:c r="C9" s="240" t="s">
        <x:v>10</x:v>
      </x:c>
      <x:c r="D9" s="227">
        <x:f>'REMUNERACION_EAAB-CL'!D104</x:f>
        <x:v>0</x:v>
      </x:c>
      <x:c r="E9" s="227">
        <x:f>'REMUNERACION_EAAB-CL'!E104</x:f>
        <x:v>0</x:v>
      </x:c>
      <x:c r="F9" s="227">
        <x:f>'REMUNERACION_EAAB-CL'!F104</x:f>
        <x:v>0</x:v>
      </x:c>
      <x:c r="G9" s="227">
        <x:f>'REMUNERACION_EAAB-CL'!G104</x:f>
        <x:v>0</x:v>
      </x:c>
      <x:c r="H9" s="227">
        <x:f>'REMUNERACION_EAAB-CL'!H104</x:f>
        <x:v>0</x:v>
      </x:c>
      <x:c r="I9" s="227">
        <x:f>'REMUNERACION_EAAB-CL'!I104</x:f>
        <x:v>0</x:v>
      </x:c>
      <x:c r="J9" s="227">
        <x:f>'REMUNERACION_EAAB-CL'!J104</x:f>
        <x:v>0</x:v>
      </x:c>
      <x:c r="K9" s="229">
        <x:f>D9-E9-F9-G9-H9-I9-J9</x:f>
        <x:v>0</x:v>
      </x:c>
      <x:c r="L9" s="227">
        <x:f>'REMUNERACION_EAAB-CL'!L104</x:f>
        <x:v>0</x:v>
      </x:c>
      <x:c r="M9" s="229">
        <x:f>K9-L9</x:f>
        <x:v>0</x:v>
      </x:c>
      <x:c r="N9" s="227">
        <x:f>'REMUNERACION_EAAB-CL'!N104</x:f>
        <x:v>0</x:v>
      </x:c>
      <x:c r="O9" s="229">
        <x:f>M9+N9</x:f>
        <x:v>0</x:v>
      </x:c>
      <x:c r="Q9" s="242"/>
      <x:c r="S9" s="239">
        <x:v>1</x:v>
      </x:c>
      <x:c r="T9" s="240" t="s">
        <x:v>10</x:v>
      </x:c>
      <x:c r="U9" s="227">
        <x:f>'REMUNERACION_EAAB-CL'!U104</x:f>
        <x:v>0</x:v>
      </x:c>
      <x:c r="V9" s="227">
        <x:f>'REMUNERACION_EAAB-CL'!V104</x:f>
        <x:v>0</x:v>
      </x:c>
      <x:c r="W9" s="227">
        <x:f>'REMUNERACION_EAAB-CL'!W104</x:f>
        <x:v>0</x:v>
      </x:c>
      <x:c r="X9" s="227">
        <x:f>'REMUNERACION_EAAB-CL'!X104</x:f>
        <x:v>0</x:v>
      </x:c>
      <x:c r="Y9" s="227">
        <x:f>'REMUNERACION_EAAB-CL'!Y104</x:f>
        <x:v>0</x:v>
      </x:c>
      <x:c r="Z9" s="227">
        <x:f>'REMUNERACION_EAAB-CL'!Z104</x:f>
        <x:v>0</x:v>
      </x:c>
      <x:c r="AA9" s="227">
        <x:f>'REMUNERACION_EAAB-CL'!AA104</x:f>
        <x:v>0</x:v>
      </x:c>
      <x:c r="AB9" s="227">
        <x:f>'REMUNERACION_EAAB-CL'!AB104</x:f>
        <x:v>0</x:v>
      </x:c>
      <x:c r="AC9" s="227">
        <x:f>'REMUNERACION_EAAB-CL'!AC104</x:f>
        <x:v>0</x:v>
      </x:c>
      <x:c r="AD9" s="227">
        <x:f>'REMUNERACION_EAAB-CL'!AD104</x:f>
        <x:v>0</x:v>
      </x:c>
      <x:c r="AE9" s="227">
        <x:f>'REMUNERACION_EAAB-CL'!AE104</x:f>
        <x:v>0</x:v>
      </x:c>
      <x:c r="AF9" s="299">
        <x:f>SUM(U9:AD9)</x:f>
        <x:v>0</x:v>
      </x:c>
      <x:c r="AG9" s="300">
        <x:f>AF9-O9</x:f>
        <x:v>0</x:v>
      </x:c>
      <x:c r="AH9" s="1" t="b">
        <x:f>INT(AG9)=0</x:f>
        <x:v>1</x:v>
      </x:c>
      <x:c r="AI9" s="242"/>
    </x:row>
    <x:row r="10" spans="2:35" s="241" customFormat="1" x14ac:dyDescent="0.2">
      <x:c r="B10" s="250">
        <x:v>2</x:v>
      </x:c>
      <x:c r="C10" s="251" t="s">
        <x:v>11</x:v>
      </x:c>
      <x:c r="D10" s="227">
        <x:f>'REMUNERACION_EAAB-CL'!D105</x:f>
        <x:v>0</x:v>
      </x:c>
      <x:c r="E10" s="227">
        <x:f>'REMUNERACION_EAAB-CL'!E105</x:f>
        <x:v>0</x:v>
      </x:c>
      <x:c r="F10" s="227">
        <x:f>'REMUNERACION_EAAB-CL'!F105</x:f>
        <x:v>0</x:v>
      </x:c>
      <x:c r="G10" s="227">
        <x:f>'REMUNERACION_EAAB-CL'!G105</x:f>
        <x:v>0</x:v>
      </x:c>
      <x:c r="H10" s="227">
        <x:f>'REMUNERACION_EAAB-CL'!H105</x:f>
        <x:v>0</x:v>
      </x:c>
      <x:c r="I10" s="227">
        <x:f>'REMUNERACION_EAAB-CL'!I105</x:f>
        <x:v>0</x:v>
      </x:c>
      <x:c r="J10" s="227">
        <x:f>'REMUNERACION_EAAB-CL'!J105</x:f>
        <x:v>0</x:v>
      </x:c>
      <x:c r="K10" s="231">
        <x:f t="shared" ref="K10:K13" si="0">D10-E10-F10-G10-H10-I10-J10</x:f>
        <x:v>0</x:v>
      </x:c>
      <x:c r="L10" s="227">
        <x:f>'REMUNERACION_EAAB-CL'!L105</x:f>
        <x:v>0</x:v>
      </x:c>
      <x:c r="M10" s="231">
        <x:f>K10-L10</x:f>
        <x:v>0</x:v>
      </x:c>
      <x:c r="N10" s="227">
        <x:f>'REMUNERACION_EAAB-CL'!N105</x:f>
        <x:v>0</x:v>
      </x:c>
      <x:c r="O10" s="231">
        <x:f t="shared" ref="O10:O13" si="1">M10+N10</x:f>
        <x:v>0</x:v>
      </x:c>
      <x:c r="Q10" s="242"/>
      <x:c r="S10" s="250">
        <x:v>2</x:v>
      </x:c>
      <x:c r="T10" s="251" t="s">
        <x:v>11</x:v>
      </x:c>
      <x:c r="U10" s="227">
        <x:f>'REMUNERACION_EAAB-CL'!U105</x:f>
        <x:v>0</x:v>
      </x:c>
      <x:c r="V10" s="227">
        <x:f>'REMUNERACION_EAAB-CL'!V105</x:f>
        <x:v>0</x:v>
      </x:c>
      <x:c r="W10" s="227">
        <x:f>'REMUNERACION_EAAB-CL'!W105</x:f>
        <x:v>0</x:v>
      </x:c>
      <x:c r="X10" s="227">
        <x:f>'REMUNERACION_EAAB-CL'!X105</x:f>
        <x:v>0</x:v>
      </x:c>
      <x:c r="Y10" s="227">
        <x:f>'REMUNERACION_EAAB-CL'!Y105</x:f>
        <x:v>0</x:v>
      </x:c>
      <x:c r="Z10" s="227">
        <x:f>'REMUNERACION_EAAB-CL'!Z105</x:f>
        <x:v>0</x:v>
      </x:c>
      <x:c r="AA10" s="227">
        <x:f>'REMUNERACION_EAAB-CL'!AA105</x:f>
        <x:v>0</x:v>
      </x:c>
      <x:c r="AB10" s="227">
        <x:f>'REMUNERACION_EAAB-CL'!AB105</x:f>
        <x:v>0</x:v>
      </x:c>
      <x:c r="AC10" s="227">
        <x:f>'REMUNERACION_EAAB-CL'!AC105</x:f>
        <x:v>0</x:v>
      </x:c>
      <x:c r="AD10" s="227">
        <x:f>'REMUNERACION_EAAB-CL'!AD105</x:f>
        <x:v>0</x:v>
      </x:c>
      <x:c r="AE10" s="227">
        <x:f>'REMUNERACION_EAAB-CL'!AE105</x:f>
        <x:v>0</x:v>
      </x:c>
      <x:c r="AF10" s="301">
        <x:f>SUM(U10:AD10)</x:f>
        <x:v>0</x:v>
      </x:c>
      <x:c r="AG10" s="302">
        <x:f>AF10-O10</x:f>
        <x:v>0</x:v>
      </x:c>
      <x:c r="AH10" s="1" t="b">
        <x:f t="shared" ref="AH10:AH14" si="2">INT(AG10)=0</x:f>
        <x:v>1</x:v>
      </x:c>
      <x:c r="AI10" s="242"/>
    </x:row>
    <x:row r="11" spans="2:35" s="241" customFormat="1" x14ac:dyDescent="0.2">
      <x:c r="B11" s="250">
        <x:v>3</x:v>
      </x:c>
      <x:c r="C11" s="251" t="s">
        <x:v>12</x:v>
      </x:c>
      <x:c r="D11" s="227">
        <x:f>'REMUNERACION_EAAB-CL'!D106</x:f>
        <x:v>0</x:v>
      </x:c>
      <x:c r="E11" s="227">
        <x:f>'REMUNERACION_EAAB-CL'!E106</x:f>
        <x:v>0</x:v>
      </x:c>
      <x:c r="F11" s="227">
        <x:f>'REMUNERACION_EAAB-CL'!F106</x:f>
        <x:v>0</x:v>
      </x:c>
      <x:c r="G11" s="227">
        <x:f>'REMUNERACION_EAAB-CL'!G106</x:f>
        <x:v>0</x:v>
      </x:c>
      <x:c r="H11" s="227">
        <x:f>'REMUNERACION_EAAB-CL'!H106</x:f>
        <x:v>0</x:v>
      </x:c>
      <x:c r="I11" s="227">
        <x:f>'REMUNERACION_EAAB-CL'!I106</x:f>
        <x:v>0</x:v>
      </x:c>
      <x:c r="J11" s="227">
        <x:f>'REMUNERACION_EAAB-CL'!J106</x:f>
        <x:v>0</x:v>
      </x:c>
      <x:c r="K11" s="231">
        <x:f t="shared" si="0"/>
        <x:v>0</x:v>
      </x:c>
      <x:c r="L11" s="227">
        <x:f>'REMUNERACION_EAAB-CL'!L106</x:f>
        <x:v>0</x:v>
      </x:c>
      <x:c r="M11" s="231">
        <x:f>K11-L11</x:f>
        <x:v>0</x:v>
      </x:c>
      <x:c r="N11" s="227">
        <x:f>'REMUNERACION_EAAB-CL'!N106</x:f>
        <x:v>0</x:v>
      </x:c>
      <x:c r="O11" s="231">
        <x:f t="shared" si="1"/>
        <x:v>0</x:v>
      </x:c>
      <x:c r="Q11" s="242"/>
      <x:c r="S11" s="250">
        <x:v>3</x:v>
      </x:c>
      <x:c r="T11" s="251" t="s">
        <x:v>12</x:v>
      </x:c>
      <x:c r="U11" s="227">
        <x:f>'REMUNERACION_EAAB-CL'!U106</x:f>
        <x:v>0</x:v>
      </x:c>
      <x:c r="V11" s="227">
        <x:f>'REMUNERACION_EAAB-CL'!V106</x:f>
        <x:v>0</x:v>
      </x:c>
      <x:c r="W11" s="227">
        <x:f>'REMUNERACION_EAAB-CL'!W106</x:f>
        <x:v>0</x:v>
      </x:c>
      <x:c r="X11" s="227">
        <x:f>'REMUNERACION_EAAB-CL'!X106</x:f>
        <x:v>0</x:v>
      </x:c>
      <x:c r="Y11" s="227">
        <x:f>'REMUNERACION_EAAB-CL'!Y106</x:f>
        <x:v>0</x:v>
      </x:c>
      <x:c r="Z11" s="227">
        <x:f>'REMUNERACION_EAAB-CL'!Z106</x:f>
        <x:v>0</x:v>
      </x:c>
      <x:c r="AA11" s="227">
        <x:f>'REMUNERACION_EAAB-CL'!AA106</x:f>
        <x:v>0</x:v>
      </x:c>
      <x:c r="AB11" s="227">
        <x:f>'REMUNERACION_EAAB-CL'!AB106</x:f>
        <x:v>0</x:v>
      </x:c>
      <x:c r="AC11" s="227">
        <x:f>'REMUNERACION_EAAB-CL'!AC106</x:f>
        <x:v>0</x:v>
      </x:c>
      <x:c r="AD11" s="227">
        <x:f>'REMUNERACION_EAAB-CL'!AD106</x:f>
        <x:v>0</x:v>
      </x:c>
      <x:c r="AE11" s="227">
        <x:f>'REMUNERACION_EAAB-CL'!AE106</x:f>
        <x:v>0</x:v>
      </x:c>
      <x:c r="AF11" s="301">
        <x:f>SUM(U11:AD11)</x:f>
        <x:v>0</x:v>
      </x:c>
      <x:c r="AG11" s="302">
        <x:f>AF11-O11</x:f>
        <x:v>0</x:v>
      </x:c>
      <x:c r="AH11" s="1" t="b">
        <x:f t="shared" si="2"/>
        <x:v>1</x:v>
      </x:c>
      <x:c r="AI11" s="242"/>
    </x:row>
    <x:row r="12" spans="2:35" s="241" customFormat="1" x14ac:dyDescent="0.2">
      <x:c r="B12" s="250">
        <x:v>4</x:v>
      </x:c>
      <x:c r="C12" s="251" t="s">
        <x:v>13</x:v>
      </x:c>
      <x:c r="D12" s="227">
        <x:f>'REMUNERACION_EAAB-CL'!D107</x:f>
        <x:v>0</x:v>
      </x:c>
      <x:c r="E12" s="227">
        <x:f>'REMUNERACION_EAAB-CL'!E107</x:f>
        <x:v>0</x:v>
      </x:c>
      <x:c r="F12" s="227">
        <x:f>'REMUNERACION_EAAB-CL'!F107</x:f>
        <x:v>0</x:v>
      </x:c>
      <x:c r="G12" s="227">
        <x:f>'REMUNERACION_EAAB-CL'!G107</x:f>
        <x:v>0</x:v>
      </x:c>
      <x:c r="H12" s="227">
        <x:f>'REMUNERACION_EAAB-CL'!H107</x:f>
        <x:v>0</x:v>
      </x:c>
      <x:c r="I12" s="227">
        <x:f>'REMUNERACION_EAAB-CL'!I107</x:f>
        <x:v>0</x:v>
      </x:c>
      <x:c r="J12" s="227">
        <x:f>'REMUNERACION_EAAB-CL'!J107</x:f>
        <x:v>0</x:v>
      </x:c>
      <x:c r="K12" s="231">
        <x:f t="shared" si="0"/>
        <x:v>0</x:v>
      </x:c>
      <x:c r="L12" s="227">
        <x:f>'REMUNERACION_EAAB-CL'!L107</x:f>
        <x:v>0</x:v>
      </x:c>
      <x:c r="M12" s="231">
        <x:f>K12-L12</x:f>
        <x:v>0</x:v>
      </x:c>
      <x:c r="N12" s="227">
        <x:f>'REMUNERACION_EAAB-CL'!N107</x:f>
        <x:v>0</x:v>
      </x:c>
      <x:c r="O12" s="231">
        <x:f t="shared" si="1"/>
        <x:v>0</x:v>
      </x:c>
      <x:c r="Q12" s="242"/>
      <x:c r="S12" s="250">
        <x:v>4</x:v>
      </x:c>
      <x:c r="T12" s="251" t="s">
        <x:v>13</x:v>
      </x:c>
      <x:c r="U12" s="227">
        <x:f>'REMUNERACION_EAAB-CL'!U107</x:f>
        <x:v>0</x:v>
      </x:c>
      <x:c r="V12" s="227">
        <x:f>'REMUNERACION_EAAB-CL'!V107</x:f>
        <x:v>0</x:v>
      </x:c>
      <x:c r="W12" s="227">
        <x:f>'REMUNERACION_EAAB-CL'!W107</x:f>
        <x:v>0</x:v>
      </x:c>
      <x:c r="X12" s="227">
        <x:f>'REMUNERACION_EAAB-CL'!X107</x:f>
        <x:v>0</x:v>
      </x:c>
      <x:c r="Y12" s="227">
        <x:f>'REMUNERACION_EAAB-CL'!Y107</x:f>
        <x:v>0</x:v>
      </x:c>
      <x:c r="Z12" s="227">
        <x:f>'REMUNERACION_EAAB-CL'!Z107</x:f>
        <x:v>0</x:v>
      </x:c>
      <x:c r="AA12" s="227">
        <x:f>'REMUNERACION_EAAB-CL'!AA107</x:f>
        <x:v>0</x:v>
      </x:c>
      <x:c r="AB12" s="227">
        <x:f>'REMUNERACION_EAAB-CL'!AB107</x:f>
        <x:v>0</x:v>
      </x:c>
      <x:c r="AC12" s="227">
        <x:f>'REMUNERACION_EAAB-CL'!AC107</x:f>
        <x:v>0</x:v>
      </x:c>
      <x:c r="AD12" s="227">
        <x:f>'REMUNERACION_EAAB-CL'!AD107</x:f>
        <x:v>0</x:v>
      </x:c>
      <x:c r="AE12" s="227">
        <x:f>'REMUNERACION_EAAB-CL'!AE107</x:f>
        <x:v>0</x:v>
      </x:c>
      <x:c r="AF12" s="301">
        <x:f>SUM(U12:AD12)</x:f>
        <x:v>0</x:v>
      </x:c>
      <x:c r="AG12" s="302">
        <x:f>AF12-O12</x:f>
        <x:v>0</x:v>
      </x:c>
      <x:c r="AH12" s="1" t="b">
        <x:f t="shared" si="2"/>
        <x:v>1</x:v>
      </x:c>
      <x:c r="AI12" s="242"/>
    </x:row>
    <x:row r="13" spans="2:35" s="241" customFormat="1" ht="12.75" thickBot="1" x14ac:dyDescent="0.25">
      <x:c r="B13" s="260">
        <x:v>5</x:v>
      </x:c>
      <x:c r="C13" s="261" t="s">
        <x:v>14</x:v>
      </x:c>
      <x:c r="D13" s="227">
        <x:f>'REMUNERACION_EAAB-CL'!D108</x:f>
        <x:v>0</x:v>
      </x:c>
      <x:c r="E13" s="227">
        <x:f>'REMUNERACION_EAAB-CL'!E108</x:f>
        <x:v>0</x:v>
      </x:c>
      <x:c r="F13" s="227">
        <x:f>'REMUNERACION_EAAB-CL'!F108</x:f>
        <x:v>0</x:v>
      </x:c>
      <x:c r="G13" s="227">
        <x:f>'REMUNERACION_EAAB-CL'!G108</x:f>
        <x:v>0</x:v>
      </x:c>
      <x:c r="H13" s="227">
        <x:f>'REMUNERACION_EAAB-CL'!H108</x:f>
        <x:v>0</x:v>
      </x:c>
      <x:c r="I13" s="227">
        <x:f>'REMUNERACION_EAAB-CL'!I108</x:f>
        <x:v>0</x:v>
      </x:c>
      <x:c r="J13" s="227">
        <x:f>'REMUNERACION_EAAB-CL'!J108</x:f>
        <x:v>0</x:v>
      </x:c>
      <x:c r="K13" s="231">
        <x:f t="shared" si="0"/>
        <x:v>0</x:v>
      </x:c>
      <x:c r="L13" s="227">
        <x:f>'REMUNERACION_EAAB-CL'!L108</x:f>
        <x:v>0</x:v>
      </x:c>
      <x:c r="M13" s="234">
        <x:f>K13-L13</x:f>
        <x:v>0</x:v>
      </x:c>
      <x:c r="N13" s="227">
        <x:f>'REMUNERACION_EAAB-CL'!N108</x:f>
        <x:v>0</x:v>
      </x:c>
      <x:c r="O13" s="234">
        <x:f t="shared" si="1"/>
        <x:v>0</x:v>
      </x:c>
      <x:c r="Q13" s="242"/>
      <x:c r="S13" s="260">
        <x:v>5</x:v>
      </x:c>
      <x:c r="T13" s="261" t="s">
        <x:v>14</x:v>
      </x:c>
      <x:c r="U13" s="227">
        <x:f>'REMUNERACION_EAAB-CL'!U108</x:f>
        <x:v>0</x:v>
      </x:c>
      <x:c r="V13" s="227">
        <x:f>'REMUNERACION_EAAB-CL'!V108</x:f>
        <x:v>0</x:v>
      </x:c>
      <x:c r="W13" s="227">
        <x:f>'REMUNERACION_EAAB-CL'!W108</x:f>
        <x:v>0</x:v>
      </x:c>
      <x:c r="X13" s="227">
        <x:f>'REMUNERACION_EAAB-CL'!X108</x:f>
        <x:v>0</x:v>
      </x:c>
      <x:c r="Y13" s="227">
        <x:f>'REMUNERACION_EAAB-CL'!Y108</x:f>
        <x:v>0</x:v>
      </x:c>
      <x:c r="Z13" s="227">
        <x:f>'REMUNERACION_EAAB-CL'!Z108</x:f>
        <x:v>0</x:v>
      </x:c>
      <x:c r="AA13" s="227">
        <x:f>'REMUNERACION_EAAB-CL'!AA108</x:f>
        <x:v>0</x:v>
      </x:c>
      <x:c r="AB13" s="227">
        <x:f>'REMUNERACION_EAAB-CL'!AB108</x:f>
        <x:v>0</x:v>
      </x:c>
      <x:c r="AC13" s="227">
        <x:f>'REMUNERACION_EAAB-CL'!AC108</x:f>
        <x:v>0</x:v>
      </x:c>
      <x:c r="AD13" s="227">
        <x:f>'REMUNERACION_EAAB-CL'!AD108</x:f>
        <x:v>0</x:v>
      </x:c>
      <x:c r="AE13" s="227">
        <x:f>'REMUNERACION_EAAB-CL'!AE108</x:f>
        <x:v>0</x:v>
      </x:c>
      <x:c r="AF13" s="301">
        <x:f>SUM(U13:AD13)</x:f>
        <x:v>0</x:v>
      </x:c>
      <x:c r="AG13" s="302">
        <x:f>AF13-O13</x:f>
        <x:v>0</x:v>
      </x:c>
      <x:c r="AH13" s="1" t="b">
        <x:f t="shared" si="2"/>
        <x:v>1</x:v>
      </x:c>
      <x:c r="AI13" s="242"/>
    </x:row>
    <x:row r="14" spans="2:35" s="241" customFormat="1" ht="13.5" thickBot="1" x14ac:dyDescent="0.25">
      <x:c r="B14" s="263"/>
      <x:c r="C14" s="264" t="s">
        <x:v>2</x:v>
      </x:c>
      <x:c r="D14" s="226">
        <x:f t="shared" ref="D14:O14" si="3">SUM(D9:D13)</x:f>
        <x:v>0</x:v>
      </x:c>
      <x:c r="E14" s="226">
        <x:f t="shared" si="3"/>
        <x:v>0</x:v>
      </x:c>
      <x:c r="F14" s="226">
        <x:f t="shared" si="3"/>
        <x:v>0</x:v>
      </x:c>
      <x:c r="G14" s="226">
        <x:f t="shared" si="3"/>
        <x:v>0</x:v>
      </x:c>
      <x:c r="H14" s="226">
        <x:f t="shared" si="3"/>
        <x:v>0</x:v>
      </x:c>
      <x:c r="I14" s="226">
        <x:f t="shared" si="3"/>
        <x:v>0</x:v>
      </x:c>
      <x:c r="J14" s="226">
        <x:f t="shared" si="3"/>
        <x:v>0</x:v>
      </x:c>
      <x:c r="K14" s="236">
        <x:f t="shared" si="3"/>
        <x:v>0</x:v>
      </x:c>
      <x:c r="L14" s="237">
        <x:f t="shared" si="3"/>
        <x:v>0</x:v>
      </x:c>
      <x:c r="M14" s="238">
        <x:f t="shared" si="3"/>
        <x:v>0</x:v>
      </x:c>
      <x:c r="N14" s="237">
        <x:f t="shared" si="3"/>
        <x:v>0</x:v>
      </x:c>
      <x:c r="O14" s="238">
        <x:f t="shared" si="3"/>
        <x:v>0</x:v>
      </x:c>
      <x:c r="P14" s="265"/>
      <x:c r="Q14" s="242"/>
      <x:c r="S14" s="263"/>
      <x:c r="T14" s="264" t="s">
        <x:v>2</x:v>
      </x:c>
      <x:c r="U14" s="226">
        <x:f>SUM(U9:U13)</x:f>
        <x:v>0</x:v>
      </x:c>
      <x:c r="V14" s="226">
        <x:f t="shared" ref="V14:AG14" si="4">SUM(V9:V13)</x:f>
        <x:v>0</x:v>
      </x:c>
      <x:c r="W14" s="226">
        <x:f t="shared" si="4"/>
        <x:v>0</x:v>
      </x:c>
      <x:c r="X14" s="226">
        <x:f t="shared" si="4"/>
        <x:v>0</x:v>
      </x:c>
      <x:c r="Y14" s="226">
        <x:f t="shared" si="4"/>
        <x:v>0</x:v>
      </x:c>
      <x:c r="Z14" s="226">
        <x:f t="shared" si="4"/>
        <x:v>0</x:v>
      </x:c>
      <x:c r="AA14" s="226">
        <x:f t="shared" si="4"/>
        <x:v>0</x:v>
      </x:c>
      <x:c r="AB14" s="226">
        <x:f t="shared" si="4"/>
        <x:v>0</x:v>
      </x:c>
      <x:c r="AC14" s="226">
        <x:f t="shared" si="4"/>
        <x:v>0</x:v>
      </x:c>
      <x:c r="AD14" s="226">
        <x:f t="shared" si="4"/>
        <x:v>0</x:v>
      </x:c>
      <x:c r="AE14" s="226">
        <x:f>SUM(AE9:AE13)</x:f>
        <x:v>0</x:v>
      </x:c>
      <x:c r="AF14" s="267">
        <x:f t="shared" si="4"/>
        <x:v>0</x:v>
      </x:c>
      <x:c r="AG14" s="226">
        <x:f t="shared" si="4"/>
        <x:v>0</x:v>
      </x:c>
      <x:c r="AH14" s="1" t="b">
        <x:f t="shared" si="2"/>
        <x:v>1</x:v>
      </x:c>
      <x:c r="AI14" s="242"/>
    </x:row>
    <x:row r="15" spans="2:35" ht="12.75" thickBot="1" x14ac:dyDescent="0.25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75" thickBot="1" x14ac:dyDescent="0.25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25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x14ac:dyDescent="0.2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189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x14ac:dyDescent="0.2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.75" thickBot="1" x14ac:dyDescent="0.25">
      <x:c r="Q20" s="4"/>
    </x:row>
    <x:row r="21" spans="1:35" x14ac:dyDescent="0.2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5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75" x14ac:dyDescent="0.25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x14ac:dyDescent="0.2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x14ac:dyDescent="0.2">
      <x:c r="B25" s="8"/>
      <x:c r="I25" s="2"/>
      <x:c r="J25" s="2"/>
      <x:c r="O25" s="10"/>
      <x:c r="P25" s="2"/>
      <x:c r="Q25" s="4"/>
    </x:row>
    <x:row r="26" spans="1:35" ht="15.75" x14ac:dyDescent="0.25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x14ac:dyDescent="0.2">
      <x:c r="B27" s="8"/>
      <x:c r="F27" s="2" t="s">
        <x:v>27</x:v>
      </x:c>
      <x:c r="G27" s="2"/>
      <x:c r="H27" s="9">
        <x:f>'CONSOLIDADO_TOTAL RECAUDO'!G122</x:f>
        <x:v>46219</x:v>
      </x:c>
      <x:c r="J27" s="2" t="s">
        <x:v>28</x:v>
      </x:c>
      <x:c r="K27" s="9">
        <x:f>'CONSOLIDADO_TOTAL RECAUDO'!K122</x:f>
        <x:v>46234</x:v>
      </x:c>
      <x:c r="O27" s="10"/>
      <x:c r="P27" s="2"/>
      <x:c r="Q27" s="4"/>
    </x:row>
    <x:row r="28" spans="1:35" ht="12.75" thickBot="1" x14ac:dyDescent="0.25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75" thickBot="1" x14ac:dyDescent="0.25">
      <x:c r="B29" s="11" t="s">
        <x:v>3</x:v>
      </x:c>
      <x:c r="C29" s="12" t="s">
        <x:v>9</x:v>
      </x:c>
      <x:c r="D29" s="98" t="s">
        <x:v>38</x:v>
      </x:c>
      <x:c r="E29" s="98" t="s">
        <x:v>48</x:v>
      </x:c>
      <x:c r="G29" s="97" t="s">
        <x:v>47</x:v>
      </x:c>
      <x:c r="H29" s="73" t="s">
        <x:v>56</x:v>
      </x:c>
      <x:c r="I29" s="73" t="s">
        <x:v>130</x:v>
      </x:c>
      <x:c r="J29" s="73" t="s">
        <x:v>171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241" customFormat="1" x14ac:dyDescent="0.2">
      <x:c r="B30" s="270">
        <x:v>1</x:v>
      </x:c>
      <x:c r="C30" s="303" t="s">
        <x:v>10</x:v>
      </x:c>
      <x:c r="D30" s="243">
        <x:f>'REMUNERACION_EAAB-CL'!D125</x:f>
        <x:v>0</x:v>
      </x:c>
      <x:c r="E30" s="245">
        <x:f>'REMUNERACION_EAAB-CL'!E125</x:f>
        <x:v>0</x:v>
      </x:c>
      <x:c r="G30" s="272">
        <x:f>'REMUNERACION_EAAB-CL'!G125</x:f>
        <x:v>0</x:v>
      </x:c>
      <x:c r="H30" s="246">
        <x:f>'REMUNERACION_EAAB-CL'!H125</x:f>
        <x:v>0</x:v>
      </x:c>
      <x:c r="I30" s="245">
        <x:f>'REMUNERACION_EAAB-CL'!I125</x:f>
        <x:v>0</x:v>
      </x:c>
      <x:c r="J30" s="245">
        <x:f>'REMUNERACION_EAAB-CL'!J125</x:f>
        <x:v>0</x:v>
      </x:c>
      <x:c r="K30" s="245">
        <x:f>'REMUNERACION_EAAB-CL'!K125</x:f>
        <x:v>0</x:v>
      </x:c>
      <x:c r="L30" s="245">
        <x:f>'REMUNERACION_EAAB-CL'!L125</x:f>
        <x:v>0</x:v>
      </x:c>
      <x:c r="O30" s="273"/>
      <x:c r="Q30" s="242"/>
    </x:row>
    <x:row r="31" spans="1:35" s="241" customFormat="1" x14ac:dyDescent="0.2">
      <x:c r="B31" s="250">
        <x:v>2</x:v>
      </x:c>
      <x:c r="C31" s="251" t="s">
        <x:v>11</x:v>
      </x:c>
      <x:c r="D31" s="252">
        <x:f>'REMUNERACION_EAAB-CL'!D126</x:f>
        <x:v>0</x:v>
      </x:c>
      <x:c r="E31" s="254">
        <x:f>'REMUNERACION_EAAB-CL'!E126</x:f>
        <x:v>0</x:v>
      </x:c>
      <x:c r="G31" s="275">
        <x:f>'REMUNERACION_EAAB-CL'!G126</x:f>
        <x:v>0</x:v>
      </x:c>
      <x:c r="H31" s="276">
        <x:f>'REMUNERACION_EAAB-CL'!H126</x:f>
        <x:v>0</x:v>
      </x:c>
      <x:c r="I31" s="224">
        <x:f>'REMUNERACION_EAAB-CL'!I126</x:f>
        <x:v>0</x:v>
      </x:c>
      <x:c r="J31" s="224">
        <x:f>'REMUNERACION_EAAB-CL'!J126</x:f>
        <x:v>0</x:v>
      </x:c>
      <x:c r="K31" s="224">
        <x:f>'REMUNERACION_EAAB-CL'!K126</x:f>
        <x:v>0</x:v>
      </x:c>
      <x:c r="L31" s="224">
        <x:f>'REMUNERACION_EAAB-CL'!L126</x:f>
        <x:v>0</x:v>
      </x:c>
      <x:c r="O31" s="273"/>
      <x:c r="Q31" s="242"/>
    </x:row>
    <x:row r="32" spans="1:35" s="241" customFormat="1" x14ac:dyDescent="0.2">
      <x:c r="B32" s="250">
        <x:v>3</x:v>
      </x:c>
      <x:c r="C32" s="251" t="s">
        <x:v>12</x:v>
      </x:c>
      <x:c r="D32" s="252">
        <x:f>'REMUNERACION_EAAB-CL'!D127</x:f>
        <x:v>0</x:v>
      </x:c>
      <x:c r="E32" s="254">
        <x:f>'REMUNERACION_EAAB-CL'!E127</x:f>
        <x:v>0</x:v>
      </x:c>
      <x:c r="G32" s="275">
        <x:f>'REMUNERACION_EAAB-CL'!G127</x:f>
        <x:v>0</x:v>
      </x:c>
      <x:c r="H32" s="276">
        <x:f>'REMUNERACION_EAAB-CL'!H127</x:f>
        <x:v>0</x:v>
      </x:c>
      <x:c r="I32" s="224">
        <x:f>'REMUNERACION_EAAB-CL'!I127</x:f>
        <x:v>0</x:v>
      </x:c>
      <x:c r="J32" s="224">
        <x:f>'REMUNERACION_EAAB-CL'!J127</x:f>
        <x:v>0</x:v>
      </x:c>
      <x:c r="K32" s="224">
        <x:f>'REMUNERACION_EAAB-CL'!K127</x:f>
        <x:v>0</x:v>
      </x:c>
      <x:c r="L32" s="224">
        <x:f>'REMUNERACION_EAAB-CL'!L127</x:f>
        <x:v>0</x:v>
      </x:c>
      <x:c r="O32" s="273"/>
      <x:c r="Q32" s="242"/>
    </x:row>
    <x:row r="33" spans="1:35" s="241" customFormat="1" x14ac:dyDescent="0.2">
      <x:c r="B33" s="250">
        <x:v>4</x:v>
      </x:c>
      <x:c r="C33" s="251" t="s">
        <x:v>13</x:v>
      </x:c>
      <x:c r="D33" s="252">
        <x:f>'REMUNERACION_EAAB-CL'!D128</x:f>
        <x:v>0</x:v>
      </x:c>
      <x:c r="E33" s="254">
        <x:f>'REMUNERACION_EAAB-CL'!E128</x:f>
        <x:v>0</x:v>
      </x:c>
      <x:c r="G33" s="275">
        <x:f>'REMUNERACION_EAAB-CL'!G128</x:f>
        <x:v>0</x:v>
      </x:c>
      <x:c r="H33" s="276">
        <x:f>'REMUNERACION_EAAB-CL'!H128</x:f>
        <x:v>0</x:v>
      </x:c>
      <x:c r="I33" s="224">
        <x:f>'REMUNERACION_EAAB-CL'!I128</x:f>
        <x:v>0</x:v>
      </x:c>
      <x:c r="J33" s="224">
        <x:f>'REMUNERACION_EAAB-CL'!J128</x:f>
        <x:v>0</x:v>
      </x:c>
      <x:c r="K33" s="224">
        <x:f>'REMUNERACION_EAAB-CL'!K128</x:f>
        <x:v>0</x:v>
      </x:c>
      <x:c r="L33" s="224">
        <x:f>'REMUNERACION_EAAB-CL'!L128</x:f>
        <x:v>0</x:v>
      </x:c>
      <x:c r="O33" s="273"/>
      <x:c r="Q33" s="242"/>
    </x:row>
    <x:row r="34" spans="1:35" s="241" customFormat="1" x14ac:dyDescent="0.2">
      <x:c r="B34" s="277">
        <x:v>5</x:v>
      </x:c>
      <x:c r="C34" s="304" t="s">
        <x:v>14</x:v>
      </x:c>
      <x:c r="D34" s="252">
        <x:f>'REMUNERACION_EAAB-CL'!D129</x:f>
        <x:v>0</x:v>
      </x:c>
      <x:c r="E34" s="254">
        <x:f>'REMUNERACION_EAAB-CL'!E129</x:f>
        <x:v>0</x:v>
      </x:c>
      <x:c r="G34" s="275">
        <x:f>'REMUNERACION_EAAB-CL'!G129</x:f>
        <x:v>0</x:v>
      </x:c>
      <x:c r="H34" s="276">
        <x:f>'REMUNERACION_EAAB-CL'!H129</x:f>
        <x:v>0</x:v>
      </x:c>
      <x:c r="I34" s="224">
        <x:f>'REMUNERACION_EAAB-CL'!I129</x:f>
        <x:v>0</x:v>
      </x:c>
      <x:c r="J34" s="224">
        <x:f>'REMUNERACION_EAAB-CL'!J129</x:f>
        <x:v>0</x:v>
      </x:c>
      <x:c r="K34" s="224">
        <x:f>'REMUNERACION_EAAB-CL'!K129</x:f>
        <x:v>0</x:v>
      </x:c>
      <x:c r="L34" s="224">
        <x:f>'REMUNERACION_EAAB-CL'!L129</x:f>
        <x:v>0</x:v>
      </x:c>
      <x:c r="O34" s="273"/>
      <x:c r="Q34" s="242"/>
    </x:row>
    <x:row r="35" spans="1:35" s="241" customFormat="1" ht="12.75" thickBot="1" x14ac:dyDescent="0.25">
      <x:c r="B35" s="260" t="s">
        <x:v>89</x:v>
      </x:c>
      <x:c r="C35" s="261" t="s">
        <x:v>113</x:v>
      </x:c>
      <x:c r="D35" s="232">
        <x:f>'REMUNERACION_EAAB-CL'!D130</x:f>
        <x:v>0</x:v>
      </x:c>
      <x:c r="E35" s="225">
        <x:f>'REMUNERACION_EAAB-CL'!E130</x:f>
        <x:v>0</x:v>
      </x:c>
      <x:c r="G35" s="282"/>
      <x:c r="H35" s="283"/>
      <x:c r="I35" s="225"/>
      <x:c r="J35" s="225"/>
      <x:c r="K35" s="225"/>
      <x:c r="L35" s="225"/>
      <x:c r="O35" s="273"/>
      <x:c r="Q35" s="242"/>
    </x:row>
    <x:row r="36" spans="1:35" s="241" customFormat="1" ht="12.75" thickBot="1" x14ac:dyDescent="0.25">
      <x:c r="B36" s="284"/>
      <x:c r="C36" s="285" t="s">
        <x:v>2</x:v>
      </x:c>
      <x:c r="D36" s="286">
        <x:f t="shared" ref="D36:E36" si="5">SUM(D30:D34)</x:f>
        <x:v>0</x:v>
      </x:c>
      <x:c r="E36" s="286">
        <x:f t="shared" si="5"/>
        <x:v>0</x:v>
      </x:c>
      <x:c r="F36" s="287"/>
      <x:c r="G36" s="286">
        <x:f t="shared" ref="G36:L36" si="6">SUM(G30:G34)</x:f>
        <x:v>0</x:v>
      </x:c>
      <x:c r="H36" s="286">
        <x:f t="shared" si="6"/>
        <x:v>0</x:v>
      </x:c>
      <x:c r="I36" s="286">
        <x:f t="shared" si="6"/>
        <x:v>0</x:v>
      </x:c>
      <x:c r="J36" s="286">
        <x:f t="shared" si="6"/>
        <x:v>0</x:v>
      </x:c>
      <x:c r="K36" s="286">
        <x:f t="shared" si="6"/>
        <x:v>0</x:v>
      </x:c>
      <x:c r="L36" s="286">
        <x:f t="shared" si="6"/>
        <x:v>0</x:v>
      </x:c>
      <x:c r="M36" s="287"/>
      <x:c r="N36" s="287"/>
      <x:c r="O36" s="288"/>
      <x:c r="P36" s="265"/>
      <x:c r="Q36" s="242"/>
    </x:row>
    <x:row r="37" spans="1:35" x14ac:dyDescent="0.2">
      <x:c r="B37" s="2"/>
      <x:c r="C37" s="2"/>
      <x:c r="D37" s="24"/>
      <x:c r="Q37" s="4"/>
      <x:c r="AI37" s="241"/>
    </x:row>
    <x:row r="38" spans="1:35" x14ac:dyDescent="0.2">
      <x:c r="B38" s="2"/>
      <x:c r="C38" s="2"/>
      <x:c r="D38" s="24"/>
      <x:c r="L38" s="1" t="s">
        <x:v>1</x:v>
      </x:c>
      <x:c r="Q38" s="4"/>
      <x:c r="AI38" s="241"/>
    </x:row>
    <x:row r="39" spans="1:35" ht="64.5" customHeight="1" thickBot="1" x14ac:dyDescent="0.25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241"/>
    </x:row>
    <x:row r="40" spans="1:35" x14ac:dyDescent="0.2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x14ac:dyDescent="0.2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08" t="b">
        <x:f>D14='REMUNERACION_EAAB-CL'!D109</x:f>
        <x:v>1</x:v>
      </x:c>
      <x:c r="E44" s="208" t="b">
        <x:f>E14='REMUNERACION_EAAB-CL'!E109</x:f>
        <x:v>1</x:v>
      </x:c>
      <x:c r="F44" s="208" t="b">
        <x:f>F14='REMUNERACION_EAAB-CL'!F109</x:f>
        <x:v>1</x:v>
      </x:c>
      <x:c r="G44" s="208" t="b">
        <x:f>G14='REMUNERACION_EAAB-CL'!G109</x:f>
        <x:v>1</x:v>
      </x:c>
      <x:c r="H44" s="208" t="b">
        <x:f>H14='REMUNERACION_EAAB-CL'!H109</x:f>
        <x:v>1</x:v>
      </x:c>
      <x:c r="I44" s="208" t="b">
        <x:f>I14='REMUNERACION_EAAB-CL'!I109</x:f>
        <x:v>1</x:v>
      </x:c>
      <x:c r="J44" s="208" t="b">
        <x:f>J14='REMUNERACION_EAAB-CL'!J109</x:f>
        <x:v>1</x:v>
      </x:c>
      <x:c r="K44" s="208" t="b">
        <x:f>K14='REMUNERACION_EAAB-CL'!K109</x:f>
        <x:v>1</x:v>
      </x:c>
      <x:c r="L44" s="208" t="b">
        <x:f>L14='REMUNERACION_EAAB-CL'!L109</x:f>
        <x:v>1</x:v>
      </x:c>
      <x:c r="M44" s="208" t="b">
        <x:f>M14='REMUNERACION_EAAB-CL'!M109</x:f>
        <x:v>1</x:v>
      </x:c>
      <x:c r="N44" s="208" t="b">
        <x:f>N14='REMUNERACION_EAAB-CL'!N109</x:f>
        <x:v>1</x:v>
      </x:c>
      <x:c r="O44" s="208" t="b">
        <x:f>O14='REMUNERACION_EAAB-CL'!O109</x:f>
        <x:v>1</x:v>
      </x:c>
      <x:c r="Q44" s="24"/>
      <x:c r="T44" s="24"/>
    </x:row>
    <x:row r="45" spans="1:35" x14ac:dyDescent="0.2">
      <x:c r="D45" s="208" t="b">
        <x:f>D36='REMUNERACION_EAAB-CL'!D131</x:f>
        <x:v>1</x:v>
      </x:c>
      <x:c r="E45" s="208" t="b">
        <x:f>E36='REMUNERACION_EAAB-CL'!E131</x:f>
        <x:v>1</x:v>
      </x:c>
      <x:c r="F45" s="208" t="b">
        <x:f>F36='REMUNERACION_EAAB-CL'!F131</x:f>
        <x:v>1</x:v>
      </x:c>
      <x:c r="G45" s="208" t="b">
        <x:f>G36='REMUNERACION_EAAB-CL'!G131</x:f>
        <x:v>1</x:v>
      </x:c>
      <x:c r="H45" s="208" t="b">
        <x:f>H36='REMUNERACION_EAAB-CL'!H131</x:f>
        <x:v>1</x:v>
      </x:c>
      <x:c r="I45" s="208" t="b">
        <x:f>I36='REMUNERACION_EAAB-CL'!I131</x:f>
        <x:v>1</x:v>
      </x:c>
      <x:c r="J45" s="208" t="b">
        <x:f>J36='REMUNERACION_EAAB-CL'!J131</x:f>
        <x:v>1</x:v>
      </x:c>
      <x:c r="K45" s="208" t="b">
        <x:f>K36='REMUNERACION_EAAB-CL'!K131</x:f>
        <x:v>1</x:v>
      </x:c>
      <x:c r="L45" s="208" t="b">
        <x:f>L36='REMUNERACION_EAAB-CL'!L131</x:f>
        <x:v>1</x:v>
      </x:c>
      <x:c r="M45" s="208" t="b">
        <x:f>M36='REMUNERACION_EAAB-CL'!M131</x:f>
        <x:v>1</x:v>
      </x:c>
      <x:c r="N45" s="208" t="b">
        <x:f>N36='REMUNERACION_EAAB-CL'!N131</x:f>
        <x:v>1</x:v>
      </x:c>
      <x:c r="O45" s="208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workbookViewId="0">
      <x:selection activeCell="D39" sqref="D39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20" customFormat="1" ht="12.75" x14ac:dyDescent="0.2"/>
    <x:row r="2" spans="2:20" customFormat="1" ht="12.75" x14ac:dyDescent="0.2">
      <x:c r="T2" s="131" t="s">
        <x:v>329</x:v>
      </x:c>
    </x:row>
    <x:row r="3" spans="2:20" customFormat="1" x14ac:dyDescent="0.2">
      <x:c r="F3" s="540" t="s">
        <x:v>8</x:v>
      </x:c>
      <x:c r="H3" s="540" t="s">
        <x:v>16</x:v>
      </x:c>
      <x:c r="L3" s="540" t="s">
        <x:v>228</x:v>
      </x:c>
      <x:c r="M3" s="540" t="s">
        <x:v>339</x:v>
      </x:c>
      <x:c r="T3" s="131"/>
    </x:row>
    <x:row r="4" spans="2:20" customFormat="1" x14ac:dyDescent="0.2">
      <x:c r="F4" s="540" t="s">
        <x:v>29</x:v>
      </x:c>
    </x:row>
    <x:row r="5" spans="2:20" customFormat="1" x14ac:dyDescent="0.2">
      <x:c r="F5" s="540" t="s">
        <x:v>229</x:v>
      </x:c>
    </x:row>
    <x:row r="6" spans="2:20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20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20" customFormat="1" ht="45" x14ac:dyDescent="0.2">
      <x:c r="B8" s="541" t="s">
        <x:v>3</x:v>
      </x:c>
      <x:c r="C8" s="541" t="s">
        <x:v>234</x:v>
      </x:c>
      <x:c r="D8" s="541" t="s">
        <x:v>235</x:v>
      </x:c>
      <x:c r="E8" s="541" t="s">
        <x:v>236</x:v>
      </x:c>
      <x:c r="F8" s="541" t="s">
        <x:v>237</x:v>
      </x:c>
      <x:c r="G8" s="541" t="s">
        <x:v>238</x:v>
      </x:c>
      <x:c r="H8" s="541" t="s">
        <x:v>239</x:v>
      </x:c>
      <x:c r="I8" s="541" t="s">
        <x:v>240</x:v>
      </x:c>
      <x:c r="J8" s="541" t="s">
        <x:v>241</x:v>
      </x:c>
      <x:c r="K8" s="541" t="s">
        <x:v>242</x:v>
      </x:c>
      <x:c r="L8" s="541" t="s">
        <x:v>243</x:v>
      </x:c>
      <x:c r="M8" s="541" t="s">
        <x:v>244</x:v>
      </x:c>
      <x:c r="N8" s="541" t="s">
        <x:v>245</x:v>
      </x:c>
      <x:c r="O8" s="541" t="s">
        <x:v>246</x:v>
      </x:c>
    </x:row>
    <x:row r="9" spans="2:20" customFormat="1" ht="12.75" x14ac:dyDescent="0.2">
      <x:c r="B9" s="525" t="s">
        <x:v>115</x:v>
      </x:c>
      <x:c r="C9" s="525" t="s">
        <x:v>10</x:v>
      </x:c>
      <x:c r="D9" s="731" t="n">
        <x:v>18378829331</x:v>
      </x:c>
      <x:c r="E9" s="731">
        <x:v>0</x:v>
      </x:c>
      <x:c r="F9" s="731">
        <x:v>0</x:v>
      </x:c>
      <x:c r="G9" s="731">
        <x:v>0</x:v>
      </x:c>
      <x:c r="H9" s="731">
        <x:v>0</x:v>
      </x:c>
      <x:c r="I9" s="731">
        <x:v>0</x:v>
      </x:c>
      <x:c r="J9" s="731" t="n">
        <x:v>-3610213749</x:v>
      </x:c>
      <x:c r="K9" s="731">
        <x:v>0</x:v>
      </x:c>
      <x:c r="L9" s="731" t="n">
        <x:v>189185988</x:v>
      </x:c>
      <x:c r="M9" s="731">
        <x:v>0</x:v>
      </x:c>
      <x:c r="N9" s="731">
        <x:v>0</x:v>
      </x:c>
      <x:c r="O9" s="731">
        <x:v>0</x:v>
      </x:c>
    </x:row>
    <x:row r="10" spans="2:20" customFormat="1" ht="12.75" x14ac:dyDescent="0.2">
      <x:c r="B10" s="525" t="s">
        <x:v>116</x:v>
      </x:c>
      <x:c r="C10" s="525" t="s">
        <x:v>11</x:v>
      </x:c>
      <x:c r="D10" s="731" t="n">
        <x:v>21599709648</x:v>
      </x:c>
      <x:c r="E10" s="731">
        <x:v>0</x:v>
      </x:c>
      <x:c r="F10" s="731">
        <x:v>0</x:v>
      </x:c>
      <x:c r="G10" s="731">
        <x:v>0</x:v>
      </x:c>
      <x:c r="H10" s="731">
        <x:v>0</x:v>
      </x:c>
      <x:c r="I10" s="731">
        <x:v>0</x:v>
      </x:c>
      <x:c r="J10" s="731" t="n">
        <x:v>-4289876341</x:v>
      </x:c>
      <x:c r="K10" s="731">
        <x:v>0</x:v>
      </x:c>
      <x:c r="L10" s="731" t="n">
        <x:v>266580256</x:v>
      </x:c>
      <x:c r="M10" s="731">
        <x:v>0</x:v>
      </x:c>
      <x:c r="N10" s="731">
        <x:v>0</x:v>
      </x:c>
      <x:c r="O10" s="731">
        <x:v>0</x:v>
      </x:c>
    </x:row>
    <x:row r="11" spans="2:20" customFormat="1" ht="12.75" x14ac:dyDescent="0.2">
      <x:c r="B11" s="525" t="s">
        <x:v>117</x:v>
      </x:c>
      <x:c r="C11" s="525" t="s">
        <x:v>247</x:v>
      </x:c>
      <x:c r="D11" s="731" t="n">
        <x:v>16369059896</x:v>
      </x:c>
      <x:c r="E11" s="731">
        <x:v>0</x:v>
      </x:c>
      <x:c r="F11" s="731">
        <x:v>0</x:v>
      </x:c>
      <x:c r="G11" s="731">
        <x:v>0</x:v>
      </x:c>
      <x:c r="H11" s="731">
        <x:v>0</x:v>
      </x:c>
      <x:c r="I11" s="731">
        <x:v>0</x:v>
      </x:c>
      <x:c r="J11" s="731" t="n">
        <x:v>-829262233</x:v>
      </x:c>
      <x:c r="K11" s="731">
        <x:v>0</x:v>
      </x:c>
      <x:c r="L11" s="731" t="n">
        <x:v>154788536</x:v>
      </x:c>
      <x:c r="M11" s="731">
        <x:v>0</x:v>
      </x:c>
      <x:c r="N11" s="731">
        <x:v>0</x:v>
      </x:c>
      <x:c r="O11" s="731">
        <x:v>0</x:v>
      </x:c>
    </x:row>
    <x:row r="12" spans="2:20" customFormat="1" ht="12.75" x14ac:dyDescent="0.2">
      <x:c r="B12" s="525" t="s">
        <x:v>248</x:v>
      </x:c>
      <x:c r="C12" s="525" t="s">
        <x:v>13</x:v>
      </x:c>
      <x:c r="D12" s="731" t="n">
        <x:v>8372092112</x:v>
      </x:c>
      <x:c r="E12" s="731">
        <x:v>0</x:v>
      </x:c>
      <x:c r="F12" s="731">
        <x:v>0</x:v>
      </x:c>
      <x:c r="G12" s="731">
        <x:v>0</x:v>
      </x:c>
      <x:c r="H12" s="731">
        <x:v>0</x:v>
      </x:c>
      <x:c r="I12" s="731">
        <x:v>0</x:v>
      </x:c>
      <x:c r="J12" s="731" t="n">
        <x:v>-706235925</x:v>
      </x:c>
      <x:c r="K12" s="731">
        <x:v>0</x:v>
      </x:c>
      <x:c r="L12" s="731" t="n">
        <x:v>120391083</x:v>
      </x:c>
      <x:c r="M12" s="731">
        <x:v>0</x:v>
      </x:c>
      <x:c r="N12" s="731">
        <x:v>0</x:v>
      </x:c>
      <x:c r="O12" s="731">
        <x:v>0</x:v>
      </x:c>
    </x:row>
    <x:row r="13" spans="2:20" customFormat="1" ht="13.5" thickBot="1" x14ac:dyDescent="0.25">
      <x:c r="B13" s="525" t="s">
        <x:v>118</x:v>
      </x:c>
      <x:c r="C13" s="729" t="s">
        <x:v>14</x:v>
      </x:c>
      <x:c r="D13" s="732" t="n">
        <x:v>12137660178</x:v>
      </x:c>
      <x:c r="E13" s="732">
        <x:v>0</x:v>
      </x:c>
      <x:c r="F13" s="732">
        <x:v>0</x:v>
      </x:c>
      <x:c r="G13" s="732">
        <x:v>0</x:v>
      </x:c>
      <x:c r="H13" s="732">
        <x:v>0</x:v>
      </x:c>
      <x:c r="I13" s="732">
        <x:v>0</x:v>
      </x:c>
      <x:c r="J13" s="732" t="n">
        <x:v>-23403941</x:v>
      </x:c>
      <x:c r="K13" s="732">
        <x:v>0</x:v>
      </x:c>
      <x:c r="L13" s="732" t="n">
        <x:v>128990446</x:v>
      </x:c>
      <x:c r="M13" s="732">
        <x:v>0</x:v>
      </x:c>
      <x:c r="N13" s="732">
        <x:v>0</x:v>
      </x:c>
      <x:c r="O13" s="732">
        <x:v>0</x:v>
      </x:c>
    </x:row>
    <x:row r="14" spans="2:20" customFormat="1" ht="13.5" thickBot="1" x14ac:dyDescent="0.25">
      <x:c r="B14" s="728" t="s">
        <x:v>249</x:v>
      </x:c>
      <x:c r="C14" s="730" t="s">
        <x:v>70</x:v>
      </x:c>
      <x:c r="D14" s="733" t="n">
        <x:v>76857351165</x:v>
      </x:c>
      <x:c r="E14" s="733">
        <x:v>0</x:v>
      </x:c>
      <x:c r="F14" s="733">
        <x:v>0</x:v>
      </x:c>
      <x:c r="G14" s="733">
        <x:v>0</x:v>
      </x:c>
      <x:c r="H14" s="733">
        <x:v>0</x:v>
      </x:c>
      <x:c r="I14" s="733">
        <x:v>0</x:v>
      </x:c>
      <x:c r="J14" s="733">
        <x:v>0</x:v>
      </x:c>
      <x:c r="K14" s="733">
        <x:v>0</x:v>
      </x:c>
      <x:c r="L14" s="733">
        <x:v>0</x:v>
      </x:c>
      <x:c r="M14" s="733">
        <x:v>0</x:v>
      </x:c>
      <x:c r="N14" s="733">
        <x:v>0</x:v>
      </x:c>
      <x:c r="O14" s="734">
        <x:v>0</x:v>
      </x:c>
    </x:row>
    <x:row r="15" spans="2:20" customFormat="1" ht="12.75" x14ac:dyDescent="0.2"/>
    <x:row r="16" spans="2:20" customFormat="1" ht="12.75" x14ac:dyDescent="0.2">
      <x:c r="C16" s="542"/>
    </x:row>
    <x:row r="18" spans="2:15" x14ac:dyDescent="0.25">
      <x:c r="E18" s="522" t="s">
        <x:v>250</x:v>
      </x:c>
    </x:row>
    <x:row r="19" spans="2:15" x14ac:dyDescent="0.25">
      <x:c r="F19" s="522" t="s">
        <x:v>25</x:v>
      </x:c>
    </x:row>
    <x:row r="22" spans="2:15" ht="36" x14ac:dyDescent="0.25">
      <x:c r="C22" s="529" t="s">
        <x:v>9</x:v>
      </x:c>
      <x:c r="D22" s="529" t="s">
        <x:v>4</x:v>
      </x:c>
      <x:c r="E22" s="529" t="s">
        <x:v>5</x:v>
      </x:c>
      <x:c r="F22" s="529" t="s">
        <x:v>6</x:v>
      </x:c>
      <x:c r="G22" s="529" t="s">
        <x:v>159</x:v>
      </x:c>
      <x:c r="H22" s="529" t="s">
        <x:v>18</x:v>
      </x:c>
      <x:c r="I22" s="529" t="s">
        <x:v>24</x:v>
      </x:c>
      <x:c r="J22" s="529" t="s">
        <x:v>19</x:v>
      </x:c>
      <x:c r="K22" s="530" t="s">
        <x:v>20</x:v>
      </x:c>
      <x:c r="L22" s="529" t="s">
        <x:v>21</x:v>
      </x:c>
      <x:c r="M22" s="530" t="s">
        <x:v>22</x:v>
      </x:c>
      <x:c r="N22" s="529" t="s">
        <x:v>7</x:v>
      </x:c>
      <x:c r="O22" s="530" t="s">
        <x:v>23</x:v>
      </x:c>
    </x:row>
    <x:row r="23" spans="2:15" x14ac:dyDescent="0.25">
      <x:c r="B23" s="521" t="s">
        <x:v>115</x:v>
      </x:c>
      <x:c r="C23" s="521" t="s">
        <x:v>10</x:v>
      </x:c>
      <x:c r="D23" s="531">
        <x:f>D9-'CONSOLIDADO_TOTAL RECAUDO'!D104</x:f>
        <x:v>0</x:v>
      </x:c>
      <x:c r="E23" s="531">
        <x:f>E9-'CONSOLIDADO_TOTAL RECAUDO'!E104</x:f>
        <x:v>0</x:v>
      </x:c>
      <x:c r="F23" s="531">
        <x:f>F9-'CONSOLIDADO_TOTAL RECAUDO'!F104</x:f>
        <x:v>0</x:v>
      </x:c>
      <x:c r="G23" s="531">
        <x:f>G9-'CONSOLIDADO_TOTAL RECAUDO'!G104</x:f>
        <x:v>0</x:v>
      </x:c>
      <x:c r="H23" s="531">
        <x:f>H9-'CONSOLIDADO_TOTAL RECAUDO'!H104</x:f>
        <x:v>0</x:v>
      </x:c>
      <x:c r="I23" s="531">
        <x:f>I9-'CONSOLIDADO_TOTAL RECAUDO'!I104</x:f>
        <x:v>0</x:v>
      </x:c>
      <x:c r="J23" s="531">
        <x:f>J9-'CONSOLIDADO_TOTAL RECAUDO'!J104</x:f>
        <x:v>0</x:v>
      </x:c>
      <x:c r="K23" s="531">
        <x:f>K9-'CONSOLIDADO_TOTAL RECAUDO'!K104</x:f>
        <x:v>0</x:v>
      </x:c>
      <x:c r="L23" s="531">
        <x:f>L9-'CONSOLIDADO_TOTAL RECAUDO'!L104</x:f>
        <x:v>-189185988</x:v>
      </x:c>
      <x:c r="M23" s="531">
        <x:f>M9-'CONSOLIDADO_TOTAL RECAUDO'!M104</x:f>
        <x:v>189185988</x:v>
      </x:c>
      <x:c r="N23" s="531">
        <x:f>N9-'CONSOLIDADO_TOTAL RECAUDO'!N104</x:f>
        <x:v>0</x:v>
      </x:c>
      <x:c r="O23" s="531">
        <x:f>O9-'CONSOLIDADO_TOTAL RECAUDO'!O104</x:f>
        <x:v>189185988</x:v>
      </x:c>
    </x:row>
    <x:row r="24" spans="2:15" x14ac:dyDescent="0.25">
      <x:c r="B24" s="521" t="s">
        <x:v>116</x:v>
      </x:c>
      <x:c r="C24" s="521" t="s">
        <x:v>11</x:v>
      </x:c>
      <x:c r="D24" s="531">
        <x:f>D10-'CONSOLIDADO_TOTAL RECAUDO'!D105</x:f>
        <x:v>0</x:v>
      </x:c>
      <x:c r="E24" s="531">
        <x:f>E10-'CONSOLIDADO_TOTAL RECAUDO'!E105</x:f>
        <x:v>0</x:v>
      </x:c>
      <x:c r="F24" s="531">
        <x:f>F10-'CONSOLIDADO_TOTAL RECAUDO'!F105</x:f>
        <x:v>0</x:v>
      </x:c>
      <x:c r="G24" s="531">
        <x:f>G10-'CONSOLIDADO_TOTAL RECAUDO'!G105</x:f>
        <x:v>0</x:v>
      </x:c>
      <x:c r="H24" s="531">
        <x:f>H10-'CONSOLIDADO_TOTAL RECAUDO'!H105</x:f>
        <x:v>0</x:v>
      </x:c>
      <x:c r="I24" s="531">
        <x:f>I10-'CONSOLIDADO_TOTAL RECAUDO'!I105</x:f>
        <x:v>0</x:v>
      </x:c>
      <x:c r="J24" s="531">
        <x:f>J10-'CONSOLIDADO_TOTAL RECAUDO'!J105</x:f>
        <x:v>0</x:v>
      </x:c>
      <x:c r="K24" s="531">
        <x:f>K10-'CONSOLIDADO_TOTAL RECAUDO'!K105</x:f>
        <x:v>0</x:v>
      </x:c>
      <x:c r="L24" s="531">
        <x:f>L10-'CONSOLIDADO_TOTAL RECAUDO'!L105</x:f>
        <x:v>-266580256</x:v>
      </x:c>
      <x:c r="M24" s="531">
        <x:f>M10-'CONSOLIDADO_TOTAL RECAUDO'!M105</x:f>
        <x:v>266580256</x:v>
      </x:c>
      <x:c r="N24" s="531">
        <x:f>N10-'CONSOLIDADO_TOTAL RECAUDO'!N105</x:f>
        <x:v>0</x:v>
      </x:c>
      <x:c r="O24" s="531">
        <x:f>O10-'CONSOLIDADO_TOTAL RECAUDO'!O105</x:f>
        <x:v>266580256</x:v>
      </x:c>
    </x:row>
    <x:row r="25" spans="2:15" x14ac:dyDescent="0.25">
      <x:c r="B25" s="521" t="s">
        <x:v>117</x:v>
      </x:c>
      <x:c r="C25" s="521" t="s">
        <x:v>247</x:v>
      </x:c>
      <x:c r="D25" s="531">
        <x:f>D11-'CONSOLIDADO_TOTAL RECAUDO'!D106</x:f>
        <x:v>0</x:v>
      </x:c>
      <x:c r="E25" s="531">
        <x:f>E11-'CONSOLIDADO_TOTAL RECAUDO'!E106</x:f>
        <x:v>0</x:v>
      </x:c>
      <x:c r="F25" s="531">
        <x:f>F11-'CONSOLIDADO_TOTAL RECAUDO'!F106</x:f>
        <x:v>0</x:v>
      </x:c>
      <x:c r="G25" s="531">
        <x:f>G11-'CONSOLIDADO_TOTAL RECAUDO'!G106</x:f>
        <x:v>0</x:v>
      </x:c>
      <x:c r="H25" s="531">
        <x:f>H11-'CONSOLIDADO_TOTAL RECAUDO'!H106</x:f>
        <x:v>0</x:v>
      </x:c>
      <x:c r="I25" s="531">
        <x:f>I11-'CONSOLIDADO_TOTAL RECAUDO'!I106</x:f>
        <x:v>0</x:v>
      </x:c>
      <x:c r="J25" s="531">
        <x:f>J11-'CONSOLIDADO_TOTAL RECAUDO'!J106</x:f>
        <x:v>0</x:v>
      </x:c>
      <x:c r="K25" s="531">
        <x:f>K11-'CONSOLIDADO_TOTAL RECAUDO'!K106</x:f>
        <x:v>0</x:v>
      </x:c>
      <x:c r="L25" s="531">
        <x:f>L11-'CONSOLIDADO_TOTAL RECAUDO'!L106</x:f>
        <x:v>-154788536</x:v>
      </x:c>
      <x:c r="M25" s="531">
        <x:f>M11-'CONSOLIDADO_TOTAL RECAUDO'!M106</x:f>
        <x:v>154788536</x:v>
      </x:c>
      <x:c r="N25" s="531">
        <x:f>N11-'CONSOLIDADO_TOTAL RECAUDO'!N106</x:f>
        <x:v>0</x:v>
      </x:c>
      <x:c r="O25" s="531">
        <x:f>O11-'CONSOLIDADO_TOTAL RECAUDO'!O106</x:f>
        <x:v>154788536</x:v>
      </x:c>
    </x:row>
    <x:row r="26" spans="2:15" x14ac:dyDescent="0.25">
      <x:c r="B26" s="521" t="s">
        <x:v>248</x:v>
      </x:c>
      <x:c r="C26" s="521" t="s">
        <x:v>13</x:v>
      </x:c>
      <x:c r="D26" s="531">
        <x:f>D12-'CONSOLIDADO_TOTAL RECAUDO'!D107</x:f>
        <x:v>0</x:v>
      </x:c>
      <x:c r="E26" s="531">
        <x:f>E12-'CONSOLIDADO_TOTAL RECAUDO'!E107</x:f>
        <x:v>0</x:v>
      </x:c>
      <x:c r="F26" s="531">
        <x:f>F12-'CONSOLIDADO_TOTAL RECAUDO'!F107</x:f>
        <x:v>0</x:v>
      </x:c>
      <x:c r="G26" s="531">
        <x:f>G12-'CONSOLIDADO_TOTAL RECAUDO'!G107</x:f>
        <x:v>0</x:v>
      </x:c>
      <x:c r="H26" s="531">
        <x:f>H12-'CONSOLIDADO_TOTAL RECAUDO'!H107</x:f>
        <x:v>0</x:v>
      </x:c>
      <x:c r="I26" s="531">
        <x:f>I12-'CONSOLIDADO_TOTAL RECAUDO'!I107</x:f>
        <x:v>0</x:v>
      </x:c>
      <x:c r="J26" s="531">
        <x:f>J12-'CONSOLIDADO_TOTAL RECAUDO'!J107</x:f>
        <x:v>0</x:v>
      </x:c>
      <x:c r="K26" s="531">
        <x:f>K12-'CONSOLIDADO_TOTAL RECAUDO'!K107</x:f>
        <x:v>0</x:v>
      </x:c>
      <x:c r="L26" s="531">
        <x:f>L12-'CONSOLIDADO_TOTAL RECAUDO'!L107</x:f>
        <x:v>-120391083</x:v>
      </x:c>
      <x:c r="M26" s="531">
        <x:f>M12-'CONSOLIDADO_TOTAL RECAUDO'!M107</x:f>
        <x:v>120391083</x:v>
      </x:c>
      <x:c r="N26" s="531">
        <x:f>N12-'CONSOLIDADO_TOTAL RECAUDO'!N107</x:f>
        <x:v>0</x:v>
      </x:c>
      <x:c r="O26" s="531">
        <x:f>O12-'CONSOLIDADO_TOTAL RECAUDO'!O107</x:f>
        <x:v>120391083</x:v>
      </x:c>
    </x:row>
    <x:row r="27" spans="2:15" ht="15.75" thickBot="1" x14ac:dyDescent="0.3">
      <x:c r="B27" s="521" t="s">
        <x:v>118</x:v>
      </x:c>
      <x:c r="C27" s="521" t="s">
        <x:v>14</x:v>
      </x:c>
      <x:c r="D27" s="531">
        <x:f>D13-'CONSOLIDADO_TOTAL RECAUDO'!D108</x:f>
        <x:v>0</x:v>
      </x:c>
      <x:c r="E27" s="531">
        <x:f>E13-'CONSOLIDADO_TOTAL RECAUDO'!E108</x:f>
        <x:v>0</x:v>
      </x:c>
      <x:c r="F27" s="531">
        <x:f>F13-'CONSOLIDADO_TOTAL RECAUDO'!F108</x:f>
        <x:v>0</x:v>
      </x:c>
      <x:c r="G27" s="531">
        <x:f>G13-'CONSOLIDADO_TOTAL RECAUDO'!G108</x:f>
        <x:v>0</x:v>
      </x:c>
      <x:c r="H27" s="531">
        <x:f>H13-'CONSOLIDADO_TOTAL RECAUDO'!H108</x:f>
        <x:v>0</x:v>
      </x:c>
      <x:c r="I27" s="531">
        <x:f>I13-'CONSOLIDADO_TOTAL RECAUDO'!I108</x:f>
        <x:v>0</x:v>
      </x:c>
      <x:c r="J27" s="531">
        <x:f>J13-'CONSOLIDADO_TOTAL RECAUDO'!J108</x:f>
        <x:v>0</x:v>
      </x:c>
      <x:c r="K27" s="531">
        <x:f>K13-'CONSOLIDADO_TOTAL RECAUDO'!K108</x:f>
        <x:v>0</x:v>
      </x:c>
      <x:c r="L27" s="531">
        <x:f>L13-'CONSOLIDADO_TOTAL RECAUDO'!L108</x:f>
        <x:v>-128990446</x:v>
      </x:c>
      <x:c r="M27" s="531">
        <x:f>M13-'CONSOLIDADO_TOTAL RECAUDO'!M108</x:f>
        <x:v>128990446</x:v>
      </x:c>
      <x:c r="N27" s="531">
        <x:f>N13-'CONSOLIDADO_TOTAL RECAUDO'!N108</x:f>
        <x:v>0</x:v>
      </x:c>
      <x:c r="O27" s="531">
        <x:f>O13-'CONSOLIDADO_TOTAL RECAUDO'!O108</x:f>
        <x:v>128990446</x:v>
      </x:c>
    </x:row>
    <x:row r="28" spans="2:15" customFormat="1" ht="13.5" thickBot="1" x14ac:dyDescent="0.25">
      <x:c r="B28" s="728" t="s">
        <x:v>249</x:v>
      </x:c>
      <x:c r="C28" s="730" t="s">
        <x:v>70</x:v>
      </x:c>
      <x:c r="D28" s="735">
        <x:f>D14-'CONSOLIDADO_TOTAL RECAUDO'!D109</x:f>
        <x:v>0</x:v>
      </x:c>
      <x:c r="E28" s="735">
        <x:f>E14-'CONSOLIDADO_TOTAL RECAUDO'!E109</x:f>
        <x:v>0</x:v>
      </x:c>
      <x:c r="F28" s="735">
        <x:f>F14-'CONSOLIDADO_TOTAL RECAUDO'!F109</x:f>
        <x:v>0</x:v>
      </x:c>
      <x:c r="G28" s="735">
        <x:f>G14-'CONSOLIDADO_TOTAL RECAUDO'!G109</x:f>
        <x:v>0</x:v>
      </x:c>
      <x:c r="H28" s="735">
        <x:f>H14-'CONSOLIDADO_TOTAL RECAUDO'!H109</x:f>
        <x:v>0</x:v>
      </x:c>
      <x:c r="I28" s="735">
        <x:f>I14-'CONSOLIDADO_TOTAL RECAUDO'!I109</x:f>
        <x:v>0</x:v>
      </x:c>
      <x:c r="J28" s="735">
        <x:f>J14-'CONSOLIDADO_TOTAL RECAUDO'!J109</x:f>
        <x:v>0</x:v>
      </x:c>
      <x:c r="K28" s="735">
        <x:f>K14-'CONSOLIDADO_TOTAL RECAUDO'!K109</x:f>
        <x:v>0</x:v>
      </x:c>
      <x:c r="L28" s="735">
        <x:f>L14-'CONSOLIDADO_TOTAL RECAUDO'!L109</x:f>
        <x:v>-859936309</x:v>
      </x:c>
      <x:c r="M28" s="735">
        <x:f>M14-'CONSOLIDADO_TOTAL RECAUDO'!M109</x:f>
        <x:v>859936309</x:v>
      </x:c>
      <x:c r="N28" s="735">
        <x:f>N14-'CONSOLIDADO_TOTAL RECAUDO'!N109</x:f>
        <x:v>0</x:v>
      </x:c>
      <x:c r="O28" s="736">
        <x:f>O14-'CONSOLIDADO_TOTAL RECAUDO'!O109</x:f>
        <x:v>859936309</x:v>
      </x:c>
    </x:row>
    <x:row r="31" spans="2:15" ht="36" x14ac:dyDescent="0.25">
      <x:c r="C31" s="529" t="s">
        <x:v>9</x:v>
      </x:c>
      <x:c r="D31" s="529" t="s">
        <x:v>4</x:v>
      </x:c>
      <x:c r="E31" s="529" t="s">
        <x:v>5</x:v>
      </x:c>
      <x:c r="F31" s="529" t="s">
        <x:v>6</x:v>
      </x:c>
      <x:c r="G31" s="529" t="s">
        <x:v>159</x:v>
      </x:c>
      <x:c r="H31" s="529" t="s">
        <x:v>18</x:v>
      </x:c>
      <x:c r="I31" s="529" t="s">
        <x:v>24</x:v>
      </x:c>
      <x:c r="J31" s="581" t="s">
        <x:v>19</x:v>
      </x:c>
      <x:c r="K31" s="530" t="s">
        <x:v>20</x:v>
      </x:c>
      <x:c r="L31" s="581" t="s">
        <x:v>21</x:v>
      </x:c>
      <x:c r="M31" s="530" t="s">
        <x:v>22</x:v>
      </x:c>
      <x:c r="N31" s="529" t="s">
        <x:v>7</x:v>
      </x:c>
      <x:c r="O31" s="530" t="s">
        <x:v>23</x:v>
      </x:c>
    </x:row>
    <x:row r="32" spans="2:15" x14ac:dyDescent="0.25">
      <x:c r="B32" s="521" t="s">
        <x:v>115</x:v>
      </x:c>
      <x:c r="C32" s="274" t="s">
        <x:v>10</x:v>
      </x:c>
      <x:c r="D32" s="534" t="b">
        <x:f>+D23+'Reporte Componentes R1'!F50+'Rem. Anticipos R2'!E43+'Reversion Pagos R4'!D73+'Reporte Componentes R1'!F52+'AJUSTES - SF-T'!D47=D9</x:f>
        <x:v>1</x:v>
      </x:c>
      <x:c r="E32" s="534" t="b">
        <x:f>+E23+'Reporte Componentes R1'!G50+'Rem. Anticipos R2'!F43+'Reversion Pagos R4'!E73+'Reporte Componentes R1'!G52+'AJUSTES - SF-T'!E47=E9</x:f>
        <x:v>1</x:v>
      </x:c>
      <x:c r="F32" s="534" t="b">
        <x:f>+F23+'Reporte Componentes R1'!H50+'Rem. Anticipos R2'!G43+'Reversion Pagos R4'!F73+'Reporte Componentes R1'!H52+'AJUSTES - SF-T'!F47=F9</x:f>
        <x:v>1</x:v>
      </x:c>
      <x:c r="G32" s="534" t="b">
        <x:f>+G23+'Reporte Componentes R1'!I50+'Rem. Anticipos R2'!H43+'Reversion Pagos R4'!G73+'Reporte Componentes R1'!I52+'AJUSTES - SF-T'!G47=G9</x:f>
        <x:v>1</x:v>
      </x:c>
      <x:c r="H32" s="534" t="b">
        <x:f>+H23+'Reporte Componentes R1'!J50+'Rem. Anticipos R2'!I43+'Reversion Pagos R4'!H73+'Reporte Componentes R1'!J52+'AJUSTES - SF-T'!H47=H9</x:f>
        <x:v>1</x:v>
      </x:c>
      <x:c r="I32" s="534" t="b">
        <x:f>+I23+'Reporte Componentes R1'!K50+'Rem. Anticipos R2'!J43+'Reversion Pagos R4'!I73+'Reporte Componentes R1'!K52+'AJUSTES - SF-T'!I47=I9</x:f>
        <x:v>1</x:v>
      </x:c>
      <x:c r="J32" s="534" t="b">
        <x:f>+'BCE SC POR FACT.'!F3+J23=J9</x:f>
        <x:v>1</x:v>
      </x:c>
      <x:c r="K32" s="534" t="b">
        <x:f>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FACT.'!F3)+K23)+'AJUSTES - SF-T'!K47=K9</x:f>
        <x:v>1</x:v>
      </x:c>
      <x:c r="L32" s="577" t="b">
        <x:f>INTERVENTORIA!F15+L23=L9</x:f>
        <x:v>1</x:v>
      </x:c>
      <x:c r="M32" s="531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FACT.'!F3))-INTERVENTORIA!F15)+M23)+'AJUSTES - SF-T'!M47=M9</x:f>
        <x:v>1</x:v>
      </x:c>
      <x:c r="N32" s="531" t="b">
        <x:f>'Reporte Componentes R1'!L50+'Rem. Anticipos R2'!K43+'Reversion Pagos R4'!P73+'Reporte Componentes R1'!L52+N23=N9</x:f>
        <x:v>1</x:v>
      </x:c>
      <x:c r="O32" s="531" t="b">
        <x:f>((('Reporte Componentes R1'!F50+'Rem. Anticipos R2'!E43+'Reversion Pagos R4'!D73+'Reporte Componentes R1'!F52-('Reporte Componentes R1'!G50+'Rem. Anticipos R2'!F43+'Reversion Pagos R4'!E73+'Reporte Componentes R1'!G52+'Reporte Componentes R1'!H50+'Rem. Anticipos R2'!G43+'Reversion Pagos R4'!F73+'Reporte Componentes R1'!H52+'Reporte Componentes R1'!I50+'Rem. Anticipos R2'!H43+'Reversion Pagos R4'!G73+'Reporte Componentes R1'!I52+'Reporte Componentes R1'!J50+'Rem. Anticipos R2'!I43+'Reversion Pagos R4'!H73+'Reporte Componentes R1'!J52+'Reporte Componentes R1'!K50+'Rem. Anticipos R2'!J43+'Reversion Pagos R4'!I73+'Reporte Componentes R1'!K52+'BCE SC POR FACT.'!F3))-INTERVENTORIA!F15))+'Reporte Componentes R1'!L50+'Rem. Anticipos R2'!K43+'Reversion Pagos R4'!P73+'Reporte Componentes R1'!L52+O23+'AJUSTES - SF-T'!O47=O9</x:f>
        <x:v>1</x:v>
      </x:c>
    </x:row>
    <x:row r="33" spans="2:15" x14ac:dyDescent="0.25">
      <x:c r="B33" s="521" t="s">
        <x:v>116</x:v>
      </x:c>
      <x:c r="C33" s="274" t="s">
        <x:v>11</x:v>
      </x:c>
      <x:c r="D33" s="534" t="b">
        <x:f>+D24+'Reporte Componentes R1'!F194+'Rem. Anticipos R2'!E139+'Reversion Pagos R4'!D168+'Reporte Componentes R1'!F196+'AJUSTES - SF-T'!D48=D10</x:f>
        <x:v>1</x:v>
      </x:c>
      <x:c r="E33" s="534" t="b">
        <x:f>+E24+'Reporte Componentes R1'!G194+'Rem. Anticipos R2'!F139+'Reversion Pagos R4'!E168+'Reporte Componentes R1'!G196+'AJUSTES - SF-T'!E48=E10</x:f>
        <x:v>1</x:v>
      </x:c>
      <x:c r="F33" s="534" t="b">
        <x:f>+F24+'Reporte Componentes R1'!H194+'Rem. Anticipos R2'!G139+'Reversion Pagos R4'!F168+'Reporte Componentes R1'!H196+'AJUSTES - SF-T'!F48=F10</x:f>
        <x:v>1</x:v>
      </x:c>
      <x:c r="G33" s="534" t="b">
        <x:f>+G24+'Reporte Componentes R1'!I194+'Rem. Anticipos R2'!H139+'Reversion Pagos R4'!G168+'Reporte Componentes R1'!I196+'AJUSTES - SF-T'!G48=G10</x:f>
        <x:v>1</x:v>
      </x:c>
      <x:c r="H33" s="534" t="b">
        <x:f>+H24+'Reporte Componentes R1'!J194+'Rem. Anticipos R2'!I139+'Reversion Pagos R4'!H168+'Reporte Componentes R1'!J196+'AJUSTES - SF-T'!H48=H10</x:f>
        <x:v>1</x:v>
      </x:c>
      <x:c r="I33" s="534" t="b">
        <x:f>+I24+'Reporte Componentes R1'!K194+'Rem. Anticipos R2'!J139+'Reversion Pagos R4'!I168+'Reporte Componentes R1'!K196+'AJUSTES - SF-T'!I48=I10</x:f>
        <x:v>1</x:v>
      </x:c>
      <x:c r="J33" s="534" t="b">
        <x:f>+'BCE SC POR FACT.'!F4+J24=J10</x:f>
        <x:v>1</x:v>
      </x:c>
      <x:c r="K33" s="531" t="b">
        <x:f>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FACT.'!F4)+K24)+'AJUSTES - SF-T'!K48=K10</x:f>
        <x:v>1</x:v>
      </x:c>
      <x:c r="L33" s="577" t="b">
        <x:f>INTERVENTORIA!F16+L24=L10</x:f>
        <x:v>1</x:v>
      </x:c>
      <x:c r="M33" s="531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FACT.'!F4))+M24)-INTERVENTORIA!F16)+'AJUSTES - SF-T'!M48=M10</x:f>
        <x:v>1</x:v>
      </x:c>
      <x:c r="N33" s="531" t="b">
        <x:f>+'Reporte Componentes R1'!L194+'Rem. Anticipos R2'!K139+'Reversion Pagos R4'!P168+'Reporte Componentes R1'!L196+N24=N10</x:f>
        <x:v>1</x:v>
      </x:c>
      <x:c r="O33" s="531" t="b">
        <x:f>((('Reporte Componentes R1'!F194+'Rem. Anticipos R2'!E139+'Reversion Pagos R4'!D168+'Reporte Componentes R1'!F196-('Reporte Componentes R1'!G194+'Rem. Anticipos R2'!F139+'Reversion Pagos R4'!E168+'Reporte Componentes R1'!G196+'Reporte Componentes R1'!H194+'Rem. Anticipos R2'!G139+'Reversion Pagos R4'!F168+'Reporte Componentes R1'!H196+'Reporte Componentes R1'!I194+'Rem. Anticipos R2'!H139+'Reversion Pagos R4'!G168+'Reporte Componentes R1'!I196+'Reporte Componentes R1'!J194+'Rem. Anticipos R2'!I139+'Reversion Pagos R4'!H168+'Reporte Componentes R1'!J196+'Reporte Componentes R1'!K194+'Rem. Anticipos R2'!J139+'Reversion Pagos R4'!I168+'Reporte Componentes R1'!K196+'BCE SC POR FACT.'!F4)))-INTERVENTORIA!F16)+O24+'Reporte Componentes R1'!L194+'Rem. Anticipos R2'!K139+'Reversion Pagos R4'!P168+'Reporte Componentes R1'!L196+'AJUSTES - SF-T'!O48=O10</x:f>
        <x:v>1</x:v>
      </x:c>
    </x:row>
    <x:row r="34" spans="2:15" x14ac:dyDescent="0.25">
      <x:c r="B34" s="521" t="s">
        <x:v>117</x:v>
      </x:c>
      <x:c r="C34" s="274" t="s">
        <x:v>12</x:v>
      </x:c>
      <x:c r="D34" s="534" t="b">
        <x:f>+'Reporte Componentes R1'!F325+'Reporte Componentes R1'!F327+'Rem. Anticipos R2'!E256+'Reversion Pagos R4'!D205+D25+'AJUSTES - SF-T'!D49=D11</x:f>
        <x:v>1</x:v>
      </x:c>
      <x:c r="E34" s="534" t="b">
        <x:f>+'Reporte Componentes R1'!G325+'Reporte Componentes R1'!G327+'Rem. Anticipos R2'!F256+'Reversion Pagos R4'!E205+E25+'AJUSTES - SF-T'!E49=E11</x:f>
        <x:v>1</x:v>
      </x:c>
      <x:c r="F34" s="534" t="b">
        <x:f>+'Reporte Componentes R1'!H325+'Reporte Componentes R1'!H327+'Rem. Anticipos R2'!G256+'Reversion Pagos R4'!F205+F25+'AJUSTES - SF-T'!F49=F11</x:f>
        <x:v>1</x:v>
      </x:c>
      <x:c r="G34" s="534" t="b">
        <x:f>+'Reporte Componentes R1'!I325+'Reporte Componentes R1'!I327+'Rem. Anticipos R2'!H256+'Reversion Pagos R4'!G205+G25+'AJUSTES - SF-T'!G49=G11</x:f>
        <x:v>1</x:v>
      </x:c>
      <x:c r="H34" s="534" t="b">
        <x:f>+'Reporte Componentes R1'!J325+'Reporte Componentes R1'!J327+'Rem. Anticipos R2'!I256+'Reversion Pagos R4'!H205+H25+'AJUSTES - SF-T'!H49=H11</x:f>
        <x:v>1</x:v>
      </x:c>
      <x:c r="I34" s="534" t="b">
        <x:f>+'Reporte Componentes R1'!K325+'Reporte Componentes R1'!K327+'Rem. Anticipos R2'!J256+'Reversion Pagos R4'!I205+I25+'AJUSTES - SF-T'!I49=I11</x:f>
        <x:v>1</x:v>
      </x:c>
      <x:c r="J34" s="534" t="b">
        <x:f>+'BCE SC POR FACT.'!F5+J25=J11</x:f>
        <x:v>1</x:v>
      </x:c>
      <x:c r="K34" s="531" t="b">
        <x:f>+'Reporte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FACT.'!F5)+K25+'AJUSTES - SF-T'!K49=K11</x:f>
        <x:v>1</x:v>
      </x:c>
      <x:c r="L34" s="577" t="b">
        <x:f>INTERVENTORIA!F17+L25=L11</x:f>
        <x:v>1</x:v>
      </x:c>
      <x:c r="M34" s="531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FACT.'!F5))+M25)-INTERVENTORIA!F17)+'AJUSTES - SF-T'!M49=M11</x:f>
        <x:v>1</x:v>
      </x:c>
      <x:c r="N34" s="531" t="b">
        <x:f>+'Reporte Componentes R1'!L325+'Reporte Componentes R1'!L327+'Rem. Anticipos R2'!K256+'Reversion Pagos R4'!P205+N25=N11</x:f>
        <x:v>1</x:v>
      </x:c>
      <x:c r="O34" s="531" t="b">
        <x:f>((('Reporte Componentes R1'!F325+'Reporte Componentes R1'!F327+'Rem. Anticipos R2'!E256+'Reversion Pagos R4'!D205-('Reporte Componentes R1'!G325+'Reporte Componentes R1'!G327+'Rem. Anticipos R2'!F256+'Reversion Pagos R4'!E205+'Reporte Componentes R1'!H325+'Reporte Componentes R1'!H327+'Rem. Anticipos R2'!G256+'Reversion Pagos R4'!F205+'Reporte Componentes R1'!I325+'Reporte Componentes R1'!I327+'Rem. Anticipos R2'!H256+'Reversion Pagos R4'!G205+'Reporte Componentes R1'!J325+'Reporte Componentes R1'!J327+'Rem. Anticipos R2'!I256+'Reversion Pagos R4'!H205+'Reporte Componentes R1'!K325+'Reporte Componentes R1'!K327+'Rem. Anticipos R2'!J256+'Reversion Pagos R4'!I205+'BCE SC POR FACT.'!F5)))-INTERVENTORIA!F17)++'Reporte Componentes R1'!L325+'Reporte Componentes R1'!L327+'Rem. Anticipos R2'!K256+'Reversion Pagos R4'!P205+O25+'AJUSTES - SF-T'!O49=O11</x:f>
        <x:v>1</x:v>
      </x:c>
    </x:row>
    <x:row r="35" spans="2:15" x14ac:dyDescent="0.25">
      <x:c r="B35" s="521" t="s">
        <x:v>248</x:v>
      </x:c>
      <x:c r="C35" s="274" t="s">
        <x:v>13</x:v>
      </x:c>
      <x:c r="D35" s="534" t="b">
        <x:f>+'Reporte Componentes R1'!F456+'Reporte Componentes R1'!F458+'Rem. Anticipos R2'!E358+'Reversion Pagos R4'!D320+D26+'AJUSTES - SF-T'!D50=D12</x:f>
        <x:v>1</x:v>
      </x:c>
      <x:c r="E35" s="534" t="b">
        <x:f>+'Reporte Componentes R1'!G456+'Reporte Componentes R1'!G458+'Rem. Anticipos R2'!F358+'Reversion Pagos R4'!E320+E26+'AJUSTES - SF-T'!E50=E12</x:f>
        <x:v>1</x:v>
      </x:c>
      <x:c r="F35" s="534" t="b">
        <x:f>+'Reporte Componentes R1'!H456+'Reporte Componentes R1'!H458+'Rem. Anticipos R2'!G358+'Reversion Pagos R4'!F320+F26+'AJUSTES - SF-T'!F50=F12</x:f>
        <x:v>1</x:v>
      </x:c>
      <x:c r="G35" s="534" t="b">
        <x:f>+'Reporte Componentes R1'!I456+'Reporte Componentes R1'!I458+'Rem. Anticipos R2'!H358+'Reversion Pagos R4'!G320+G26+'AJUSTES - SF-T'!G50=G12</x:f>
        <x:v>1</x:v>
      </x:c>
      <x:c r="H35" s="534" t="b">
        <x:f>+'Reporte Componentes R1'!J456+'Reporte Componentes R1'!J458+'Rem. Anticipos R2'!I358+'Reversion Pagos R4'!H320+H26+'AJUSTES - SF-T'!H50=H12</x:f>
        <x:v>1</x:v>
      </x:c>
      <x:c r="I35" s="534" t="b">
        <x:f>+'Reporte Componentes R1'!K456+'Reporte Componentes R1'!K458+'Rem. Anticipos R2'!J358+'Reversion Pagos R4'!I320+I26+'AJUSTES - SF-T'!I50=I12</x:f>
        <x:v>1</x:v>
      </x:c>
      <x:c r="J35" s="534" t="b">
        <x:f>+J26+'BCE SC POR FACT.'!F6=J12</x:f>
        <x:v>1</x:v>
      </x:c>
      <x:c r="K35" s="531" t="b">
        <x:f>+'Reporte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FACT.'!F6)+K26+'AJUSTES - SF-T'!K50=K12</x:f>
        <x:v>1</x:v>
      </x:c>
      <x:c r="L35" s="577" t="b">
        <x:f>INTERVENTORIA!F18+L26=L12</x:f>
        <x:v>1</x:v>
      </x:c>
      <x:c r="M35" s="531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FACT.'!F6))+M26)-INTERVENTORIA!F18)+'AJUSTES - SF-T'!M50=M12</x:f>
        <x:v>1</x:v>
      </x:c>
      <x:c r="N35" s="531" t="b">
        <x:f>+'Reporte Componentes R1'!L456+'Reporte Componentes R1'!L458+'Rem. Anticipos R2'!K358+'Reversion Pagos R4'!P320+N26=N12</x:f>
        <x:v>1</x:v>
      </x:c>
      <x:c r="O35" s="531" t="b">
        <x:f>((('Reporte Componentes R1'!F456+'Reporte Componentes R1'!F458+'Rem. Anticipos R2'!E358+'Reversion Pagos R4'!D320-('Reporte Componentes R1'!G456+'Reporte Componentes R1'!G458+'Rem. Anticipos R2'!F358+'Reversion Pagos R4'!E320+'Reporte Componentes R1'!H456+'Reporte Componentes R1'!H458+'Rem. Anticipos R2'!G358+'Reversion Pagos R4'!F320+'Reporte Componentes R1'!I456+'Reporte Componentes R1'!I458+'Rem. Anticipos R2'!H358+'Reversion Pagos R4'!G320+'Reporte Componentes R1'!J456+'Reporte Componentes R1'!J458+'Rem. Anticipos R2'!I358+'Reversion Pagos R4'!H320+'Reporte Componentes R1'!K456+'Reporte Componentes R1'!K458+'Rem. Anticipos R2'!J358+'Reversion Pagos R4'!I320+'BCE SC POR FACT.'!F6)))-INTERVENTORIA!F18)+'Reporte Componentes R1'!L456+'Reporte Componentes R1'!L458+'Rem. Anticipos R2'!K358+'Reversion Pagos R4'!P320+O26+'AJUSTES - SF-T'!O50=O12</x:f>
        <x:v>1</x:v>
      </x:c>
    </x:row>
    <x:row r="36" spans="2:15" x14ac:dyDescent="0.25">
      <x:c r="B36" s="521" t="s">
        <x:v>118</x:v>
      </x:c>
      <x:c r="C36" s="274" t="s">
        <x:v>14</x:v>
      </x:c>
      <x:c r="D36" s="534" t="b">
        <x:f>+D27+'Reporte Componentes R1'!F554+'Reporte Componentes R1'!F556+'Rem. Anticipos R2'!E438+'Reversion Pagos R4'!D355+'AJUSTES - SF-T'!D51=D13</x:f>
        <x:v>1</x:v>
      </x:c>
      <x:c r="E36" s="534" t="b">
        <x:f>+E27+'Reporte Componentes R1'!G554+'Reporte Componentes R1'!G556+'Rem. Anticipos R2'!F438+'Reversion Pagos R4'!E355+'AJUSTES - SF-T'!E51=E13</x:f>
        <x:v>1</x:v>
      </x:c>
      <x:c r="F36" s="534" t="b">
        <x:f>+F27+'Reporte Componentes R1'!H554+'Reporte Componentes R1'!H556+'Rem. Anticipos R2'!G438+'Reversion Pagos R4'!F355+'AJUSTES - SF-T'!F51=F13</x:f>
        <x:v>1</x:v>
      </x:c>
      <x:c r="G36" s="534" t="b">
        <x:f>+G27+'Reporte Componentes R1'!I554+'Reporte Componentes R1'!I556+'Rem. Anticipos R2'!H438+'Reversion Pagos R4'!G355+'AJUSTES - SF-T'!G51=G13</x:f>
        <x:v>1</x:v>
      </x:c>
      <x:c r="H36" s="534" t="b">
        <x:f>+H27+'Reporte Componentes R1'!J554+'Reporte Componentes R1'!J556+'Rem. Anticipos R2'!I438+'Reversion Pagos R4'!H355+'AJUSTES - SF-T'!H51=H13</x:f>
        <x:v>1</x:v>
      </x:c>
      <x:c r="I36" s="534" t="b">
        <x:f>+I27+'Reporte Componentes R1'!K554+'Reporte Componentes R1'!K556+'Rem. Anticipos R2'!J438+'Reversion Pagos R4'!I355+'AJUSTES - SF-T'!I51=I13</x:f>
        <x:v>1</x:v>
      </x:c>
      <x:c r="J36" s="534" t="b">
        <x:f>+'BCE SC POR FACT.'!F7+J27=J13</x:f>
        <x:v>1</x:v>
      </x:c>
      <x:c r="K36" s="531" t="b">
        <x:f>+'Reporte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FACT.'!F7)+K27+'AJUSTES - SF-T'!K51=K13</x:f>
        <x:v>1</x:v>
      </x:c>
      <x:c r="L36" s="577" t="b">
        <x:f>INTERVENTORIA!F19+L27=L13</x:f>
        <x:v>1</x:v>
      </x:c>
      <x:c r="M36" s="531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FACT.'!F7))+M27)-INTERVENTORIA!F19)+'AJUSTES - SF-T'!M51=M13</x:f>
        <x:v>1</x:v>
      </x:c>
      <x:c r="N36" s="531" t="b">
        <x:f>+'Reporte Componentes R1'!L554+'Reporte Componentes R1'!L556+'Rem. Anticipos R2'!K438+'Reversion Pagos R4'!P355+N27=N13</x:f>
        <x:v>1</x:v>
      </x:c>
      <x:c r="O36" s="531" t="b">
        <x:f>((('Reporte Componentes R1'!F554+'Reporte Componentes R1'!F556+'Rem. Anticipos R2'!E438+'Reversion Pagos R4'!D355-('Reporte Componentes R1'!G554+'Reporte Componentes R1'!G556+'Rem. Anticipos R2'!F438+'Reversion Pagos R4'!E355+'Reporte Componentes R1'!H554+'Reporte Componentes R1'!H556+'Rem. Anticipos R2'!G438+'Reversion Pagos R4'!F355+'Reporte Componentes R1'!I554+'Reporte Componentes R1'!I556+'Rem. Anticipos R2'!H438+'Reversion Pagos R4'!G355+'Reporte Componentes R1'!J554+'Reporte Componentes R1'!J556+'Rem. Anticipos R2'!I438+'Reversion Pagos R4'!H355+'Reporte Componentes R1'!K554+'Reporte Componentes R1'!K556+'Rem. Anticipos R2'!J438+'Reversion Pagos R4'!I355+'BCE SC POR FACT.'!F7)))-INTERVENTORIA!F19)+'Reporte Componentes R1'!L554+'Reporte Componentes R1'!L556+'Rem. Anticipos R2'!K438+'Reversion Pagos R4'!P355+O27+'AJUSTES - SF-T'!O51=O13</x:f>
        <x:v>1</x:v>
      </x:c>
    </x:row>
    <x:row r="38" spans="2:15" x14ac:dyDescent="0.25">
      <x:c r="N38" s="535"/>
    </x:row>
    <x:row r="39" spans="2:15" x14ac:dyDescent="0.25">
      <x:c r="D39" s="535"/>
      <x:c r="L39" s="576"/>
    </x:row>
  </x:sheetData>
  <x:conditionalFormatting sqref="D32:K36 M32:O36">
    <x:cfRule type="cellIs" dxfId="7" priority="1" operator="notEqual">
      <x:formula>TRUE</x:formula>
    </x:cfRule>
  </x:conditionalFormatting>
  <x:conditionalFormatting sqref="D23:O27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J1" workbookViewId="0">
      <x:selection activeCell="O25" sqref="O25"/>
    </x:sheetView>
  </x:sheetViews>
  <x:sheetFormatPr baseColWidth="10" defaultColWidth="11.42578125" defaultRowHeight="15" x14ac:dyDescent="0.25"/>
  <x:cols>
    <x:col min="1" max="1" width="2.7109375" style="520" customWidth="1"/>
    <x:col min="2" max="2" width="7.28515625" style="520" customWidth="1"/>
    <x:col min="3" max="3" width="42.7109375" style="520" customWidth="1"/>
    <x:col min="4" max="15" width="28.5703125" style="520" customWidth="1"/>
    <x:col min="16" max="16384" width="11.42578125" style="520"/>
  </x:cols>
  <x:sheetData>
    <x:row r="1" spans="2:15" customFormat="1" ht="12.75" x14ac:dyDescent="0.2"/>
    <x:row r="2" spans="2:15" customFormat="1" ht="12.75" x14ac:dyDescent="0.2"/>
    <x:row r="3" spans="2:15" customFormat="1" x14ac:dyDescent="0.2">
      <x:c r="F3" s="540" t="s">
        <x:v>8</x:v>
      </x:c>
      <x:c r="H3" s="540" t="s">
        <x:v>16</x:v>
      </x:c>
      <x:c r="J3" s="540" t="s">
        <x:v>228</x:v>
      </x:c>
      <x:c r="K3" s="540" t="s">
        <x:v>339</x:v>
      </x:c>
    </x:row>
    <x:row r="4" spans="2:15" customFormat="1" x14ac:dyDescent="0.2">
      <x:c r="F4" s="540" t="s">
        <x:v>29</x:v>
      </x:c>
    </x:row>
    <x:row r="5" spans="2:15" customFormat="1" x14ac:dyDescent="0.2">
      <x:c r="F5" s="540" t="s">
        <x:v>229</x:v>
      </x:c>
    </x:row>
    <x:row r="6" spans="2:15" customFormat="1" x14ac:dyDescent="0.2">
      <x:c r="C6" s="540" t="s">
        <x:v>230</x:v>
      </x:c>
      <x:c r="D6" s="540" t="s">
        <x:v>340</x:v>
      </x:c>
      <x:c r="F6" s="540" t="s">
        <x:v>231</x:v>
      </x:c>
    </x:row>
    <x:row r="7" spans="2:15" customFormat="1" x14ac:dyDescent="0.2">
      <x:c r="C7" s="540" t="s">
        <x:v>232</x:v>
      </x:c>
      <x:c r="D7" s="540" t="s">
        <x:v>341</x:v>
      </x:c>
      <x:c r="F7" s="540" t="s">
        <x:v>27</x:v>
      </x:c>
      <x:c r="G7" s="540" t="s">
        <x:v>342</x:v>
      </x:c>
      <x:c r="I7" s="540" t="s">
        <x:v>233</x:v>
      </x:c>
      <x:c r="J7" s="540" t="s">
        <x:v>343</x:v>
      </x:c>
    </x:row>
    <x:row r="8" spans="2:15" customFormat="1" ht="45" x14ac:dyDescent="0.2">
      <x:c r="B8" s="541" t="s">
        <x:v>3</x:v>
      </x:c>
      <x:c r="C8" s="541" t="s">
        <x:v>234</x:v>
      </x:c>
      <x:c r="D8" s="541" t="s">
        <x:v>251</x:v>
      </x:c>
      <x:c r="E8" s="541" t="s">
        <x:v>252</x:v>
      </x:c>
      <x:c r="F8" s="541" t="s">
        <x:v>253</x:v>
      </x:c>
      <x:c r="G8" s="541" t="s">
        <x:v>254</x:v>
      </x:c>
      <x:c r="H8" s="541" t="s">
        <x:v>255</x:v>
      </x:c>
      <x:c r="I8" s="541" t="s">
        <x:v>256</x:v>
      </x:c>
      <x:c r="J8" s="541" t="s">
        <x:v>257</x:v>
      </x:c>
      <x:c r="K8" s="541" t="s">
        <x:v>245</x:v>
      </x:c>
      <x:c r="L8" s="541" t="s">
        <x:v>258</x:v>
      </x:c>
      <x:c r="M8" s="541" t="s">
        <x:v>259</x:v>
      </x:c>
      <x:c r="N8" s="541" t="s">
        <x:v>246</x:v>
      </x:c>
      <x:c r="O8" s="541" t="s">
        <x:v>260</x:v>
      </x:c>
    </x:row>
    <x:row r="9" spans="2:15" customFormat="1" ht="12.75" x14ac:dyDescent="0.2">
      <x:c r="B9" s="525" t="s">
        <x:v>115</x:v>
      </x:c>
      <x:c r="C9" s="525" t="s">
        <x:v>10</x:v>
      </x:c>
      <x:c r="D9" s="737">
        <x:v>0</x:v>
      </x:c>
      <x:c r="E9" s="737">
        <x:v>0</x:v>
      </x:c>
      <x:c r="F9" s="737">
        <x:v>0</x:v>
      </x:c>
      <x:c r="G9" s="737">
        <x:v>0</x:v>
      </x:c>
      <x:c r="H9" s="737">
        <x:v>0</x:v>
      </x:c>
      <x:c r="I9" s="737" t="n">
        <x:v>-189185988</x:v>
      </x:c>
      <x:c r="J9" s="737">
        <x:v>0</x:v>
      </x:c>
      <x:c r="K9" s="737">
        <x:v>0</x:v>
      </x:c>
      <x:c r="L9" s="737">
        <x:v>0</x:v>
      </x:c>
      <x:c r="M9" s="737">
        <x:v>0</x:v>
      </x:c>
      <x:c r="N9" s="737">
        <x:v>0</x:v>
      </x:c>
      <x:c r="O9" s="737" t="n">
        <x:v>0</x:v>
      </x:c>
    </x:row>
    <x:row r="10" spans="2:15" customFormat="1" ht="12.75" x14ac:dyDescent="0.2">
      <x:c r="B10" s="525" t="s">
        <x:v>116</x:v>
      </x:c>
      <x:c r="C10" s="525" t="s">
        <x:v>11</x:v>
      </x:c>
      <x:c r="D10" s="737">
        <x:v>0</x:v>
      </x:c>
      <x:c r="E10" s="737">
        <x:v>0</x:v>
      </x:c>
      <x:c r="F10" s="737">
        <x:v>0</x:v>
      </x:c>
      <x:c r="G10" s="737">
        <x:v>0</x:v>
      </x:c>
      <x:c r="H10" s="737">
        <x:v>0</x:v>
      </x:c>
      <x:c r="I10" s="737" t="n">
        <x:v>-266580256</x:v>
      </x:c>
      <x:c r="J10" s="737">
        <x:v>0</x:v>
      </x:c>
      <x:c r="K10" s="737">
        <x:v>0</x:v>
      </x:c>
      <x:c r="L10" s="737">
        <x:v>0</x:v>
      </x:c>
      <x:c r="M10" s="737">
        <x:v>0</x:v>
      </x:c>
      <x:c r="N10" s="737">
        <x:v>0</x:v>
      </x:c>
      <x:c r="O10" s="737" t="n">
        <x:v>0</x:v>
      </x:c>
    </x:row>
    <x:row r="11" spans="2:15" customFormat="1" ht="12.75" x14ac:dyDescent="0.2">
      <x:c r="B11" s="525" t="s">
        <x:v>117</x:v>
      </x:c>
      <x:c r="C11" s="525" t="s">
        <x:v>247</x:v>
      </x:c>
      <x:c r="D11" s="737">
        <x:v>0</x:v>
      </x:c>
      <x:c r="E11" s="737">
        <x:v>0</x:v>
      </x:c>
      <x:c r="F11" s="737">
        <x:v>0</x:v>
      </x:c>
      <x:c r="G11" s="737">
        <x:v>0</x:v>
      </x:c>
      <x:c r="H11" s="737">
        <x:v>0</x:v>
      </x:c>
      <x:c r="I11" s="737" t="n">
        <x:v>-154788536</x:v>
      </x:c>
      <x:c r="J11" s="737">
        <x:v>0</x:v>
      </x:c>
      <x:c r="K11" s="737">
        <x:v>0</x:v>
      </x:c>
      <x:c r="L11" s="737">
        <x:v>0</x:v>
      </x:c>
      <x:c r="M11" s="737">
        <x:v>0</x:v>
      </x:c>
      <x:c r="N11" s="737">
        <x:v>0</x:v>
      </x:c>
      <x:c r="O11" s="737" t="n">
        <x:v>0</x:v>
      </x:c>
    </x:row>
    <x:row r="12" spans="2:15" customFormat="1" ht="12.75" x14ac:dyDescent="0.2">
      <x:c r="B12" s="525" t="s">
        <x:v>248</x:v>
      </x:c>
      <x:c r="C12" s="525" t="s">
        <x:v>13</x:v>
      </x:c>
      <x:c r="D12" s="737">
        <x:v>0</x:v>
      </x:c>
      <x:c r="E12" s="737">
        <x:v>0</x:v>
      </x:c>
      <x:c r="F12" s="737">
        <x:v>0</x:v>
      </x:c>
      <x:c r="G12" s="737">
        <x:v>0</x:v>
      </x:c>
      <x:c r="H12" s="737">
        <x:v>0</x:v>
      </x:c>
      <x:c r="I12" s="737" t="n">
        <x:v>-120391083</x:v>
      </x:c>
      <x:c r="J12" s="737">
        <x:v>0</x:v>
      </x:c>
      <x:c r="K12" s="737">
        <x:v>0</x:v>
      </x:c>
      <x:c r="L12" s="737">
        <x:v>0</x:v>
      </x:c>
      <x:c r="M12" s="737">
        <x:v>0</x:v>
      </x:c>
      <x:c r="N12" s="737">
        <x:v>0</x:v>
      </x:c>
      <x:c r="O12" s="737" t="n">
        <x:v>0</x:v>
      </x:c>
    </x:row>
    <x:row r="13" spans="2:15" customFormat="1" ht="13.5" thickBot="1" x14ac:dyDescent="0.25">
      <x:c r="B13" s="525" t="s">
        <x:v>118</x:v>
      </x:c>
      <x:c r="C13" s="525" t="s">
        <x:v>14</x:v>
      </x:c>
      <x:c r="D13" s="737">
        <x:v>0</x:v>
      </x:c>
      <x:c r="E13" s="737">
        <x:v>0</x:v>
      </x:c>
      <x:c r="F13" s="737">
        <x:v>0</x:v>
      </x:c>
      <x:c r="G13" s="737">
        <x:v>0</x:v>
      </x:c>
      <x:c r="H13" s="737">
        <x:v>0</x:v>
      </x:c>
      <x:c r="I13" s="737" t="n">
        <x:v>-128990446</x:v>
      </x:c>
      <x:c r="J13" s="737">
        <x:v>0</x:v>
      </x:c>
      <x:c r="K13" s="737">
        <x:v>0</x:v>
      </x:c>
      <x:c r="L13" s="737">
        <x:v>0</x:v>
      </x:c>
      <x:c r="M13" s="737">
        <x:v>0</x:v>
      </x:c>
      <x:c r="N13" s="737">
        <x:v>0</x:v>
      </x:c>
      <x:c r="O13" s="737" t="n">
        <x:v>0</x:v>
      </x:c>
    </x:row>
    <x:row r="14" spans="2:15" customFormat="1" ht="13.5" thickBot="1" x14ac:dyDescent="0.25">
      <x:c r="B14" s="728" t="s">
        <x:v>249</x:v>
      </x:c>
      <x:c r="C14" s="730" t="s">
        <x:v>70</x:v>
      </x:c>
      <x:c r="D14" s="735">
        <x:v>0</x:v>
      </x:c>
      <x:c r="E14" s="735">
        <x:v>0</x:v>
      </x:c>
      <x:c r="F14" s="735">
        <x:v>0</x:v>
      </x:c>
      <x:c r="G14" s="735">
        <x:v>0</x:v>
      </x:c>
      <x:c r="H14" s="735">
        <x:v>0</x:v>
      </x:c>
      <x:c r="I14" s="735">
        <x:v>0</x:v>
      </x:c>
      <x:c r="J14" s="735">
        <x:v>0</x:v>
      </x:c>
      <x:c r="K14" s="735">
        <x:v>0</x:v>
      </x:c>
      <x:c r="L14" s="735">
        <x:v>0</x:v>
      </x:c>
      <x:c r="M14" s="735">
        <x:v>0</x:v>
      </x:c>
      <x:c r="N14" s="735">
        <x:v>0</x:v>
      </x:c>
      <x:c r="O14" s="736">
        <x:v>0</x:v>
      </x:c>
    </x:row>
    <x:row r="16" spans="2:15" x14ac:dyDescent="0.25">
      <x:c r="B16" s="521" t="s">
        <x:v>115</x:v>
      </x:c>
      <x:c r="C16" s="521" t="s">
        <x:v>10</x:v>
      </x:c>
      <x:c r="D16" s="531">
        <x:f>D9-'CONSOLIDADO_TOTAL RECAUDO'!U104</x:f>
        <x:v>0</x:v>
      </x:c>
      <x:c r="E16" s="531">
        <x:f>E9-'CONSOLIDADO_TOTAL RECAUDO'!V104</x:f>
        <x:v>0</x:v>
      </x:c>
      <x:c r="F16" s="531">
        <x:f>F9-'CONSOLIDADO_TOTAL RECAUDO'!W104</x:f>
        <x:v>0</x:v>
      </x:c>
      <x:c r="G16" s="531">
        <x:f>G9-'CONSOLIDADO_TOTAL RECAUDO'!X104</x:f>
        <x:v>0</x:v>
      </x:c>
      <x:c r="H16" s="531">
        <x:f>H9-'CONSOLIDADO_TOTAL RECAUDO'!Y104</x:f>
        <x:v>0</x:v>
      </x:c>
      <x:c r="I16" s="531">
        <x:f>I9-'CONSOLIDADO_TOTAL RECAUDO'!Z104</x:f>
        <x:v>189185988</x:v>
      </x:c>
      <x:c r="J16" s="531">
        <x:f>J9-'CONSOLIDADO_TOTAL RECAUDO'!AA104-'CONSOLIDADO_TOTAL RECAUDO'!AC104</x:f>
        <x:v>0</x:v>
      </x:c>
      <x:c r="K16" s="531">
        <x:f>K9-'CONSOLIDADO_TOTAL RECAUDO'!AB104</x:f>
        <x:v>0</x:v>
      </x:c>
      <x:c r="L16" s="531">
        <x:f>L9-'CONSOLIDADO_TOTAL RECAUDO'!AE104</x:f>
        <x:v>0</x:v>
      </x:c>
      <x:c r="M16" s="531">
        <x:f>M9-'CONSOLIDADO_TOTAL RECAUDO'!AD104</x:f>
        <x:v>0</x:v>
      </x:c>
      <x:c r="N16" s="531">
        <x:f>N9-'CONSOLIDADO_TOTAL RECAUDO'!AF104</x:f>
        <x:v>189185988</x:v>
      </x:c>
      <x:c r="O16" s="531">
        <x:f>O9-'CONSOLIDADO_TOTAL RECAUDO'!AG104</x:f>
        <x:v>0</x:v>
      </x:c>
    </x:row>
    <x:row r="17" spans="2:16" x14ac:dyDescent="0.25">
      <x:c r="B17" s="521" t="s">
        <x:v>116</x:v>
      </x:c>
      <x:c r="C17" s="521" t="s">
        <x:v>11</x:v>
      </x:c>
      <x:c r="D17" s="531">
        <x:f>D10-'CONSOLIDADO_TOTAL RECAUDO'!U105</x:f>
        <x:v>0</x:v>
      </x:c>
      <x:c r="E17" s="531">
        <x:f>E10-'CONSOLIDADO_TOTAL RECAUDO'!V105</x:f>
        <x:v>0</x:v>
      </x:c>
      <x:c r="F17" s="531">
        <x:f>F10-'CONSOLIDADO_TOTAL RECAUDO'!W105</x:f>
        <x:v>0</x:v>
      </x:c>
      <x:c r="G17" s="531">
        <x:f>G10-'CONSOLIDADO_TOTAL RECAUDO'!X105</x:f>
        <x:v>0</x:v>
      </x:c>
      <x:c r="H17" s="531">
        <x:f>H10-'CONSOLIDADO_TOTAL RECAUDO'!Y105</x:f>
        <x:v>0</x:v>
      </x:c>
      <x:c r="I17" s="531">
        <x:f>I10-'CONSOLIDADO_TOTAL RECAUDO'!Z105</x:f>
        <x:v>266580256</x:v>
      </x:c>
      <x:c r="J17" s="531">
        <x:f>J10-'CONSOLIDADO_TOTAL RECAUDO'!AA105-'CONSOLIDADO_TOTAL RECAUDO'!AC105</x:f>
        <x:v>0</x:v>
      </x:c>
      <x:c r="K17" s="531">
        <x:f>K10-'CONSOLIDADO_TOTAL RECAUDO'!AB105</x:f>
        <x:v>0</x:v>
      </x:c>
      <x:c r="L17" s="531">
        <x:f>L10-'CONSOLIDADO_TOTAL RECAUDO'!AE105</x:f>
        <x:v>0</x:v>
      </x:c>
      <x:c r="M17" s="531">
        <x:f>M10-'CONSOLIDADO_TOTAL RECAUDO'!AD105</x:f>
        <x:v>0</x:v>
      </x:c>
      <x:c r="N17" s="531">
        <x:f>N10-'CONSOLIDADO_TOTAL RECAUDO'!AF105</x:f>
        <x:v>266580256</x:v>
      </x:c>
      <x:c r="O17" s="531">
        <x:f>O10-'CONSOLIDADO_TOTAL RECAUDO'!AG105</x:f>
        <x:v>0</x:v>
      </x:c>
    </x:row>
    <x:row r="18" spans="2:16" x14ac:dyDescent="0.25">
      <x:c r="B18" s="521" t="s">
        <x:v>117</x:v>
      </x:c>
      <x:c r="C18" s="521" t="s">
        <x:v>247</x:v>
      </x:c>
      <x:c r="D18" s="531">
        <x:f>D11-'CONSOLIDADO_TOTAL RECAUDO'!U106</x:f>
        <x:v>0</x:v>
      </x:c>
      <x:c r="E18" s="531">
        <x:f>E11-'CONSOLIDADO_TOTAL RECAUDO'!V106</x:f>
        <x:v>0</x:v>
      </x:c>
      <x:c r="F18" s="531">
        <x:f>F11-'CONSOLIDADO_TOTAL RECAUDO'!W106</x:f>
        <x:v>0</x:v>
      </x:c>
      <x:c r="G18" s="531">
        <x:f>G11-'CONSOLIDADO_TOTAL RECAUDO'!X106</x:f>
        <x:v>0</x:v>
      </x:c>
      <x:c r="H18" s="531">
        <x:f>H11-'CONSOLIDADO_TOTAL RECAUDO'!Y106</x:f>
        <x:v>0</x:v>
      </x:c>
      <x:c r="I18" s="531">
        <x:f>I11-'CONSOLIDADO_TOTAL RECAUDO'!Z106</x:f>
        <x:v>154788536</x:v>
      </x:c>
      <x:c r="J18" s="531">
        <x:f>J11-'CONSOLIDADO_TOTAL RECAUDO'!AA106-'CONSOLIDADO_TOTAL RECAUDO'!AC106</x:f>
        <x:v>0</x:v>
      </x:c>
      <x:c r="K18" s="531">
        <x:f>K11-'CONSOLIDADO_TOTAL RECAUDO'!AB106</x:f>
        <x:v>0</x:v>
      </x:c>
      <x:c r="L18" s="531">
        <x:f>L11-'CONSOLIDADO_TOTAL RECAUDO'!AE106</x:f>
        <x:v>0</x:v>
      </x:c>
      <x:c r="M18" s="531">
        <x:f>M11-'CONSOLIDADO_TOTAL RECAUDO'!AD106</x:f>
        <x:v>0</x:v>
      </x:c>
      <x:c r="N18" s="531">
        <x:f>N11-'CONSOLIDADO_TOTAL RECAUDO'!AF106</x:f>
        <x:v>154788536</x:v>
      </x:c>
      <x:c r="O18" s="531">
        <x:f>O11-'CONSOLIDADO_TOTAL RECAUDO'!AG106</x:f>
        <x:v>0</x:v>
      </x:c>
    </x:row>
    <x:row r="19" spans="2:16" x14ac:dyDescent="0.25">
      <x:c r="B19" s="521" t="s">
        <x:v>248</x:v>
      </x:c>
      <x:c r="C19" s="521" t="s">
        <x:v>13</x:v>
      </x:c>
      <x:c r="D19" s="531">
        <x:f>D12-'CONSOLIDADO_TOTAL RECAUDO'!U107</x:f>
        <x:v>0</x:v>
      </x:c>
      <x:c r="E19" s="531">
        <x:f>E12-'CONSOLIDADO_TOTAL RECAUDO'!V107</x:f>
        <x:v>0</x:v>
      </x:c>
      <x:c r="F19" s="531">
        <x:f>F12-'CONSOLIDADO_TOTAL RECAUDO'!W107</x:f>
        <x:v>0</x:v>
      </x:c>
      <x:c r="G19" s="531">
        <x:f>G12-'CONSOLIDADO_TOTAL RECAUDO'!X107</x:f>
        <x:v>0</x:v>
      </x:c>
      <x:c r="H19" s="531">
        <x:f>H12-'CONSOLIDADO_TOTAL RECAUDO'!Y107</x:f>
        <x:v>0</x:v>
      </x:c>
      <x:c r="I19" s="531">
        <x:f>I12-'CONSOLIDADO_TOTAL RECAUDO'!Z107</x:f>
        <x:v>120391083</x:v>
      </x:c>
      <x:c r="J19" s="531">
        <x:f>J12-'CONSOLIDADO_TOTAL RECAUDO'!AA107-'CONSOLIDADO_TOTAL RECAUDO'!AC107</x:f>
        <x:v>0</x:v>
      </x:c>
      <x:c r="K19" s="531">
        <x:f>K12-'CONSOLIDADO_TOTAL RECAUDO'!AB107</x:f>
        <x:v>0</x:v>
      </x:c>
      <x:c r="L19" s="531">
        <x:f>L12-'CONSOLIDADO_TOTAL RECAUDO'!AE107</x:f>
        <x:v>0</x:v>
      </x:c>
      <x:c r="M19" s="531">
        <x:f>M12-'CONSOLIDADO_TOTAL RECAUDO'!AD107</x:f>
        <x:v>0</x:v>
      </x:c>
      <x:c r="N19" s="531">
        <x:f>N12-'CONSOLIDADO_TOTAL RECAUDO'!AF107</x:f>
        <x:v>120391083</x:v>
      </x:c>
      <x:c r="O19" s="531">
        <x:f>O12-'CONSOLIDADO_TOTAL RECAUDO'!AG107</x:f>
        <x:v>0</x:v>
      </x:c>
    </x:row>
    <x:row r="20" spans="2:16" ht="15.75" thickBot="1" x14ac:dyDescent="0.3">
      <x:c r="B20" s="521" t="s">
        <x:v>118</x:v>
      </x:c>
      <x:c r="C20" s="521" t="s">
        <x:v>14</x:v>
      </x:c>
      <x:c r="D20" s="531">
        <x:f>D13-'CONSOLIDADO_TOTAL RECAUDO'!U108</x:f>
        <x:v>0</x:v>
      </x:c>
      <x:c r="E20" s="531">
        <x:f>E13-'CONSOLIDADO_TOTAL RECAUDO'!V108</x:f>
        <x:v>0</x:v>
      </x:c>
      <x:c r="F20" s="531">
        <x:f>F13-'CONSOLIDADO_TOTAL RECAUDO'!W108</x:f>
        <x:v>0</x:v>
      </x:c>
      <x:c r="G20" s="531">
        <x:f>G13-'CONSOLIDADO_TOTAL RECAUDO'!X108</x:f>
        <x:v>0</x:v>
      </x:c>
      <x:c r="H20" s="531">
        <x:f>H13-'CONSOLIDADO_TOTAL RECAUDO'!Y108</x:f>
        <x:v>0</x:v>
      </x:c>
      <x:c r="I20" s="531">
        <x:f>I13-'CONSOLIDADO_TOTAL RECAUDO'!Z108</x:f>
        <x:v>128990446</x:v>
      </x:c>
      <x:c r="J20" s="531">
        <x:f>J13-'CONSOLIDADO_TOTAL RECAUDO'!AA108-'CONSOLIDADO_TOTAL RECAUDO'!AC108</x:f>
        <x:v>0</x:v>
      </x:c>
      <x:c r="K20" s="531">
        <x:f>K13-'CONSOLIDADO_TOTAL RECAUDO'!AB108</x:f>
        <x:v>0</x:v>
      </x:c>
      <x:c r="L20" s="531">
        <x:f>L13-'CONSOLIDADO_TOTAL RECAUDO'!AE108</x:f>
        <x:v>0</x:v>
      </x:c>
      <x:c r="M20" s="531">
        <x:f>M13-'CONSOLIDADO_TOTAL RECAUDO'!AD108</x:f>
        <x:v>0</x:v>
      </x:c>
      <x:c r="N20" s="531">
        <x:f>N13-'CONSOLIDADO_TOTAL RECAUDO'!AF108</x:f>
        <x:v>128990446</x:v>
      </x:c>
      <x:c r="O20" s="531">
        <x:f>O13-'CONSOLIDADO_TOTAL RECAUDO'!AG108</x:f>
        <x:v>0</x:v>
      </x:c>
    </x:row>
    <x:row r="21" spans="2:16" customFormat="1" ht="13.5" thickBot="1" x14ac:dyDescent="0.25">
      <x:c r="B21" s="728" t="s">
        <x:v>249</x:v>
      </x:c>
      <x:c r="C21" s="730" t="s">
        <x:v>70</x:v>
      </x:c>
      <x:c r="D21" s="735">
        <x:f>D14-'CONSOLIDADO_TOTAL RECAUDO'!U109</x:f>
        <x:v>0</x:v>
      </x:c>
      <x:c r="E21" s="735">
        <x:f>E14-'CONSOLIDADO_TOTAL RECAUDO'!V109</x:f>
        <x:v>0</x:v>
      </x:c>
      <x:c r="F21" s="735">
        <x:f>F14-'CONSOLIDADO_TOTAL RECAUDO'!W109</x:f>
        <x:v>0</x:v>
      </x:c>
      <x:c r="G21" s="735">
        <x:f>G14-'CONSOLIDADO_TOTAL RECAUDO'!X109</x:f>
        <x:v>0</x:v>
      </x:c>
      <x:c r="H21" s="735">
        <x:f>H14-'CONSOLIDADO_TOTAL RECAUDO'!Y109</x:f>
        <x:v>0</x:v>
      </x:c>
      <x:c r="I21" s="735">
        <x:f>I14-'CONSOLIDADO_TOTAL RECAUDO'!Z109</x:f>
        <x:v>859936309</x:v>
      </x:c>
      <x:c r="J21" s="735">
        <x:f>J14-'CONSOLIDADO_TOTAL RECAUDO'!AA109-'CONSOLIDADO_TOTAL RECAUDO'!AC109</x:f>
        <x:v>0</x:v>
      </x:c>
      <x:c r="K21" s="735">
        <x:f>K14-'CONSOLIDADO_TOTAL RECAUDO'!AB109</x:f>
        <x:v>0</x:v>
      </x:c>
      <x:c r="L21" s="735">
        <x:f>L14-'CONSOLIDADO_TOTAL RECAUDO'!AE109</x:f>
        <x:v>0</x:v>
      </x:c>
      <x:c r="M21" s="735">
        <x:f>M14-'CONSOLIDADO_TOTAL RECAUDO'!AD109</x:f>
        <x:v>0</x:v>
      </x:c>
      <x:c r="N21" s="735">
        <x:f>N14-'CONSOLIDADO_TOTAL RECAUDO'!AF109</x:f>
        <x:v>859936309</x:v>
      </x:c>
      <x:c r="O21" s="736">
        <x:f>O14-'CONSOLIDADO_TOTAL RECAUDO'!AG109</x:f>
        <x:v>0</x:v>
      </x:c>
    </x:row>
    <x:row r="22" spans="2:16" ht="15.75" thickBot="1" x14ac:dyDescent="0.3">
      <x:c r="M22" s="535"/>
    </x:row>
    <x:row r="23" spans="2:16" ht="36.75" thickBot="1" x14ac:dyDescent="0.3">
      <x:c r="C23" s="27" t="s">
        <x:v>9</x:v>
      </x:c>
      <x:c r="D23" s="146" t="s">
        <x:v>39</x:v>
      </x:c>
      <x:c r="E23" s="497" t="s">
        <x:v>40</x:v>
      </x:c>
      <x:c r="F23" s="497" t="s">
        <x:v>41</x:v>
      </x:c>
      <x:c r="G23" s="147" t="s">
        <x:v>42</x:v>
      </x:c>
      <x:c r="H23" s="148" t="s">
        <x:v>43</x:v>
      </x:c>
      <x:c r="I23" s="472" t="s">
        <x:v>21</x:v>
      </x:c>
      <x:c r="J23" s="65" t="s">
        <x:v>46</x:v>
      </x:c>
      <x:c r="K23" s="65" t="s">
        <x:v>7</x:v>
      </x:c>
      <x:c r="L23" s="85" t="s">
        <x:v>167</x:v>
      </x:c>
      <x:c r="M23" s="114" t="s">
        <x:v>105</x:v>
      </x:c>
      <x:c r="N23" s="114" t="s">
        <x:v>104</x:v>
      </x:c>
      <x:c r="O23" s="39" t="s">
        <x:v>23</x:v>
      </x:c>
    </x:row>
    <x:row r="24" spans="2:16" x14ac:dyDescent="0.25">
      <x:c r="B24" s="521" t="s">
        <x:v>115</x:v>
      </x:c>
      <x:c r="C24" s="274" t="s">
        <x:v>10</x:v>
      </x:c>
      <x:c r="D24" s="543" t="b">
        <x:f>+'Reporte Componentes R1'!M50+'Reporte Componentes R1'!M52+'Rem. Anticipos R2'!L43+'Reversion Pagos R4'!J73+D16+'AJUSTES - SF-T'!U47=D9</x:f>
        <x:v>1</x:v>
      </x:c>
      <x:c r="E24" s="531" t="b">
        <x:f>+'Reporte Componentes R1'!N50+'Reporte Componentes R1'!N52+'Rem. Anticipos R2'!M43+'Reversion Pagos R4'!K73+E16+'AJUSTES - SF-T'!V47=E9</x:f>
        <x:v>1</x:v>
      </x:c>
      <x:c r="F24" s="531" t="b">
        <x:f>+'Reporte Componentes R1'!O50+'Reporte Componentes R1'!O52+'Rem. Anticipos R2'!N43+'Reversion Pagos R4'!L73+F16+'AJUSTES - SF-T'!W47=F9</x:f>
        <x:v>1</x:v>
      </x:c>
      <x:c r="G24" s="531" t="b">
        <x:f>+'Reporte Componentes R1'!P50+'Reporte Componentes R1'!P52+'Rem. Anticipos R2'!O43+'Reversion Pagos R4'!M73+G16+'AJUSTES - SF-T'!X47=G9</x:f>
        <x:v>1</x:v>
      </x:c>
      <x:c r="H24" s="531" t="b">
        <x:f>+'Reporte Componentes R1'!Q50+'Reporte Componentes R1'!Q52+'Rem. Anticipos R2'!P43+'Reversion Pagos R4'!N73+H16+'AJUSTES - SF-T'!Y47=H9</x:f>
        <x:v>1</x:v>
      </x:c>
      <x:c r="I24" s="577" t="b">
        <x:f>-INTERVENTORIA!F15+I16=I9</x:f>
        <x:v>1</x:v>
      </x:c>
      <x:c r="J24" s="531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SF-T'!AA47+J16=J9</x:f>
        <x:v>1</x:v>
      </x:c>
      <x:c r="K24" s="531" t="b">
        <x:f>+DetRetri2026072!N32</x:f>
        <x:v>1</x:v>
      </x:c>
      <x:c r="L24" s="531" t="b">
        <x:f>'Reporte Componentes R1'!F51+'Rem. Anticipos R2'!E44+'Reporte Componentes R1'!F53+'Reversion Pagos R4'!D74+'AJUSTES - SF-T'!AD47+L16=L9</x:f>
        <x:v>1</x:v>
      </x:c>
      <x:c r="M24" s="531" t="b">
        <x:f>-'BCE SC POR FACT.'!F3+'Reporte Componentes R1'!F51+'Rem. Anticipos R2'!E44+'Reporte Componentes R1'!F53+'Reversion Pagos R4'!D74+'AJUSTES - SF-T'!AD47+M16=M9</x:f>
        <x:v>1</x:v>
      </x:c>
      <x:c r="N24" s="531" t="b">
        <x:f>'Reporte Componentes R1'!F51+'Rem. Anticipos R2'!E44+'Reporte Componentes R1'!F53+'Reversion Pagos R4'!D74+'AJUSTES - SF-T'!AD47+L16=L9</x:f>
        <x:v>1</x:v>
      </x:c>
      <x:c r="O24" s="531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R4'!N73-INTERVENTORIA!J4+'Reporte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SF-T'!AD47+N16=N9</x:f>
        <x:v>1</x:v>
      </x:c>
    </x:row>
    <x:row r="25" spans="2:16" x14ac:dyDescent="0.25">
      <x:c r="B25" s="521" t="s">
        <x:v>116</x:v>
      </x:c>
      <x:c r="C25" s="274" t="s">
        <x:v>11</x:v>
      </x:c>
      <x:c r="D25" s="537" t="b">
        <x:f>+'Reporte Componentes R1'!M194+'Rem. Anticipos R2'!L139+'Reversion Pagos R4'!J168+'Reporte Componentes R1'!M196+D17+'AJUSTES - SF-T'!U48=D10</x:f>
        <x:v>1</x:v>
      </x:c>
      <x:c r="E25" s="537" t="b">
        <x:f>+'Reporte Componentes R1'!N194+'Rem. Anticipos R2'!M139+'Reversion Pagos R4'!K168+'Reporte Componentes R1'!N196+E17+'AJUSTES - SF-T'!V48=E10</x:f>
        <x:v>1</x:v>
      </x:c>
      <x:c r="F25" s="537" t="b">
        <x:f>+'Reporte Componentes R1'!O194+'Rem. Anticipos R2'!N139+'Reversion Pagos R4'!L168+'Reporte Componentes R1'!O196+F17+'AJUSTES - SF-T'!W48=F10</x:f>
        <x:v>1</x:v>
      </x:c>
      <x:c r="G25" s="537" t="b">
        <x:f>+'Reporte Componentes R1'!P194+'Rem. Anticipos R2'!O139+'Reversion Pagos R4'!M168+'Reporte Componentes R1'!P196+G17+'AJUSTES - SF-T'!X48=G10</x:f>
        <x:v>1</x:v>
      </x:c>
      <x:c r="H25" s="537" t="b">
        <x:f>+'Reporte Componentes R1'!Q194+'Rem. Anticipos R2'!P139+'Reversion Pagos R4'!N168+'Reporte Componentes R1'!Q196+H17+'AJUSTES - SF-T'!Y48=H10</x:f>
        <x:v>1</x:v>
      </x:c>
      <x:c r="I25" s="577" t="b">
        <x:f>-INTERVENTORIA!F16+I17=I10</x:f>
        <x:v>1</x:v>
      </x:c>
      <x:c r="J25" s="537" t="b">
        <x:f>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SF-T'!AA48+J17=J10</x:f>
        <x:v>1</x:v>
      </x:c>
      <x:c r="K25" s="537" t="b">
        <x:f>+DetRetri2026072!N33</x:f>
        <x:v>1</x:v>
      </x:c>
      <x:c r="L25" s="531" t="b">
        <x:f>+'Reporte Componentes R1'!F195+'Rem. Anticipos R2'!E140+'Reporte Componentes R1'!F197+'Reversion Pagos R4'!D169+'AJUSTES - SF-T'!AD48+L17=L10</x:f>
        <x:v>1</x:v>
      </x:c>
      <x:c r="M25" s="585" t="b">
        <x:f>-'BCE SC POR FACT.'!F4+'Reporte Componentes R1'!F195+'Rem. Anticipos R2'!E140+'Reporte Componentes R1'!F197+'Reversion Pagos R4'!D169+'AJUSTES - SF-T'!AD48+M17=M10</x:f>
        <x:v>1</x:v>
      </x:c>
      <x:c r="N25" s="531" t="b">
        <x:f>'Reporte Componentes R1'!F195+'Rem. Anticipos R2'!E140+'Reporte Componentes R1'!F197+'Reversion Pagos R4'!D169+'AJUSTES - SF-T'!AD48+L17=L10</x:f>
        <x:v>1</x:v>
      </x:c>
      <x:c r="O25" s="531" t="b">
        <x:f>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R1'!Q196-INTERVENTORIA!I5+'Reporte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SF-T'!AD48+N17=N10</x:f>
        <x:v>0</x:v>
      </x:c>
      <x:c r="P25" s="536"/>
    </x:row>
    <x:row r="26" spans="2:16" x14ac:dyDescent="0.25">
      <x:c r="B26" s="521" t="s">
        <x:v>117</x:v>
      </x:c>
      <x:c r="C26" s="274" t="s">
        <x:v>12</x:v>
      </x:c>
      <x:c r="D26" s="531" t="b">
        <x:f>+'Reporte Componentes R1'!M325+'Reporte Componentes R1'!M327+'Rem. Anticipos R2'!L256+'Reversion Pagos R4'!J205+D18+'AJUSTES - SF-T'!U49=D11</x:f>
        <x:v>1</x:v>
      </x:c>
      <x:c r="E26" s="531" t="b">
        <x:f>+'Reporte Componentes R1'!N325+'Reporte Componentes R1'!N327+'Rem. Anticipos R2'!M256+'Reversion Pagos R4'!K205+E18+'AJUSTES - SF-T'!V49=E11</x:f>
        <x:v>1</x:v>
      </x:c>
      <x:c r="F26" s="531" t="b">
        <x:f>+'Reporte Componentes R1'!O325+'Reporte Componentes R1'!O327+'Rem. Anticipos R2'!N256+'Reversion Pagos R4'!L205+F18+'AJUSTES - SF-T'!W49=F11</x:f>
        <x:v>1</x:v>
      </x:c>
      <x:c r="G26" s="531" t="b">
        <x:f>+'Reporte Componentes R1'!P325+'Reporte Componentes R1'!P327+'Rem. Anticipos R2'!O256+'Reversion Pagos R4'!M205+G18+'AJUSTES - SF-T'!X49=G11</x:f>
        <x:v>1</x:v>
      </x:c>
      <x:c r="H26" s="531" t="b">
        <x:f>+'Reporte Componentes R1'!Q325+'Reporte Componentes R1'!Q327+'Rem. Anticipos R2'!P256+'Reversion Pagos R4'!N205+H18+'AJUSTES - SF-T'!Y49=H11</x:f>
        <x:v>1</x:v>
      </x:c>
      <x:c r="I26" s="577" t="b">
        <x:f>-INTERVENTORIA!F17+I18=I11</x:f>
        <x:v>1</x:v>
      </x:c>
      <x:c r="J26" s="531" t="b">
        <x:f>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SF-T'!AA49+J18=J11</x:f>
        <x:v>1</x:v>
      </x:c>
      <x:c r="K26" s="531" t="b">
        <x:f>+DetRetri2026072!N34</x:f>
        <x:v>1</x:v>
      </x:c>
      <x:c r="L26" s="531" t="b">
        <x:f>+'Reporte Componentes R1'!F326+'Rem. Anticipos R2'!E257+'Reporte Componentes R1'!F328+'Reversion Pagos R4'!D206+'AJUSTES - SF-T'!AD49+L18=L11</x:f>
        <x:v>1</x:v>
      </x:c>
      <x:c r="M26" s="585" t="b">
        <x:f>-'BCE SC POR FACT.'!F5+'Reporte Componentes R1'!F326+'Rem. Anticipos R2'!E257+'Reporte Componentes R1'!F328+'Reversion Pagos R4'!D206+'AJUSTES - SF-T'!AD49+M18=M11</x:f>
        <x:v>1</x:v>
      </x:c>
      <x:c r="N26" s="531" t="b">
        <x:f>'Reporte Componentes R1'!F326+'Rem. Anticipos R2'!E257+'Reporte Componentes R1'!F328+'Reversion Pagos R4'!D206+'AJUSTES - SF-T'!AD49+L18=L11</x:f>
        <x:v>1</x:v>
      </x:c>
      <x:c r="O26" s="583" t="b">
        <x:f>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R4'!N205-INTERVENTORIA!I6+'Reporte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SF-T'!AD49+N18=N11</x:f>
        <x:v>0</x:v>
      </x:c>
    </x:row>
    <x:row r="27" spans="2:16" x14ac:dyDescent="0.25">
      <x:c r="B27" s="521" t="s">
        <x:v>248</x:v>
      </x:c>
      <x:c r="C27" s="274" t="s">
        <x:v>13</x:v>
      </x:c>
      <x:c r="D27" s="531" t="b">
        <x:f>+'Reporte Componentes R1'!M456+'Reporte Componentes R1'!M458+'Rem. Anticipos R2'!L358+'Reversion Pagos R4'!J320+D19+'AJUSTES - SF-T'!U50=D12</x:f>
        <x:v>1</x:v>
      </x:c>
      <x:c r="E27" s="531" t="b">
        <x:f>+'Reporte Componentes R1'!N456+'Reporte Componentes R1'!N458+'Rem. Anticipos R2'!M358+'Reversion Pagos R4'!K320+E19+'AJUSTES - SF-T'!V50=E12</x:f>
        <x:v>1</x:v>
      </x:c>
      <x:c r="F27" s="531" t="b">
        <x:f>+'Reporte Componentes R1'!O456+'Reporte Componentes R1'!O458+'Rem. Anticipos R2'!N358+'Reversion Pagos R4'!L320+F19+'AJUSTES - SF-T'!W50=F12</x:f>
        <x:v>1</x:v>
      </x:c>
      <x:c r="G27" s="531" t="b">
        <x:f>+'Reporte Componentes R1'!P456+'Reporte Componentes R1'!P458+'Rem. Anticipos R2'!O358+'Reversion Pagos R4'!M320+G19+'AJUSTES - SF-T'!X50=G12</x:f>
        <x:v>1</x:v>
      </x:c>
      <x:c r="H27" s="531" t="b">
        <x:f>+'Reporte Componentes R1'!Q456+'Reporte Componentes R1'!Q458+'Rem. Anticipos R2'!P358+'Reversion Pagos R4'!N320+H19+'AJUSTES - SF-T'!Y50=H12</x:f>
        <x:v>1</x:v>
      </x:c>
      <x:c r="I27" s="577" t="b">
        <x:f>-INTERVENTORIA!F18+I19=I12</x:f>
        <x:v>1</x:v>
      </x:c>
      <x:c r="J27" s="531" t="b">
        <x:f>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SF-T'!AA49+J19=J12</x:f>
        <x:v>1</x:v>
      </x:c>
      <x:c r="K27" s="531" t="b">
        <x:f>+DetRetri2026072!N35</x:f>
        <x:v>1</x:v>
      </x:c>
      <x:c r="L27" s="531" t="b">
        <x:f>+'Reporte Componentes R1'!F457+'Rem. Anticipos R2'!E359+'Reporte Componentes R1'!F459+'Reversion Pagos R4'!D321+'AJUSTES - SF-T'!AD50+L19=L12</x:f>
        <x:v>1</x:v>
      </x:c>
      <x:c r="M27" s="585" t="b">
        <x:f>-'BCE SC POR FACT.'!F6+'Reporte Componentes R1'!F457+'Rem. Anticipos R2'!E359+'Reporte Componentes R1'!F459+'Reversion Pagos R4'!D321+'AJUSTES - SF-T'!AD50+M19=M12</x:f>
        <x:v>1</x:v>
      </x:c>
      <x:c r="N27" s="531" t="b">
        <x:f>'Reporte Componentes R1'!F457+'Rem. Anticipos R2'!E359+'Reporte Componentes R1'!F459+'Reversion Pagos R4'!D321+'AJUSTES - SF-T'!AD50+L19=L12</x:f>
        <x:v>1</x:v>
      </x:c>
      <x:c r="O27" s="583" t="b">
        <x:f>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R4'!N320-INTERVENTORIA!I7+'Reporte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SF-T'!AD50+N19=N12</x:f>
        <x:v>1</x:v>
      </x:c>
    </x:row>
    <x:row r="28" spans="2:16" x14ac:dyDescent="0.25">
      <x:c r="B28" s="521" t="s">
        <x:v>118</x:v>
      </x:c>
      <x:c r="C28" s="274" t="s">
        <x:v>14</x:v>
      </x:c>
      <x:c r="D28" s="531" t="b">
        <x:f>+'Reporte Componentes R1'!M554+'Reporte Componentes R1'!M556+'Rem. Anticipos R2'!L438+'Reversion Pagos R4'!J355+D20+'AJUSTES - SF-T'!U51=D13</x:f>
        <x:v>1</x:v>
      </x:c>
      <x:c r="E28" s="531" t="b">
        <x:f>+'Reporte Componentes R1'!N554+'Reporte Componentes R1'!N556+'Rem. Anticipos R2'!M438+'Reversion Pagos R4'!K355+E20+'AJUSTES - SF-T'!V51=E13</x:f>
        <x:v>1</x:v>
      </x:c>
      <x:c r="F28" s="531" t="b">
        <x:f>+'Reporte Componentes R1'!O554+'Reporte Componentes R1'!O556+'Rem. Anticipos R2'!N438+'Reversion Pagos R4'!L355+F20+'AJUSTES - SF-T'!W51=F13</x:f>
        <x:v>1</x:v>
      </x:c>
      <x:c r="G28" s="531" t="b">
        <x:f>+'Reporte Componentes R1'!P554+'Reporte Componentes R1'!P556+'Rem. Anticipos R2'!O438+'Reversion Pagos R4'!M355+G20+'AJUSTES - SF-T'!X51=G13</x:f>
        <x:v>1</x:v>
      </x:c>
      <x:c r="H28" s="531" t="b">
        <x:f>+'Reporte Componentes R1'!Q554+'Reporte Componentes R1'!Q556+'Rem. Anticipos R2'!P438+'Reversion Pagos R4'!N355+H20+'AJUSTES - SF-T'!Y51=H13</x:f>
        <x:v>1</x:v>
      </x:c>
      <x:c r="I28" s="577" t="b">
        <x:f>-INTERVENTORIA!F19+I20=I13</x:f>
        <x:v>1</x:v>
      </x:c>
      <x:c r="J28" s="533" t="b">
        <x:f>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SF-T'!AA50+J20=J13</x:f>
        <x:v>1</x:v>
      </x:c>
      <x:c r="K28" s="531" t="b">
        <x:f>+DetRetri2026072!N36</x:f>
        <x:v>1</x:v>
      </x:c>
      <x:c r="L28" s="531" t="b">
        <x:f>+'Reporte Componentes R1'!F555+'Rem. Anticipos R2'!E439+'Reporte Componentes R1'!F557+'Reversion Pagos R4'!D356+'AJUSTES - SF-T'!AD51+L20=L13</x:f>
        <x:v>1</x:v>
      </x:c>
      <x:c r="M28" s="531" t="b">
        <x:f>-'BCE SC POR FACT.'!F7+'Reporte Componentes R1'!F555+'Rem. Anticipos R2'!E439+'Reporte Componentes R1'!F557+'Reversion Pagos R4'!D356+'AJUSTES - SF-T'!AD51+M20=M13</x:f>
        <x:v>1</x:v>
      </x:c>
      <x:c r="N28" s="531" t="b">
        <x:f>'Reporte Componentes R1'!F555+'Rem. Anticipos R2'!E439+'Reporte Componentes R1'!F557+'Reversion Pagos R4'!D356+'AJUSTES - SF-T'!AD51+L20=L13</x:f>
        <x:v>1</x:v>
      </x:c>
      <x:c r="O28" s="531" t="b">
        <x:f>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R4'!N355-INTERVENTORIA!I8+'Reporte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SF-T'!AD51+N20=N13</x:f>
        <x:v>0</x:v>
      </x:c>
    </x:row>
    <x:row r="29" spans="2:16" x14ac:dyDescent="0.25">
      <x:c r="C29" s="532" t="s">
        <x:v>2</x:v>
      </x:c>
      <x:c r="D29" s="531" t="b">
        <x:f>'Reporte Componentes R1'!M50+'Reporte Componentes R1'!M52+'Rem. Anticipos R2'!L43+'Reversion Pagos R4'!J73+'Reporte Componentes R1'!M194+'Rem. Anticipos R2'!L139+'Reversion Pagos R4'!J168+'Reporte Componentes R1'!M196+'Reporte Componentes R1'!M325+'Reporte Componentes R1'!M327+'Rem. Anticipos R2'!L256+'Reversion Pagos R4'!J205+'Reporte Componentes R1'!M456+'Reporte Componentes R1'!M458+'Rem. Anticipos R2'!L358+'Reversion Pagos R4'!J320+'Reporte Componentes R1'!M554+'Reporte Componentes R1'!M556+'Rem. Anticipos R2'!L438+'Reversion Pagos R4'!J355+D21+'AJUSTES - SF-T'!U52=D14</x:f>
        <x:v>1</x:v>
      </x:c>
      <x:c r="E29" s="531" t="b">
        <x:f>'Reporte Componentes R1'!N50+'Reporte Componentes R1'!N52+'Rem. Anticipos R2'!M43+'Reversion Pagos R4'!K73+'Reporte Componentes R1'!N194+'Rem. Anticipos R2'!M139+'Reversion Pagos R4'!K168+'Reporte Componentes R1'!N196+'Reporte Componentes R1'!N325+'Reporte Componentes R1'!N327+'Rem. Anticipos R2'!M256+'Reversion Pagos R4'!K205+'Reporte Componentes R1'!N456+'Reporte Componentes R1'!N458+'Rem. Anticipos R2'!M358+'Reversion Pagos R4'!K320+'Reporte Componentes R1'!N554+'Reporte Componentes R1'!N556+'Rem. Anticipos R2'!M438+'Reversion Pagos R4'!K355+E21+'AJUSTES - SF-T'!V52=E14</x:f>
        <x:v>1</x:v>
      </x:c>
      <x:c r="F29" s="531" t="b">
        <x:f>'Reporte Componentes R1'!O50+'Reporte Componentes R1'!O52+'Rem. Anticipos R2'!N43+'Reversion Pagos R4'!L73+'Reporte Componentes R1'!O194+'Rem. Anticipos R2'!N139+'Reversion Pagos R4'!L168+'Reporte Componentes R1'!O196+'Reporte Componentes R1'!O325+'Reporte Componentes R1'!O327+'Rem. Anticipos R2'!N256+'Reversion Pagos R4'!L205+'Reporte Componentes R1'!O456+'Reporte Componentes R1'!O458+'Rem. Anticipos R2'!N358+'Reversion Pagos R4'!L320+'Reporte Componentes R1'!O554+'Reporte Componentes R1'!O556+'Rem. Anticipos R2'!N438+'Reversion Pagos R4'!L355+F21+'AJUSTES - SF-T'!W52=F14</x:f>
        <x:v>1</x:v>
      </x:c>
      <x:c r="G29" s="531" t="b">
        <x:f>'Reporte Componentes R1'!P50+'Reporte Componentes R1'!P52+'Rem. Anticipos R2'!O43+'Reversion Pagos R4'!M73+'Reporte Componentes R1'!P194+'Rem. Anticipos R2'!O139+'Reversion Pagos R4'!M168+'Reporte Componentes R1'!P196+'Reporte Componentes R1'!P325+'Reporte Componentes R1'!P327+'Rem. Anticipos R2'!O256+'Reversion Pagos R4'!M205+'Reporte Componentes R1'!P456+'Reporte Componentes R1'!P458+'Rem. Anticipos R2'!O358+'Reversion Pagos R4'!M320+'Reporte Componentes R1'!P554+'Reporte Componentes R1'!P556+'Rem. Anticipos R2'!O438+'Reversion Pagos R4'!M355+G21+'AJUSTES - SF-T'!X52=G14</x:f>
        <x:v>1</x:v>
      </x:c>
      <x:c r="H29" s="531" t="b">
        <x:f>'Reporte Componentes R1'!Q50+'Reporte Componentes R1'!Q52+'Rem. Anticipos R2'!P43+'Reversion Pagos R4'!N73+'Reporte Componentes R1'!Q194+'Rem. Anticipos R2'!P139+'Reversion Pagos R4'!N168+'Reporte Componentes R1'!Q196+'Reporte Componentes R1'!Q325+'Reporte Componentes R1'!Q327+'Rem. Anticipos R2'!P256+'Reversion Pagos R4'!N205+'Reporte Componentes R1'!Q456+'Reporte Componentes R1'!Q458+'Rem. Anticipos R2'!P358+'Reversion Pagos R4'!N320+'Reporte Componentes R1'!Q554+'Reporte Componentes R1'!Q556+'Rem. Anticipos R2'!P438+'Reversion Pagos R4'!N355+H21+'AJUSTES - SF-T'!Y52=H14</x:f>
        <x:v>1</x:v>
      </x:c>
      <x:c r="I29" s="577" t="b">
        <x:f>-INTERVENTORIA!F20+I21=I14</x:f>
        <x:v>1</x:v>
      </x:c>
      <x:c r="J29" s="531" t="b">
        <x:f>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SF-T'!AA51+J21=J14</x:f>
        <x:v>1</x:v>
      </x:c>
      <x:c r="K29" s="531" t="b">
        <x:f>'Reporte Componentes R1'!L50+'Rem. Anticipos R2'!K43+'Reversion Pagos R4'!P73+'Reporte Componentes R1'!L52+'Reporte Componentes R1'!L194+'Rem. Anticipos R2'!K139+'Reversion Pagos R4'!P168+'Reporte Componentes R1'!L196+'Reporte Componentes R1'!L325+'Reporte Componentes R1'!L327+'Rem. Anticipos R2'!K256+'Reversion Pagos R4'!P205+'Reporte Componentes R1'!L456+'Reporte Componentes R1'!L458+'Rem. Anticipos R2'!K358+'Reversion Pagos R4'!P320+'Reporte Componentes R1'!L554+'Reporte Componentes R1'!L556+'Rem. Anticipos R2'!K438+'Reversion Pagos R4'!P355+K21=K14</x:f>
        <x:v>1</x:v>
      </x:c>
      <x:c r="L29" s="582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M29" s="531" t="b">
        <x:f>-'BCE SC POR FACT.'!F3+'Reporte Componentes R1'!F51+'Rem. Anticipos R2'!E44+'Reporte Componentes R1'!F53+'Reversion Pagos R4'!D74+'AJUSTES - SF-T'!AD47-'BCE SC POR FACT.'!F4+'Reporte Componentes R1'!F195+'Rem. Anticipos R2'!E140+'Reporte Componentes R1'!F197+'Reversion Pagos R4'!D169+'AJUSTES - SF-T'!AD48-'BCE SC POR FACT.'!F5+'Reporte Componentes R1'!F326+'Rem. Anticipos R2'!E257+'Reporte Componentes R1'!F328+'Reversion Pagos R4'!D206+'AJUSTES - SF-T'!AD49-'BCE SC POR FACT.'!F6+'Reporte Componentes R1'!F457+'Rem. Anticipos R2'!E359+'Reporte Componentes R1'!F459+'Reversion Pagos R4'!D321+'AJUSTES - SF-T'!AD50-'BCE SC POR FACT.'!F7+'Reporte Componentes R1'!F555+'Rem. Anticipos R2'!E439+'Reporte Componentes R1'!F557+'Reversion Pagos R4'!D356+'AJUSTES - SF-T'!AD51+M21=M14</x:f>
        <x:v>1</x:v>
      </x:c>
      <x:c r="N29" s="531" t="b">
        <x:f>'Reporte Componentes R1'!F51+'Rem. Anticipos R2'!E44+'Reporte Componentes R1'!F53+'Reversion Pagos R4'!D74+'AJUSTES - SF-T'!AD47+'Reporte Componentes R1'!F195+'Rem. Anticipos R2'!E140+'Reporte Componentes R1'!F197+'Reversion Pagos R4'!D169+'AJUSTES - SF-T'!AD48+'Reporte Componentes R1'!F326+'Rem. Anticipos R2'!E257+'Reporte Componentes R1'!F328+'Reversion Pagos R4'!D206+'AJUSTES - SF-T'!AD49+'Reporte Componentes R1'!F457+'Rem. Anticipos R2'!E359+'Reporte Componentes R1'!F459+'Reversion Pagos R4'!D321+'AJUSTES - SF-T'!AD50+'Reporte Componentes R1'!F555+'Rem. Anticipos R2'!E439+'Reporte Componentes R1'!F557+'Reversion Pagos R4'!D356+'AJUSTES - SF-T'!AD51+L21=L14</x:f>
        <x:v>1</x:v>
      </x:c>
      <x:c r="O29" s="531" t="b">
        <x:f>'Reporte Componentes R1'!M50+'Reporte Componentes R1'!M52+'Rem. Anticipos R2'!L43+'Reversion Pagos R4'!J73+'Reporte Componentes R1'!N50+'Reporte Componentes R1'!N52+'Rem. Anticipos R2'!M43+'Reversion Pagos R4'!K73+'Reporte Componentes R1'!O50+'Reporte Componentes R1'!O52+'Rem. Anticipos R2'!N43+'Reversion Pagos R4'!L73+'Reporte Componentes R1'!P50+'Reporte Componentes R1'!P52+'Rem. Anticipos R2'!O43+'Reversion Pagos R4'!M73+'Reporte Componentes R1'!Q50+'Reporte Componentes R1'!Q52+'Rem. Anticipos R2'!P43+'Reversion Pagos R4'!N73-INTERVENTORIA!K15+'Reporte Componentes R1'!R50+'Reporte Componentes R1'!V50+'Rem. Anticipos R2'!Q43+'Reporte Componentes R1'!R52+'Reporte Componentes R1'!V52+'Reversion Pagos R4'!O73+'Reporte Componentes R1'!T50+'Reporte Componentes R1'!U50+'Reporte Componentes R1'!W50+'Reporte Componentes R1'!X50+'Reporte Componentes R1'!Y50+'Reporte Componentes R1'!Z50+'Reporte Componentes R1'!S50+'Rem. Anticipos R2'!R43+'Reporte Componentes R1'!T52+'Reporte Componentes R1'!U52+'Reporte Componentes R1'!W52+'Reporte Componentes R1'!X52+'Reporte Componentes R1'!Y52+'Reporte Componentes R1'!Z52+'Reporte Componentes R1'!S52+'Reversion Pagos R4'!Q73+'Reversion Pagos R4'!R73+'AJUSTES - SF-T'!AA47+'Reporte Componentes R1'!L50+'Rem. Anticipos R2'!K43+'Reversion Pagos R4'!P73+'Reporte Componentes R1'!L52-'BCE SC POR FACT.'!F3+'Reporte Componentes R1'!F51+'Rem. Anticipos R2'!E44+'Reporte Componentes R1'!F53+'Reversion Pagos R4'!D74+'AJUSTES - SF-T'!AD47+'Reporte Componentes R1'!M194+'Rem. Anticipos R2'!L139+'Reversion Pagos R4'!J168+'Reporte Componentes R1'!M196+'Reporte Componentes R1'!N194+'Rem. Anticipos R2'!M139+'Reversion Pagos R4'!K168+'Reporte Componentes R1'!N196+'Reporte Componentes R1'!O194+'Rem. Anticipos R2'!N139+'Reversion Pagos R4'!L168+'Reporte Componentes R1'!O196+'Reporte Componentes R1'!P194+'Rem. Anticipos R2'!O139+'Reversion Pagos R4'!M168+'Reporte Componentes R1'!P196+'Reporte Componentes R1'!Q194+'Rem. Anticipos R2'!P139+'Reversion Pagos R4'!N168+'Reporte Componentes R1'!Q196-INTERVENTORIA!K16+'Reporte Componentes R1'!R194+'Reporte Componentes R1'!V194+'Rem. Anticipos R2'!Q139+'Reporte Componentes R1'!R196+'Reporte Componentes R1'!V196+'Reversion Pagos R4'!O168+'Reporte Componentes R1'!T194+'Reporte Componentes R1'!U194+'Reporte Componentes R1'!W194+'Reporte Componentes R1'!X194+'Reporte Componentes R1'!Y194+'Reporte Componentes R1'!Z194+'Reporte Componentes R1'!S194+'Rem. Anticipos R2'!R139+'Reporte Componentes R1'!T196+'Reporte Componentes R1'!U196+'Reporte Componentes R1'!W196+'Reporte Componentes R1'!X196+'Reporte Componentes R1'!Y196+'Reporte Componentes R1'!Z196+'Reporte Componentes R1'!S196+'Reversion Pagos R4'!Q168+'Reversion Pagos R4'!R168+'AJUSTES - SF-T'!AA48+'Reporte Componentes R1'!L194+'Rem. Anticipos R2'!K139+'Reversion Pagos R4'!P168+'Reporte Componentes R1'!L196-'BCE SC POR FACT.'!F4+'Reporte Componentes R1'!F195+'Rem. Anticipos R2'!E140+'Reporte Componentes R1'!F197+'Reversion Pagos R4'!D169+'AJUSTES - SF-T'!AD48+'Reporte Componentes R1'!M325+'Reporte Componentes R1'!M327+'Rem. Anticipos R2'!L256+'Reversion Pagos R4'!J205+'Reporte Componentes R1'!N325+'Reporte Componentes R1'!N327+'Rem. Anticipos R2'!M256+'Reversion Pagos R4'!K205+'Reporte Componentes R1'!O325+'Reporte Componentes R1'!O327+'Rem. Anticipos R2'!N256+'Reversion Pagos R4'!L205+'Reporte Componentes R1'!P325+'Reporte Componentes R1'!P327+'Rem. Anticipos R2'!O256+'Reversion Pagos R4'!M205+'Reporte Componentes R1'!Q325+'Reporte Componentes R1'!Q327+'Rem. Anticipos R2'!P256+'Reversion Pagos R4'!N205-INTERVENTORIA!K17+'Reporte Componentes R1'!R325+'Reporte Componentes R1'!V325+'Rem. Anticipos R2'!Q256+'Reporte Componentes R1'!R327+'Reporte Componentes R1'!V327+'Reversion Pagos R4'!O205+'Reporte Componentes R1'!T325+'Reporte Componentes R1'!U325+'Reporte Componentes R1'!W325+'Reporte Componentes R1'!X325+'Reporte Componentes R1'!Y325+'Reporte Componentes R1'!Z325+'Reporte Componentes R1'!S325+'Rem. Anticipos R2'!R256+'Reporte Componentes R1'!T327+'Reporte Componentes R1'!U327+'Reporte Componentes R1'!W327+'Reporte Componentes R1'!X327+'Reporte Componentes R1'!Y327+'Reporte Componentes R1'!Z327+'Reporte Componentes R1'!S327+'Reversion Pagos R4'!Q205+'Reversion Pagos R4'!R205+'AJUSTES - SF-T'!AA49+'Reporte Componentes R1'!L325+'Reporte Componentes R1'!L327+'Rem. Anticipos R2'!K256+'Reversion Pagos R4'!P205-'BCE SC POR FACT.'!F5+'Reporte Componentes R1'!F326+'Rem. Anticipos R2'!E257+'Reporte Componentes R1'!F328+'Reversion Pagos R4'!D206+'AJUSTES - SF-T'!AD49+'Reporte Componentes R1'!M456+'Reporte Componentes R1'!M458+'Rem. Anticipos R2'!L358+'Reversion Pagos R4'!J320+'Reporte Componentes R1'!N456+'Reporte Componentes R1'!N458+'Rem. Anticipos R2'!M358+'Reversion Pagos R4'!K320+'Reporte Componentes R1'!O456+'Reporte Componentes R1'!O458+'Rem. Anticipos R2'!N358+'Reversion Pagos R4'!L320+'Reporte Componentes R1'!P456+'Reporte Componentes R1'!P458+'Rem. Anticipos R2'!O358+'Reversion Pagos R4'!M320+'Reporte Componentes R1'!Q456+'Reporte Componentes R1'!Q458+'Rem. Anticipos R2'!P358+'Reversion Pagos R4'!N320-INTERVENTORIA!K18+'Reporte Componentes R1'!R456+'Reporte Componentes R1'!V456+'Rem. Anticipos R2'!Q358+'Reporte Componentes R1'!R458+'Reporte Componentes R1'!V458+'Reversion Pagos R4'!O320+'Reporte Componentes R1'!T456+'Reporte Componentes R1'!U456+'Reporte Componentes R1'!W456+'Reporte Componentes R1'!X456+'Reporte Componentes R1'!Y456+'Reporte Componentes R1'!Z456+'Reporte Componentes R1'!S456+'Rem. Anticipos R2'!R358+'Reporte Componentes R1'!T458+'Reporte Componentes R1'!U458+'Reporte Componentes R1'!W458+'Reporte Componentes R1'!X458+'Reporte Componentes R1'!Y458+'Reporte Componentes R1'!Z458+'Reporte Componentes R1'!S458+'Reversion Pagos R4'!Q320+'Reversion Pagos R4'!R320+'AJUSTES - SF-T'!AA50+'Reporte Componentes R1'!L456+'Reporte Componentes R1'!L458+'Rem. Anticipos R2'!K358+'Reversion Pagos R4'!P320-'BCE SC POR FACT.'!F6+'Reporte Componentes R1'!F457+'Rem. Anticipos R2'!E359+'Reporte Componentes R1'!F459+'Reversion Pagos R4'!D321+'AJUSTES - SF-T'!AD50+'Reporte Componentes R1'!M554+'Reporte Componentes R1'!M556+'Rem. Anticipos R2'!L438+'Reversion Pagos R4'!J355+'Reporte Componentes R1'!N554+'Reporte Componentes R1'!N556+'Rem. Anticipos R2'!M438+'Reversion Pagos R4'!K355+'Reporte Componentes R1'!O554+'Reporte Componentes R1'!O556+'Rem. Anticipos R2'!N438+'Reversion Pagos R4'!L355+'Reporte Componentes R1'!P554+'Reporte Componentes R1'!P556+'Rem. Anticipos R2'!O438+'Reversion Pagos R4'!M355+'Reporte Componentes R1'!Q554+'Reporte Componentes R1'!Q556+'Rem. Anticipos R2'!P438+'Reversion Pagos R4'!N355-INTERVENTORIA!Q19+'Reporte Componentes R1'!R554+'Reporte Componentes R1'!V554+'Rem. Anticipos R2'!Q438+'Reporte Componentes R1'!R556+'Reporte Componentes R1'!V556+'Reversion Pagos R4'!O355+'Reporte Componentes R1'!T554+'Reporte Componentes R1'!U554+'Reporte Componentes R1'!W554+'Reporte Componentes R1'!X554+'Reporte Componentes R1'!Y554+'Reporte Componentes R1'!Z554+'Reporte Componentes R1'!S554+'Rem. Anticipos R2'!R438+'Reporte Componentes R1'!T556+'Reporte Componentes R1'!U556+'Reporte Componentes R1'!W556+'Reporte Componentes R1'!X556+'Reporte Componentes R1'!Y556+'Reporte Componentes R1'!Z556+'Reporte Componentes R1'!S556+'Reversion Pagos R4'!Q355+'Reversion Pagos R4'!R355+'AJUSTES - SF-T'!AA51+'Reporte Componentes R1'!L554+'Reporte Componentes R1'!L556+'Rem. Anticipos R2'!K438+'Reversion Pagos R4'!P355-'BCE SC POR FACT.'!F7+'Reporte Componentes R1'!F555+'Rem. Anticipos R2'!E439+'Reporte Componentes R1'!F557+'Reversion Pagos R4'!D356+'AJUSTES - SF-T'!AD51+N21=N14</x:f>
        <x:v>0</x:v>
      </x:c>
    </x:row>
    <x:row r="30" spans="2:16" x14ac:dyDescent="0.25">
      <x:c r="M30" s="538"/>
    </x:row>
    <x:row r="31" spans="2:16" x14ac:dyDescent="0.25">
      <x:c r="I31" s="576"/>
      <x:c r="J31" s="578"/>
    </x:row>
    <x:row r="32" spans="2:16" x14ac:dyDescent="0.25">
      <x:c r="J32" s="579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G125" sqref="G125"/>
    </x:sheetView>
  </x:sheetViews>
  <x:sheetFormatPr baseColWidth="10" defaultColWidth="11.42578125" defaultRowHeight="12" x14ac:dyDescent="0.2"/>
  <x:cols>
    <x:col min="1" max="1" width="3" style="1" customWidth="1"/>
    <x:col min="2" max="2" width="4.42578125" style="1" bestFit="1" customWidth="1"/>
    <x:col min="3" max="3" width="36.7109375" style="1" customWidth="1"/>
    <x:col min="4" max="4" width="13.7109375" style="1" bestFit="1" customWidth="1"/>
    <x:col min="5" max="5" width="16" style="1" customWidth="1"/>
    <x:col min="6" max="7" width="14.7109375" style="1" customWidth="1"/>
    <x:col min="8" max="8" width="16.28515625" style="1" customWidth="1"/>
    <x:col min="9" max="9" width="20.28515625" style="1" bestFit="1" customWidth="1"/>
    <x:col min="10" max="10" width="15.5703125" style="1" customWidth="1"/>
    <x:col min="11" max="11" width="17.5703125" style="1" customWidth="1"/>
    <x:col min="12" max="12" width="17" style="1" bestFit="1" customWidth="1"/>
    <x:col min="13" max="13" width="19.7109375" style="1" customWidth="1"/>
    <x:col min="14" max="14" width="15.28515625" style="1" customWidth="1"/>
    <x:col min="15" max="15" width="16.7109375" style="1" customWidth="1"/>
    <x:col min="16" max="16" width="3.7109375" style="1" customWidth="1"/>
    <x:col min="17" max="17" width="2.7109375" style="1" customWidth="1"/>
    <x:col min="18" max="18" width="4.5703125" style="1" customWidth="1"/>
    <x:col min="19" max="19" width="11.28515625" style="1" customWidth="1"/>
    <x:col min="20" max="20" width="37.5703125" style="1" bestFit="1" customWidth="1"/>
    <x:col min="21" max="21" width="19.28515625" style="1" customWidth="1"/>
    <x:col min="22" max="22" width="17.7109375" style="1" customWidth="1"/>
    <x:col min="23" max="23" width="16.42578125" style="1" customWidth="1"/>
    <x:col min="24" max="24" width="17.28515625" style="1" customWidth="1"/>
    <x:col min="25" max="25" width="15.7109375" style="1" customWidth="1"/>
    <x:col min="26" max="26" width="16" style="1" customWidth="1"/>
    <x:col min="27" max="27" width="15" style="1" customWidth="1"/>
    <x:col min="28" max="29" width="16.7109375" style="1" customWidth="1"/>
    <x:col min="30" max="31" width="15.42578125" style="1" customWidth="1"/>
    <x:col min="32" max="32" width="16.28515625" style="1" customWidth="1"/>
    <x:col min="33" max="33" width="18.28515625" style="1" customWidth="1"/>
    <x:col min="34" max="34" width="13.7109375" style="1" customWidth="1"/>
    <x:col min="35" max="35" width="3.42578125" style="1" customWidth="1"/>
    <x:col min="36" max="36" width="13.7109375" style="1" bestFit="1" customWidth="1"/>
    <x:col min="37" max="16384" width="11.42578125" style="1"/>
  </x:cols>
  <x:sheetData>
    <x:row r="1" spans="2:39" ht="12.75" thickBot="1" x14ac:dyDescent="0.25">
      <x:c r="Q1" s="4"/>
      <x:c r="AI1" s="4"/>
    </x:row>
    <x:row r="2" spans="2:39" x14ac:dyDescent="0.2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5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75" x14ac:dyDescent="0.25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5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75" x14ac:dyDescent="0.25">
      <x:c r="B6" s="8"/>
      <x:c r="C6" s="2"/>
      <x:c r="D6" s="9"/>
      <x:c r="F6" s="394" t="s">
        <x:v>121</x:v>
      </x:c>
      <x:c r="G6" s="394"/>
      <x:c r="H6" s="395"/>
      <x:c r="I6" s="396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75" thickBot="1" x14ac:dyDescent="0.25">
      <x:c r="B7" s="8"/>
      <x:c r="C7" s="2"/>
      <x:c r="D7" s="198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09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46" t="s">
        <x:v>39</x:v>
      </x:c>
      <x:c r="V8" s="147" t="s">
        <x:v>40</x:v>
      </x:c>
      <x:c r="W8" s="147" t="s">
        <x:v>41</x:v>
      </x:c>
      <x:c r="X8" s="147" t="s">
        <x:v>42</x:v>
      </x:c>
      <x:c r="Y8" s="148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167</x:v>
      </x:c>
      <x:c r="AD8" s="114" t="s">
        <x:v>105</x:v>
      </x:c>
      <x:c r="AE8" s="114" t="s">
        <x:v>104</x:v>
      </x:c>
      <x:c r="AF8" s="39" t="s">
        <x:v>23</x:v>
      </x:c>
      <x:c r="AG8" s="214"/>
      <x:c r="AI8" s="4"/>
    </x:row>
    <x:row r="9" spans="2:39" s="241" customFormat="1" x14ac:dyDescent="0.2">
      <x:c r="B9" s="239">
        <x:v>1</x:v>
      </x:c>
      <x:c r="C9" s="240" t="s">
        <x:v>10</x:v>
      </x:c>
      <x:c r="D9" s="227">
        <x:f>'CONSOLIDADO_TOTAL RECAUDO'!D104</x:f>
        <x:v>0</x:v>
      </x:c>
      <x:c r="E9" s="228">
        <x:f>'CONSOLIDADO_TOTAL RECAUDO'!E104</x:f>
        <x:v>0</x:v>
      </x:c>
      <x:c r="F9" s="228">
        <x:f>'CONSOLIDADO_TOTAL RECAUDO'!F104</x:f>
        <x:v>0</x:v>
      </x:c>
      <x:c r="G9" s="228">
        <x:f>'CONSOLIDADO_TOTAL RECAUDO'!G104</x:f>
        <x:v>0</x:v>
      </x:c>
      <x:c r="H9" s="228">
        <x:f>'CONSOLIDADO_TOTAL RECAUDO'!H104</x:f>
        <x:v>0</x:v>
      </x:c>
      <x:c r="I9" s="228">
        <x:f>'CONSOLIDADO_TOTAL RECAUDO'!I104</x:f>
        <x:v>0</x:v>
      </x:c>
      <x:c r="J9" s="224">
        <x:f>'CONSOLIDADO_TOTAL RECAUDO'!J104</x:f>
        <x:v>0</x:v>
      </x:c>
      <x:c r="K9" s="229">
        <x:f>'CONSOLIDADO_TOTAL RECAUDO'!K104</x:f>
        <x:v>0</x:v>
      </x:c>
      <x:c r="L9" s="230">
        <x:f>'CONSOLIDADO_TOTAL RECAUDO'!L104</x:f>
        <x:v>189185988</x:v>
      </x:c>
      <x:c r="M9" s="229">
        <x:f>'CONSOLIDADO_TOTAL RECAUDO'!M104</x:f>
        <x:v>-189185988</x:v>
      </x:c>
      <x:c r="N9" s="230">
        <x:f>'CONSOLIDADO_TOTAL RECAUDO'!N104</x:f>
        <x:v>0</x:v>
      </x:c>
      <x:c r="O9" s="229">
        <x:f>'CONSOLIDADO_TOTAL RECAUDO'!O104</x:f>
        <x:v>-189185988</x:v>
      </x:c>
      <x:c r="Q9" s="242"/>
      <x:c r="S9" s="239">
        <x:v>1</x:v>
      </x:c>
      <x:c r="T9" s="240" t="s">
        <x:v>10</x:v>
      </x:c>
      <x:c r="U9" s="243">
        <x:f>'CONSOLIDADO_TOTAL RECAUDO'!U104</x:f>
        <x:v>0</x:v>
      </x:c>
      <x:c r="V9" s="244">
        <x:f>'CONSOLIDADO_TOTAL RECAUDO'!V104</x:f>
        <x:v>0</x:v>
      </x:c>
      <x:c r="W9" s="244">
        <x:f>'CONSOLIDADO_TOTAL RECAUDO'!W104</x:f>
        <x:v>0</x:v>
      </x:c>
      <x:c r="X9" s="244">
        <x:f>'CONSOLIDADO_TOTAL RECAUDO'!X104</x:f>
        <x:v>0</x:v>
      </x:c>
      <x:c r="Y9" s="245">
        <x:f>'CONSOLIDADO_TOTAL RECAUDO'!Y104</x:f>
        <x:v>0</x:v>
      </x:c>
      <x:c r="Z9" s="246">
        <x:f>'CONSOLIDADO_TOTAL RECAUDO'!Z104</x:f>
        <x:v>-189185988</x:v>
      </x:c>
      <x:c r="AA9" s="247">
        <x:f>'CONSOLIDADO_TOTAL RECAUDO'!AA104</x:f>
        <x:v>0</x:v>
      </x:c>
      <x:c r="AB9" s="230">
        <x:f>'CONSOLIDADO_TOTAL RECAUDO'!AB104</x:f>
        <x:v>0</x:v>
      </x:c>
      <x:c r="AC9" s="247">
        <x:f>'CONSOLIDADO_TOTAL RECAUDO'!AC104</x:f>
        <x:v>0</x:v>
      </x:c>
      <x:c r="AD9" s="227">
        <x:f>'CONSOLIDADO_TOTAL RECAUDO'!AD104</x:f>
        <x:v>0</x:v>
      </x:c>
      <x:c r="AE9" s="227">
        <x:f>'CONSOLIDADO_TOTAL RECAUDO'!AE104</x:f>
        <x:v>0</x:v>
      </x:c>
      <x:c r="AF9" s="249">
        <x:f>'CONSOLIDADO_TOTAL RECAUDO'!AF104</x:f>
        <x:v>-189185988</x:v>
      </x:c>
      <x:c r="AG9" s="439">
        <x:f>'CONSOLIDADO_TOTAL RECAUDO'!AG104</x:f>
        <x:v>0</x:v>
      </x:c>
      <x:c r="AH9" s="1" t="s">
        <x:v>1</x:v>
      </x:c>
      <x:c r="AI9" s="242"/>
      <x:c r="AM9" s="269"/>
    </x:row>
    <x:row r="10" spans="2:39" s="241" customFormat="1" x14ac:dyDescent="0.2">
      <x:c r="B10" s="250">
        <x:v>2</x:v>
      </x:c>
      <x:c r="C10" s="251" t="s">
        <x:v>11</x:v>
      </x:c>
      <x:c r="D10" s="227">
        <x:f>'CONSOLIDADO_TOTAL RECAUDO'!D105</x:f>
        <x:v>0</x:v>
      </x:c>
      <x:c r="E10" s="228">
        <x:f>'CONSOLIDADO_TOTAL RECAUDO'!E105</x:f>
        <x:v>0</x:v>
      </x:c>
      <x:c r="F10" s="228">
        <x:f>'CONSOLIDADO_TOTAL RECAUDO'!F105</x:f>
        <x:v>0</x:v>
      </x:c>
      <x:c r="G10" s="228">
        <x:f>'CONSOLIDADO_TOTAL RECAUDO'!G105</x:f>
        <x:v>0</x:v>
      </x:c>
      <x:c r="H10" s="228">
        <x:f>'CONSOLIDADO_TOTAL RECAUDO'!H105</x:f>
        <x:v>0</x:v>
      </x:c>
      <x:c r="I10" s="228">
        <x:f>'CONSOLIDADO_TOTAL RECAUDO'!I105</x:f>
        <x:v>0</x:v>
      </x:c>
      <x:c r="J10" s="224">
        <x:f>'CONSOLIDADO_TOTAL RECAUDO'!J105</x:f>
        <x:v>0</x:v>
      </x:c>
      <x:c r="K10" s="231">
        <x:f>'CONSOLIDADO_TOTAL RECAUDO'!K105</x:f>
        <x:v>0</x:v>
      </x:c>
      <x:c r="L10" s="230">
        <x:f>'CONSOLIDADO_TOTAL RECAUDO'!L105</x:f>
        <x:v>266580256</x:v>
      </x:c>
      <x:c r="M10" s="231">
        <x:f>'CONSOLIDADO_TOTAL RECAUDO'!M105</x:f>
        <x:v>-266580256</x:v>
      </x:c>
      <x:c r="N10" s="230">
        <x:f>'CONSOLIDADO_TOTAL RECAUDO'!N105</x:f>
        <x:v>0</x:v>
      </x:c>
      <x:c r="O10" s="231">
        <x:f>'CONSOLIDADO_TOTAL RECAUDO'!O105</x:f>
        <x:v>-266580256</x:v>
      </x:c>
      <x:c r="Q10" s="242"/>
      <x:c r="S10" s="250">
        <x:v>2</x:v>
      </x:c>
      <x:c r="T10" s="251" t="s">
        <x:v>11</x:v>
      </x:c>
      <x:c r="U10" s="252">
        <x:f>'CONSOLIDADO_TOTAL RECAUDO'!U105</x:f>
        <x:v>0</x:v>
      </x:c>
      <x:c r="V10" s="253">
        <x:f>'CONSOLIDADO_TOTAL RECAUDO'!V105</x:f>
        <x:v>0</x:v>
      </x:c>
      <x:c r="W10" s="253">
        <x:f>'CONSOLIDADO_TOTAL RECAUDO'!W105</x:f>
        <x:v>0</x:v>
      </x:c>
      <x:c r="X10" s="253">
        <x:f>'CONSOLIDADO_TOTAL RECAUDO'!X105</x:f>
        <x:v>0</x:v>
      </x:c>
      <x:c r="Y10" s="254">
        <x:f>'CONSOLIDADO_TOTAL RECAUDO'!Y105</x:f>
        <x:v>0</x:v>
      </x:c>
      <x:c r="Z10" s="255">
        <x:f>'CONSOLIDADO_TOTAL RECAUDO'!Z105</x:f>
        <x:v>-266580256</x:v>
      </x:c>
      <x:c r="AA10" s="256">
        <x:f>'CONSOLIDADO_TOTAL RECAUDO'!AA105</x:f>
        <x:v>0</x:v>
      </x:c>
      <x:c r="AB10" s="230">
        <x:f>'CONSOLIDADO_TOTAL RECAUDO'!AB105</x:f>
        <x:v>0</x:v>
      </x:c>
      <x:c r="AC10" s="256">
        <x:f>'CONSOLIDADO_TOTAL RECAUDO'!AC105</x:f>
        <x:v>0</x:v>
      </x:c>
      <x:c r="AD10" s="227">
        <x:f>'CONSOLIDADO_TOTAL RECAUDO'!AD105</x:f>
        <x:v>0</x:v>
      </x:c>
      <x:c r="AE10" s="227">
        <x:f>'CONSOLIDADO_TOTAL RECAUDO'!AE105</x:f>
        <x:v>0</x:v>
      </x:c>
      <x:c r="AF10" s="258">
        <x:f>'CONSOLIDADO_TOTAL RECAUDO'!AF105</x:f>
        <x:v>-266580256</x:v>
      </x:c>
      <x:c r="AG10" s="440">
        <x:f>'CONSOLIDADO_TOTAL RECAUDO'!AG105</x:f>
        <x:v>0</x:v>
      </x:c>
      <x:c r="AH10" s="1" t="s">
        <x:v>1</x:v>
      </x:c>
      <x:c r="AI10" s="242"/>
      <x:c r="AM10" s="269"/>
    </x:row>
    <x:row r="11" spans="2:39" s="241" customFormat="1" x14ac:dyDescent="0.2">
      <x:c r="B11" s="250">
        <x:v>3</x:v>
      </x:c>
      <x:c r="C11" s="251" t="s">
        <x:v>12</x:v>
      </x:c>
      <x:c r="D11" s="227">
        <x:f>'CONSOLIDADO_TOTAL RECAUDO'!D106</x:f>
        <x:v>0</x:v>
      </x:c>
      <x:c r="E11" s="228">
        <x:f>'CONSOLIDADO_TOTAL RECAUDO'!E106</x:f>
        <x:v>0</x:v>
      </x:c>
      <x:c r="F11" s="228">
        <x:f>'CONSOLIDADO_TOTAL RECAUDO'!F106</x:f>
        <x:v>0</x:v>
      </x:c>
      <x:c r="G11" s="228">
        <x:f>'CONSOLIDADO_TOTAL RECAUDO'!G106</x:f>
        <x:v>0</x:v>
      </x:c>
      <x:c r="H11" s="228">
        <x:f>'CONSOLIDADO_TOTAL RECAUDO'!H106</x:f>
        <x:v>0</x:v>
      </x:c>
      <x:c r="I11" s="228">
        <x:f>'CONSOLIDADO_TOTAL RECAUDO'!I106</x:f>
        <x:v>0</x:v>
      </x:c>
      <x:c r="J11" s="224">
        <x:f>'CONSOLIDADO_TOTAL RECAUDO'!J106</x:f>
        <x:v>0</x:v>
      </x:c>
      <x:c r="K11" s="231">
        <x:f>'CONSOLIDADO_TOTAL RECAUDO'!K106</x:f>
        <x:v>0</x:v>
      </x:c>
      <x:c r="L11" s="230">
        <x:f>'CONSOLIDADO_TOTAL RECAUDO'!L106</x:f>
        <x:v>154788536</x:v>
      </x:c>
      <x:c r="M11" s="231">
        <x:f>'CONSOLIDADO_TOTAL RECAUDO'!M106</x:f>
        <x:v>-154788536</x:v>
      </x:c>
      <x:c r="N11" s="230">
        <x:f>'CONSOLIDADO_TOTAL RECAUDO'!N106</x:f>
        <x:v>0</x:v>
      </x:c>
      <x:c r="O11" s="231">
        <x:f>'CONSOLIDADO_TOTAL RECAUDO'!O106</x:f>
        <x:v>-154788536</x:v>
      </x:c>
      <x:c r="Q11" s="242"/>
      <x:c r="S11" s="250">
        <x:v>3</x:v>
      </x:c>
      <x:c r="T11" s="251" t="s">
        <x:v>12</x:v>
      </x:c>
      <x:c r="U11" s="252">
        <x:f>'CONSOLIDADO_TOTAL RECAUDO'!U106</x:f>
        <x:v>0</x:v>
      </x:c>
      <x:c r="V11" s="253">
        <x:f>'CONSOLIDADO_TOTAL RECAUDO'!V106</x:f>
        <x:v>0</x:v>
      </x:c>
      <x:c r="W11" s="253">
        <x:f>'CONSOLIDADO_TOTAL RECAUDO'!W106</x:f>
        <x:v>0</x:v>
      </x:c>
      <x:c r="X11" s="253">
        <x:f>'CONSOLIDADO_TOTAL RECAUDO'!X106</x:f>
        <x:v>0</x:v>
      </x:c>
      <x:c r="Y11" s="254">
        <x:f>'CONSOLIDADO_TOTAL RECAUDO'!Y106</x:f>
        <x:v>0</x:v>
      </x:c>
      <x:c r="Z11" s="255">
        <x:f>'CONSOLIDADO_TOTAL RECAUDO'!Z106</x:f>
        <x:v>-154788536</x:v>
      </x:c>
      <x:c r="AA11" s="256">
        <x:f>'CONSOLIDADO_TOTAL RECAUDO'!AA106</x:f>
        <x:v>0</x:v>
      </x:c>
      <x:c r="AB11" s="230">
        <x:f>'CONSOLIDADO_TOTAL RECAUDO'!AB106</x:f>
        <x:v>0</x:v>
      </x:c>
      <x:c r="AC11" s="256">
        <x:f>'CONSOLIDADO_TOTAL RECAUDO'!AC106</x:f>
        <x:v>0</x:v>
      </x:c>
      <x:c r="AD11" s="227">
        <x:f>'CONSOLIDADO_TOTAL RECAUDO'!AD106</x:f>
        <x:v>0</x:v>
      </x:c>
      <x:c r="AE11" s="227">
        <x:f>'CONSOLIDADO_TOTAL RECAUDO'!AE106</x:f>
        <x:v>0</x:v>
      </x:c>
      <x:c r="AF11" s="258">
        <x:f>'CONSOLIDADO_TOTAL RECAUDO'!AF106</x:f>
        <x:v>-154788536</x:v>
      </x:c>
      <x:c r="AG11" s="440">
        <x:f>'CONSOLIDADO_TOTAL RECAUDO'!AG106</x:f>
        <x:v>0</x:v>
      </x:c>
      <x:c r="AH11" s="1" t="s">
        <x:v>1</x:v>
      </x:c>
      <x:c r="AI11" s="242"/>
      <x:c r="AM11" s="269"/>
    </x:row>
    <x:row r="12" spans="2:39" s="241" customFormat="1" x14ac:dyDescent="0.2">
      <x:c r="B12" s="250">
        <x:v>4</x:v>
      </x:c>
      <x:c r="C12" s="251" t="s">
        <x:v>13</x:v>
      </x:c>
      <x:c r="D12" s="227">
        <x:f>'CONSOLIDADO_TOTAL RECAUDO'!D107</x:f>
        <x:v>0</x:v>
      </x:c>
      <x:c r="E12" s="228">
        <x:f>'CONSOLIDADO_TOTAL RECAUDO'!E107</x:f>
        <x:v>0</x:v>
      </x:c>
      <x:c r="F12" s="228">
        <x:f>'CONSOLIDADO_TOTAL RECAUDO'!F107</x:f>
        <x:v>0</x:v>
      </x:c>
      <x:c r="G12" s="228">
        <x:f>'CONSOLIDADO_TOTAL RECAUDO'!G107</x:f>
        <x:v>0</x:v>
      </x:c>
      <x:c r="H12" s="228">
        <x:f>'CONSOLIDADO_TOTAL RECAUDO'!H107</x:f>
        <x:v>0</x:v>
      </x:c>
      <x:c r="I12" s="228">
        <x:f>'CONSOLIDADO_TOTAL RECAUDO'!I107</x:f>
        <x:v>0</x:v>
      </x:c>
      <x:c r="J12" s="224">
        <x:f>'CONSOLIDADO_TOTAL RECAUDO'!J107</x:f>
        <x:v>0</x:v>
      </x:c>
      <x:c r="K12" s="231">
        <x:f>'CONSOLIDADO_TOTAL RECAUDO'!K107</x:f>
        <x:v>0</x:v>
      </x:c>
      <x:c r="L12" s="230">
        <x:f>'CONSOLIDADO_TOTAL RECAUDO'!L107</x:f>
        <x:v>120391083</x:v>
      </x:c>
      <x:c r="M12" s="231">
        <x:f>'CONSOLIDADO_TOTAL RECAUDO'!M107</x:f>
        <x:v>-120391083</x:v>
      </x:c>
      <x:c r="N12" s="230">
        <x:f>'CONSOLIDADO_TOTAL RECAUDO'!N107</x:f>
        <x:v>0</x:v>
      </x:c>
      <x:c r="O12" s="231">
        <x:f>'CONSOLIDADO_TOTAL RECAUDO'!O107</x:f>
        <x:v>-120391083</x:v>
      </x:c>
      <x:c r="Q12" s="242"/>
      <x:c r="S12" s="250">
        <x:v>4</x:v>
      </x:c>
      <x:c r="T12" s="251" t="s">
        <x:v>13</x:v>
      </x:c>
      <x:c r="U12" s="252">
        <x:f>'CONSOLIDADO_TOTAL RECAUDO'!U107</x:f>
        <x:v>0</x:v>
      </x:c>
      <x:c r="V12" s="253">
        <x:f>'CONSOLIDADO_TOTAL RECAUDO'!V107</x:f>
        <x:v>0</x:v>
      </x:c>
      <x:c r="W12" s="253">
        <x:f>'CONSOLIDADO_TOTAL RECAUDO'!W107</x:f>
        <x:v>0</x:v>
      </x:c>
      <x:c r="X12" s="253">
        <x:f>'CONSOLIDADO_TOTAL RECAUDO'!X107</x:f>
        <x:v>0</x:v>
      </x:c>
      <x:c r="Y12" s="254">
        <x:f>'CONSOLIDADO_TOTAL RECAUDO'!Y107</x:f>
        <x:v>0</x:v>
      </x:c>
      <x:c r="Z12" s="255">
        <x:f>'CONSOLIDADO_TOTAL RECAUDO'!Z107</x:f>
        <x:v>-120391083</x:v>
      </x:c>
      <x:c r="AA12" s="256">
        <x:f>'CONSOLIDADO_TOTAL RECAUDO'!AA107</x:f>
        <x:v>0</x:v>
      </x:c>
      <x:c r="AB12" s="230">
        <x:f>'CONSOLIDADO_TOTAL RECAUDO'!AB107</x:f>
        <x:v>0</x:v>
      </x:c>
      <x:c r="AC12" s="256">
        <x:f>'CONSOLIDADO_TOTAL RECAUDO'!AC107</x:f>
        <x:v>0</x:v>
      </x:c>
      <x:c r="AD12" s="227">
        <x:f>'CONSOLIDADO_TOTAL RECAUDO'!AD107</x:f>
        <x:v>0</x:v>
      </x:c>
      <x:c r="AE12" s="227">
        <x:f>'CONSOLIDADO_TOTAL RECAUDO'!AE107</x:f>
        <x:v>0</x:v>
      </x:c>
      <x:c r="AF12" s="258">
        <x:f>'CONSOLIDADO_TOTAL RECAUDO'!AF107</x:f>
        <x:v>-120391083</x:v>
      </x:c>
      <x:c r="AG12" s="440">
        <x:f>'CONSOLIDADO_TOTAL RECAUDO'!AG107</x:f>
        <x:v>0</x:v>
      </x:c>
      <x:c r="AH12" s="1" t="s">
        <x:v>1</x:v>
      </x:c>
      <x:c r="AI12" s="242"/>
      <x:c r="AM12" s="269"/>
    </x:row>
    <x:row r="13" spans="2:39" s="241" customFormat="1" ht="12.75" thickBot="1" x14ac:dyDescent="0.25">
      <x:c r="B13" s="260">
        <x:v>5</x:v>
      </x:c>
      <x:c r="C13" s="261" t="s">
        <x:v>14</x:v>
      </x:c>
      <x:c r="D13" s="232">
        <x:f>'CONSOLIDADO_TOTAL RECAUDO'!D108</x:f>
        <x:v>0</x:v>
      </x:c>
      <x:c r="E13" s="233">
        <x:f>'CONSOLIDADO_TOTAL RECAUDO'!E108</x:f>
        <x:v>0</x:v>
      </x:c>
      <x:c r="F13" s="233">
        <x:f>'CONSOLIDADO_TOTAL RECAUDO'!F108</x:f>
        <x:v>0</x:v>
      </x:c>
      <x:c r="G13" s="233">
        <x:f>'CONSOLIDADO_TOTAL RECAUDO'!G108</x:f>
        <x:v>0</x:v>
      </x:c>
      <x:c r="H13" s="233">
        <x:f>'CONSOLIDADO_TOTAL RECAUDO'!H108</x:f>
        <x:v>0</x:v>
      </x:c>
      <x:c r="I13" s="233">
        <x:f>'CONSOLIDADO_TOTAL RECAUDO'!I108</x:f>
        <x:v>0</x:v>
      </x:c>
      <x:c r="J13" s="225">
        <x:f>'CONSOLIDADO_TOTAL RECAUDO'!J108</x:f>
        <x:v>0</x:v>
      </x:c>
      <x:c r="K13" s="231">
        <x:f>'CONSOLIDADO_TOTAL RECAUDO'!K108</x:f>
        <x:v>0</x:v>
      </x:c>
      <x:c r="L13" s="230">
        <x:f>'CONSOLIDADO_TOTAL RECAUDO'!L108</x:f>
        <x:v>128990446</x:v>
      </x:c>
      <x:c r="M13" s="234">
        <x:f>'CONSOLIDADO_TOTAL RECAUDO'!M108</x:f>
        <x:v>-128990446</x:v>
      </x:c>
      <x:c r="N13" s="235">
        <x:f>'CONSOLIDADO_TOTAL RECAUDO'!N108</x:f>
        <x:v>0</x:v>
      </x:c>
      <x:c r="O13" s="234">
        <x:f>'CONSOLIDADO_TOTAL RECAUDO'!O108</x:f>
        <x:v>-128990446</x:v>
      </x:c>
      <x:c r="Q13" s="242"/>
      <x:c r="S13" s="260">
        <x:v>5</x:v>
      </x:c>
      <x:c r="T13" s="261" t="s">
        <x:v>14</x:v>
      </x:c>
      <x:c r="U13" s="232">
        <x:f>'CONSOLIDADO_TOTAL RECAUDO'!U108</x:f>
        <x:v>0</x:v>
      </x:c>
      <x:c r="V13" s="233">
        <x:f>'CONSOLIDADO_TOTAL RECAUDO'!V108</x:f>
        <x:v>0</x:v>
      </x:c>
      <x:c r="W13" s="233">
        <x:f>'CONSOLIDADO_TOTAL RECAUDO'!W108</x:f>
        <x:v>0</x:v>
      </x:c>
      <x:c r="X13" s="233">
        <x:f>'CONSOLIDADO_TOTAL RECAUDO'!X108</x:f>
        <x:v>0</x:v>
      </x:c>
      <x:c r="Y13" s="225">
        <x:f>'CONSOLIDADO_TOTAL RECAUDO'!Y108</x:f>
        <x:v>0</x:v>
      </x:c>
      <x:c r="Z13" s="255">
        <x:f>'CONSOLIDADO_TOTAL RECAUDO'!Z108</x:f>
        <x:v>-128990446</x:v>
      </x:c>
      <x:c r="AA13" s="256">
        <x:f>'CONSOLIDADO_TOTAL RECAUDO'!AA108</x:f>
        <x:v>0</x:v>
      </x:c>
      <x:c r="AB13" s="230">
        <x:f>'CONSOLIDADO_TOTAL RECAUDO'!AB108</x:f>
        <x:v>0</x:v>
      </x:c>
      <x:c r="AC13" s="256">
        <x:f>'CONSOLIDADO_TOTAL RECAUDO'!AC108</x:f>
        <x:v>0</x:v>
      </x:c>
      <x:c r="AD13" s="227">
        <x:f>'CONSOLIDADO_TOTAL RECAUDO'!AD108</x:f>
        <x:v>0</x:v>
      </x:c>
      <x:c r="AE13" s="227">
        <x:f>'CONSOLIDADO_TOTAL RECAUDO'!AE108</x:f>
        <x:v>0</x:v>
      </x:c>
      <x:c r="AF13" s="258">
        <x:f>'CONSOLIDADO_TOTAL RECAUDO'!AF108</x:f>
        <x:v>-128990446</x:v>
      </x:c>
      <x:c r="AG13" s="441">
        <x:f>'CONSOLIDADO_TOTAL RECAUDO'!AG108</x:f>
        <x:v>0</x:v>
      </x:c>
      <x:c r="AH13" s="1" t="s">
        <x:v>1</x:v>
      </x:c>
      <x:c r="AI13" s="242"/>
      <x:c r="AM13" s="269"/>
    </x:row>
    <x:row r="14" spans="2:39" s="241" customFormat="1" ht="13.5" thickBot="1" x14ac:dyDescent="0.25">
      <x:c r="B14" s="263"/>
      <x:c r="C14" s="264" t="s">
        <x:v>2</x:v>
      </x:c>
      <x:c r="D14" s="226">
        <x:f>'CONSOLIDADO_TOTAL RECAUDO'!D109</x:f>
        <x:v>0</x:v>
      </x:c>
      <x:c r="E14" s="226">
        <x:f>'CONSOLIDADO_TOTAL RECAUDO'!E109</x:f>
        <x:v>0</x:v>
      </x:c>
      <x:c r="F14" s="226">
        <x:f>'CONSOLIDADO_TOTAL RECAUDO'!F109</x:f>
        <x:v>0</x:v>
      </x:c>
      <x:c r="G14" s="226">
        <x:f>'CONSOLIDADO_TOTAL RECAUDO'!G109</x:f>
        <x:v>0</x:v>
      </x:c>
      <x:c r="H14" s="226">
        <x:f>'CONSOLIDADO_TOTAL RECAUDO'!H109</x:f>
        <x:v>0</x:v>
      </x:c>
      <x:c r="I14" s="226">
        <x:f>'CONSOLIDADO_TOTAL RECAUDO'!I109</x:f>
        <x:v>0</x:v>
      </x:c>
      <x:c r="J14" s="226">
        <x:f>'CONSOLIDADO_TOTAL RECAUDO'!J109</x:f>
        <x:v>0</x:v>
      </x:c>
      <x:c r="K14" s="236">
        <x:f>'CONSOLIDADO_TOTAL RECAUDO'!K109</x:f>
        <x:v>0</x:v>
      </x:c>
      <x:c r="L14" s="237">
        <x:f>'CONSOLIDADO_TOTAL RECAUDO'!L109</x:f>
        <x:v>859936309</x:v>
      </x:c>
      <x:c r="M14" s="238">
        <x:f>'CONSOLIDADO_TOTAL RECAUDO'!M109</x:f>
        <x:v>-859936309</x:v>
      </x:c>
      <x:c r="N14" s="237">
        <x:f>'CONSOLIDADO_TOTAL RECAUDO'!N109</x:f>
        <x:v>0</x:v>
      </x:c>
      <x:c r="O14" s="238">
        <x:f>'CONSOLIDADO_TOTAL RECAUDO'!O109</x:f>
        <x:v>-859936309</x:v>
      </x:c>
      <x:c r="P14" s="265"/>
      <x:c r="Q14" s="242"/>
      <x:c r="S14" s="263"/>
      <x:c r="T14" s="264" t="s">
        <x:v>2</x:v>
      </x:c>
      <x:c r="U14" s="266">
        <x:f>'CONSOLIDADO_TOTAL RECAUDO'!U109</x:f>
        <x:v>0</x:v>
      </x:c>
      <x:c r="V14" s="266">
        <x:f>'CONSOLIDADO_TOTAL RECAUDO'!V109</x:f>
        <x:v>0</x:v>
      </x:c>
      <x:c r="W14" s="266">
        <x:f>'CONSOLIDADO_TOTAL RECAUDO'!W109</x:f>
        <x:v>0</x:v>
      </x:c>
      <x:c r="X14" s="266">
        <x:f>'CONSOLIDADO_TOTAL RECAUDO'!X109</x:f>
        <x:v>0</x:v>
      </x:c>
      <x:c r="Y14" s="266">
        <x:f>'CONSOLIDADO_TOTAL RECAUDO'!Y109</x:f>
        <x:v>0</x:v>
      </x:c>
      <x:c r="Z14" s="226">
        <x:f>'CONSOLIDADO_TOTAL RECAUDO'!Z109</x:f>
        <x:v>-859936309</x:v>
      </x:c>
      <x:c r="AA14" s="226">
        <x:f>'CONSOLIDADO_TOTAL RECAUDO'!AA109</x:f>
        <x:v>0</x:v>
      </x:c>
      <x:c r="AB14" s="226">
        <x:f>'CONSOLIDADO_TOTAL RECAUDO'!AB109</x:f>
        <x:v>0</x:v>
      </x:c>
      <x:c r="AC14" s="226">
        <x:f>'CONSOLIDADO_TOTAL RECAUDO'!AC109</x:f>
        <x:v>0</x:v>
      </x:c>
      <x:c r="AD14" s="226">
        <x:f>'CONSOLIDADO_TOTAL RECAUDO'!AD109</x:f>
        <x:v>0</x:v>
      </x:c>
      <x:c r="AE14" s="226">
        <x:f>'CONSOLIDADO_TOTAL RECAUDO'!AE109</x:f>
        <x:v>0</x:v>
      </x:c>
      <x:c r="AF14" s="267">
        <x:f>'CONSOLIDADO_TOTAL RECAUDO'!AF109</x:f>
        <x:v>-859936309</x:v>
      </x:c>
      <x:c r="AG14" s="442">
        <x:f>'CONSOLIDADO_TOTAL RECAUDO'!AG109</x:f>
        <x:v>0</x:v>
      </x:c>
      <x:c r="AH14" s="1" t="s">
        <x:v>1</x:v>
      </x:c>
      <x:c r="AI14" s="242"/>
      <x:c r="AM14" s="269"/>
    </x:row>
    <x:row r="15" spans="2:39" x14ac:dyDescent="0.2">
      <x:c r="B15" s="2"/>
      <x:c r="C15" s="2"/>
      <x:c r="D15" s="374"/>
      <x:c r="E15" s="374"/>
      <x:c r="F15" s="374"/>
      <x:c r="G15" s="374"/>
      <x:c r="H15" s="374"/>
      <x:c r="I15" s="374"/>
      <x:c r="K15" s="374"/>
      <x:c r="L15" s="374"/>
      <x:c r="M15" s="374"/>
      <x:c r="N15" s="374"/>
      <x:c r="O15" s="374"/>
      <x:c r="Q15" s="4"/>
      <x:c r="S15" s="2"/>
      <x:c r="T15" s="2"/>
      <x:c r="U15" s="374"/>
      <x:c r="V15" s="374"/>
      <x:c r="W15" s="374"/>
      <x:c r="X15" s="374"/>
      <x:c r="Y15" s="374"/>
      <x:c r="AF15" s="374"/>
      <x:c r="AH15" s="1" t="s">
        <x:v>1</x:v>
      </x:c>
      <x:c r="AI15" s="4"/>
    </x:row>
    <x:row r="16" spans="2:39" x14ac:dyDescent="0.2">
      <x:c r="B16" s="2"/>
      <x:c r="C16" s="2" t="s">
        <x:v>1</x:v>
      </x:c>
      <x:c r="D16" s="467"/>
      <x:c r="E16" s="467"/>
      <x:c r="F16" s="467"/>
      <x:c r="G16" s="467"/>
      <x:c r="H16" s="467"/>
      <x:c r="I16" s="467"/>
      <x:c r="K16" s="467"/>
      <x:c r="L16" s="467"/>
      <x:c r="M16" s="467"/>
      <x:c r="N16" s="467"/>
      <x:c r="O16" s="467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x14ac:dyDescent="0.2">
      <x:c r="A17" s="4"/>
      <x:c r="B17" s="34"/>
      <x:c r="C17" s="34"/>
      <x:c r="D17" s="397"/>
      <x:c r="E17" s="397"/>
      <x:c r="F17" s="397"/>
      <x:c r="G17" s="397"/>
      <x:c r="H17" s="397"/>
      <x:c r="I17" s="397"/>
      <x:c r="J17" s="4"/>
      <x:c r="K17" s="397"/>
      <x:c r="L17" s="397"/>
      <x:c r="M17" s="397"/>
      <x:c r="N17" s="397"/>
      <x:c r="O17" s="397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.75" thickBot="1" x14ac:dyDescent="0.25">
      <x:c r="Q18" s="4"/>
      <x:c r="AI18" s="4"/>
    </x:row>
    <x:row r="19" spans="1:39" x14ac:dyDescent="0.2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5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75" x14ac:dyDescent="0.25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5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75" x14ac:dyDescent="0.25">
      <x:c r="B23" s="8"/>
      <x:c r="C23" s="2"/>
      <x:c r="D23" s="9"/>
      <x:c r="F23" s="398" t="s">
        <x:v>186</x:v>
      </x:c>
      <x:c r="G23" s="398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75" thickBot="1" x14ac:dyDescent="0.25">
      <x:c r="B24" s="8"/>
      <x:c r="C24" s="2"/>
      <x:c r="D24" s="198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75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167</x:v>
      </x:c>
      <x:c r="AD25" s="114" t="s">
        <x:v>105</x:v>
      </x:c>
      <x:c r="AE25" s="114" t="s">
        <x:v>104</x:v>
      </x:c>
      <x:c r="AF25" s="39" t="s">
        <x:v>23</x:v>
      </x:c>
      <x:c r="AG25" s="13"/>
      <x:c r="AI25" s="4"/>
    </x:row>
    <x:row r="26" spans="1:39" s="241" customFormat="1" x14ac:dyDescent="0.2">
      <x:c r="B26" s="239">
        <x:v>1</x:v>
      </x:c>
      <x:c r="C26" s="240" t="s">
        <x:v>10</x:v>
      </x:c>
      <x:c r="D26" s="227">
        <x:f>'REMUNERACION Reciprocidad EAAB'!D104</x:f>
        <x:v>0</x:v>
      </x:c>
      <x:c r="E26" s="228">
        <x:f>'REMUNERACION Reciprocidad EAAB'!E104</x:f>
        <x:v>0</x:v>
      </x:c>
      <x:c r="F26" s="228">
        <x:f>'REMUNERACION Reciprocidad EAAB'!F104</x:f>
        <x:v>0</x:v>
      </x:c>
      <x:c r="G26" s="228">
        <x:f>'REMUNERACION Reciprocidad EAAB'!G104</x:f>
        <x:v>0</x:v>
      </x:c>
      <x:c r="H26" s="228">
        <x:f>'REMUNERACION Reciprocidad EAAB'!H104</x:f>
        <x:v>0</x:v>
      </x:c>
      <x:c r="I26" s="228">
        <x:f>'REMUNERACION Reciprocidad EAAB'!I104</x:f>
        <x:v>0</x:v>
      </x:c>
      <x:c r="J26" s="224">
        <x:f>'REMUNERACION Reciprocidad EAAB'!J104</x:f>
        <x:v>0</x:v>
      </x:c>
      <x:c r="K26" s="229">
        <x:f>'REMUNERACION Reciprocidad EAAB'!K104</x:f>
        <x:v>0</x:v>
      </x:c>
      <x:c r="L26" s="230">
        <x:f>'REMUNERACION Reciprocidad EAAB'!L104</x:f>
        <x:v>0</x:v>
      </x:c>
      <x:c r="M26" s="229">
        <x:f>'REMUNERACION Reciprocidad EAAB'!M104</x:f>
        <x:v>0</x:v>
      </x:c>
      <x:c r="N26" s="230">
        <x:f>'REMUNERACION Reciprocidad EAAB'!N104</x:f>
        <x:v>0</x:v>
      </x:c>
      <x:c r="O26" s="229">
        <x:f>'REMUNERACION Reciprocidad EAAB'!O104</x:f>
        <x:v>0</x:v>
      </x:c>
      <x:c r="Q26" s="242"/>
      <x:c r="S26" s="239">
        <x:v>1</x:v>
      </x:c>
      <x:c r="T26" s="240" t="s">
        <x:v>10</x:v>
      </x:c>
      <x:c r="U26" s="243">
        <x:f>'REMUNERACION Reciprocidad EAAB'!U104</x:f>
        <x:v>0</x:v>
      </x:c>
      <x:c r="V26" s="244">
        <x:f>'REMUNERACION Reciprocidad EAAB'!V104</x:f>
        <x:v>0</x:v>
      </x:c>
      <x:c r="W26" s="244">
        <x:f>'REMUNERACION Reciprocidad EAAB'!W104</x:f>
        <x:v>0</x:v>
      </x:c>
      <x:c r="X26" s="244">
        <x:f>'REMUNERACION Reciprocidad EAAB'!X104</x:f>
        <x:v>0</x:v>
      </x:c>
      <x:c r="Y26" s="245">
        <x:f>'REMUNERACION Reciprocidad EAAB'!Y104</x:f>
        <x:v>0</x:v>
      </x:c>
      <x:c r="Z26" s="246">
        <x:f>'REMUNERACION Reciprocidad EAAB'!Z104</x:f>
        <x:v>0</x:v>
      </x:c>
      <x:c r="AA26" s="247">
        <x:f>'REMUNERACION Reciprocidad EAAB'!AA104</x:f>
        <x:v>0</x:v>
      </x:c>
      <x:c r="AB26" s="230">
        <x:f>'REMUNERACION Reciprocidad EAAB'!AB104</x:f>
        <x:v>0</x:v>
      </x:c>
      <x:c r="AC26" s="247">
        <x:f>'REMUNERACION Reciprocidad EAAB'!AC104</x:f>
        <x:v>0</x:v>
      </x:c>
      <x:c r="AD26" s="227">
        <x:f>'REMUNERACION Reciprocidad EAAB'!AD104</x:f>
        <x:v>0</x:v>
      </x:c>
      <x:c r="AE26" s="227">
        <x:f>'REMUNERACION Reciprocidad EAAB'!AE104</x:f>
        <x:v>0</x:v>
      </x:c>
      <x:c r="AF26" s="249">
        <x:f>'REMUNERACION Reciprocidad EAAB'!AF104</x:f>
        <x:v>0</x:v>
      </x:c>
      <x:c r="AG26" s="439">
        <x:f>'REMUNERACION Reciprocidad EAAB'!AG104</x:f>
        <x:v>0</x:v>
      </x:c>
      <x:c r="AH26" s="1"/>
      <x:c r="AI26" s="242"/>
      <x:c r="AM26" s="269"/>
    </x:row>
    <x:row r="27" spans="1:39" s="241" customFormat="1" x14ac:dyDescent="0.2">
      <x:c r="B27" s="250">
        <x:v>2</x:v>
      </x:c>
      <x:c r="C27" s="251" t="s">
        <x:v>11</x:v>
      </x:c>
      <x:c r="D27" s="227">
        <x:f>'REMUNERACION Reciprocidad EAAB'!D105</x:f>
        <x:v>0</x:v>
      </x:c>
      <x:c r="E27" s="228">
        <x:f>'REMUNERACION Reciprocidad EAAB'!E105</x:f>
        <x:v>0</x:v>
      </x:c>
      <x:c r="F27" s="228">
        <x:f>'REMUNERACION Reciprocidad EAAB'!F105</x:f>
        <x:v>0</x:v>
      </x:c>
      <x:c r="G27" s="228">
        <x:f>'REMUNERACION Reciprocidad EAAB'!G105</x:f>
        <x:v>0</x:v>
      </x:c>
      <x:c r="H27" s="228">
        <x:f>'REMUNERACION Reciprocidad EAAB'!H105</x:f>
        <x:v>0</x:v>
      </x:c>
      <x:c r="I27" s="228">
        <x:f>'REMUNERACION Reciprocidad EAAB'!I105</x:f>
        <x:v>0</x:v>
      </x:c>
      <x:c r="J27" s="224">
        <x:f>'REMUNERACION Reciprocidad EAAB'!J105</x:f>
        <x:v>0</x:v>
      </x:c>
      <x:c r="K27" s="231">
        <x:f>'REMUNERACION Reciprocidad EAAB'!K105</x:f>
        <x:v>0</x:v>
      </x:c>
      <x:c r="L27" s="230">
        <x:f>'REMUNERACION Reciprocidad EAAB'!L105</x:f>
        <x:v>0</x:v>
      </x:c>
      <x:c r="M27" s="231">
        <x:f>'REMUNERACION Reciprocidad EAAB'!M105</x:f>
        <x:v>0</x:v>
      </x:c>
      <x:c r="N27" s="230">
        <x:f>'REMUNERACION Reciprocidad EAAB'!N105</x:f>
        <x:v>0</x:v>
      </x:c>
      <x:c r="O27" s="231">
        <x:f>'REMUNERACION Reciprocidad EAAB'!O105</x:f>
        <x:v>0</x:v>
      </x:c>
      <x:c r="Q27" s="242"/>
      <x:c r="S27" s="250">
        <x:v>2</x:v>
      </x:c>
      <x:c r="T27" s="251" t="s">
        <x:v>11</x:v>
      </x:c>
      <x:c r="U27" s="252">
        <x:f>'REMUNERACION Reciprocidad EAAB'!U105</x:f>
        <x:v>0</x:v>
      </x:c>
      <x:c r="V27" s="253">
        <x:f>'REMUNERACION Reciprocidad EAAB'!V105</x:f>
        <x:v>0</x:v>
      </x:c>
      <x:c r="W27" s="253">
        <x:f>'REMUNERACION Reciprocidad EAAB'!W105</x:f>
        <x:v>0</x:v>
      </x:c>
      <x:c r="X27" s="253">
        <x:f>'REMUNERACION Reciprocidad EAAB'!X105</x:f>
        <x:v>0</x:v>
      </x:c>
      <x:c r="Y27" s="254">
        <x:f>'REMUNERACION Reciprocidad EAAB'!Y105</x:f>
        <x:v>0</x:v>
      </x:c>
      <x:c r="Z27" s="255">
        <x:f>'REMUNERACION Reciprocidad EAAB'!Z105</x:f>
        <x:v>0</x:v>
      </x:c>
      <x:c r="AA27" s="256">
        <x:f>'REMUNERACION Reciprocidad EAAB'!AA105</x:f>
        <x:v>0</x:v>
      </x:c>
      <x:c r="AB27" s="230">
        <x:f>'REMUNERACION Reciprocidad EAAB'!AB105</x:f>
        <x:v>0</x:v>
      </x:c>
      <x:c r="AC27" s="256">
        <x:f>'REMUNERACION Reciprocidad EAAB'!AC105</x:f>
        <x:v>0</x:v>
      </x:c>
      <x:c r="AD27" s="227">
        <x:f>'REMUNERACION Reciprocidad EAAB'!AD105</x:f>
        <x:v>0</x:v>
      </x:c>
      <x:c r="AE27" s="227">
        <x:f>'REMUNERACION Reciprocidad EAAB'!AE105</x:f>
        <x:v>0</x:v>
      </x:c>
      <x:c r="AF27" s="258">
        <x:f>'REMUNERACION Reciprocidad EAAB'!AF105</x:f>
        <x:v>0</x:v>
      </x:c>
      <x:c r="AG27" s="440">
        <x:f>'REMUNERACION Reciprocidad EAAB'!AG105</x:f>
        <x:v>0</x:v>
      </x:c>
      <x:c r="AH27" s="1"/>
      <x:c r="AI27" s="242"/>
      <x:c r="AM27" s="269"/>
    </x:row>
    <x:row r="28" spans="1:39" s="241" customFormat="1" x14ac:dyDescent="0.2">
      <x:c r="B28" s="250">
        <x:v>3</x:v>
      </x:c>
      <x:c r="C28" s="251" t="s">
        <x:v>12</x:v>
      </x:c>
      <x:c r="D28" s="227">
        <x:f>'REMUNERACION Reciprocidad EAAB'!D106</x:f>
        <x:v>0</x:v>
      </x:c>
      <x:c r="E28" s="228">
        <x:f>'REMUNERACION Reciprocidad EAAB'!E106</x:f>
        <x:v>0</x:v>
      </x:c>
      <x:c r="F28" s="228">
        <x:f>'REMUNERACION Reciprocidad EAAB'!F106</x:f>
        <x:v>0</x:v>
      </x:c>
      <x:c r="G28" s="228">
        <x:f>'REMUNERACION Reciprocidad EAAB'!G106</x:f>
        <x:v>0</x:v>
      </x:c>
      <x:c r="H28" s="228">
        <x:f>'REMUNERACION Reciprocidad EAAB'!H106</x:f>
        <x:v>0</x:v>
      </x:c>
      <x:c r="I28" s="228">
        <x:f>'REMUNERACION Reciprocidad EAAB'!I106</x:f>
        <x:v>0</x:v>
      </x:c>
      <x:c r="J28" s="224">
        <x:f>'REMUNERACION Reciprocidad EAAB'!J106</x:f>
        <x:v>0</x:v>
      </x:c>
      <x:c r="K28" s="231">
        <x:f>'REMUNERACION Reciprocidad EAAB'!K106</x:f>
        <x:v>0</x:v>
      </x:c>
      <x:c r="L28" s="230">
        <x:f>'REMUNERACION Reciprocidad EAAB'!L106</x:f>
        <x:v>0</x:v>
      </x:c>
      <x:c r="M28" s="231">
        <x:f>'REMUNERACION Reciprocidad EAAB'!M106</x:f>
        <x:v>0</x:v>
      </x:c>
      <x:c r="N28" s="230">
        <x:f>'REMUNERACION Reciprocidad EAAB'!N106</x:f>
        <x:v>0</x:v>
      </x:c>
      <x:c r="O28" s="231">
        <x:f>'REMUNERACION Reciprocidad EAAB'!O106</x:f>
        <x:v>0</x:v>
      </x:c>
      <x:c r="Q28" s="242"/>
      <x:c r="S28" s="250">
        <x:v>3</x:v>
      </x:c>
      <x:c r="T28" s="251" t="s">
        <x:v>12</x:v>
      </x:c>
      <x:c r="U28" s="252">
        <x:f>'REMUNERACION Reciprocidad EAAB'!U106</x:f>
        <x:v>0</x:v>
      </x:c>
      <x:c r="V28" s="253">
        <x:f>'REMUNERACION Reciprocidad EAAB'!V106</x:f>
        <x:v>0</x:v>
      </x:c>
      <x:c r="W28" s="253">
        <x:f>'REMUNERACION Reciprocidad EAAB'!W106</x:f>
        <x:v>0</x:v>
      </x:c>
      <x:c r="X28" s="253">
        <x:f>'REMUNERACION Reciprocidad EAAB'!X106</x:f>
        <x:v>0</x:v>
      </x:c>
      <x:c r="Y28" s="254">
        <x:f>'REMUNERACION Reciprocidad EAAB'!Y106</x:f>
        <x:v>0</x:v>
      </x:c>
      <x:c r="Z28" s="255">
        <x:f>'REMUNERACION Reciprocidad EAAB'!Z106</x:f>
        <x:v>0</x:v>
      </x:c>
      <x:c r="AA28" s="256">
        <x:f>'REMUNERACION Reciprocidad EAAB'!AA106</x:f>
        <x:v>0</x:v>
      </x:c>
      <x:c r="AB28" s="230">
        <x:f>'REMUNERACION Reciprocidad EAAB'!AB106</x:f>
        <x:v>0</x:v>
      </x:c>
      <x:c r="AC28" s="256">
        <x:f>'REMUNERACION Reciprocidad EAAB'!AC106</x:f>
        <x:v>0</x:v>
      </x:c>
      <x:c r="AD28" s="227">
        <x:f>'REMUNERACION Reciprocidad EAAB'!AD106</x:f>
        <x:v>0</x:v>
      </x:c>
      <x:c r="AE28" s="227">
        <x:f>'REMUNERACION Reciprocidad EAAB'!AE106</x:f>
        <x:v>0</x:v>
      </x:c>
      <x:c r="AF28" s="258">
        <x:f>'REMUNERACION Reciprocidad EAAB'!AF106</x:f>
        <x:v>0</x:v>
      </x:c>
      <x:c r="AG28" s="440">
        <x:f>'REMUNERACION Reciprocidad EAAB'!AG106</x:f>
        <x:v>0</x:v>
      </x:c>
      <x:c r="AH28" s="1"/>
      <x:c r="AI28" s="242"/>
      <x:c r="AM28" s="269"/>
    </x:row>
    <x:row r="29" spans="1:39" s="241" customFormat="1" x14ac:dyDescent="0.2">
      <x:c r="B29" s="250">
        <x:v>4</x:v>
      </x:c>
      <x:c r="C29" s="251" t="s">
        <x:v>13</x:v>
      </x:c>
      <x:c r="D29" s="227">
        <x:f>'REMUNERACION Reciprocidad EAAB'!D107</x:f>
        <x:v>0</x:v>
      </x:c>
      <x:c r="E29" s="228">
        <x:f>'REMUNERACION Reciprocidad EAAB'!E107</x:f>
        <x:v>0</x:v>
      </x:c>
      <x:c r="F29" s="228">
        <x:f>'REMUNERACION Reciprocidad EAAB'!F107</x:f>
        <x:v>0</x:v>
      </x:c>
      <x:c r="G29" s="228">
        <x:f>'REMUNERACION Reciprocidad EAAB'!G107</x:f>
        <x:v>0</x:v>
      </x:c>
      <x:c r="H29" s="228">
        <x:f>'REMUNERACION Reciprocidad EAAB'!H107</x:f>
        <x:v>0</x:v>
      </x:c>
      <x:c r="I29" s="228">
        <x:f>'REMUNERACION Reciprocidad EAAB'!I107</x:f>
        <x:v>0</x:v>
      </x:c>
      <x:c r="J29" s="224">
        <x:f>'REMUNERACION Reciprocidad EAAB'!J107</x:f>
        <x:v>0</x:v>
      </x:c>
      <x:c r="K29" s="231">
        <x:f>'REMUNERACION Reciprocidad EAAB'!K107</x:f>
        <x:v>0</x:v>
      </x:c>
      <x:c r="L29" s="230">
        <x:f>'REMUNERACION Reciprocidad EAAB'!L107</x:f>
        <x:v>0</x:v>
      </x:c>
      <x:c r="M29" s="231">
        <x:f>'REMUNERACION Reciprocidad EAAB'!M107</x:f>
        <x:v>0</x:v>
      </x:c>
      <x:c r="N29" s="230">
        <x:f>'REMUNERACION Reciprocidad EAAB'!N107</x:f>
        <x:v>0</x:v>
      </x:c>
      <x:c r="O29" s="231">
        <x:f>'REMUNERACION Reciprocidad EAAB'!O107</x:f>
        <x:v>0</x:v>
      </x:c>
      <x:c r="Q29" s="242"/>
      <x:c r="S29" s="250">
        <x:v>4</x:v>
      </x:c>
      <x:c r="T29" s="251" t="s">
        <x:v>13</x:v>
      </x:c>
      <x:c r="U29" s="252">
        <x:f>'REMUNERACION Reciprocidad EAAB'!U107</x:f>
        <x:v>0</x:v>
      </x:c>
      <x:c r="V29" s="253">
        <x:f>'REMUNERACION Reciprocidad EAAB'!V107</x:f>
        <x:v>0</x:v>
      </x:c>
      <x:c r="W29" s="253">
        <x:f>'REMUNERACION Reciprocidad EAAB'!W107</x:f>
        <x:v>0</x:v>
      </x:c>
      <x:c r="X29" s="253">
        <x:f>'REMUNERACION Reciprocidad EAAB'!X107</x:f>
        <x:v>0</x:v>
      </x:c>
      <x:c r="Y29" s="254">
        <x:f>'REMUNERACION Reciprocidad EAAB'!Y107</x:f>
        <x:v>0</x:v>
      </x:c>
      <x:c r="Z29" s="255">
        <x:f>'REMUNERACION Reciprocidad EAAB'!Z107</x:f>
        <x:v>0</x:v>
      </x:c>
      <x:c r="AA29" s="256">
        <x:f>'REMUNERACION Reciprocidad EAAB'!AA107</x:f>
        <x:v>0</x:v>
      </x:c>
      <x:c r="AB29" s="230">
        <x:f>'REMUNERACION Reciprocidad EAAB'!AB107</x:f>
        <x:v>0</x:v>
      </x:c>
      <x:c r="AC29" s="256">
        <x:f>'REMUNERACION Reciprocidad EAAB'!AC107</x:f>
        <x:v>0</x:v>
      </x:c>
      <x:c r="AD29" s="227">
        <x:f>'REMUNERACION Reciprocidad EAAB'!AD107</x:f>
        <x:v>0</x:v>
      </x:c>
      <x:c r="AE29" s="227">
        <x:f>'REMUNERACION Reciprocidad EAAB'!AE107</x:f>
        <x:v>0</x:v>
      </x:c>
      <x:c r="AF29" s="258">
        <x:f>'REMUNERACION Reciprocidad EAAB'!AF107</x:f>
        <x:v>0</x:v>
      </x:c>
      <x:c r="AG29" s="440">
        <x:f>'REMUNERACION Reciprocidad EAAB'!AG107</x:f>
        <x:v>0</x:v>
      </x:c>
      <x:c r="AH29" s="1"/>
      <x:c r="AI29" s="242"/>
      <x:c r="AM29" s="269"/>
    </x:row>
    <x:row r="30" spans="1:39" s="241" customFormat="1" ht="12.75" thickBot="1" x14ac:dyDescent="0.25">
      <x:c r="B30" s="260">
        <x:v>5</x:v>
      </x:c>
      <x:c r="C30" s="261" t="s">
        <x:v>14</x:v>
      </x:c>
      <x:c r="D30" s="232">
        <x:f>'REMUNERACION Reciprocidad EAAB'!D108</x:f>
        <x:v>0</x:v>
      </x:c>
      <x:c r="E30" s="233">
        <x:f>'REMUNERACION Reciprocidad EAAB'!E108</x:f>
        <x:v>0</x:v>
      </x:c>
      <x:c r="F30" s="233">
        <x:f>'REMUNERACION Reciprocidad EAAB'!F108</x:f>
        <x:v>0</x:v>
      </x:c>
      <x:c r="G30" s="233">
        <x:f>'REMUNERACION Reciprocidad EAAB'!G108</x:f>
        <x:v>0</x:v>
      </x:c>
      <x:c r="H30" s="233">
        <x:f>'REMUNERACION Reciprocidad EAAB'!H108</x:f>
        <x:v>0</x:v>
      </x:c>
      <x:c r="I30" s="233">
        <x:f>'REMUNERACION Reciprocidad EAAB'!I108</x:f>
        <x:v>0</x:v>
      </x:c>
      <x:c r="J30" s="225">
        <x:f>'REMUNERACION Reciprocidad EAAB'!J108</x:f>
        <x:v>0</x:v>
      </x:c>
      <x:c r="K30" s="231">
        <x:f>'REMUNERACION Reciprocidad EAAB'!K108</x:f>
        <x:v>0</x:v>
      </x:c>
      <x:c r="L30" s="230">
        <x:f>'REMUNERACION Reciprocidad EAAB'!L108</x:f>
        <x:v>0</x:v>
      </x:c>
      <x:c r="M30" s="234">
        <x:f>'REMUNERACION Reciprocidad EAAB'!M108</x:f>
        <x:v>0</x:v>
      </x:c>
      <x:c r="N30" s="235">
        <x:f>'REMUNERACION Reciprocidad EAAB'!N108</x:f>
        <x:v>0</x:v>
      </x:c>
      <x:c r="O30" s="234">
        <x:f>'REMUNERACION Reciprocidad EAAB'!O108</x:f>
        <x:v>0</x:v>
      </x:c>
      <x:c r="Q30" s="242"/>
      <x:c r="S30" s="260">
        <x:v>5</x:v>
      </x:c>
      <x:c r="T30" s="261" t="s">
        <x:v>14</x:v>
      </x:c>
      <x:c r="U30" s="232">
        <x:f>'REMUNERACION Reciprocidad EAAB'!U108</x:f>
        <x:v>0</x:v>
      </x:c>
      <x:c r="V30" s="233">
        <x:f>'REMUNERACION Reciprocidad EAAB'!V108</x:f>
        <x:v>0</x:v>
      </x:c>
      <x:c r="W30" s="233">
        <x:f>'REMUNERACION Reciprocidad EAAB'!W108</x:f>
        <x:v>0</x:v>
      </x:c>
      <x:c r="X30" s="233">
        <x:f>'REMUNERACION Reciprocidad EAAB'!X108</x:f>
        <x:v>0</x:v>
      </x:c>
      <x:c r="Y30" s="225">
        <x:f>'REMUNERACION Reciprocidad EAAB'!Y108</x:f>
        <x:v>0</x:v>
      </x:c>
      <x:c r="Z30" s="255">
        <x:f>'REMUNERACION Reciprocidad EAAB'!Z108</x:f>
        <x:v>0</x:v>
      </x:c>
      <x:c r="AA30" s="256">
        <x:f>'REMUNERACION Reciprocidad EAAB'!AA108</x:f>
        <x:v>0</x:v>
      </x:c>
      <x:c r="AB30" s="230">
        <x:f>'REMUNERACION Reciprocidad EAAB'!AB108</x:f>
        <x:v>0</x:v>
      </x:c>
      <x:c r="AC30" s="256">
        <x:f>'REMUNERACION Reciprocidad EAAB'!AC108</x:f>
        <x:v>0</x:v>
      </x:c>
      <x:c r="AD30" s="227">
        <x:f>'REMUNERACION Reciprocidad EAAB'!AD108</x:f>
        <x:v>0</x:v>
      </x:c>
      <x:c r="AE30" s="227">
        <x:f>'REMUNERACION Reciprocidad EAAB'!AE108</x:f>
        <x:v>0</x:v>
      </x:c>
      <x:c r="AF30" s="258">
        <x:f>'REMUNERACION Reciprocidad EAAB'!AF108</x:f>
        <x:v>0</x:v>
      </x:c>
      <x:c r="AG30" s="441">
        <x:f>'REMUNERACION Reciprocidad EAAB'!AG108</x:f>
        <x:v>0</x:v>
      </x:c>
      <x:c r="AH30" s="1"/>
      <x:c r="AI30" s="242"/>
      <x:c r="AM30" s="269"/>
    </x:row>
    <x:row r="31" spans="1:39" s="241" customFormat="1" ht="13.5" thickBot="1" x14ac:dyDescent="0.25">
      <x:c r="B31" s="263"/>
      <x:c r="C31" s="264" t="s">
        <x:v>2</x:v>
      </x:c>
      <x:c r="D31" s="226">
        <x:f>'REMUNERACION Reciprocidad EAAB'!D109</x:f>
        <x:v>0</x:v>
      </x:c>
      <x:c r="E31" s="226">
        <x:f>'REMUNERACION Reciprocidad EAAB'!E109</x:f>
        <x:v>0</x:v>
      </x:c>
      <x:c r="F31" s="226">
        <x:f>'REMUNERACION Reciprocidad EAAB'!F109</x:f>
        <x:v>0</x:v>
      </x:c>
      <x:c r="G31" s="226">
        <x:f>'REMUNERACION Reciprocidad EAAB'!G109</x:f>
        <x:v>0</x:v>
      </x:c>
      <x:c r="H31" s="226">
        <x:f>'REMUNERACION Reciprocidad EAAB'!H109</x:f>
        <x:v>0</x:v>
      </x:c>
      <x:c r="I31" s="226">
        <x:f>'REMUNERACION Reciprocidad EAAB'!I109</x:f>
        <x:v>0</x:v>
      </x:c>
      <x:c r="J31" s="226">
        <x:f>'REMUNERACION Reciprocidad EAAB'!J109</x:f>
        <x:v>0</x:v>
      </x:c>
      <x:c r="K31" s="236">
        <x:f>'REMUNERACION Reciprocidad EAAB'!K109</x:f>
        <x:v>0</x:v>
      </x:c>
      <x:c r="L31" s="237">
        <x:f>'REMUNERACION Reciprocidad EAAB'!L109</x:f>
        <x:v>0</x:v>
      </x:c>
      <x:c r="M31" s="238">
        <x:f>'REMUNERACION Reciprocidad EAAB'!M109</x:f>
        <x:v>0</x:v>
      </x:c>
      <x:c r="N31" s="237">
        <x:f>'REMUNERACION Reciprocidad EAAB'!N109</x:f>
        <x:v>0</x:v>
      </x:c>
      <x:c r="O31" s="238">
        <x:f>'REMUNERACION Reciprocidad EAAB'!O109</x:f>
        <x:v>0</x:v>
      </x:c>
      <x:c r="P31" s="265"/>
      <x:c r="Q31" s="242"/>
      <x:c r="S31" s="263"/>
      <x:c r="T31" s="264" t="s">
        <x:v>2</x:v>
      </x:c>
      <x:c r="U31" s="266">
        <x:f>'REMUNERACION Reciprocidad EAAB'!U109</x:f>
        <x:v>0</x:v>
      </x:c>
      <x:c r="V31" s="266">
        <x:f>'REMUNERACION Reciprocidad EAAB'!V109</x:f>
        <x:v>0</x:v>
      </x:c>
      <x:c r="W31" s="266">
        <x:f>'REMUNERACION Reciprocidad EAAB'!W109</x:f>
        <x:v>0</x:v>
      </x:c>
      <x:c r="X31" s="266">
        <x:f>'REMUNERACION Reciprocidad EAAB'!X109</x:f>
        <x:v>0</x:v>
      </x:c>
      <x:c r="Y31" s="266">
        <x:f>'REMUNERACION Reciprocidad EAAB'!Y109</x:f>
        <x:v>0</x:v>
      </x:c>
      <x:c r="Z31" s="226">
        <x:f>'REMUNERACION Reciprocidad EAAB'!Z109</x:f>
        <x:v>0</x:v>
      </x:c>
      <x:c r="AA31" s="226">
        <x:f>'REMUNERACION Reciprocidad EAAB'!AA109</x:f>
        <x:v>0</x:v>
      </x:c>
      <x:c r="AB31" s="226">
        <x:f>'REMUNERACION Reciprocidad EAAB'!AB109</x:f>
        <x:v>0</x:v>
      </x:c>
      <x:c r="AC31" s="226">
        <x:f>'REMUNERACION Reciprocidad EAAB'!AC109</x:f>
        <x:v>0</x:v>
      </x:c>
      <x:c r="AD31" s="226">
        <x:f>'REMUNERACION Reciprocidad EAAB'!AD109</x:f>
        <x:v>0</x:v>
      </x:c>
      <x:c r="AE31" s="226">
        <x:f>'REMUNERACION Reciprocidad EAAB'!AE109</x:f>
        <x:v>0</x:v>
      </x:c>
      <x:c r="AF31" s="267">
        <x:f>'REMUNERACION Reciprocidad EAAB'!AF109</x:f>
        <x:v>0</x:v>
      </x:c>
      <x:c r="AG31" s="442">
        <x:f>'REMUNERACION Reciprocidad EAAB'!AG109</x:f>
        <x:v>0</x:v>
      </x:c>
      <x:c r="AH31" s="1"/>
      <x:c r="AI31" s="242"/>
      <x:c r="AM31" s="269"/>
    </x:row>
    <x:row r="32" spans="1:39" x14ac:dyDescent="0.2">
      <x:c r="B32" s="2"/>
      <x:c r="C32" s="2"/>
      <x:c r="D32" s="374"/>
      <x:c r="E32" s="374"/>
      <x:c r="F32" s="374"/>
      <x:c r="G32" s="374"/>
      <x:c r="H32" s="374"/>
      <x:c r="I32" s="374"/>
      <x:c r="K32" s="374"/>
      <x:c r="L32" s="374"/>
      <x:c r="M32" s="374"/>
      <x:c r="N32" s="374"/>
      <x:c r="O32" s="374"/>
      <x:c r="Q32" s="4"/>
      <x:c r="S32" s="2"/>
      <x:c r="T32" s="2"/>
      <x:c r="U32" s="374"/>
      <x:c r="V32" s="374"/>
      <x:c r="W32" s="374"/>
      <x:c r="X32" s="374"/>
      <x:c r="Y32" s="374"/>
      <x:c r="AF32" s="374"/>
      <x:c r="AI32" s="4"/>
    </x:row>
    <x:row r="33" spans="1:39" x14ac:dyDescent="0.2">
      <x:c r="B33" s="2"/>
      <x:c r="C33" s="2"/>
      <x:c r="D33" s="467"/>
      <x:c r="E33" s="467"/>
      <x:c r="F33" s="467"/>
      <x:c r="G33" s="467"/>
      <x:c r="H33" s="467"/>
      <x:c r="I33" s="467"/>
      <x:c r="K33" s="467"/>
      <x:c r="L33" s="467"/>
      <x:c r="M33" s="467"/>
      <x:c r="N33" s="467"/>
      <x:c r="O33" s="467"/>
      <x:c r="Q33" s="4"/>
      <x:c r="AI33" s="4"/>
    </x:row>
    <x:row r="34" spans="1:39" x14ac:dyDescent="0.2">
      <x:c r="A34" s="4"/>
      <x:c r="B34" s="34"/>
      <x:c r="C34" s="34"/>
      <x:c r="D34" s="397"/>
      <x:c r="E34" s="397"/>
      <x:c r="F34" s="397"/>
      <x:c r="G34" s="397"/>
      <x:c r="H34" s="397"/>
      <x:c r="I34" s="397"/>
      <x:c r="J34" s="4"/>
      <x:c r="K34" s="397"/>
      <x:c r="L34" s="397"/>
      <x:c r="M34" s="397"/>
      <x:c r="N34" s="397"/>
      <x:c r="O34" s="397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.75" thickBot="1" x14ac:dyDescent="0.25">
      <x:c r="Q35" s="4"/>
      <x:c r="AI35" s="4"/>
    </x:row>
    <x:row r="36" spans="1:39" x14ac:dyDescent="0.2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5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75" x14ac:dyDescent="0.25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5" x14ac:dyDescent="0.25">
      <x:c r="B39" s="8"/>
      <x:c r="F39" s="2" t="s">
        <x:v>30</x:v>
      </x:c>
      <x:c r="G39" s="2"/>
      <x:c r="L39" s="90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75" x14ac:dyDescent="0.25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0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8" thickBot="1" x14ac:dyDescent="0.35">
      <x:c r="B41" s="8"/>
      <x:c r="C41" s="2"/>
      <x:c r="D41" s="198"/>
      <x:c r="F41" s="2"/>
      <x:c r="G41" s="9"/>
      <x:c r="J41" s="2"/>
      <x:c r="K41" s="9"/>
      <x:c r="L41" s="91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05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46" t="s">
        <x:v>39</x:v>
      </x:c>
      <x:c r="V42" s="147" t="s">
        <x:v>40</x:v>
      </x:c>
      <x:c r="W42" s="147" t="s">
        <x:v>41</x:v>
      </x:c>
      <x:c r="X42" s="147" t="s">
        <x:v>42</x:v>
      </x:c>
      <x:c r="Y42" s="148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167</x:v>
      </x:c>
      <x:c r="AD42" s="114" t="s">
        <x:v>105</x:v>
      </x:c>
      <x:c r="AE42" s="114" t="s">
        <x:v>104</x:v>
      </x:c>
      <x:c r="AF42" s="39" t="s">
        <x:v>23</x:v>
      </x:c>
      <x:c r="AG42" s="13"/>
      <x:c r="AI42" s="4"/>
    </x:row>
    <x:row r="43" spans="1:39" s="241" customFormat="1" x14ac:dyDescent="0.2">
      <x:c r="B43" s="239">
        <x:v>1</x:v>
      </x:c>
      <x:c r="C43" s="240" t="s">
        <x:v>10</x:v>
      </x:c>
      <x:c r="D43" s="227">
        <x:f>REMUNERACION_ENEL!D104</x:f>
        <x:v>0</x:v>
      </x:c>
      <x:c r="E43" s="228">
        <x:f>REMUNERACION_ENEL!E104</x:f>
        <x:v>0</x:v>
      </x:c>
      <x:c r="F43" s="228">
        <x:f>REMUNERACION_ENEL!F104</x:f>
        <x:v>0</x:v>
      </x:c>
      <x:c r="G43" s="228">
        <x:f>REMUNERACION_ENEL!G104</x:f>
        <x:v>0</x:v>
      </x:c>
      <x:c r="H43" s="228">
        <x:f>REMUNERACION_ENEL!H104</x:f>
        <x:v>0</x:v>
      </x:c>
      <x:c r="I43" s="228">
        <x:f>REMUNERACION_ENEL!I104</x:f>
        <x:v>0</x:v>
      </x:c>
      <x:c r="J43" s="224">
        <x:f>REMUNERACION_ENEL!J104</x:f>
        <x:v>0</x:v>
      </x:c>
      <x:c r="K43" s="229">
        <x:f>REMUNERACION_ENEL!K104</x:f>
        <x:v>0</x:v>
      </x:c>
      <x:c r="L43" s="230">
        <x:f>REMUNERACION_ENEL!L104</x:f>
        <x:v>189185988</x:v>
      </x:c>
      <x:c r="M43" s="229">
        <x:f>REMUNERACION_ENEL!M104</x:f>
        <x:v>-189185988</x:v>
      </x:c>
      <x:c r="N43" s="230">
        <x:f>REMUNERACION_ENEL!N104</x:f>
        <x:v>0</x:v>
      </x:c>
      <x:c r="O43" s="229">
        <x:f>REMUNERACION_ENEL!O104</x:f>
        <x:v>-189185988</x:v>
      </x:c>
      <x:c r="Q43" s="242"/>
      <x:c r="S43" s="239">
        <x:v>1</x:v>
      </x:c>
      <x:c r="T43" s="240" t="s">
        <x:v>10</x:v>
      </x:c>
      <x:c r="U43" s="243">
        <x:f>REMUNERACION_ENEL!U104</x:f>
        <x:v>0</x:v>
      </x:c>
      <x:c r="V43" s="244">
        <x:f>REMUNERACION_ENEL!V104</x:f>
        <x:v>0</x:v>
      </x:c>
      <x:c r="W43" s="244">
        <x:f>REMUNERACION_ENEL!W104</x:f>
        <x:v>0</x:v>
      </x:c>
      <x:c r="X43" s="244">
        <x:f>REMUNERACION_ENEL!X104</x:f>
        <x:v>0</x:v>
      </x:c>
      <x:c r="Y43" s="245">
        <x:f>REMUNERACION_ENEL!Y104</x:f>
        <x:v>0</x:v>
      </x:c>
      <x:c r="Z43" s="246">
        <x:f>REMUNERACION_ENEL!Z104</x:f>
        <x:v>-189185988</x:v>
      </x:c>
      <x:c r="AA43" s="247">
        <x:f>REMUNERACION_ENEL!AA104</x:f>
        <x:v>0</x:v>
      </x:c>
      <x:c r="AB43" s="230">
        <x:f>REMUNERACION_ENEL!AB104</x:f>
        <x:v>0</x:v>
      </x:c>
      <x:c r="AC43" s="247">
        <x:f>REMUNERACION_ENEL!AC104</x:f>
        <x:v>0</x:v>
      </x:c>
      <x:c r="AD43" s="227">
        <x:f>REMUNERACION_ENEL!AD104</x:f>
        <x:v>0</x:v>
      </x:c>
      <x:c r="AE43" s="227">
        <x:f>REMUNERACION_ENEL!AE104</x:f>
        <x:v>0</x:v>
      </x:c>
      <x:c r="AF43" s="249">
        <x:f>REMUNERACION_ENEL!AF104</x:f>
        <x:v>-189185988</x:v>
      </x:c>
      <x:c r="AG43" s="439">
        <x:f>REMUNERACION_ENEL!AG104</x:f>
        <x:v>0</x:v>
      </x:c>
      <x:c r="AH43" s="1"/>
      <x:c r="AI43" s="242"/>
      <x:c r="AM43" s="269"/>
    </x:row>
    <x:row r="44" spans="1:39" s="241" customFormat="1" x14ac:dyDescent="0.2">
      <x:c r="B44" s="250">
        <x:v>2</x:v>
      </x:c>
      <x:c r="C44" s="251" t="s">
        <x:v>11</x:v>
      </x:c>
      <x:c r="D44" s="227">
        <x:f>REMUNERACION_ENEL!D105</x:f>
        <x:v>0</x:v>
      </x:c>
      <x:c r="E44" s="228">
        <x:f>REMUNERACION_ENEL!E105</x:f>
        <x:v>0</x:v>
      </x:c>
      <x:c r="F44" s="228">
        <x:f>REMUNERACION_ENEL!F105</x:f>
        <x:v>0</x:v>
      </x:c>
      <x:c r="G44" s="228">
        <x:f>REMUNERACION_ENEL!G105</x:f>
        <x:v>0</x:v>
      </x:c>
      <x:c r="H44" s="228">
        <x:f>REMUNERACION_ENEL!H105</x:f>
        <x:v>0</x:v>
      </x:c>
      <x:c r="I44" s="228">
        <x:f>REMUNERACION_ENEL!I105</x:f>
        <x:v>0</x:v>
      </x:c>
      <x:c r="J44" s="224">
        <x:f>REMUNERACION_ENEL!J105</x:f>
        <x:v>0</x:v>
      </x:c>
      <x:c r="K44" s="231">
        <x:f>REMUNERACION_ENEL!K105</x:f>
        <x:v>0</x:v>
      </x:c>
      <x:c r="L44" s="230">
        <x:f>REMUNERACION_ENEL!L105</x:f>
        <x:v>266580256</x:v>
      </x:c>
      <x:c r="M44" s="231">
        <x:f>REMUNERACION_ENEL!M105</x:f>
        <x:v>-266580256</x:v>
      </x:c>
      <x:c r="N44" s="230">
        <x:f>REMUNERACION_ENEL!N105</x:f>
        <x:v>0</x:v>
      </x:c>
      <x:c r="O44" s="231">
        <x:f>REMUNERACION_ENEL!O105</x:f>
        <x:v>-266580256</x:v>
      </x:c>
      <x:c r="Q44" s="242"/>
      <x:c r="S44" s="250">
        <x:v>2</x:v>
      </x:c>
      <x:c r="T44" s="251" t="s">
        <x:v>11</x:v>
      </x:c>
      <x:c r="U44" s="252">
        <x:f>REMUNERACION_ENEL!U105</x:f>
        <x:v>0</x:v>
      </x:c>
      <x:c r="V44" s="253">
        <x:f>REMUNERACION_ENEL!V105</x:f>
        <x:v>0</x:v>
      </x:c>
      <x:c r="W44" s="253">
        <x:f>REMUNERACION_ENEL!W105</x:f>
        <x:v>0</x:v>
      </x:c>
      <x:c r="X44" s="253">
        <x:f>REMUNERACION_ENEL!X105</x:f>
        <x:v>0</x:v>
      </x:c>
      <x:c r="Y44" s="254">
        <x:f>REMUNERACION_ENEL!Y105</x:f>
        <x:v>0</x:v>
      </x:c>
      <x:c r="Z44" s="255">
        <x:f>REMUNERACION_ENEL!Z105</x:f>
        <x:v>-266580256</x:v>
      </x:c>
      <x:c r="AA44" s="256">
        <x:f>REMUNERACION_ENEL!AA105</x:f>
        <x:v>0</x:v>
      </x:c>
      <x:c r="AB44" s="230">
        <x:f>REMUNERACION_ENEL!AB105</x:f>
        <x:v>0</x:v>
      </x:c>
      <x:c r="AC44" s="256">
        <x:f>REMUNERACION_ENEL!AC105</x:f>
        <x:v>0</x:v>
      </x:c>
      <x:c r="AD44" s="227">
        <x:f>REMUNERACION_ENEL!AD105</x:f>
        <x:v>0</x:v>
      </x:c>
      <x:c r="AE44" s="227">
        <x:f>REMUNERACION_ENEL!AE105</x:f>
        <x:v>0</x:v>
      </x:c>
      <x:c r="AF44" s="258">
        <x:f>REMUNERACION_ENEL!AF105</x:f>
        <x:v>-266580256</x:v>
      </x:c>
      <x:c r="AG44" s="440">
        <x:f>REMUNERACION_ENEL!AG105</x:f>
        <x:v>0</x:v>
      </x:c>
      <x:c r="AH44" s="1"/>
      <x:c r="AI44" s="242"/>
      <x:c r="AM44" s="269"/>
    </x:row>
    <x:row r="45" spans="1:39" s="241" customFormat="1" x14ac:dyDescent="0.2">
      <x:c r="B45" s="250">
        <x:v>3</x:v>
      </x:c>
      <x:c r="C45" s="251" t="s">
        <x:v>12</x:v>
      </x:c>
      <x:c r="D45" s="227">
        <x:f>REMUNERACION_ENEL!D106</x:f>
        <x:v>0</x:v>
      </x:c>
      <x:c r="E45" s="228">
        <x:f>REMUNERACION_ENEL!E106</x:f>
        <x:v>0</x:v>
      </x:c>
      <x:c r="F45" s="228">
        <x:f>REMUNERACION_ENEL!F106</x:f>
        <x:v>0</x:v>
      </x:c>
      <x:c r="G45" s="228">
        <x:f>REMUNERACION_ENEL!G106</x:f>
        <x:v>0</x:v>
      </x:c>
      <x:c r="H45" s="228">
        <x:f>REMUNERACION_ENEL!H106</x:f>
        <x:v>0</x:v>
      </x:c>
      <x:c r="I45" s="228">
        <x:f>REMUNERACION_ENEL!I106</x:f>
        <x:v>0</x:v>
      </x:c>
      <x:c r="J45" s="224">
        <x:f>REMUNERACION_ENEL!J106</x:f>
        <x:v>0</x:v>
      </x:c>
      <x:c r="K45" s="231">
        <x:f>REMUNERACION_ENEL!K106</x:f>
        <x:v>0</x:v>
      </x:c>
      <x:c r="L45" s="230">
        <x:f>REMUNERACION_ENEL!L106</x:f>
        <x:v>154788536</x:v>
      </x:c>
      <x:c r="M45" s="231">
        <x:f>REMUNERACION_ENEL!M106</x:f>
        <x:v>-154788536</x:v>
      </x:c>
      <x:c r="N45" s="230">
        <x:f>REMUNERACION_ENEL!N106</x:f>
        <x:v>0</x:v>
      </x:c>
      <x:c r="O45" s="231">
        <x:f>REMUNERACION_ENEL!O106</x:f>
        <x:v>-154788536</x:v>
      </x:c>
      <x:c r="Q45" s="242"/>
      <x:c r="S45" s="250">
        <x:v>3</x:v>
      </x:c>
      <x:c r="T45" s="251" t="s">
        <x:v>12</x:v>
      </x:c>
      <x:c r="U45" s="252">
        <x:f>REMUNERACION_ENEL!U106</x:f>
        <x:v>0</x:v>
      </x:c>
      <x:c r="V45" s="253">
        <x:f>REMUNERACION_ENEL!V106</x:f>
        <x:v>0</x:v>
      </x:c>
      <x:c r="W45" s="253">
        <x:f>REMUNERACION_ENEL!W106</x:f>
        <x:v>0</x:v>
      </x:c>
      <x:c r="X45" s="253">
        <x:f>REMUNERACION_ENEL!X106</x:f>
        <x:v>0</x:v>
      </x:c>
      <x:c r="Y45" s="254">
        <x:f>REMUNERACION_ENEL!Y106</x:f>
        <x:v>0</x:v>
      </x:c>
      <x:c r="Z45" s="255">
        <x:f>REMUNERACION_ENEL!Z106</x:f>
        <x:v>-154788536</x:v>
      </x:c>
      <x:c r="AA45" s="256">
        <x:f>REMUNERACION_ENEL!AA106</x:f>
        <x:v>0</x:v>
      </x:c>
      <x:c r="AB45" s="230">
        <x:f>REMUNERACION_ENEL!AB106</x:f>
        <x:v>0</x:v>
      </x:c>
      <x:c r="AC45" s="256">
        <x:f>REMUNERACION_ENEL!AC106</x:f>
        <x:v>0</x:v>
      </x:c>
      <x:c r="AD45" s="227">
        <x:f>REMUNERACION_ENEL!AD106</x:f>
        <x:v>0</x:v>
      </x:c>
      <x:c r="AE45" s="227">
        <x:f>REMUNERACION_ENEL!AE106</x:f>
        <x:v>0</x:v>
      </x:c>
      <x:c r="AF45" s="258">
        <x:f>REMUNERACION_ENEL!AF106</x:f>
        <x:v>-154788536</x:v>
      </x:c>
      <x:c r="AG45" s="440">
        <x:f>REMUNERACION_ENEL!AG106</x:f>
        <x:v>0</x:v>
      </x:c>
      <x:c r="AH45" s="1"/>
      <x:c r="AI45" s="242"/>
      <x:c r="AM45" s="269"/>
    </x:row>
    <x:row r="46" spans="1:39" s="241" customFormat="1" x14ac:dyDescent="0.2">
      <x:c r="B46" s="250">
        <x:v>4</x:v>
      </x:c>
      <x:c r="C46" s="251" t="s">
        <x:v>13</x:v>
      </x:c>
      <x:c r="D46" s="227">
        <x:f>REMUNERACION_ENEL!D107</x:f>
        <x:v>0</x:v>
      </x:c>
      <x:c r="E46" s="228">
        <x:f>REMUNERACION_ENEL!E107</x:f>
        <x:v>0</x:v>
      </x:c>
      <x:c r="F46" s="228">
        <x:f>REMUNERACION_ENEL!F107</x:f>
        <x:v>0</x:v>
      </x:c>
      <x:c r="G46" s="228">
        <x:f>REMUNERACION_ENEL!G107</x:f>
        <x:v>0</x:v>
      </x:c>
      <x:c r="H46" s="228">
        <x:f>REMUNERACION_ENEL!H107</x:f>
        <x:v>0</x:v>
      </x:c>
      <x:c r="I46" s="228">
        <x:f>REMUNERACION_ENEL!I107</x:f>
        <x:v>0</x:v>
      </x:c>
      <x:c r="J46" s="224">
        <x:f>REMUNERACION_ENEL!J107</x:f>
        <x:v>0</x:v>
      </x:c>
      <x:c r="K46" s="231">
        <x:f>REMUNERACION_ENEL!K107</x:f>
        <x:v>0</x:v>
      </x:c>
      <x:c r="L46" s="230">
        <x:f>REMUNERACION_ENEL!L107</x:f>
        <x:v>120391083</x:v>
      </x:c>
      <x:c r="M46" s="231">
        <x:f>REMUNERACION_ENEL!M107</x:f>
        <x:v>-120391083</x:v>
      </x:c>
      <x:c r="N46" s="230">
        <x:f>REMUNERACION_ENEL!N107</x:f>
        <x:v>0</x:v>
      </x:c>
      <x:c r="O46" s="231">
        <x:f>REMUNERACION_ENEL!O107</x:f>
        <x:v>-120391083</x:v>
      </x:c>
      <x:c r="Q46" s="242"/>
      <x:c r="S46" s="250">
        <x:v>4</x:v>
      </x:c>
      <x:c r="T46" s="251" t="s">
        <x:v>13</x:v>
      </x:c>
      <x:c r="U46" s="252">
        <x:f>REMUNERACION_ENEL!U107</x:f>
        <x:v>0</x:v>
      </x:c>
      <x:c r="V46" s="253">
        <x:f>REMUNERACION_ENEL!V107</x:f>
        <x:v>0</x:v>
      </x:c>
      <x:c r="W46" s="253">
        <x:f>REMUNERACION_ENEL!W107</x:f>
        <x:v>0</x:v>
      </x:c>
      <x:c r="X46" s="253">
        <x:f>REMUNERACION_ENEL!X107</x:f>
        <x:v>0</x:v>
      </x:c>
      <x:c r="Y46" s="254">
        <x:f>REMUNERACION_ENEL!Y107</x:f>
        <x:v>0</x:v>
      </x:c>
      <x:c r="Z46" s="255">
        <x:f>REMUNERACION_ENEL!Z107</x:f>
        <x:v>-120391083</x:v>
      </x:c>
      <x:c r="AA46" s="256">
        <x:f>REMUNERACION_ENEL!AA107</x:f>
        <x:v>0</x:v>
      </x:c>
      <x:c r="AB46" s="230">
        <x:f>REMUNERACION_ENEL!AB107</x:f>
        <x:v>0</x:v>
      </x:c>
      <x:c r="AC46" s="256">
        <x:f>REMUNERACION_ENEL!AC107</x:f>
        <x:v>0</x:v>
      </x:c>
      <x:c r="AD46" s="227">
        <x:f>REMUNERACION_ENEL!AD107</x:f>
        <x:v>0</x:v>
      </x:c>
      <x:c r="AE46" s="227">
        <x:f>REMUNERACION_ENEL!AE107</x:f>
        <x:v>0</x:v>
      </x:c>
      <x:c r="AF46" s="258">
        <x:f>REMUNERACION_ENEL!AF107</x:f>
        <x:v>-120391083</x:v>
      </x:c>
      <x:c r="AG46" s="440">
        <x:f>REMUNERACION_ENEL!AG107</x:f>
        <x:v>0</x:v>
      </x:c>
      <x:c r="AH46" s="1"/>
      <x:c r="AI46" s="242"/>
      <x:c r="AM46" s="269"/>
    </x:row>
    <x:row r="47" spans="1:39" s="241" customFormat="1" ht="12.75" thickBot="1" x14ac:dyDescent="0.25">
      <x:c r="B47" s="260">
        <x:v>5</x:v>
      </x:c>
      <x:c r="C47" s="261" t="s">
        <x:v>14</x:v>
      </x:c>
      <x:c r="D47" s="232">
        <x:f>REMUNERACION_ENEL!D108</x:f>
        <x:v>0</x:v>
      </x:c>
      <x:c r="E47" s="233">
        <x:f>REMUNERACION_ENEL!E108</x:f>
        <x:v>0</x:v>
      </x:c>
      <x:c r="F47" s="233">
        <x:f>REMUNERACION_ENEL!F108</x:f>
        <x:v>0</x:v>
      </x:c>
      <x:c r="G47" s="233">
        <x:f>REMUNERACION_ENEL!G108</x:f>
        <x:v>0</x:v>
      </x:c>
      <x:c r="H47" s="233">
        <x:f>REMUNERACION_ENEL!H108</x:f>
        <x:v>0</x:v>
      </x:c>
      <x:c r="I47" s="233">
        <x:f>REMUNERACION_ENEL!I108</x:f>
        <x:v>0</x:v>
      </x:c>
      <x:c r="J47" s="225">
        <x:f>REMUNERACION_ENEL!J108</x:f>
        <x:v>0</x:v>
      </x:c>
      <x:c r="K47" s="231">
        <x:f>REMUNERACION_ENEL!K108</x:f>
        <x:v>0</x:v>
      </x:c>
      <x:c r="L47" s="230">
        <x:f>REMUNERACION_ENEL!L108</x:f>
        <x:v>128990446</x:v>
      </x:c>
      <x:c r="M47" s="234">
        <x:f>REMUNERACION_ENEL!M108</x:f>
        <x:v>-128990446</x:v>
      </x:c>
      <x:c r="N47" s="235">
        <x:f>REMUNERACION_ENEL!N108</x:f>
        <x:v>0</x:v>
      </x:c>
      <x:c r="O47" s="234">
        <x:f>REMUNERACION_ENEL!O108</x:f>
        <x:v>-128990446</x:v>
      </x:c>
      <x:c r="Q47" s="242"/>
      <x:c r="S47" s="260">
        <x:v>5</x:v>
      </x:c>
      <x:c r="T47" s="261" t="s">
        <x:v>14</x:v>
      </x:c>
      <x:c r="U47" s="232">
        <x:f>REMUNERACION_ENEL!U108</x:f>
        <x:v>0</x:v>
      </x:c>
      <x:c r="V47" s="233">
        <x:f>REMUNERACION_ENEL!V108</x:f>
        <x:v>0</x:v>
      </x:c>
      <x:c r="W47" s="233">
        <x:f>REMUNERACION_ENEL!W108</x:f>
        <x:v>0</x:v>
      </x:c>
      <x:c r="X47" s="233">
        <x:f>REMUNERACION_ENEL!X108</x:f>
        <x:v>0</x:v>
      </x:c>
      <x:c r="Y47" s="225">
        <x:f>REMUNERACION_ENEL!Y108</x:f>
        <x:v>0</x:v>
      </x:c>
      <x:c r="Z47" s="255">
        <x:f>REMUNERACION_ENEL!Z108</x:f>
        <x:v>-128990446</x:v>
      </x:c>
      <x:c r="AA47" s="256">
        <x:f>REMUNERACION_ENEL!AA108</x:f>
        <x:v>0</x:v>
      </x:c>
      <x:c r="AB47" s="230">
        <x:f>REMUNERACION_ENEL!AB108</x:f>
        <x:v>0</x:v>
      </x:c>
      <x:c r="AC47" s="256">
        <x:f>REMUNERACION_ENEL!AC108</x:f>
        <x:v>0</x:v>
      </x:c>
      <x:c r="AD47" s="227">
        <x:f>REMUNERACION_ENEL!AD108</x:f>
        <x:v>0</x:v>
      </x:c>
      <x:c r="AE47" s="227">
        <x:f>REMUNERACION_ENEL!AE108</x:f>
        <x:v>0</x:v>
      </x:c>
      <x:c r="AF47" s="258">
        <x:f>REMUNERACION_ENEL!AF108</x:f>
        <x:v>-128990446</x:v>
      </x:c>
      <x:c r="AG47" s="441">
        <x:f>REMUNERACION_ENEL!AG108</x:f>
        <x:v>0</x:v>
      </x:c>
      <x:c r="AH47" s="1"/>
      <x:c r="AI47" s="242"/>
      <x:c r="AM47" s="269"/>
    </x:row>
    <x:row r="48" spans="1:39" s="241" customFormat="1" ht="13.5" thickBot="1" x14ac:dyDescent="0.25">
      <x:c r="B48" s="263"/>
      <x:c r="C48" s="264" t="s">
        <x:v>2</x:v>
      </x:c>
      <x:c r="D48" s="226">
        <x:f>REMUNERACION_ENEL!D109</x:f>
        <x:v>0</x:v>
      </x:c>
      <x:c r="E48" s="226">
        <x:f>REMUNERACION_ENEL!E109</x:f>
        <x:v>0</x:v>
      </x:c>
      <x:c r="F48" s="226">
        <x:f>REMUNERACION_ENEL!F109</x:f>
        <x:v>0</x:v>
      </x:c>
      <x:c r="G48" s="226">
        <x:f>REMUNERACION_ENEL!G109</x:f>
        <x:v>0</x:v>
      </x:c>
      <x:c r="H48" s="226">
        <x:f>REMUNERACION_ENEL!H109</x:f>
        <x:v>0</x:v>
      </x:c>
      <x:c r="I48" s="226">
        <x:f>REMUNERACION_ENEL!I109</x:f>
        <x:v>0</x:v>
      </x:c>
      <x:c r="J48" s="226">
        <x:f>REMUNERACION_ENEL!J109</x:f>
        <x:v>0</x:v>
      </x:c>
      <x:c r="K48" s="236">
        <x:f>REMUNERACION_ENEL!K109</x:f>
        <x:v>0</x:v>
      </x:c>
      <x:c r="L48" s="237">
        <x:f>REMUNERACION_ENEL!L109</x:f>
        <x:v>859936309</x:v>
      </x:c>
      <x:c r="M48" s="238">
        <x:f>REMUNERACION_ENEL!M109</x:f>
        <x:v>-859936309</x:v>
      </x:c>
      <x:c r="N48" s="237">
        <x:f>REMUNERACION_ENEL!N109</x:f>
        <x:v>0</x:v>
      </x:c>
      <x:c r="O48" s="238">
        <x:f>REMUNERACION_ENEL!O109</x:f>
        <x:v>-859936309</x:v>
      </x:c>
      <x:c r="P48" s="265"/>
      <x:c r="Q48" s="242"/>
      <x:c r="S48" s="263"/>
      <x:c r="T48" s="264" t="s">
        <x:v>2</x:v>
      </x:c>
      <x:c r="U48" s="266">
        <x:f>REMUNERACION_ENEL!U109</x:f>
        <x:v>0</x:v>
      </x:c>
      <x:c r="V48" s="266">
        <x:f>REMUNERACION_ENEL!V109</x:f>
        <x:v>0</x:v>
      </x:c>
      <x:c r="W48" s="266">
        <x:f>REMUNERACION_ENEL!W109</x:f>
        <x:v>0</x:v>
      </x:c>
      <x:c r="X48" s="266">
        <x:f>REMUNERACION_ENEL!X109</x:f>
        <x:v>0</x:v>
      </x:c>
      <x:c r="Y48" s="266">
        <x:f>REMUNERACION_ENEL!Y109</x:f>
        <x:v>0</x:v>
      </x:c>
      <x:c r="Z48" s="226">
        <x:f>REMUNERACION_ENEL!Z109</x:f>
        <x:v>-859936309</x:v>
      </x:c>
      <x:c r="AA48" s="226">
        <x:f>REMUNERACION_ENEL!AA109</x:f>
        <x:v>0</x:v>
      </x:c>
      <x:c r="AB48" s="226">
        <x:f>REMUNERACION_ENEL!AB109</x:f>
        <x:v>0</x:v>
      </x:c>
      <x:c r="AC48" s="226">
        <x:f>REMUNERACION_ENEL!AC109</x:f>
        <x:v>0</x:v>
      </x:c>
      <x:c r="AD48" s="226">
        <x:f>REMUNERACION_ENEL!AD109</x:f>
        <x:v>0</x:v>
      </x:c>
      <x:c r="AE48" s="226">
        <x:f>REMUNERACION_ENEL!AE109</x:f>
        <x:v>0</x:v>
      </x:c>
      <x:c r="AF48" s="267">
        <x:f>REMUNERACION_ENEL!AF109</x:f>
        <x:v>-859936309</x:v>
      </x:c>
      <x:c r="AG48" s="442">
        <x:f>REMUNERACION_ENEL!AG109</x:f>
        <x:v>0</x:v>
      </x:c>
      <x:c r="AH48" s="1"/>
      <x:c r="AI48" s="242"/>
      <x:c r="AM48" s="269"/>
    </x:row>
    <x:row r="49" spans="1:39" x14ac:dyDescent="0.2">
      <x:c r="B49" s="2"/>
      <x:c r="C49" s="2"/>
      <x:c r="D49" s="374"/>
      <x:c r="E49" s="374"/>
      <x:c r="F49" s="374"/>
      <x:c r="G49" s="374"/>
      <x:c r="H49" s="374"/>
      <x:c r="I49" s="374"/>
      <x:c r="K49" s="374"/>
      <x:c r="L49" s="374"/>
      <x:c r="M49" s="374"/>
      <x:c r="N49" s="374"/>
      <x:c r="O49" s="374"/>
      <x:c r="Q49" s="4"/>
      <x:c r="S49" s="2"/>
      <x:c r="T49" s="2"/>
      <x:c r="U49" s="374"/>
      <x:c r="V49" s="374"/>
      <x:c r="W49" s="374"/>
      <x:c r="X49" s="374"/>
      <x:c r="Y49" s="374"/>
      <x:c r="AF49" s="374"/>
      <x:c r="AI49" s="4"/>
    </x:row>
    <x:row r="50" spans="1:39" x14ac:dyDescent="0.2">
      <x:c r="B50" s="2"/>
      <x:c r="C50" s="2"/>
      <x:c r="D50" s="467"/>
      <x:c r="E50" s="467"/>
      <x:c r="F50" s="467"/>
      <x:c r="G50" s="467"/>
      <x:c r="H50" s="467"/>
      <x:c r="I50" s="467"/>
      <x:c r="K50" s="467"/>
      <x:c r="L50" s="467"/>
      <x:c r="M50" s="467"/>
      <x:c r="N50" s="467"/>
      <x:c r="O50" s="467"/>
      <x:c r="Q50" s="4"/>
      <x:c r="AI50" s="4"/>
    </x:row>
    <x:row r="51" spans="1:39" x14ac:dyDescent="0.2">
      <x:c r="A51" s="4"/>
      <x:c r="B51" s="34"/>
      <x:c r="C51" s="34"/>
      <x:c r="D51" s="397"/>
      <x:c r="E51" s="397"/>
      <x:c r="F51" s="397"/>
      <x:c r="G51" s="397"/>
      <x:c r="H51" s="397"/>
      <x:c r="I51" s="397"/>
      <x:c r="J51" s="4"/>
      <x:c r="K51" s="397"/>
      <x:c r="L51" s="397"/>
      <x:c r="M51" s="397"/>
      <x:c r="N51" s="397"/>
      <x:c r="O51" s="397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75" thickBot="1" x14ac:dyDescent="0.25">
      <x:c r="B52" s="2"/>
      <x:c r="C52" s="2"/>
      <x:c r="D52" s="467"/>
      <x:c r="E52" s="467"/>
      <x:c r="F52" s="467"/>
      <x:c r="G52" s="467"/>
      <x:c r="H52" s="467"/>
      <x:c r="I52" s="467"/>
      <x:c r="K52" s="467"/>
      <x:c r="L52" s="467"/>
      <x:c r="M52" s="467"/>
      <x:c r="N52" s="467"/>
      <x:c r="O52" s="467"/>
    </x:row>
    <x:row r="53" spans="1:39" x14ac:dyDescent="0.2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5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75" x14ac:dyDescent="0.25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5" x14ac:dyDescent="0.25">
      <x:c r="B56" s="8"/>
      <x:c r="F56" s="2" t="s">
        <x:v>30</x:v>
      </x:c>
      <x:c r="G56" s="2"/>
      <x:c r="L56" s="90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75" x14ac:dyDescent="0.25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0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8" thickBot="1" x14ac:dyDescent="0.35">
      <x:c r="B58" s="8"/>
      <x:c r="C58" s="2"/>
      <x:c r="D58" s="198"/>
      <x:c r="F58" s="2"/>
      <x:c r="G58" s="9"/>
      <x:c r="J58" s="2"/>
      <x:c r="K58" s="9"/>
      <x:c r="L58" s="91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05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46" t="s">
        <x:v>39</x:v>
      </x:c>
      <x:c r="V59" s="147" t="s">
        <x:v>40</x:v>
      </x:c>
      <x:c r="W59" s="147" t="s">
        <x:v>41</x:v>
      </x:c>
      <x:c r="X59" s="147" t="s">
        <x:v>42</x:v>
      </x:c>
      <x:c r="Y59" s="148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167</x:v>
      </x:c>
      <x:c r="AD59" s="114" t="s">
        <x:v>105</x:v>
      </x:c>
      <x:c r="AE59" s="114" t="s">
        <x:v>104</x:v>
      </x:c>
      <x:c r="AF59" s="39" t="s">
        <x:v>23</x:v>
      </x:c>
      <x:c r="AG59" s="13"/>
      <x:c r="AI59" s="4"/>
    </x:row>
    <x:row r="60" spans="1:39" s="241" customFormat="1" x14ac:dyDescent="0.2">
      <x:c r="B60" s="239">
        <x:v>1</x:v>
      </x:c>
      <x:c r="C60" s="240" t="s">
        <x:v>10</x:v>
      </x:c>
      <x:c r="D60" s="227">
        <x:f>REMUNERACION_ENERBIT!D104</x:f>
        <x:v>0</x:v>
      </x:c>
      <x:c r="E60" s="227">
        <x:f>REMUNERACION_ENERBIT!E104</x:f>
        <x:v>0</x:v>
      </x:c>
      <x:c r="F60" s="227">
        <x:f>REMUNERACION_ENERBIT!F104</x:f>
        <x:v>0</x:v>
      </x:c>
      <x:c r="G60" s="227">
        <x:f>REMUNERACION_ENERBIT!G104</x:f>
        <x:v>0</x:v>
      </x:c>
      <x:c r="H60" s="227">
        <x:f>REMUNERACION_ENERBIT!H104</x:f>
        <x:v>0</x:v>
      </x:c>
      <x:c r="I60" s="227">
        <x:f>REMUNERACION_ENERBIT!I104</x:f>
        <x:v>0</x:v>
      </x:c>
      <x:c r="J60" s="227">
        <x:f>REMUNERACION_ENERBIT!J104</x:f>
        <x:v>0</x:v>
      </x:c>
      <x:c r="K60" s="229">
        <x:f>REMUNERACION_ENERBIT!K104</x:f>
        <x:v>0</x:v>
      </x:c>
      <x:c r="L60" s="230">
        <x:f>REMUNERACION_ENERBIT!L104</x:f>
        <x:v>0</x:v>
      </x:c>
      <x:c r="M60" s="229">
        <x:f>REMUNERACION_ENERBIT!M104</x:f>
        <x:v>0</x:v>
      </x:c>
      <x:c r="N60" s="230">
        <x:f>REMUNERACION_ENERBIT!N104</x:f>
        <x:v>0</x:v>
      </x:c>
      <x:c r="O60" s="229">
        <x:f>REMUNERACION_ENERBIT!O104</x:f>
        <x:v>0</x:v>
      </x:c>
      <x:c r="Q60" s="242"/>
      <x:c r="S60" s="239">
        <x:v>1</x:v>
      </x:c>
      <x:c r="T60" s="240" t="s">
        <x:v>10</x:v>
      </x:c>
      <x:c r="U60" s="243">
        <x:f>REMUNERACION_ENERBIT!U104</x:f>
        <x:v>0</x:v>
      </x:c>
      <x:c r="V60" s="244">
        <x:f>REMUNERACION_ENERBIT!V104</x:f>
        <x:v>0</x:v>
      </x:c>
      <x:c r="W60" s="244">
        <x:f>REMUNERACION_ENERBIT!W104</x:f>
        <x:v>0</x:v>
      </x:c>
      <x:c r="X60" s="244">
        <x:f>REMUNERACION_ENERBIT!X104</x:f>
        <x:v>0</x:v>
      </x:c>
      <x:c r="Y60" s="245">
        <x:f>REMUNERACION_ENERBIT!Y104</x:f>
        <x:v>0</x:v>
      </x:c>
      <x:c r="Z60" s="245">
        <x:f>REMUNERACION_ENERBIT!Z104</x:f>
        <x:v>0</x:v>
      </x:c>
      <x:c r="AA60" s="245">
        <x:f>REMUNERACION_ENERBIT!AA104</x:f>
        <x:v>0</x:v>
      </x:c>
      <x:c r="AB60" s="245">
        <x:f>REMUNERACION_ENERBIT!AB104</x:f>
        <x:v>0</x:v>
      </x:c>
      <x:c r="AC60" s="245">
        <x:f>REMUNERACION_ENERBIT!AC104</x:f>
        <x:v>0</x:v>
      </x:c>
      <x:c r="AD60" s="245">
        <x:f>REMUNERACION_ENERBIT!AD104</x:f>
        <x:v>0</x:v>
      </x:c>
      <x:c r="AE60" s="245">
        <x:f>REMUNERACION_ENERBIT!AE104</x:f>
        <x:v>0</x:v>
      </x:c>
      <x:c r="AF60" s="249">
        <x:f>REMUNERACION_ENERBIT!AF104</x:f>
        <x:v>0</x:v>
      </x:c>
      <x:c r="AG60" s="439">
        <x:f>REMUNERACION_ENEL!AG121</x:f>
        <x:v>0</x:v>
      </x:c>
      <x:c r="AH60" s="1"/>
      <x:c r="AI60" s="242"/>
      <x:c r="AM60" s="269"/>
    </x:row>
    <x:row r="61" spans="1:39" s="241" customFormat="1" x14ac:dyDescent="0.2">
      <x:c r="B61" s="250">
        <x:v>2</x:v>
      </x:c>
      <x:c r="C61" s="251" t="s">
        <x:v>11</x:v>
      </x:c>
      <x:c r="D61" s="227">
        <x:f>REMUNERACION_ENERBIT!D105</x:f>
        <x:v>0</x:v>
      </x:c>
      <x:c r="E61" s="227">
        <x:f>REMUNERACION_ENERBIT!E105</x:f>
        <x:v>0</x:v>
      </x:c>
      <x:c r="F61" s="227">
        <x:f>REMUNERACION_ENERBIT!F105</x:f>
        <x:v>0</x:v>
      </x:c>
      <x:c r="G61" s="227">
        <x:f>REMUNERACION_ENERBIT!G105</x:f>
        <x:v>0</x:v>
      </x:c>
      <x:c r="H61" s="227">
        <x:f>REMUNERACION_ENERBIT!H105</x:f>
        <x:v>0</x:v>
      </x:c>
      <x:c r="I61" s="227">
        <x:f>REMUNERACION_ENERBIT!I105</x:f>
        <x:v>0</x:v>
      </x:c>
      <x:c r="J61" s="227">
        <x:f>REMUNERACION_ENERBIT!J105</x:f>
        <x:v>0</x:v>
      </x:c>
      <x:c r="K61" s="231">
        <x:f>REMUNERACION_ENERBIT!K105</x:f>
        <x:v>0</x:v>
      </x:c>
      <x:c r="L61" s="230">
        <x:f>REMUNERACION_ENERBIT!L105</x:f>
        <x:v>0</x:v>
      </x:c>
      <x:c r="M61" s="231">
        <x:f>REMUNERACION_ENERBIT!M105</x:f>
        <x:v>0</x:v>
      </x:c>
      <x:c r="N61" s="230">
        <x:f>REMUNERACION_ENERBIT!N105</x:f>
        <x:v>0</x:v>
      </x:c>
      <x:c r="O61" s="231">
        <x:f>REMUNERACION_ENERBIT!O105</x:f>
        <x:v>0</x:v>
      </x:c>
      <x:c r="Q61" s="242"/>
      <x:c r="S61" s="250">
        <x:v>2</x:v>
      </x:c>
      <x:c r="T61" s="251" t="s">
        <x:v>11</x:v>
      </x:c>
      <x:c r="U61" s="252">
        <x:f>REMUNERACION_ENERBIT!U105</x:f>
        <x:v>0</x:v>
      </x:c>
      <x:c r="V61" s="253">
        <x:f>REMUNERACION_ENERBIT!V105</x:f>
        <x:v>0</x:v>
      </x:c>
      <x:c r="W61" s="253">
        <x:f>REMUNERACION_ENERBIT!W105</x:f>
        <x:v>0</x:v>
      </x:c>
      <x:c r="X61" s="253">
        <x:f>REMUNERACION_ENERBIT!X105</x:f>
        <x:v>0</x:v>
      </x:c>
      <x:c r="Y61" s="254">
        <x:f>REMUNERACION_ENERBIT!Y105</x:f>
        <x:v>0</x:v>
      </x:c>
      <x:c r="Z61" s="254">
        <x:f>REMUNERACION_ENERBIT!Z105</x:f>
        <x:v>0</x:v>
      </x:c>
      <x:c r="AA61" s="254">
        <x:f>REMUNERACION_ENERBIT!AA105</x:f>
        <x:v>0</x:v>
      </x:c>
      <x:c r="AB61" s="254">
        <x:f>REMUNERACION_ENERBIT!AB105</x:f>
        <x:v>0</x:v>
      </x:c>
      <x:c r="AC61" s="254">
        <x:f>REMUNERACION_ENERBIT!AC105</x:f>
        <x:v>0</x:v>
      </x:c>
      <x:c r="AD61" s="254">
        <x:f>REMUNERACION_ENERBIT!AD105</x:f>
        <x:v>0</x:v>
      </x:c>
      <x:c r="AE61" s="254">
        <x:f>REMUNERACION_ENERBIT!AE105</x:f>
        <x:v>0</x:v>
      </x:c>
      <x:c r="AF61" s="258">
        <x:f>REMUNERACION_ENERBIT!AF105</x:f>
        <x:v>0</x:v>
      </x:c>
      <x:c r="AG61" s="440">
        <x:f>REMUNERACION_ENEL!AG122</x:f>
        <x:v>0</x:v>
      </x:c>
      <x:c r="AH61" s="1"/>
      <x:c r="AI61" s="242"/>
      <x:c r="AM61" s="269"/>
    </x:row>
    <x:row r="62" spans="1:39" s="241" customFormat="1" x14ac:dyDescent="0.2">
      <x:c r="B62" s="250">
        <x:v>3</x:v>
      </x:c>
      <x:c r="C62" s="251" t="s">
        <x:v>12</x:v>
      </x:c>
      <x:c r="D62" s="227">
        <x:f>REMUNERACION_ENERBIT!D106</x:f>
        <x:v>0</x:v>
      </x:c>
      <x:c r="E62" s="227">
        <x:f>REMUNERACION_ENERBIT!E106</x:f>
        <x:v>0</x:v>
      </x:c>
      <x:c r="F62" s="227">
        <x:f>REMUNERACION_ENERBIT!F106</x:f>
        <x:v>0</x:v>
      </x:c>
      <x:c r="G62" s="227">
        <x:f>REMUNERACION_ENERBIT!G106</x:f>
        <x:v>0</x:v>
      </x:c>
      <x:c r="H62" s="227">
        <x:f>REMUNERACION_ENERBIT!H106</x:f>
        <x:v>0</x:v>
      </x:c>
      <x:c r="I62" s="227">
        <x:f>REMUNERACION_ENERBIT!I106</x:f>
        <x:v>0</x:v>
      </x:c>
      <x:c r="J62" s="227">
        <x:f>REMUNERACION_ENERBIT!J106</x:f>
        <x:v>0</x:v>
      </x:c>
      <x:c r="K62" s="231">
        <x:f>REMUNERACION_ENERBIT!K106</x:f>
        <x:v>0</x:v>
      </x:c>
      <x:c r="L62" s="230">
        <x:f>REMUNERACION_ENERBIT!L106</x:f>
        <x:v>0</x:v>
      </x:c>
      <x:c r="M62" s="231">
        <x:f>REMUNERACION_ENERBIT!M106</x:f>
        <x:v>0</x:v>
      </x:c>
      <x:c r="N62" s="230">
        <x:f>REMUNERACION_ENERBIT!N106</x:f>
        <x:v>0</x:v>
      </x:c>
      <x:c r="O62" s="231">
        <x:f>REMUNERACION_ENERBIT!O106</x:f>
        <x:v>0</x:v>
      </x:c>
      <x:c r="Q62" s="242"/>
      <x:c r="S62" s="250">
        <x:v>3</x:v>
      </x:c>
      <x:c r="T62" s="251" t="s">
        <x:v>12</x:v>
      </x:c>
      <x:c r="U62" s="252">
        <x:f>REMUNERACION_ENERBIT!U106</x:f>
        <x:v>0</x:v>
      </x:c>
      <x:c r="V62" s="253">
        <x:f>REMUNERACION_ENERBIT!V106</x:f>
        <x:v>0</x:v>
      </x:c>
      <x:c r="W62" s="253">
        <x:f>REMUNERACION_ENERBIT!W106</x:f>
        <x:v>0</x:v>
      </x:c>
      <x:c r="X62" s="253">
        <x:f>REMUNERACION_ENERBIT!X106</x:f>
        <x:v>0</x:v>
      </x:c>
      <x:c r="Y62" s="254">
        <x:f>REMUNERACION_ENERBIT!Y106</x:f>
        <x:v>0</x:v>
      </x:c>
      <x:c r="Z62" s="254">
        <x:f>REMUNERACION_ENERBIT!Z106</x:f>
        <x:v>0</x:v>
      </x:c>
      <x:c r="AA62" s="254">
        <x:f>REMUNERACION_ENERBIT!AA106</x:f>
        <x:v>0</x:v>
      </x:c>
      <x:c r="AB62" s="254">
        <x:f>REMUNERACION_ENERBIT!AB106</x:f>
        <x:v>0</x:v>
      </x:c>
      <x:c r="AC62" s="254">
        <x:f>REMUNERACION_ENERBIT!AC106</x:f>
        <x:v>0</x:v>
      </x:c>
      <x:c r="AD62" s="254">
        <x:f>REMUNERACION_ENERBIT!AD106</x:f>
        <x:v>0</x:v>
      </x:c>
      <x:c r="AE62" s="254">
        <x:f>REMUNERACION_ENERBIT!AE106</x:f>
        <x:v>0</x:v>
      </x:c>
      <x:c r="AF62" s="258">
        <x:f>REMUNERACION_ENERBIT!AF106</x:f>
        <x:v>0</x:v>
      </x:c>
      <x:c r="AG62" s="440">
        <x:f>REMUNERACION_ENEL!AG123</x:f>
        <x:v>0</x:v>
      </x:c>
      <x:c r="AH62" s="1"/>
      <x:c r="AI62" s="242"/>
      <x:c r="AM62" s="269"/>
    </x:row>
    <x:row r="63" spans="1:39" s="241" customFormat="1" x14ac:dyDescent="0.2">
      <x:c r="B63" s="250">
        <x:v>4</x:v>
      </x:c>
      <x:c r="C63" s="251" t="s">
        <x:v>13</x:v>
      </x:c>
      <x:c r="D63" s="227">
        <x:f>REMUNERACION_ENERBIT!D107</x:f>
        <x:v>0</x:v>
      </x:c>
      <x:c r="E63" s="227">
        <x:f>REMUNERACION_ENERBIT!E107</x:f>
        <x:v>0</x:v>
      </x:c>
      <x:c r="F63" s="227">
        <x:f>REMUNERACION_ENERBIT!F107</x:f>
        <x:v>0</x:v>
      </x:c>
      <x:c r="G63" s="227">
        <x:f>REMUNERACION_ENERBIT!G107</x:f>
        <x:v>0</x:v>
      </x:c>
      <x:c r="H63" s="227">
        <x:f>REMUNERACION_ENERBIT!H107</x:f>
        <x:v>0</x:v>
      </x:c>
      <x:c r="I63" s="227">
        <x:f>REMUNERACION_ENERBIT!I107</x:f>
        <x:v>0</x:v>
      </x:c>
      <x:c r="J63" s="227">
        <x:f>REMUNERACION_ENERBIT!J107</x:f>
        <x:v>0</x:v>
      </x:c>
      <x:c r="K63" s="231">
        <x:f>REMUNERACION_ENERBIT!K107</x:f>
        <x:v>0</x:v>
      </x:c>
      <x:c r="L63" s="230">
        <x:f>REMUNERACION_ENERBIT!L107</x:f>
        <x:v>0</x:v>
      </x:c>
      <x:c r="M63" s="231">
        <x:f>REMUNERACION_ENERBIT!M107</x:f>
        <x:v>0</x:v>
      </x:c>
      <x:c r="N63" s="230">
        <x:f>REMUNERACION_ENERBIT!N107</x:f>
        <x:v>0</x:v>
      </x:c>
      <x:c r="O63" s="231">
        <x:f>REMUNERACION_ENERBIT!O107</x:f>
        <x:v>0</x:v>
      </x:c>
      <x:c r="Q63" s="242"/>
      <x:c r="S63" s="250">
        <x:v>4</x:v>
      </x:c>
      <x:c r="T63" s="251" t="s">
        <x:v>13</x:v>
      </x:c>
      <x:c r="U63" s="252">
        <x:f>REMUNERACION_ENERBIT!U107</x:f>
        <x:v>0</x:v>
      </x:c>
      <x:c r="V63" s="253">
        <x:f>REMUNERACION_ENERBIT!V107</x:f>
        <x:v>0</x:v>
      </x:c>
      <x:c r="W63" s="253">
        <x:f>REMUNERACION_ENERBIT!W107</x:f>
        <x:v>0</x:v>
      </x:c>
      <x:c r="X63" s="253">
        <x:f>REMUNERACION_ENERBIT!X107</x:f>
        <x:v>0</x:v>
      </x:c>
      <x:c r="Y63" s="254">
        <x:f>REMUNERACION_ENERBIT!Y107</x:f>
        <x:v>0</x:v>
      </x:c>
      <x:c r="Z63" s="254">
        <x:f>REMUNERACION_ENERBIT!Z107</x:f>
        <x:v>0</x:v>
      </x:c>
      <x:c r="AA63" s="254">
        <x:f>REMUNERACION_ENERBIT!AA107</x:f>
        <x:v>0</x:v>
      </x:c>
      <x:c r="AB63" s="254">
        <x:f>REMUNERACION_ENERBIT!AB107</x:f>
        <x:v>0</x:v>
      </x:c>
      <x:c r="AC63" s="254">
        <x:f>REMUNERACION_ENERBIT!AC107</x:f>
        <x:v>0</x:v>
      </x:c>
      <x:c r="AD63" s="254">
        <x:f>REMUNERACION_ENERBIT!AD107</x:f>
        <x:v>0</x:v>
      </x:c>
      <x:c r="AE63" s="254">
        <x:f>REMUNERACION_ENERBIT!AE107</x:f>
        <x:v>0</x:v>
      </x:c>
      <x:c r="AF63" s="258">
        <x:f>REMUNERACION_ENERBIT!AF107</x:f>
        <x:v>0</x:v>
      </x:c>
      <x:c r="AG63" s="440">
        <x:f>REMUNERACION_ENEL!AG124</x:f>
        <x:v>0</x:v>
      </x:c>
      <x:c r="AH63" s="1"/>
      <x:c r="AI63" s="242"/>
      <x:c r="AM63" s="269"/>
    </x:row>
    <x:row r="64" spans="1:39" s="241" customFormat="1" ht="12.75" thickBot="1" x14ac:dyDescent="0.25">
      <x:c r="B64" s="260">
        <x:v>5</x:v>
      </x:c>
      <x:c r="C64" s="261" t="s">
        <x:v>14</x:v>
      </x:c>
      <x:c r="D64" s="227">
        <x:f>REMUNERACION_ENERBIT!D108</x:f>
        <x:v>0</x:v>
      </x:c>
      <x:c r="E64" s="227">
        <x:f>REMUNERACION_ENERBIT!E108</x:f>
        <x:v>0</x:v>
      </x:c>
      <x:c r="F64" s="227">
        <x:f>REMUNERACION_ENERBIT!F108</x:f>
        <x:v>0</x:v>
      </x:c>
      <x:c r="G64" s="227">
        <x:f>REMUNERACION_ENERBIT!G108</x:f>
        <x:v>0</x:v>
      </x:c>
      <x:c r="H64" s="227">
        <x:f>REMUNERACION_ENERBIT!H108</x:f>
        <x:v>0</x:v>
      </x:c>
      <x:c r="I64" s="227">
        <x:f>REMUNERACION_ENERBIT!I108</x:f>
        <x:v>0</x:v>
      </x:c>
      <x:c r="J64" s="227">
        <x:f>REMUNERACION_ENERBIT!J108</x:f>
        <x:v>0</x:v>
      </x:c>
      <x:c r="K64" s="231">
        <x:f>REMUNERACION_ENERBIT!K108</x:f>
        <x:v>0</x:v>
      </x:c>
      <x:c r="L64" s="230">
        <x:f>REMUNERACION_ENERBIT!L108</x:f>
        <x:v>0</x:v>
      </x:c>
      <x:c r="M64" s="234">
        <x:f>REMUNERACION_ENERBIT!M108</x:f>
        <x:v>0</x:v>
      </x:c>
      <x:c r="N64" s="235">
        <x:f>REMUNERACION_ENERBIT!N108</x:f>
        <x:v>0</x:v>
      </x:c>
      <x:c r="O64" s="234">
        <x:f>REMUNERACION_ENERBIT!O108</x:f>
        <x:v>0</x:v>
      </x:c>
      <x:c r="Q64" s="242"/>
      <x:c r="S64" s="260">
        <x:v>5</x:v>
      </x:c>
      <x:c r="T64" s="261" t="s">
        <x:v>14</x:v>
      </x:c>
      <x:c r="U64" s="232">
        <x:f>REMUNERACION_ENERBIT!U108</x:f>
        <x:v>0</x:v>
      </x:c>
      <x:c r="V64" s="233">
        <x:f>REMUNERACION_ENERBIT!V108</x:f>
        <x:v>0</x:v>
      </x:c>
      <x:c r="W64" s="233">
        <x:f>REMUNERACION_ENERBIT!W108</x:f>
        <x:v>0</x:v>
      </x:c>
      <x:c r="X64" s="233">
        <x:f>REMUNERACION_ENERBIT!X108</x:f>
        <x:v>0</x:v>
      </x:c>
      <x:c r="Y64" s="225">
        <x:f>REMUNERACION_ENERBIT!Y108</x:f>
        <x:v>0</x:v>
      </x:c>
      <x:c r="Z64" s="225">
        <x:f>REMUNERACION_ENERBIT!Z108</x:f>
        <x:v>0</x:v>
      </x:c>
      <x:c r="AA64" s="225">
        <x:f>REMUNERACION_ENERBIT!AA108</x:f>
        <x:v>0</x:v>
      </x:c>
      <x:c r="AB64" s="225">
        <x:f>REMUNERACION_ENERBIT!AB108</x:f>
        <x:v>0</x:v>
      </x:c>
      <x:c r="AC64" s="225">
        <x:f>REMUNERACION_ENERBIT!AC108</x:f>
        <x:v>0</x:v>
      </x:c>
      <x:c r="AD64" s="225">
        <x:f>REMUNERACION_ENERBIT!AD108</x:f>
        <x:v>0</x:v>
      </x:c>
      <x:c r="AE64" s="225">
        <x:f>REMUNERACION_ENERBIT!AE108</x:f>
        <x:v>0</x:v>
      </x:c>
      <x:c r="AF64" s="258">
        <x:f>REMUNERACION_ENERBIT!AF108</x:f>
        <x:v>0</x:v>
      </x:c>
      <x:c r="AG64" s="441">
        <x:f>REMUNERACION_ENEL!AG125</x:f>
        <x:v>0</x:v>
      </x:c>
      <x:c r="AH64" s="1"/>
      <x:c r="AI64" s="242"/>
      <x:c r="AM64" s="269"/>
    </x:row>
    <x:row r="65" spans="1:39" s="241" customFormat="1" ht="13.5" thickBot="1" x14ac:dyDescent="0.25">
      <x:c r="B65" s="263"/>
      <x:c r="C65" s="264" t="s">
        <x:v>2</x:v>
      </x:c>
      <x:c r="D65" s="226">
        <x:f>REMUNERACION_ENERBIT!D109</x:f>
        <x:v>0</x:v>
      </x:c>
      <x:c r="E65" s="226">
        <x:f>REMUNERACION_ENERBIT!E109</x:f>
        <x:v>0</x:v>
      </x:c>
      <x:c r="F65" s="226">
        <x:f>REMUNERACION_ENERBIT!F109</x:f>
        <x:v>0</x:v>
      </x:c>
      <x:c r="G65" s="226">
        <x:f>REMUNERACION_ENERBIT!G109</x:f>
        <x:v>0</x:v>
      </x:c>
      <x:c r="H65" s="226">
        <x:f>REMUNERACION_ENERBIT!H109</x:f>
        <x:v>0</x:v>
      </x:c>
      <x:c r="I65" s="226">
        <x:f>REMUNERACION_ENERBIT!I109</x:f>
        <x:v>0</x:v>
      </x:c>
      <x:c r="J65" s="226">
        <x:f>REMUNERACION_ENERBIT!J109</x:f>
        <x:v>0</x:v>
      </x:c>
      <x:c r="K65" s="236">
        <x:f>REMUNERACION_ENERBIT!K109</x:f>
        <x:v>0</x:v>
      </x:c>
      <x:c r="L65" s="237">
        <x:f>REMUNERACION_ENERBIT!L109</x:f>
        <x:v>0</x:v>
      </x:c>
      <x:c r="M65" s="238">
        <x:f>REMUNERACION_ENERBIT!M109</x:f>
        <x:v>0</x:v>
      </x:c>
      <x:c r="N65" s="237">
        <x:f>REMUNERACION_ENERBIT!N109</x:f>
        <x:v>0</x:v>
      </x:c>
      <x:c r="O65" s="238">
        <x:f>REMUNERACION_ENERBIT!O109</x:f>
        <x:v>0</x:v>
      </x:c>
      <x:c r="P65" s="265"/>
      <x:c r="Q65" s="242"/>
      <x:c r="S65" s="263"/>
      <x:c r="T65" s="264" t="s">
        <x:v>2</x:v>
      </x:c>
      <x:c r="U65" s="266">
        <x:f>REMUNERACION_ENERBIT!U109</x:f>
        <x:v>0</x:v>
      </x:c>
      <x:c r="V65" s="266">
        <x:f>REMUNERACION_ENERBIT!V109</x:f>
        <x:v>0</x:v>
      </x:c>
      <x:c r="W65" s="266">
        <x:f>REMUNERACION_ENERBIT!W109</x:f>
        <x:v>0</x:v>
      </x:c>
      <x:c r="X65" s="266">
        <x:f>REMUNERACION_ENERBIT!X109</x:f>
        <x:v>0</x:v>
      </x:c>
      <x:c r="Y65" s="266">
        <x:f>REMUNERACION_ENERBIT!Y109</x:f>
        <x:v>0</x:v>
      </x:c>
      <x:c r="Z65" s="266">
        <x:f>REMUNERACION_ENERBIT!Z109</x:f>
        <x:v>0</x:v>
      </x:c>
      <x:c r="AA65" s="266">
        <x:f>REMUNERACION_ENERBIT!AA109</x:f>
        <x:v>0</x:v>
      </x:c>
      <x:c r="AB65" s="266">
        <x:f>REMUNERACION_ENERBIT!AB109</x:f>
        <x:v>0</x:v>
      </x:c>
      <x:c r="AC65" s="266">
        <x:f>REMUNERACION_ENERBIT!AC109</x:f>
        <x:v>0</x:v>
      </x:c>
      <x:c r="AD65" s="266">
        <x:f>REMUNERACION_ENERBIT!AD109</x:f>
        <x:v>0</x:v>
      </x:c>
      <x:c r="AE65" s="266">
        <x:f>REMUNERACION_ENERBIT!AE109</x:f>
        <x:v>0</x:v>
      </x:c>
      <x:c r="AF65" s="267">
        <x:f>REMUNERACION_ENERBIT!AF109</x:f>
        <x:v>0</x:v>
      </x:c>
      <x:c r="AG65" s="442">
        <x:f>REMUNERACION_ENEL!AG126</x:f>
        <x:v>0</x:v>
      </x:c>
      <x:c r="AH65" s="1"/>
      <x:c r="AI65" s="242"/>
      <x:c r="AM65" s="269"/>
    </x:row>
    <x:row r="66" spans="1:39" x14ac:dyDescent="0.2">
      <x:c r="B66" s="2"/>
      <x:c r="C66" s="2"/>
      <x:c r="D66" s="374"/>
      <x:c r="E66" s="374"/>
      <x:c r="F66" s="374"/>
      <x:c r="G66" s="374"/>
      <x:c r="H66" s="374"/>
      <x:c r="I66" s="374"/>
      <x:c r="K66" s="374"/>
      <x:c r="L66" s="374"/>
      <x:c r="M66" s="374"/>
      <x:c r="N66" s="374"/>
      <x:c r="O66" s="374"/>
      <x:c r="Q66" s="4"/>
      <x:c r="S66" s="2"/>
      <x:c r="T66" s="2"/>
      <x:c r="U66" s="374"/>
      <x:c r="V66" s="374"/>
      <x:c r="W66" s="374"/>
      <x:c r="X66" s="374"/>
      <x:c r="Y66" s="374"/>
      <x:c r="AF66" s="374"/>
      <x:c r="AI66" s="4"/>
    </x:row>
    <x:row r="67" spans="1:39" x14ac:dyDescent="0.2">
      <x:c r="B67" s="2"/>
      <x:c r="C67" s="2"/>
      <x:c r="D67" s="467"/>
      <x:c r="E67" s="467"/>
      <x:c r="F67" s="467"/>
      <x:c r="G67" s="467"/>
      <x:c r="H67" s="467"/>
      <x:c r="I67" s="467"/>
      <x:c r="K67" s="467"/>
      <x:c r="L67" s="467"/>
      <x:c r="M67" s="467"/>
      <x:c r="N67" s="467"/>
      <x:c r="O67" s="467"/>
      <x:c r="Q67" s="4"/>
      <x:c r="AI67" s="4"/>
    </x:row>
    <x:row r="68" spans="1:39" ht="12.75" thickBot="1" x14ac:dyDescent="0.25">
      <x:c r="A68" s="4"/>
      <x:c r="B68" s="34"/>
      <x:c r="C68" s="34"/>
      <x:c r="D68" s="397"/>
      <x:c r="E68" s="397"/>
      <x:c r="F68" s="397"/>
      <x:c r="G68" s="397"/>
      <x:c r="H68" s="397"/>
      <x:c r="I68" s="397"/>
      <x:c r="J68" s="4"/>
      <x:c r="K68" s="397"/>
      <x:c r="L68" s="397"/>
      <x:c r="M68" s="397"/>
      <x:c r="N68" s="397"/>
      <x:c r="O68" s="397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x14ac:dyDescent="0.2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5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75" x14ac:dyDescent="0.25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5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75" x14ac:dyDescent="0.25">
      <x:c r="B73" s="8"/>
      <x:c r="C73" s="2"/>
      <x:c r="D73" s="9"/>
      <x:c r="F73" s="399" t="s">
        <x:v>187</x:v>
      </x:c>
      <x:c r="G73" s="399"/>
      <x:c r="H73" s="400"/>
      <x:c r="I73" s="401"/>
      <x:c r="J73" s="400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75" thickBot="1" x14ac:dyDescent="0.25">
      <x:c r="B74" s="8"/>
      <x:c r="C74" s="2"/>
      <x:c r="D74" s="198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75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167</x:v>
      </x:c>
      <x:c r="AD75" s="114" t="s">
        <x:v>105</x:v>
      </x:c>
      <x:c r="AE75" s="114" t="s">
        <x:v>104</x:v>
      </x:c>
      <x:c r="AF75" s="39" t="s">
        <x:v>23</x:v>
      </x:c>
      <x:c r="AG75" s="13"/>
      <x:c r="AI75" s="4"/>
    </x:row>
    <x:row r="76" spans="1:39" s="241" customFormat="1" x14ac:dyDescent="0.2">
      <x:c r="B76" s="239">
        <x:v>1</x:v>
      </x:c>
      <x:c r="C76" s="240" t="s">
        <x:v>10</x:v>
      </x:c>
      <x:c r="D76" s="227">
        <x:f>'REMUNERACION_OCCIDENTE_ Directa'!D104</x:f>
        <x:v>0</x:v>
      </x:c>
      <x:c r="E76" s="228">
        <x:f>'REMUNERACION_OCCIDENTE_ Directa'!E104</x:f>
        <x:v>0</x:v>
      </x:c>
      <x:c r="F76" s="228">
        <x:f>'REMUNERACION_OCCIDENTE_ Directa'!F104</x:f>
        <x:v>0</x:v>
      </x:c>
      <x:c r="G76" s="228">
        <x:f>'REMUNERACION_OCCIDENTE_ Directa'!G104</x:f>
        <x:v>0</x:v>
      </x:c>
      <x:c r="H76" s="228">
        <x:f>'REMUNERACION_OCCIDENTE_ Directa'!H104</x:f>
        <x:v>0</x:v>
      </x:c>
      <x:c r="I76" s="228">
        <x:f>'REMUNERACION_OCCIDENTE_ Directa'!I104</x:f>
        <x:v>0</x:v>
      </x:c>
      <x:c r="J76" s="224">
        <x:f>'REMUNERACION_OCCIDENTE_ Directa'!J104</x:f>
        <x:v>0</x:v>
      </x:c>
      <x:c r="K76" s="229">
        <x:f>'REMUNERACION_OCCIDENTE_ Directa'!K104</x:f>
        <x:v>0</x:v>
      </x:c>
      <x:c r="L76" s="230">
        <x:f>'REMUNERACION_OCCIDENTE_ Directa'!L104</x:f>
        <x:v>0</x:v>
      </x:c>
      <x:c r="M76" s="229">
        <x:f>'REMUNERACION_OCCIDENTE_ Directa'!M104</x:f>
        <x:v>0</x:v>
      </x:c>
      <x:c r="N76" s="230">
        <x:f>'REMUNERACION_OCCIDENTE_ Directa'!N104</x:f>
        <x:v>0</x:v>
      </x:c>
      <x:c r="O76" s="229">
        <x:f>'REMUNERACION_OCCIDENTE_ Directa'!O104</x:f>
        <x:v>0</x:v>
      </x:c>
      <x:c r="Q76" s="242"/>
      <x:c r="S76" s="239">
        <x:v>1</x:v>
      </x:c>
      <x:c r="T76" s="240" t="s">
        <x:v>10</x:v>
      </x:c>
      <x:c r="U76" s="243">
        <x:f>'REMUNERACION_OCCIDENTE_ Directa'!U104</x:f>
        <x:v>0</x:v>
      </x:c>
      <x:c r="V76" s="244">
        <x:f>'REMUNERACION_OCCIDENTE_ Directa'!V104</x:f>
        <x:v>0</x:v>
      </x:c>
      <x:c r="W76" s="244">
        <x:f>'REMUNERACION_OCCIDENTE_ Directa'!W104</x:f>
        <x:v>0</x:v>
      </x:c>
      <x:c r="X76" s="244">
        <x:f>'REMUNERACION_OCCIDENTE_ Directa'!X104</x:f>
        <x:v>0</x:v>
      </x:c>
      <x:c r="Y76" s="245">
        <x:f>'REMUNERACION_OCCIDENTE_ Directa'!Y104</x:f>
        <x:v>0</x:v>
      </x:c>
      <x:c r="Z76" s="246">
        <x:f>'REMUNERACION_OCCIDENTE_ Directa'!Z104</x:f>
        <x:v>0</x:v>
      </x:c>
      <x:c r="AA76" s="247">
        <x:f>'REMUNERACION_OCCIDENTE_ Directa'!AA104</x:f>
        <x:v>0</x:v>
      </x:c>
      <x:c r="AB76" s="230">
        <x:f>'REMUNERACION_OCCIDENTE_ Directa'!AB104</x:f>
        <x:v>0</x:v>
      </x:c>
      <x:c r="AC76" s="247">
        <x:f>'REMUNERACION_OCCIDENTE_ Directa'!AC104</x:f>
        <x:v>0</x:v>
      </x:c>
      <x:c r="AD76" s="227">
        <x:f>'REMUNERACION_OCCIDENTE_ Directa'!AD104</x:f>
        <x:v>0</x:v>
      </x:c>
      <x:c r="AE76" s="227">
        <x:f>'REMUNERACION_OCCIDENTE_ Directa'!AE104</x:f>
        <x:v>0</x:v>
      </x:c>
      <x:c r="AF76" s="249">
        <x:f>'REMUNERACION_OCCIDENTE_ Directa'!AF104</x:f>
        <x:v>0</x:v>
      </x:c>
      <x:c r="AG76" s="439">
        <x:f>'REMUNERACION_OCCIDENTE_ Directa'!AG104</x:f>
        <x:v>0</x:v>
      </x:c>
      <x:c r="AH76" s="1"/>
      <x:c r="AI76" s="242"/>
      <x:c r="AM76" s="269"/>
    </x:row>
    <x:row r="77" spans="1:39" s="241" customFormat="1" x14ac:dyDescent="0.2">
      <x:c r="B77" s="250">
        <x:v>2</x:v>
      </x:c>
      <x:c r="C77" s="251" t="s">
        <x:v>11</x:v>
      </x:c>
      <x:c r="D77" s="227">
        <x:f>'REMUNERACION_OCCIDENTE_ Directa'!D105</x:f>
        <x:v>0</x:v>
      </x:c>
      <x:c r="E77" s="228">
        <x:f>'REMUNERACION_OCCIDENTE_ Directa'!E105</x:f>
        <x:v>0</x:v>
      </x:c>
      <x:c r="F77" s="228">
        <x:f>'REMUNERACION_OCCIDENTE_ Directa'!F105</x:f>
        <x:v>0</x:v>
      </x:c>
      <x:c r="G77" s="228">
        <x:f>'REMUNERACION_OCCIDENTE_ Directa'!G105</x:f>
        <x:v>0</x:v>
      </x:c>
      <x:c r="H77" s="228">
        <x:f>'REMUNERACION_OCCIDENTE_ Directa'!H105</x:f>
        <x:v>0</x:v>
      </x:c>
      <x:c r="I77" s="228">
        <x:f>'REMUNERACION_OCCIDENTE_ Directa'!I105</x:f>
        <x:v>0</x:v>
      </x:c>
      <x:c r="J77" s="224">
        <x:f>'REMUNERACION_OCCIDENTE_ Directa'!J105</x:f>
        <x:v>0</x:v>
      </x:c>
      <x:c r="K77" s="231">
        <x:f>'REMUNERACION_OCCIDENTE_ Directa'!K105</x:f>
        <x:v>0</x:v>
      </x:c>
      <x:c r="L77" s="230">
        <x:f>'REMUNERACION_OCCIDENTE_ Directa'!L105</x:f>
        <x:v>0</x:v>
      </x:c>
      <x:c r="M77" s="231">
        <x:f>'REMUNERACION_OCCIDENTE_ Directa'!M105</x:f>
        <x:v>0</x:v>
      </x:c>
      <x:c r="N77" s="230">
        <x:f>'REMUNERACION_OCCIDENTE_ Directa'!N105</x:f>
        <x:v>0</x:v>
      </x:c>
      <x:c r="O77" s="231">
        <x:f>'REMUNERACION_OCCIDENTE_ Directa'!O105</x:f>
        <x:v>0</x:v>
      </x:c>
      <x:c r="Q77" s="242"/>
      <x:c r="S77" s="250">
        <x:v>2</x:v>
      </x:c>
      <x:c r="T77" s="251" t="s">
        <x:v>11</x:v>
      </x:c>
      <x:c r="U77" s="252">
        <x:f>'REMUNERACION_OCCIDENTE_ Directa'!U105</x:f>
        <x:v>0</x:v>
      </x:c>
      <x:c r="V77" s="253">
        <x:f>'REMUNERACION_OCCIDENTE_ Directa'!V105</x:f>
        <x:v>0</x:v>
      </x:c>
      <x:c r="W77" s="253">
        <x:f>'REMUNERACION_OCCIDENTE_ Directa'!W105</x:f>
        <x:v>0</x:v>
      </x:c>
      <x:c r="X77" s="253">
        <x:f>'REMUNERACION_OCCIDENTE_ Directa'!X105</x:f>
        <x:v>0</x:v>
      </x:c>
      <x:c r="Y77" s="254">
        <x:f>'REMUNERACION_OCCIDENTE_ Directa'!Y105</x:f>
        <x:v>0</x:v>
      </x:c>
      <x:c r="Z77" s="255">
        <x:f>'REMUNERACION_OCCIDENTE_ Directa'!Z105</x:f>
        <x:v>0</x:v>
      </x:c>
      <x:c r="AA77" s="256">
        <x:f>'REMUNERACION_OCCIDENTE_ Directa'!AA105</x:f>
        <x:v>0</x:v>
      </x:c>
      <x:c r="AB77" s="230">
        <x:f>'REMUNERACION_OCCIDENTE_ Directa'!AB105</x:f>
        <x:v>0</x:v>
      </x:c>
      <x:c r="AC77" s="256">
        <x:f>'REMUNERACION_OCCIDENTE_ Directa'!AC105</x:f>
        <x:v>0</x:v>
      </x:c>
      <x:c r="AD77" s="227">
        <x:f>'REMUNERACION_OCCIDENTE_ Directa'!AD105</x:f>
        <x:v>0</x:v>
      </x:c>
      <x:c r="AE77" s="227">
        <x:f>'REMUNERACION_OCCIDENTE_ Directa'!AE105</x:f>
        <x:v>0</x:v>
      </x:c>
      <x:c r="AF77" s="258">
        <x:f>'REMUNERACION_OCCIDENTE_ Directa'!AF105</x:f>
        <x:v>0</x:v>
      </x:c>
      <x:c r="AG77" s="440">
        <x:f>'REMUNERACION_OCCIDENTE_ Directa'!AG105</x:f>
        <x:v>0</x:v>
      </x:c>
      <x:c r="AH77" s="1"/>
      <x:c r="AI77" s="242"/>
      <x:c r="AM77" s="269"/>
    </x:row>
    <x:row r="78" spans="1:39" s="241" customFormat="1" x14ac:dyDescent="0.2">
      <x:c r="B78" s="250">
        <x:v>3</x:v>
      </x:c>
      <x:c r="C78" s="251" t="s">
        <x:v>12</x:v>
      </x:c>
      <x:c r="D78" s="227">
        <x:f>'REMUNERACION_OCCIDENTE_ Directa'!D106</x:f>
        <x:v>0</x:v>
      </x:c>
      <x:c r="E78" s="228">
        <x:f>'REMUNERACION_OCCIDENTE_ Directa'!E106</x:f>
        <x:v>0</x:v>
      </x:c>
      <x:c r="F78" s="228">
        <x:f>'REMUNERACION_OCCIDENTE_ Directa'!F106</x:f>
        <x:v>0</x:v>
      </x:c>
      <x:c r="G78" s="228">
        <x:f>'REMUNERACION_OCCIDENTE_ Directa'!G106</x:f>
        <x:v>0</x:v>
      </x:c>
      <x:c r="H78" s="228">
        <x:f>'REMUNERACION_OCCIDENTE_ Directa'!H106</x:f>
        <x:v>0</x:v>
      </x:c>
      <x:c r="I78" s="228">
        <x:f>'REMUNERACION_OCCIDENTE_ Directa'!I106</x:f>
        <x:v>0</x:v>
      </x:c>
      <x:c r="J78" s="224">
        <x:f>'REMUNERACION_OCCIDENTE_ Directa'!J106</x:f>
        <x:v>0</x:v>
      </x:c>
      <x:c r="K78" s="231">
        <x:f>'REMUNERACION_OCCIDENTE_ Directa'!K106</x:f>
        <x:v>0</x:v>
      </x:c>
      <x:c r="L78" s="230">
        <x:f>'REMUNERACION_OCCIDENTE_ Directa'!L106</x:f>
        <x:v>0</x:v>
      </x:c>
      <x:c r="M78" s="231">
        <x:f>'REMUNERACION_OCCIDENTE_ Directa'!M106</x:f>
        <x:v>0</x:v>
      </x:c>
      <x:c r="N78" s="230">
        <x:f>'REMUNERACION_OCCIDENTE_ Directa'!N106</x:f>
        <x:v>0</x:v>
      </x:c>
      <x:c r="O78" s="231">
        <x:f>'REMUNERACION_OCCIDENTE_ Directa'!O106</x:f>
        <x:v>0</x:v>
      </x:c>
      <x:c r="Q78" s="242"/>
      <x:c r="S78" s="250">
        <x:v>3</x:v>
      </x:c>
      <x:c r="T78" s="251" t="s">
        <x:v>12</x:v>
      </x:c>
      <x:c r="U78" s="252">
        <x:f>'REMUNERACION_OCCIDENTE_ Directa'!U106</x:f>
        <x:v>0</x:v>
      </x:c>
      <x:c r="V78" s="253">
        <x:f>'REMUNERACION_OCCIDENTE_ Directa'!V106</x:f>
        <x:v>0</x:v>
      </x:c>
      <x:c r="W78" s="253">
        <x:f>'REMUNERACION_OCCIDENTE_ Directa'!W106</x:f>
        <x:v>0</x:v>
      </x:c>
      <x:c r="X78" s="253">
        <x:f>'REMUNERACION_OCCIDENTE_ Directa'!X106</x:f>
        <x:v>0</x:v>
      </x:c>
      <x:c r="Y78" s="254">
        <x:f>'REMUNERACION_OCCIDENTE_ Directa'!Y106</x:f>
        <x:v>0</x:v>
      </x:c>
      <x:c r="Z78" s="255">
        <x:f>'REMUNERACION_OCCIDENTE_ Directa'!Z106</x:f>
        <x:v>0</x:v>
      </x:c>
      <x:c r="AA78" s="256">
        <x:f>'REMUNERACION_OCCIDENTE_ Directa'!AA106</x:f>
        <x:v>0</x:v>
      </x:c>
      <x:c r="AB78" s="230">
        <x:f>'REMUNERACION_OCCIDENTE_ Directa'!AB106</x:f>
        <x:v>0</x:v>
      </x:c>
      <x:c r="AC78" s="256">
        <x:f>'REMUNERACION_OCCIDENTE_ Directa'!AC106</x:f>
        <x:v>0</x:v>
      </x:c>
      <x:c r="AD78" s="227">
        <x:f>'REMUNERACION_OCCIDENTE_ Directa'!AD106</x:f>
        <x:v>0</x:v>
      </x:c>
      <x:c r="AE78" s="227">
        <x:f>'REMUNERACION_OCCIDENTE_ Directa'!AE106</x:f>
        <x:v>0</x:v>
      </x:c>
      <x:c r="AF78" s="258">
        <x:f>'REMUNERACION_OCCIDENTE_ Directa'!AF106</x:f>
        <x:v>0</x:v>
      </x:c>
      <x:c r="AG78" s="440">
        <x:f>'REMUNERACION_OCCIDENTE_ Directa'!AG106</x:f>
        <x:v>0</x:v>
      </x:c>
      <x:c r="AH78" s="1"/>
      <x:c r="AI78" s="242"/>
      <x:c r="AM78" s="269"/>
    </x:row>
    <x:row r="79" spans="1:39" s="241" customFormat="1" x14ac:dyDescent="0.2">
      <x:c r="B79" s="250">
        <x:v>4</x:v>
      </x:c>
      <x:c r="C79" s="251" t="s">
        <x:v>13</x:v>
      </x:c>
      <x:c r="D79" s="227">
        <x:f>'REMUNERACION_OCCIDENTE_ Directa'!D107</x:f>
        <x:v>0</x:v>
      </x:c>
      <x:c r="E79" s="228">
        <x:f>'REMUNERACION_OCCIDENTE_ Directa'!E107</x:f>
        <x:v>0</x:v>
      </x:c>
      <x:c r="F79" s="228">
        <x:f>'REMUNERACION_OCCIDENTE_ Directa'!F107</x:f>
        <x:v>0</x:v>
      </x:c>
      <x:c r="G79" s="228">
        <x:f>'REMUNERACION_OCCIDENTE_ Directa'!G107</x:f>
        <x:v>0</x:v>
      </x:c>
      <x:c r="H79" s="228">
        <x:f>'REMUNERACION_OCCIDENTE_ Directa'!H107</x:f>
        <x:v>0</x:v>
      </x:c>
      <x:c r="I79" s="228">
        <x:f>'REMUNERACION_OCCIDENTE_ Directa'!I107</x:f>
        <x:v>0</x:v>
      </x:c>
      <x:c r="J79" s="224">
        <x:f>'REMUNERACION_OCCIDENTE_ Directa'!J107</x:f>
        <x:v>0</x:v>
      </x:c>
      <x:c r="K79" s="231">
        <x:f>'REMUNERACION_OCCIDENTE_ Directa'!K107</x:f>
        <x:v>0</x:v>
      </x:c>
      <x:c r="L79" s="230">
        <x:f>'REMUNERACION_OCCIDENTE_ Directa'!L107</x:f>
        <x:v>0</x:v>
      </x:c>
      <x:c r="M79" s="231">
        <x:f>'REMUNERACION_OCCIDENTE_ Directa'!M107</x:f>
        <x:v>0</x:v>
      </x:c>
      <x:c r="N79" s="230">
        <x:f>'REMUNERACION_OCCIDENTE_ Directa'!N107</x:f>
        <x:v>0</x:v>
      </x:c>
      <x:c r="O79" s="231">
        <x:f>'REMUNERACION_OCCIDENTE_ Directa'!O107</x:f>
        <x:v>0</x:v>
      </x:c>
      <x:c r="Q79" s="242"/>
      <x:c r="S79" s="250">
        <x:v>4</x:v>
      </x:c>
      <x:c r="T79" s="251" t="s">
        <x:v>13</x:v>
      </x:c>
      <x:c r="U79" s="252">
        <x:f>'REMUNERACION_OCCIDENTE_ Directa'!U107</x:f>
        <x:v>0</x:v>
      </x:c>
      <x:c r="V79" s="253">
        <x:f>'REMUNERACION_OCCIDENTE_ Directa'!V107</x:f>
        <x:v>0</x:v>
      </x:c>
      <x:c r="W79" s="253">
        <x:f>'REMUNERACION_OCCIDENTE_ Directa'!W107</x:f>
        <x:v>0</x:v>
      </x:c>
      <x:c r="X79" s="253">
        <x:f>'REMUNERACION_OCCIDENTE_ Directa'!X107</x:f>
        <x:v>0</x:v>
      </x:c>
      <x:c r="Y79" s="254">
        <x:f>'REMUNERACION_OCCIDENTE_ Directa'!Y107</x:f>
        <x:v>0</x:v>
      </x:c>
      <x:c r="Z79" s="255">
        <x:f>'REMUNERACION_OCCIDENTE_ Directa'!Z107</x:f>
        <x:v>0</x:v>
      </x:c>
      <x:c r="AA79" s="256">
        <x:f>'REMUNERACION_OCCIDENTE_ Directa'!AA107</x:f>
        <x:v>0</x:v>
      </x:c>
      <x:c r="AB79" s="230">
        <x:f>'REMUNERACION_OCCIDENTE_ Directa'!AB107</x:f>
        <x:v>0</x:v>
      </x:c>
      <x:c r="AC79" s="256">
        <x:f>'REMUNERACION_OCCIDENTE_ Directa'!AC107</x:f>
        <x:v>0</x:v>
      </x:c>
      <x:c r="AD79" s="227">
        <x:f>'REMUNERACION_OCCIDENTE_ Directa'!AD107</x:f>
        <x:v>0</x:v>
      </x:c>
      <x:c r="AE79" s="227">
        <x:f>'REMUNERACION_OCCIDENTE_ Directa'!AE107</x:f>
        <x:v>0</x:v>
      </x:c>
      <x:c r="AF79" s="258">
        <x:f>'REMUNERACION_OCCIDENTE_ Directa'!AF107</x:f>
        <x:v>0</x:v>
      </x:c>
      <x:c r="AG79" s="440">
        <x:f>'REMUNERACION_OCCIDENTE_ Directa'!AG107</x:f>
        <x:v>0</x:v>
      </x:c>
      <x:c r="AH79" s="1"/>
      <x:c r="AI79" s="242"/>
      <x:c r="AM79" s="269"/>
    </x:row>
    <x:row r="80" spans="1:39" s="241" customFormat="1" ht="12.75" thickBot="1" x14ac:dyDescent="0.25">
      <x:c r="B80" s="260">
        <x:v>5</x:v>
      </x:c>
      <x:c r="C80" s="261" t="s">
        <x:v>14</x:v>
      </x:c>
      <x:c r="D80" s="232">
        <x:f>'REMUNERACION_OCCIDENTE_ Directa'!D108</x:f>
        <x:v>0</x:v>
      </x:c>
      <x:c r="E80" s="233">
        <x:f>'REMUNERACION_OCCIDENTE_ Directa'!E108</x:f>
        <x:v>0</x:v>
      </x:c>
      <x:c r="F80" s="233">
        <x:f>'REMUNERACION_OCCIDENTE_ Directa'!F108</x:f>
        <x:v>0</x:v>
      </x:c>
      <x:c r="G80" s="233">
        <x:f>'REMUNERACION_OCCIDENTE_ Directa'!G108</x:f>
        <x:v>0</x:v>
      </x:c>
      <x:c r="H80" s="233">
        <x:f>'REMUNERACION_OCCIDENTE_ Directa'!H108</x:f>
        <x:v>0</x:v>
      </x:c>
      <x:c r="I80" s="233">
        <x:f>'REMUNERACION_OCCIDENTE_ Directa'!I108</x:f>
        <x:v>0</x:v>
      </x:c>
      <x:c r="J80" s="225">
        <x:f>'REMUNERACION_OCCIDENTE_ Directa'!J108</x:f>
        <x:v>0</x:v>
      </x:c>
      <x:c r="K80" s="231">
        <x:f>'REMUNERACION_OCCIDENTE_ Directa'!K108</x:f>
        <x:v>0</x:v>
      </x:c>
      <x:c r="L80" s="230">
        <x:f>'REMUNERACION_OCCIDENTE_ Directa'!L108</x:f>
        <x:v>0</x:v>
      </x:c>
      <x:c r="M80" s="234">
        <x:f>'REMUNERACION_OCCIDENTE_ Directa'!M108</x:f>
        <x:v>0</x:v>
      </x:c>
      <x:c r="N80" s="235">
        <x:f>'REMUNERACION_OCCIDENTE_ Directa'!N108</x:f>
        <x:v>0</x:v>
      </x:c>
      <x:c r="O80" s="234">
        <x:f>'REMUNERACION_OCCIDENTE_ Directa'!O108</x:f>
        <x:v>0</x:v>
      </x:c>
      <x:c r="Q80" s="242"/>
      <x:c r="S80" s="260">
        <x:v>5</x:v>
      </x:c>
      <x:c r="T80" s="261" t="s">
        <x:v>14</x:v>
      </x:c>
      <x:c r="U80" s="232">
        <x:f>'REMUNERACION_OCCIDENTE_ Directa'!U108</x:f>
        <x:v>0</x:v>
      </x:c>
      <x:c r="V80" s="233">
        <x:f>'REMUNERACION_OCCIDENTE_ Directa'!V108</x:f>
        <x:v>0</x:v>
      </x:c>
      <x:c r="W80" s="233">
        <x:f>'REMUNERACION_OCCIDENTE_ Directa'!W108</x:f>
        <x:v>0</x:v>
      </x:c>
      <x:c r="X80" s="233">
        <x:f>'REMUNERACION_OCCIDENTE_ Directa'!X108</x:f>
        <x:v>0</x:v>
      </x:c>
      <x:c r="Y80" s="225">
        <x:f>'REMUNERACION_OCCIDENTE_ Directa'!Y108</x:f>
        <x:v>0</x:v>
      </x:c>
      <x:c r="Z80" s="255">
        <x:f>'REMUNERACION_OCCIDENTE_ Directa'!Z108</x:f>
        <x:v>0</x:v>
      </x:c>
      <x:c r="AA80" s="256">
        <x:f>'REMUNERACION_OCCIDENTE_ Directa'!AA108</x:f>
        <x:v>0</x:v>
      </x:c>
      <x:c r="AB80" s="230">
        <x:f>'REMUNERACION_OCCIDENTE_ Directa'!AB108</x:f>
        <x:v>0</x:v>
      </x:c>
      <x:c r="AC80" s="256">
        <x:f>'REMUNERACION_OCCIDENTE_ Directa'!AC108</x:f>
        <x:v>0</x:v>
      </x:c>
      <x:c r="AD80" s="227">
        <x:f>'REMUNERACION_OCCIDENTE_ Directa'!AD108</x:f>
        <x:v>0</x:v>
      </x:c>
      <x:c r="AE80" s="227">
        <x:f>'REMUNERACION_OCCIDENTE_ Directa'!AE108</x:f>
        <x:v>0</x:v>
      </x:c>
      <x:c r="AF80" s="258">
        <x:f>'REMUNERACION_OCCIDENTE_ Directa'!AF108</x:f>
        <x:v>0</x:v>
      </x:c>
      <x:c r="AG80" s="441">
        <x:f>'REMUNERACION_OCCIDENTE_ Directa'!AG108</x:f>
        <x:v>0</x:v>
      </x:c>
      <x:c r="AH80" s="1"/>
      <x:c r="AI80" s="242"/>
      <x:c r="AM80" s="269"/>
    </x:row>
    <x:row r="81" spans="1:39" s="241" customFormat="1" ht="13.5" thickBot="1" x14ac:dyDescent="0.25">
      <x:c r="B81" s="263"/>
      <x:c r="C81" s="264" t="s">
        <x:v>2</x:v>
      </x:c>
      <x:c r="D81" s="226">
        <x:f>'REMUNERACION_OCCIDENTE_ Directa'!D109</x:f>
        <x:v>0</x:v>
      </x:c>
      <x:c r="E81" s="226">
        <x:f>'REMUNERACION_OCCIDENTE_ Directa'!E109</x:f>
        <x:v>0</x:v>
      </x:c>
      <x:c r="F81" s="226">
        <x:f>'REMUNERACION_OCCIDENTE_ Directa'!F109</x:f>
        <x:v>0</x:v>
      </x:c>
      <x:c r="G81" s="226">
        <x:f>'REMUNERACION_OCCIDENTE_ Directa'!G109</x:f>
        <x:v>0</x:v>
      </x:c>
      <x:c r="H81" s="226">
        <x:f>'REMUNERACION_OCCIDENTE_ Directa'!H109</x:f>
        <x:v>0</x:v>
      </x:c>
      <x:c r="I81" s="226">
        <x:f>'REMUNERACION_OCCIDENTE_ Directa'!I109</x:f>
        <x:v>0</x:v>
      </x:c>
      <x:c r="J81" s="226">
        <x:f>'REMUNERACION_OCCIDENTE_ Directa'!J109</x:f>
        <x:v>0</x:v>
      </x:c>
      <x:c r="K81" s="236">
        <x:f>'REMUNERACION_OCCIDENTE_ Directa'!K109</x:f>
        <x:v>0</x:v>
      </x:c>
      <x:c r="L81" s="237">
        <x:f>'REMUNERACION_OCCIDENTE_ Directa'!L109</x:f>
        <x:v>0</x:v>
      </x:c>
      <x:c r="M81" s="238">
        <x:f>'REMUNERACION_OCCIDENTE_ Directa'!M109</x:f>
        <x:v>0</x:v>
      </x:c>
      <x:c r="N81" s="237">
        <x:f>'REMUNERACION_OCCIDENTE_ Directa'!N109</x:f>
        <x:v>0</x:v>
      </x:c>
      <x:c r="O81" s="238">
        <x:f>'REMUNERACION_OCCIDENTE_ Directa'!O109</x:f>
        <x:v>0</x:v>
      </x:c>
      <x:c r="P81" s="265"/>
      <x:c r="Q81" s="242"/>
      <x:c r="S81" s="263"/>
      <x:c r="T81" s="264" t="s">
        <x:v>2</x:v>
      </x:c>
      <x:c r="U81" s="266">
        <x:f>'REMUNERACION_OCCIDENTE_ Directa'!U109</x:f>
        <x:v>0</x:v>
      </x:c>
      <x:c r="V81" s="266">
        <x:f>'REMUNERACION_OCCIDENTE_ Directa'!V109</x:f>
        <x:v>0</x:v>
      </x:c>
      <x:c r="W81" s="266">
        <x:f>'REMUNERACION_OCCIDENTE_ Directa'!W109</x:f>
        <x:v>0</x:v>
      </x:c>
      <x:c r="X81" s="266">
        <x:f>'REMUNERACION_OCCIDENTE_ Directa'!X109</x:f>
        <x:v>0</x:v>
      </x:c>
      <x:c r="Y81" s="266">
        <x:f>'REMUNERACION_OCCIDENTE_ Directa'!Y109</x:f>
        <x:v>0</x:v>
      </x:c>
      <x:c r="Z81" s="226">
        <x:f>'REMUNERACION_OCCIDENTE_ Directa'!Z109</x:f>
        <x:v>0</x:v>
      </x:c>
      <x:c r="AA81" s="226">
        <x:f>'REMUNERACION_OCCIDENTE_ Directa'!AA109</x:f>
        <x:v>0</x:v>
      </x:c>
      <x:c r="AB81" s="226">
        <x:f>'REMUNERACION_OCCIDENTE_ Directa'!AB109</x:f>
        <x:v>0</x:v>
      </x:c>
      <x:c r="AC81" s="226">
        <x:f>'REMUNERACION_OCCIDENTE_ Directa'!AC109</x:f>
        <x:v>0</x:v>
      </x:c>
      <x:c r="AD81" s="226">
        <x:f>'REMUNERACION_OCCIDENTE_ Directa'!AD109</x:f>
        <x:v>0</x:v>
      </x:c>
      <x:c r="AE81" s="226">
        <x:f>'REMUNERACION_OCCIDENTE_ Directa'!AE109</x:f>
        <x:v>0</x:v>
      </x:c>
      <x:c r="AF81" s="267">
        <x:f>'REMUNERACION_OCCIDENTE_ Directa'!AF109</x:f>
        <x:v>0</x:v>
      </x:c>
      <x:c r="AG81" s="442">
        <x:f>'REMUNERACION_OCCIDENTE_ Directa'!AG109</x:f>
        <x:v>0</x:v>
      </x:c>
      <x:c r="AH81" s="1"/>
      <x:c r="AI81" s="242"/>
      <x:c r="AM81" s="269"/>
    </x:row>
    <x:row r="82" spans="1:39" ht="12.75" thickBot="1" x14ac:dyDescent="0.25">
      <x:c r="B82" s="2"/>
      <x:c r="C82" s="2"/>
      <x:c r="D82" s="374"/>
      <x:c r="E82" s="374"/>
      <x:c r="F82" s="374"/>
      <x:c r="G82" s="374"/>
      <x:c r="H82" s="374"/>
      <x:c r="I82" s="374"/>
      <x:c r="K82" s="374"/>
      <x:c r="L82" s="374"/>
      <x:c r="M82" s="374"/>
      <x:c r="N82" s="374"/>
      <x:c r="O82" s="374"/>
      <x:c r="Q82" s="4"/>
      <x:c r="S82" s="2"/>
      <x:c r="T82" s="2"/>
      <x:c r="U82" s="374"/>
      <x:c r="V82" s="374"/>
      <x:c r="W82" s="374"/>
      <x:c r="X82" s="374"/>
      <x:c r="Y82" s="374"/>
      <x:c r="AF82" s="374"/>
      <x:c r="AI82" s="4"/>
    </x:row>
    <x:row r="83" spans="1:39" ht="12.75" thickBot="1" x14ac:dyDescent="0.25">
      <x:c r="B83" s="2"/>
      <x:c r="C83" s="2"/>
      <x:c r="D83" s="374"/>
      <x:c r="E83" s="374"/>
      <x:c r="F83" s="374"/>
      <x:c r="G83" s="374"/>
      <x:c r="H83" s="374"/>
      <x:c r="I83" s="374"/>
      <x:c r="K83" s="374"/>
      <x:c r="L83" s="374"/>
      <x:c r="M83" s="374"/>
      <x:c r="N83" s="374"/>
      <x:c r="O83" s="374"/>
      <x:c r="Q83" s="4"/>
      <x:c r="Y83" s="375"/>
      <x:c r="AI83" s="4"/>
    </x:row>
    <x:row r="84" spans="1:39" x14ac:dyDescent="0.2">
      <x:c r="A84" s="4"/>
      <x:c r="B84" s="34"/>
      <x:c r="C84" s="34"/>
      <x:c r="D84" s="397"/>
      <x:c r="E84" s="397"/>
      <x:c r="F84" s="397"/>
      <x:c r="G84" s="397"/>
      <x:c r="H84" s="397"/>
      <x:c r="I84" s="397"/>
      <x:c r="J84" s="4"/>
      <x:c r="K84" s="397"/>
      <x:c r="L84" s="397"/>
      <x:c r="M84" s="397"/>
      <x:c r="N84" s="397"/>
      <x:c r="O84" s="397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.75" thickBot="1" x14ac:dyDescent="0.25">
      <x:c r="Q85" s="4"/>
      <x:c r="AI85" s="4"/>
    </x:row>
    <x:row r="86" spans="1:39" x14ac:dyDescent="0.2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5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75" x14ac:dyDescent="0.25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5" x14ac:dyDescent="0.25">
      <x:c r="B89" s="8"/>
      <x:c r="F89" s="2" t="s">
        <x:v>30</x:v>
      </x:c>
      <x:c r="G89" s="2"/>
      <x:c r="L89" s="90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75" x14ac:dyDescent="0.25">
      <x:c r="B90" s="8"/>
      <x:c r="C90" s="2"/>
      <x:c r="D90" s="9"/>
      <x:c r="F90" s="58" t="s">
        <x:v>188</x:v>
      </x:c>
      <x:c r="G90" s="58"/>
      <x:c r="H90" s="59"/>
      <x:c r="I90" s="60"/>
      <x:c r="J90" s="59"/>
      <x:c r="K90" s="60"/>
      <x:c r="L90" s="90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8" thickBot="1" x14ac:dyDescent="0.35">
      <x:c r="B91" s="8"/>
      <x:c r="C91" s="2"/>
      <x:c r="D91" s="198"/>
      <x:c r="F91" s="2"/>
      <x:c r="G91" s="9"/>
      <x:c r="J91" s="2"/>
      <x:c r="K91" s="9"/>
      <x:c r="L91" s="91"/>
      <x:c r="O91" s="10"/>
      <x:c r="P91" s="2"/>
      <x:c r="Q91" s="4"/>
      <x:c r="S91" s="8"/>
      <x:c r="V91" s="9"/>
      <x:c r="Y91" s="9"/>
      <x:c r="AF91" s="48"/>
      <x:c r="AG91" s="2"/>
      <x:c r="AI91" s="4"/>
      <x:c r="AJ91" s="105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46" t="s">
        <x:v>39</x:v>
      </x:c>
      <x:c r="V92" s="147" t="s">
        <x:v>40</x:v>
      </x:c>
      <x:c r="W92" s="147" t="s">
        <x:v>41</x:v>
      </x:c>
      <x:c r="X92" s="147" t="s">
        <x:v>42</x:v>
      </x:c>
      <x:c r="Y92" s="148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167</x:v>
      </x:c>
      <x:c r="AD92" s="114" t="s">
        <x:v>105</x:v>
      </x:c>
      <x:c r="AE92" s="114" t="s">
        <x:v>104</x:v>
      </x:c>
      <x:c r="AF92" s="39" t="s">
        <x:v>23</x:v>
      </x:c>
      <x:c r="AG92" s="13"/>
      <x:c r="AI92" s="4"/>
    </x:row>
    <x:row r="93" spans="1:39" s="241" customFormat="1" x14ac:dyDescent="0.2">
      <x:c r="B93" s="239">
        <x:v>1</x:v>
      </x:c>
      <x:c r="C93" s="240" t="s">
        <x:v>10</x:v>
      </x:c>
      <x:c r="D93" s="227">
        <x:f>'REMUNERACION_EAAB-CL'!D104</x:f>
        <x:v>0</x:v>
      </x:c>
      <x:c r="E93" s="228">
        <x:f>'REMUNERACION_EAAB-CL'!E104</x:f>
        <x:v>0</x:v>
      </x:c>
      <x:c r="F93" s="228">
        <x:f>'REMUNERACION_EAAB-CL'!F104</x:f>
        <x:v>0</x:v>
      </x:c>
      <x:c r="G93" s="228">
        <x:f>'REMUNERACION_EAAB-CL'!G104</x:f>
        <x:v>0</x:v>
      </x:c>
      <x:c r="H93" s="228">
        <x:f>'REMUNERACION_EAAB-CL'!H104</x:f>
        <x:v>0</x:v>
      </x:c>
      <x:c r="I93" s="228">
        <x:f>'REMUNERACION_EAAB-CL'!I104</x:f>
        <x:v>0</x:v>
      </x:c>
      <x:c r="J93" s="224">
        <x:f>'REMUNERACION_EAAB-CL'!J104</x:f>
        <x:v>0</x:v>
      </x:c>
      <x:c r="K93" s="229">
        <x:f>'REMUNERACION_EAAB-CL'!K104</x:f>
        <x:v>0</x:v>
      </x:c>
      <x:c r="L93" s="230">
        <x:f>'REMUNERACION_EAAB-CL'!L104</x:f>
        <x:v>0</x:v>
      </x:c>
      <x:c r="M93" s="229">
        <x:f>'REMUNERACION_EAAB-CL'!M104</x:f>
        <x:v>0</x:v>
      </x:c>
      <x:c r="N93" s="230">
        <x:f>'REMUNERACION_EAAB-CL'!N104</x:f>
        <x:v>0</x:v>
      </x:c>
      <x:c r="O93" s="229">
        <x:f>'REMUNERACION_EAAB-CL'!O104</x:f>
        <x:v>0</x:v>
      </x:c>
      <x:c r="Q93" s="242"/>
      <x:c r="S93" s="239">
        <x:v>1</x:v>
      </x:c>
      <x:c r="T93" s="240" t="s">
        <x:v>10</x:v>
      </x:c>
      <x:c r="U93" s="243">
        <x:f>'REMUNERACION_EAAB-CL'!U104</x:f>
        <x:v>0</x:v>
      </x:c>
      <x:c r="V93" s="244">
        <x:f>'REMUNERACION_EAAB-CL'!V104</x:f>
        <x:v>0</x:v>
      </x:c>
      <x:c r="W93" s="244">
        <x:f>'REMUNERACION_EAAB-CL'!W104</x:f>
        <x:v>0</x:v>
      </x:c>
      <x:c r="X93" s="244">
        <x:f>'REMUNERACION_EAAB-CL'!X104</x:f>
        <x:v>0</x:v>
      </x:c>
      <x:c r="Y93" s="245">
        <x:f>'REMUNERACION_EAAB-CL'!Y104</x:f>
        <x:v>0</x:v>
      </x:c>
      <x:c r="Z93" s="246">
        <x:f>'REMUNERACION_EAAB-CL'!Z104</x:f>
        <x:v>0</x:v>
      </x:c>
      <x:c r="AA93" s="247">
        <x:f>'REMUNERACION_EAAB-CL'!AA104</x:f>
        <x:v>0</x:v>
      </x:c>
      <x:c r="AB93" s="230">
        <x:f>'REMUNERACION_EAAB-CL'!AB104</x:f>
        <x:v>0</x:v>
      </x:c>
      <x:c r="AC93" s="247">
        <x:f>'REMUNERACION_EAAB-CL'!AC104</x:f>
        <x:v>0</x:v>
      </x:c>
      <x:c r="AD93" s="227">
        <x:f>'REMUNERACION_EAAB-CL'!AD104</x:f>
        <x:v>0</x:v>
      </x:c>
      <x:c r="AE93" s="227">
        <x:f>'REMUNERACION_EAAB-CL'!AE104</x:f>
        <x:v>0</x:v>
      </x:c>
      <x:c r="AF93" s="249">
        <x:f>'REMUNERACION_EAAB-CL'!AF104</x:f>
        <x:v>0</x:v>
      </x:c>
      <x:c r="AG93" s="439">
        <x:f>'REMUNERACION_EAAB-CL'!AG104</x:f>
        <x:v>0</x:v>
      </x:c>
      <x:c r="AH93" s="1"/>
      <x:c r="AI93" s="242"/>
      <x:c r="AM93" s="269"/>
    </x:row>
    <x:row r="94" spans="1:39" s="241" customFormat="1" x14ac:dyDescent="0.2">
      <x:c r="B94" s="250">
        <x:v>2</x:v>
      </x:c>
      <x:c r="C94" s="251" t="s">
        <x:v>11</x:v>
      </x:c>
      <x:c r="D94" s="227">
        <x:f>'REMUNERACION_EAAB-CL'!D105</x:f>
        <x:v>0</x:v>
      </x:c>
      <x:c r="E94" s="228">
        <x:f>'REMUNERACION_EAAB-CL'!E105</x:f>
        <x:v>0</x:v>
      </x:c>
      <x:c r="F94" s="228">
        <x:f>'REMUNERACION_EAAB-CL'!F105</x:f>
        <x:v>0</x:v>
      </x:c>
      <x:c r="G94" s="228">
        <x:f>'REMUNERACION_EAAB-CL'!G105</x:f>
        <x:v>0</x:v>
      </x:c>
      <x:c r="H94" s="228">
        <x:f>'REMUNERACION_EAAB-CL'!H105</x:f>
        <x:v>0</x:v>
      </x:c>
      <x:c r="I94" s="228">
        <x:f>'REMUNERACION_EAAB-CL'!I105</x:f>
        <x:v>0</x:v>
      </x:c>
      <x:c r="J94" s="224">
        <x:f>'REMUNERACION_EAAB-CL'!J105</x:f>
        <x:v>0</x:v>
      </x:c>
      <x:c r="K94" s="231">
        <x:f>'REMUNERACION_EAAB-CL'!K105</x:f>
        <x:v>0</x:v>
      </x:c>
      <x:c r="L94" s="230">
        <x:f>'REMUNERACION_EAAB-CL'!L105</x:f>
        <x:v>0</x:v>
      </x:c>
      <x:c r="M94" s="231">
        <x:f>'REMUNERACION_EAAB-CL'!M105</x:f>
        <x:v>0</x:v>
      </x:c>
      <x:c r="N94" s="230">
        <x:f>'REMUNERACION_EAAB-CL'!N105</x:f>
        <x:v>0</x:v>
      </x:c>
      <x:c r="O94" s="231">
        <x:f>'REMUNERACION_EAAB-CL'!O105</x:f>
        <x:v>0</x:v>
      </x:c>
      <x:c r="Q94" s="242"/>
      <x:c r="S94" s="250">
        <x:v>2</x:v>
      </x:c>
      <x:c r="T94" s="251" t="s">
        <x:v>11</x:v>
      </x:c>
      <x:c r="U94" s="252">
        <x:f>'REMUNERACION_EAAB-CL'!U105</x:f>
        <x:v>0</x:v>
      </x:c>
      <x:c r="V94" s="253">
        <x:f>'REMUNERACION_EAAB-CL'!V105</x:f>
        <x:v>0</x:v>
      </x:c>
      <x:c r="W94" s="253">
        <x:f>'REMUNERACION_EAAB-CL'!W105</x:f>
        <x:v>0</x:v>
      </x:c>
      <x:c r="X94" s="253">
        <x:f>'REMUNERACION_EAAB-CL'!X105</x:f>
        <x:v>0</x:v>
      </x:c>
      <x:c r="Y94" s="254">
        <x:f>'REMUNERACION_EAAB-CL'!Y105</x:f>
        <x:v>0</x:v>
      </x:c>
      <x:c r="Z94" s="255">
        <x:f>'REMUNERACION_EAAB-CL'!Z105</x:f>
        <x:v>0</x:v>
      </x:c>
      <x:c r="AA94" s="256">
        <x:f>'REMUNERACION_EAAB-CL'!AA105</x:f>
        <x:v>0</x:v>
      </x:c>
      <x:c r="AB94" s="230">
        <x:f>'REMUNERACION_EAAB-CL'!AB105</x:f>
        <x:v>0</x:v>
      </x:c>
      <x:c r="AC94" s="256">
        <x:f>'REMUNERACION_EAAB-CL'!AC105</x:f>
        <x:v>0</x:v>
      </x:c>
      <x:c r="AD94" s="227">
        <x:f>'REMUNERACION_EAAB-CL'!AD105</x:f>
        <x:v>0</x:v>
      </x:c>
      <x:c r="AE94" s="227">
        <x:f>'REMUNERACION_EAAB-CL'!AE105</x:f>
        <x:v>0</x:v>
      </x:c>
      <x:c r="AF94" s="258">
        <x:f>'REMUNERACION_EAAB-CL'!AF105</x:f>
        <x:v>0</x:v>
      </x:c>
      <x:c r="AG94" s="440">
        <x:f>'REMUNERACION_EAAB-CL'!AG105</x:f>
        <x:v>0</x:v>
      </x:c>
      <x:c r="AH94" s="1"/>
      <x:c r="AI94" s="242"/>
      <x:c r="AM94" s="269"/>
    </x:row>
    <x:row r="95" spans="1:39" s="241" customFormat="1" x14ac:dyDescent="0.2">
      <x:c r="B95" s="250">
        <x:v>3</x:v>
      </x:c>
      <x:c r="C95" s="251" t="s">
        <x:v>12</x:v>
      </x:c>
      <x:c r="D95" s="227">
        <x:f>'REMUNERACION_EAAB-CL'!D106</x:f>
        <x:v>0</x:v>
      </x:c>
      <x:c r="E95" s="228">
        <x:f>'REMUNERACION_EAAB-CL'!E106</x:f>
        <x:v>0</x:v>
      </x:c>
      <x:c r="F95" s="228">
        <x:f>'REMUNERACION_EAAB-CL'!F106</x:f>
        <x:v>0</x:v>
      </x:c>
      <x:c r="G95" s="228">
        <x:f>'REMUNERACION_EAAB-CL'!G106</x:f>
        <x:v>0</x:v>
      </x:c>
      <x:c r="H95" s="228">
        <x:f>'REMUNERACION_EAAB-CL'!H106</x:f>
        <x:v>0</x:v>
      </x:c>
      <x:c r="I95" s="228">
        <x:f>'REMUNERACION_EAAB-CL'!I106</x:f>
        <x:v>0</x:v>
      </x:c>
      <x:c r="J95" s="224">
        <x:f>'REMUNERACION_EAAB-CL'!J106</x:f>
        <x:v>0</x:v>
      </x:c>
      <x:c r="K95" s="231">
        <x:f>'REMUNERACION_EAAB-CL'!K106</x:f>
        <x:v>0</x:v>
      </x:c>
      <x:c r="L95" s="230">
        <x:f>'REMUNERACION_EAAB-CL'!L106</x:f>
        <x:v>0</x:v>
      </x:c>
      <x:c r="M95" s="231">
        <x:f>'REMUNERACION_EAAB-CL'!M106</x:f>
        <x:v>0</x:v>
      </x:c>
      <x:c r="N95" s="230">
        <x:f>'REMUNERACION_EAAB-CL'!N106</x:f>
        <x:v>0</x:v>
      </x:c>
      <x:c r="O95" s="231">
        <x:f>'REMUNERACION_EAAB-CL'!O106</x:f>
        <x:v>0</x:v>
      </x:c>
      <x:c r="Q95" s="242"/>
      <x:c r="S95" s="250">
        <x:v>3</x:v>
      </x:c>
      <x:c r="T95" s="251" t="s">
        <x:v>12</x:v>
      </x:c>
      <x:c r="U95" s="252">
        <x:f>'REMUNERACION_EAAB-CL'!U106</x:f>
        <x:v>0</x:v>
      </x:c>
      <x:c r="V95" s="253">
        <x:f>'REMUNERACION_EAAB-CL'!V106</x:f>
        <x:v>0</x:v>
      </x:c>
      <x:c r="W95" s="253">
        <x:f>'REMUNERACION_EAAB-CL'!W106</x:f>
        <x:v>0</x:v>
      </x:c>
      <x:c r="X95" s="253">
        <x:f>'REMUNERACION_EAAB-CL'!X106</x:f>
        <x:v>0</x:v>
      </x:c>
      <x:c r="Y95" s="254">
        <x:f>'REMUNERACION_EAAB-CL'!Y106</x:f>
        <x:v>0</x:v>
      </x:c>
      <x:c r="Z95" s="255">
        <x:f>'REMUNERACION_EAAB-CL'!Z106</x:f>
        <x:v>0</x:v>
      </x:c>
      <x:c r="AA95" s="256">
        <x:f>'REMUNERACION_EAAB-CL'!AA106</x:f>
        <x:v>0</x:v>
      </x:c>
      <x:c r="AB95" s="230">
        <x:f>'REMUNERACION_EAAB-CL'!AB106</x:f>
        <x:v>0</x:v>
      </x:c>
      <x:c r="AC95" s="256">
        <x:f>'REMUNERACION_EAAB-CL'!AC106</x:f>
        <x:v>0</x:v>
      </x:c>
      <x:c r="AD95" s="227">
        <x:f>'REMUNERACION_EAAB-CL'!AD106</x:f>
        <x:v>0</x:v>
      </x:c>
      <x:c r="AE95" s="227">
        <x:f>'REMUNERACION_EAAB-CL'!AE106</x:f>
        <x:v>0</x:v>
      </x:c>
      <x:c r="AF95" s="258">
        <x:f>'REMUNERACION_EAAB-CL'!AF106</x:f>
        <x:v>0</x:v>
      </x:c>
      <x:c r="AG95" s="440">
        <x:f>'REMUNERACION_EAAB-CL'!AG106</x:f>
        <x:v>0</x:v>
      </x:c>
      <x:c r="AH95" s="1"/>
      <x:c r="AI95" s="242"/>
      <x:c r="AM95" s="269"/>
    </x:row>
    <x:row r="96" spans="1:39" s="241" customFormat="1" x14ac:dyDescent="0.2">
      <x:c r="B96" s="250">
        <x:v>4</x:v>
      </x:c>
      <x:c r="C96" s="251" t="s">
        <x:v>13</x:v>
      </x:c>
      <x:c r="D96" s="227">
        <x:f>'REMUNERACION_EAAB-CL'!D107</x:f>
        <x:v>0</x:v>
      </x:c>
      <x:c r="E96" s="228">
        <x:f>'REMUNERACION_EAAB-CL'!E107</x:f>
        <x:v>0</x:v>
      </x:c>
      <x:c r="F96" s="228">
        <x:f>'REMUNERACION_EAAB-CL'!F107</x:f>
        <x:v>0</x:v>
      </x:c>
      <x:c r="G96" s="228">
        <x:f>'REMUNERACION_EAAB-CL'!G107</x:f>
        <x:v>0</x:v>
      </x:c>
      <x:c r="H96" s="228">
        <x:f>'REMUNERACION_EAAB-CL'!H107</x:f>
        <x:v>0</x:v>
      </x:c>
      <x:c r="I96" s="228">
        <x:f>'REMUNERACION_EAAB-CL'!I107</x:f>
        <x:v>0</x:v>
      </x:c>
      <x:c r="J96" s="224">
        <x:f>'REMUNERACION_EAAB-CL'!J107</x:f>
        <x:v>0</x:v>
      </x:c>
      <x:c r="K96" s="231">
        <x:f>'REMUNERACION_EAAB-CL'!K107</x:f>
        <x:v>0</x:v>
      </x:c>
      <x:c r="L96" s="230">
        <x:f>'REMUNERACION_EAAB-CL'!L107</x:f>
        <x:v>0</x:v>
      </x:c>
      <x:c r="M96" s="231">
        <x:f>'REMUNERACION_EAAB-CL'!M107</x:f>
        <x:v>0</x:v>
      </x:c>
      <x:c r="N96" s="230">
        <x:f>'REMUNERACION_EAAB-CL'!N107</x:f>
        <x:v>0</x:v>
      </x:c>
      <x:c r="O96" s="231">
        <x:f>'REMUNERACION_EAAB-CL'!O107</x:f>
        <x:v>0</x:v>
      </x:c>
      <x:c r="Q96" s="242"/>
      <x:c r="S96" s="250">
        <x:v>4</x:v>
      </x:c>
      <x:c r="T96" s="251" t="s">
        <x:v>13</x:v>
      </x:c>
      <x:c r="U96" s="252">
        <x:f>'REMUNERACION_EAAB-CL'!U107</x:f>
        <x:v>0</x:v>
      </x:c>
      <x:c r="V96" s="253">
        <x:f>'REMUNERACION_EAAB-CL'!V107</x:f>
        <x:v>0</x:v>
      </x:c>
      <x:c r="W96" s="253">
        <x:f>'REMUNERACION_EAAB-CL'!W107</x:f>
        <x:v>0</x:v>
      </x:c>
      <x:c r="X96" s="253">
        <x:f>'REMUNERACION_EAAB-CL'!X107</x:f>
        <x:v>0</x:v>
      </x:c>
      <x:c r="Y96" s="254">
        <x:f>'REMUNERACION_EAAB-CL'!Y107</x:f>
        <x:v>0</x:v>
      </x:c>
      <x:c r="Z96" s="255">
        <x:f>'REMUNERACION_EAAB-CL'!Z107</x:f>
        <x:v>0</x:v>
      </x:c>
      <x:c r="AA96" s="256">
        <x:f>'REMUNERACION_EAAB-CL'!AA107</x:f>
        <x:v>0</x:v>
      </x:c>
      <x:c r="AB96" s="230">
        <x:f>'REMUNERACION_EAAB-CL'!AB107</x:f>
        <x:v>0</x:v>
      </x:c>
      <x:c r="AC96" s="256">
        <x:f>'REMUNERACION_EAAB-CL'!AC107</x:f>
        <x:v>0</x:v>
      </x:c>
      <x:c r="AD96" s="227">
        <x:f>'REMUNERACION_EAAB-CL'!AD107</x:f>
        <x:v>0</x:v>
      </x:c>
      <x:c r="AE96" s="227">
        <x:f>'REMUNERACION_EAAB-CL'!AE107</x:f>
        <x:v>0</x:v>
      </x:c>
      <x:c r="AF96" s="258">
        <x:f>'REMUNERACION_EAAB-CL'!AF107</x:f>
        <x:v>0</x:v>
      </x:c>
      <x:c r="AG96" s="440">
        <x:f>'REMUNERACION_EAAB-CL'!AG107</x:f>
        <x:v>0</x:v>
      </x:c>
      <x:c r="AH96" s="1"/>
      <x:c r="AI96" s="242"/>
      <x:c r="AM96" s="269"/>
    </x:row>
    <x:row r="97" spans="1:39" s="241" customFormat="1" ht="12.75" thickBot="1" x14ac:dyDescent="0.25">
      <x:c r="B97" s="260">
        <x:v>5</x:v>
      </x:c>
      <x:c r="C97" s="261" t="s">
        <x:v>14</x:v>
      </x:c>
      <x:c r="D97" s="232">
        <x:f>'REMUNERACION_EAAB-CL'!D108</x:f>
        <x:v>0</x:v>
      </x:c>
      <x:c r="E97" s="233">
        <x:f>'REMUNERACION_EAAB-CL'!E108</x:f>
        <x:v>0</x:v>
      </x:c>
      <x:c r="F97" s="233">
        <x:f>'REMUNERACION_EAAB-CL'!F108</x:f>
        <x:v>0</x:v>
      </x:c>
      <x:c r="G97" s="233">
        <x:f>'REMUNERACION_EAAB-CL'!G108</x:f>
        <x:v>0</x:v>
      </x:c>
      <x:c r="H97" s="233">
        <x:f>'REMUNERACION_EAAB-CL'!H108</x:f>
        <x:v>0</x:v>
      </x:c>
      <x:c r="I97" s="233">
        <x:f>'REMUNERACION_EAAB-CL'!I108</x:f>
        <x:v>0</x:v>
      </x:c>
      <x:c r="J97" s="225">
        <x:f>'REMUNERACION_EAAB-CL'!J108</x:f>
        <x:v>0</x:v>
      </x:c>
      <x:c r="K97" s="231">
        <x:f>'REMUNERACION_EAAB-CL'!K108</x:f>
        <x:v>0</x:v>
      </x:c>
      <x:c r="L97" s="230">
        <x:f>'REMUNERACION_EAAB-CL'!L108</x:f>
        <x:v>0</x:v>
      </x:c>
      <x:c r="M97" s="234">
        <x:f>'REMUNERACION_EAAB-CL'!M108</x:f>
        <x:v>0</x:v>
      </x:c>
      <x:c r="N97" s="235">
        <x:f>'REMUNERACION_EAAB-CL'!N108</x:f>
        <x:v>0</x:v>
      </x:c>
      <x:c r="O97" s="234">
        <x:f>'REMUNERACION_EAAB-CL'!O108</x:f>
        <x:v>0</x:v>
      </x:c>
      <x:c r="Q97" s="242"/>
      <x:c r="S97" s="260">
        <x:v>5</x:v>
      </x:c>
      <x:c r="T97" s="261" t="s">
        <x:v>14</x:v>
      </x:c>
      <x:c r="U97" s="232">
        <x:f>'REMUNERACION_EAAB-CL'!U108</x:f>
        <x:v>0</x:v>
      </x:c>
      <x:c r="V97" s="233">
        <x:f>'REMUNERACION_EAAB-CL'!V108</x:f>
        <x:v>0</x:v>
      </x:c>
      <x:c r="W97" s="233">
        <x:f>'REMUNERACION_EAAB-CL'!W108</x:f>
        <x:v>0</x:v>
      </x:c>
      <x:c r="X97" s="233">
        <x:f>'REMUNERACION_EAAB-CL'!X108</x:f>
        <x:v>0</x:v>
      </x:c>
      <x:c r="Y97" s="225">
        <x:f>'REMUNERACION_EAAB-CL'!Y108</x:f>
        <x:v>0</x:v>
      </x:c>
      <x:c r="Z97" s="255">
        <x:f>'REMUNERACION_EAAB-CL'!Z108</x:f>
        <x:v>0</x:v>
      </x:c>
      <x:c r="AA97" s="256">
        <x:f>'REMUNERACION_EAAB-CL'!AA108</x:f>
        <x:v>0</x:v>
      </x:c>
      <x:c r="AB97" s="230">
        <x:f>'REMUNERACION_EAAB-CL'!AB108</x:f>
        <x:v>0</x:v>
      </x:c>
      <x:c r="AC97" s="256">
        <x:f>'REMUNERACION_EAAB-CL'!AC108</x:f>
        <x:v>0</x:v>
      </x:c>
      <x:c r="AD97" s="227">
        <x:f>'REMUNERACION_EAAB-CL'!AD108</x:f>
        <x:v>0</x:v>
      </x:c>
      <x:c r="AE97" s="227">
        <x:f>'REMUNERACION_EAAB-CL'!AE108</x:f>
        <x:v>0</x:v>
      </x:c>
      <x:c r="AF97" s="258">
        <x:f>'REMUNERACION_EAAB-CL'!AF108</x:f>
        <x:v>0</x:v>
      </x:c>
      <x:c r="AG97" s="441">
        <x:f>'REMUNERACION_EAAB-CL'!AG108</x:f>
        <x:v>0</x:v>
      </x:c>
      <x:c r="AH97" s="1"/>
      <x:c r="AI97" s="242"/>
      <x:c r="AM97" s="269"/>
    </x:row>
    <x:row r="98" spans="1:39" s="241" customFormat="1" ht="13.5" thickBot="1" x14ac:dyDescent="0.25">
      <x:c r="B98" s="263"/>
      <x:c r="C98" s="264" t="s">
        <x:v>2</x:v>
      </x:c>
      <x:c r="D98" s="226">
        <x:f>'REMUNERACION_EAAB-CL'!D109</x:f>
        <x:v>0</x:v>
      </x:c>
      <x:c r="E98" s="226">
        <x:f>'REMUNERACION_EAAB-CL'!E109</x:f>
        <x:v>0</x:v>
      </x:c>
      <x:c r="F98" s="226">
        <x:f>'REMUNERACION_EAAB-CL'!F109</x:f>
        <x:v>0</x:v>
      </x:c>
      <x:c r="G98" s="226">
        <x:f>'REMUNERACION_EAAB-CL'!G109</x:f>
        <x:v>0</x:v>
      </x:c>
      <x:c r="H98" s="226">
        <x:f>'REMUNERACION_EAAB-CL'!H109</x:f>
        <x:v>0</x:v>
      </x:c>
      <x:c r="I98" s="226">
        <x:f>'REMUNERACION_EAAB-CL'!I109</x:f>
        <x:v>0</x:v>
      </x:c>
      <x:c r="J98" s="226">
        <x:f>'REMUNERACION_EAAB-CL'!J109</x:f>
        <x:v>0</x:v>
      </x:c>
      <x:c r="K98" s="236">
        <x:f>'REMUNERACION_EAAB-CL'!K109</x:f>
        <x:v>0</x:v>
      </x:c>
      <x:c r="L98" s="237">
        <x:f>'REMUNERACION_EAAB-CL'!L109</x:f>
        <x:v>0</x:v>
      </x:c>
      <x:c r="M98" s="238">
        <x:f>'REMUNERACION_EAAB-CL'!M109</x:f>
        <x:v>0</x:v>
      </x:c>
      <x:c r="N98" s="237">
        <x:f>'REMUNERACION_EAAB-CL'!N109</x:f>
        <x:v>0</x:v>
      </x:c>
      <x:c r="O98" s="238">
        <x:f>'REMUNERACION_EAAB-CL'!O109</x:f>
        <x:v>0</x:v>
      </x:c>
      <x:c r="P98" s="265"/>
      <x:c r="Q98" s="242"/>
      <x:c r="S98" s="263"/>
      <x:c r="T98" s="264" t="s">
        <x:v>2</x:v>
      </x:c>
      <x:c r="U98" s="266">
        <x:f>'REMUNERACION_EAAB-CL'!U109</x:f>
        <x:v>0</x:v>
      </x:c>
      <x:c r="V98" s="266">
        <x:f>'REMUNERACION_EAAB-CL'!V109</x:f>
        <x:v>0</x:v>
      </x:c>
      <x:c r="W98" s="266">
        <x:f>'REMUNERACION_EAAB-CL'!W109</x:f>
        <x:v>0</x:v>
      </x:c>
      <x:c r="X98" s="266">
        <x:f>'REMUNERACION_EAAB-CL'!X109</x:f>
        <x:v>0</x:v>
      </x:c>
      <x:c r="Y98" s="266">
        <x:f>'REMUNERACION_EAAB-CL'!Y109</x:f>
        <x:v>0</x:v>
      </x:c>
      <x:c r="Z98" s="226">
        <x:f>'REMUNERACION_EAAB-CL'!Z109</x:f>
        <x:v>0</x:v>
      </x:c>
      <x:c r="AA98" s="226">
        <x:f>'REMUNERACION_EAAB-CL'!AA109</x:f>
        <x:v>0</x:v>
      </x:c>
      <x:c r="AB98" s="226">
        <x:f>'REMUNERACION_EAAB-CL'!AB109</x:f>
        <x:v>0</x:v>
      </x:c>
      <x:c r="AC98" s="226">
        <x:f>'REMUNERACION_EAAB-CL'!AC109</x:f>
        <x:v>0</x:v>
      </x:c>
      <x:c r="AD98" s="226">
        <x:f>'REMUNERACION_EAAB-CL'!AD109</x:f>
        <x:v>0</x:v>
      </x:c>
      <x:c r="AE98" s="226">
        <x:f>'REMUNERACION_EAAB-CL'!AE109</x:f>
        <x:v>0</x:v>
      </x:c>
      <x:c r="AF98" s="267">
        <x:f>'REMUNERACION_EAAB-CL'!AF109</x:f>
        <x:v>0</x:v>
      </x:c>
      <x:c r="AG98" s="442">
        <x:f>'REMUNERACION_EAAB-CL'!AG109</x:f>
        <x:v>0</x:v>
      </x:c>
      <x:c r="AH98" s="1"/>
      <x:c r="AI98" s="242"/>
      <x:c r="AM98" s="269"/>
    </x:row>
    <x:row r="99" spans="1:39" ht="12.75" thickBot="1" x14ac:dyDescent="0.25">
      <x:c r="B99" s="2"/>
      <x:c r="C99" s="2"/>
      <x:c r="D99" s="149"/>
      <x:c r="E99" s="374"/>
      <x:c r="F99" s="374"/>
      <x:c r="G99" s="374"/>
      <x:c r="H99" s="374"/>
      <x:c r="I99" s="374"/>
      <x:c r="J99" s="149"/>
      <x:c r="K99" s="374"/>
      <x:c r="L99" s="374"/>
      <x:c r="M99" s="374"/>
      <x:c r="N99" s="374"/>
      <x:c r="O99" s="374"/>
      <x:c r="Q99" s="4"/>
      <x:c r="S99" s="2"/>
      <x:c r="T99" s="2"/>
      <x:c r="U99" s="374"/>
      <x:c r="V99" s="374"/>
      <x:c r="W99" s="374"/>
      <x:c r="X99" s="374"/>
      <x:c r="Y99" s="374"/>
      <x:c r="AF99" s="374"/>
      <x:c r="AI99" s="4"/>
    </x:row>
    <x:row r="100" spans="1:39" ht="12.75" thickBot="1" x14ac:dyDescent="0.25">
      <x:c r="B100" s="2"/>
      <x:c r="C100" s="2"/>
      <x:c r="D100" s="374"/>
      <x:c r="E100" s="374"/>
      <x:c r="F100" s="374"/>
      <x:c r="G100" s="374"/>
      <x:c r="H100" s="374"/>
      <x:c r="I100" s="374"/>
      <x:c r="K100" s="374"/>
      <x:c r="L100" s="374"/>
      <x:c r="M100" s="374"/>
      <x:c r="N100" s="374"/>
      <x:c r="O100" s="374"/>
      <x:c r="Q100" s="4"/>
      <x:c r="Y100" s="375"/>
      <x:c r="AI100" s="4"/>
    </x:row>
    <x:row r="101" spans="1:39" x14ac:dyDescent="0.2">
      <x:c r="A101" s="4"/>
      <x:c r="B101" s="34"/>
      <x:c r="C101" s="34"/>
      <x:c r="D101" s="397"/>
      <x:c r="E101" s="397"/>
      <x:c r="F101" s="397"/>
      <x:c r="G101" s="397"/>
      <x:c r="H101" s="397"/>
      <x:c r="I101" s="397"/>
      <x:c r="J101" s="4"/>
      <x:c r="K101" s="397"/>
      <x:c r="L101" s="397"/>
      <x:c r="M101" s="397"/>
      <x:c r="N101" s="397"/>
      <x:c r="O101" s="397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.75" thickBot="1" x14ac:dyDescent="0.25">
      <x:c r="Q102" s="4"/>
      <x:c r="AI102" s="4"/>
    </x:row>
    <x:row r="103" spans="1:39" x14ac:dyDescent="0.2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5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75" x14ac:dyDescent="0.25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5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75" x14ac:dyDescent="0.25">
      <x:c r="B107" s="8"/>
      <x:c r="C107" s="2"/>
      <x:c r="D107" s="9"/>
      <x:c r="F107" s="41" t="s">
        <x:v>190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190</x:v>
      </x:c>
      <x:c r="V107" s="2"/>
      <x:c r="X107" s="2"/>
      <x:c r="Y107" s="2"/>
      <x:c r="AF107" s="48"/>
      <x:c r="AG107" s="2"/>
      <x:c r="AI107" s="4"/>
    </x:row>
    <x:row r="108" spans="1:39" ht="12.75" thickBot="1" x14ac:dyDescent="0.25">
      <x:c r="B108" s="8"/>
      <x:c r="C108" s="2"/>
      <x:c r="D108" s="198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75" thickBot="1" x14ac:dyDescent="0.25">
      <x:c r="B109" s="11" t="s">
        <x:v>3</x:v>
      </x:c>
      <x:c r="C109" s="27" t="s">
        <x:v>9</x:v>
      </x:c>
      <x:c r="D109" s="97" t="s">
        <x:v>4</x:v>
      </x:c>
      <x:c r="E109" s="98" t="s">
        <x:v>5</x:v>
      </x:c>
      <x:c r="F109" s="98" t="s">
        <x:v>6</x:v>
      </x:c>
      <x:c r="G109" s="468" t="s">
        <x:v>159</x:v>
      </x:c>
      <x:c r="H109" s="98" t="s">
        <x:v>18</x:v>
      </x:c>
      <x:c r="I109" s="98" t="s">
        <x:v>24</x:v>
      </x:c>
      <x:c r="J109" s="134" t="s">
        <x:v>19</x:v>
      </x:c>
      <x:c r="K109" s="39" t="s">
        <x:v>20</x:v>
      </x:c>
      <x:c r="L109" s="469" t="s">
        <x:v>21</x:v>
      </x:c>
      <x:c r="M109" s="39" t="s">
        <x:v>22</x:v>
      </x:c>
      <x:c r="N109" s="98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46" t="s">
        <x:v>39</x:v>
      </x:c>
      <x:c r="V109" s="147" t="s">
        <x:v>40</x:v>
      </x:c>
      <x:c r="W109" s="147" t="s">
        <x:v>41</x:v>
      </x:c>
      <x:c r="X109" s="147" t="s">
        <x:v>42</x:v>
      </x:c>
      <x:c r="Y109" s="148" t="s">
        <x:v>43</x:v>
      </x:c>
      <x:c r="Z109" s="472" t="s">
        <x:v>21</x:v>
      </x:c>
      <x:c r="AA109" s="308" t="s">
        <x:v>46</x:v>
      </x:c>
      <x:c r="AB109" s="308" t="s">
        <x:v>7</x:v>
      </x:c>
      <x:c r="AC109" s="472" t="s">
        <x:v>167</x:v>
      </x:c>
      <x:c r="AD109" s="468" t="s">
        <x:v>105</x:v>
      </x:c>
      <x:c r="AE109" s="468" t="s">
        <x:v>104</x:v>
      </x:c>
      <x:c r="AF109" s="39" t="s">
        <x:v>23</x:v>
      </x:c>
      <x:c r="AG109" s="13"/>
      <x:c r="AI109" s="4"/>
    </x:row>
    <x:row r="110" spans="1:39" x14ac:dyDescent="0.2">
      <x:c r="B110" s="14">
        <x:v>1</x:v>
      </x:c>
      <x:c r="C110" s="61" t="s">
        <x:v>10</x:v>
      </x:c>
      <x:c r="D110" s="470">
        <x:f>D9-(D26+D60+D43+D76+D93)</x:f>
        <x:v>0</x:v>
      </x:c>
      <x:c r="E110" s="470">
        <x:f t="shared" ref="E110:O110" si="0">E9-(E26+E60+E43+E76+E93)</x:f>
        <x:v>0</x:v>
      </x:c>
      <x:c r="F110" s="470">
        <x:f t="shared" si="0"/>
        <x:v>0</x:v>
      </x:c>
      <x:c r="G110" s="470">
        <x:f t="shared" si="0"/>
        <x:v>0</x:v>
      </x:c>
      <x:c r="H110" s="470">
        <x:f t="shared" si="0"/>
        <x:v>0</x:v>
      </x:c>
      <x:c r="I110" s="470">
        <x:f t="shared" si="0"/>
        <x:v>0</x:v>
      </x:c>
      <x:c r="J110" s="470">
        <x:f t="shared" si="0"/>
        <x:v>0</x:v>
      </x:c>
      <x:c r="K110" s="470">
        <x:f t="shared" si="0"/>
        <x:v>0</x:v>
      </x:c>
      <x:c r="L110" s="470">
        <x:f t="shared" si="0"/>
        <x:v>0</x:v>
      </x:c>
      <x:c r="M110" s="470">
        <x:f t="shared" si="0"/>
        <x:v>0</x:v>
      </x:c>
      <x:c r="N110" s="470">
        <x:f t="shared" si="0"/>
        <x:v>0</x:v>
      </x:c>
      <x:c r="O110" s="470">
        <x:f t="shared" si="0"/>
        <x:v>0</x:v>
      </x:c>
      <x:c r="P110" s="403"/>
      <x:c r="Q110" s="404"/>
      <x:c r="R110" s="403"/>
      <x:c r="S110" s="405">
        <x:v>1</x:v>
      </x:c>
      <x:c r="T110" s="406" t="s">
        <x:v>10</x:v>
      </x:c>
      <x:c r="U110" s="470">
        <x:f>U9-(U26+U43+U60++U76+U93)</x:f>
        <x:v>0</x:v>
      </x:c>
      <x:c r="V110" s="470">
        <x:f t="shared" ref="V110:AF110" si="1">V9-(V26+V43+V60++V76+V93)</x:f>
        <x:v>0</x:v>
      </x:c>
      <x:c r="W110" s="470">
        <x:f t="shared" si="1"/>
        <x:v>0</x:v>
      </x:c>
      <x:c r="X110" s="470">
        <x:f t="shared" si="1"/>
        <x:v>0</x:v>
      </x:c>
      <x:c r="Y110" s="470">
        <x:f t="shared" si="1"/>
        <x:v>0</x:v>
      </x:c>
      <x:c r="Z110" s="470">
        <x:f t="shared" si="1"/>
        <x:v>0</x:v>
      </x:c>
      <x:c r="AA110" s="470">
        <x:f t="shared" si="1"/>
        <x:v>0</x:v>
      </x:c>
      <x:c r="AB110" s="470">
        <x:f t="shared" si="1"/>
        <x:v>0</x:v>
      </x:c>
      <x:c r="AC110" s="470">
        <x:f t="shared" si="1"/>
        <x:v>0</x:v>
      </x:c>
      <x:c r="AD110" s="470">
        <x:f t="shared" ref="AD110:AD115" si="2">AD9-(AD26+AD43+AD60+AD76+AD93)</x:f>
        <x:v>0</x:v>
      </x:c>
      <x:c r="AE110" s="470">
        <x:f t="shared" si="1"/>
        <x:v>0</x:v>
      </x:c>
      <x:c r="AF110" s="470">
        <x:f t="shared" si="1"/>
        <x:v>0</x:v>
      </x:c>
      <x:c r="AG110" s="470">
        <x:f t="shared" ref="AG110" si="3">AG9-(AG26+AG43+AG60++AG76+AG93)</x:f>
        <x:v>0</x:v>
      </x:c>
      <x:c r="AI110" s="404"/>
      <x:c r="AJ110" s="403"/>
    </x:row>
    <x:row r="111" spans="1:39" x14ac:dyDescent="0.2">
      <x:c r="B111" s="16">
        <x:v>2</x:v>
      </x:c>
      <x:c r="C111" s="62" t="s">
        <x:v>11</x:v>
      </x:c>
      <x:c r="D111" s="402">
        <x:f t="shared" ref="D111:O115" si="4">D10-(D27+D61+D44+D77+D94)</x:f>
        <x:v>0</x:v>
      </x:c>
      <x:c r="E111" s="402">
        <x:f t="shared" si="4"/>
        <x:v>0</x:v>
      </x:c>
      <x:c r="F111" s="402">
        <x:f t="shared" si="4"/>
        <x:v>0</x:v>
      </x:c>
      <x:c r="G111" s="402">
        <x:f t="shared" si="4"/>
        <x:v>0</x:v>
      </x:c>
      <x:c r="H111" s="402">
        <x:f t="shared" si="4"/>
        <x:v>0</x:v>
      </x:c>
      <x:c r="I111" s="402">
        <x:f t="shared" si="4"/>
        <x:v>0</x:v>
      </x:c>
      <x:c r="J111" s="402">
        <x:f t="shared" si="4"/>
        <x:v>0</x:v>
      </x:c>
      <x:c r="K111" s="402">
        <x:f t="shared" si="4"/>
        <x:v>0</x:v>
      </x:c>
      <x:c r="L111" s="402">
        <x:f t="shared" si="4"/>
        <x:v>0</x:v>
      </x:c>
      <x:c r="M111" s="402">
        <x:f t="shared" si="4"/>
        <x:v>0</x:v>
      </x:c>
      <x:c r="N111" s="402">
        <x:f t="shared" si="4"/>
        <x:v>0</x:v>
      </x:c>
      <x:c r="O111" s="402">
        <x:f t="shared" si="4"/>
        <x:v>0</x:v>
      </x:c>
      <x:c r="P111" s="403"/>
      <x:c r="Q111" s="404"/>
      <x:c r="R111" s="403"/>
      <x:c r="S111" s="407">
        <x:v>2</x:v>
      </x:c>
      <x:c r="T111" s="408" t="s">
        <x:v>11</x:v>
      </x:c>
      <x:c r="U111" s="402">
        <x:f t="shared" ref="U111:AF115" si="5">U10-(U27+U44+U61++U77+U94)</x:f>
        <x:v>0</x:v>
      </x:c>
      <x:c r="V111" s="402">
        <x:f t="shared" si="5"/>
        <x:v>0</x:v>
      </x:c>
      <x:c r="W111" s="402">
        <x:f t="shared" si="5"/>
        <x:v>0</x:v>
      </x:c>
      <x:c r="X111" s="402">
        <x:f t="shared" si="5"/>
        <x:v>0</x:v>
      </x:c>
      <x:c r="Y111" s="402">
        <x:f t="shared" si="5"/>
        <x:v>0</x:v>
      </x:c>
      <x:c r="Z111" s="402">
        <x:f t="shared" si="5"/>
        <x:v>0</x:v>
      </x:c>
      <x:c r="AA111" s="402">
        <x:f t="shared" si="5"/>
        <x:v>0</x:v>
      </x:c>
      <x:c r="AB111" s="402">
        <x:f t="shared" si="5"/>
        <x:v>0</x:v>
      </x:c>
      <x:c r="AC111" s="402">
        <x:f t="shared" si="5"/>
        <x:v>0</x:v>
      </x:c>
      <x:c r="AD111" s="402">
        <x:f t="shared" si="2"/>
        <x:v>0</x:v>
      </x:c>
      <x:c r="AE111" s="402">
        <x:f t="shared" si="5"/>
        <x:v>0</x:v>
      </x:c>
      <x:c r="AF111" s="402">
        <x:f t="shared" si="5"/>
        <x:v>0</x:v>
      </x:c>
      <x:c r="AG111" s="402">
        <x:f t="shared" ref="AG111" si="6">AG10-(AG27+AG44+AG61++AG77+AG94)</x:f>
        <x:v>0</x:v>
      </x:c>
      <x:c r="AI111" s="404"/>
      <x:c r="AJ111" s="403"/>
    </x:row>
    <x:row r="112" spans="1:39" x14ac:dyDescent="0.2">
      <x:c r="B112" s="16">
        <x:v>3</x:v>
      </x:c>
      <x:c r="C112" s="62" t="s">
        <x:v>12</x:v>
      </x:c>
      <x:c r="D112" s="402">
        <x:f t="shared" si="4"/>
        <x:v>0</x:v>
      </x:c>
      <x:c r="E112" s="402">
        <x:f t="shared" si="4"/>
        <x:v>0</x:v>
      </x:c>
      <x:c r="F112" s="402">
        <x:f t="shared" si="4"/>
        <x:v>0</x:v>
      </x:c>
      <x:c r="G112" s="402">
        <x:f t="shared" si="4"/>
        <x:v>0</x:v>
      </x:c>
      <x:c r="H112" s="402">
        <x:f t="shared" si="4"/>
        <x:v>0</x:v>
      </x:c>
      <x:c r="I112" s="402">
        <x:f t="shared" si="4"/>
        <x:v>0</x:v>
      </x:c>
      <x:c r="J112" s="402">
        <x:f t="shared" si="4"/>
        <x:v>0</x:v>
      </x:c>
      <x:c r="K112" s="402">
        <x:f t="shared" si="4"/>
        <x:v>0</x:v>
      </x:c>
      <x:c r="L112" s="402">
        <x:f t="shared" si="4"/>
        <x:v>0</x:v>
      </x:c>
      <x:c r="M112" s="402">
        <x:f t="shared" si="4"/>
        <x:v>0</x:v>
      </x:c>
      <x:c r="N112" s="402">
        <x:f t="shared" si="4"/>
        <x:v>0</x:v>
      </x:c>
      <x:c r="O112" s="402">
        <x:f t="shared" si="4"/>
        <x:v>0</x:v>
      </x:c>
      <x:c r="P112" s="403"/>
      <x:c r="Q112" s="404"/>
      <x:c r="R112" s="403"/>
      <x:c r="S112" s="407">
        <x:v>3</x:v>
      </x:c>
      <x:c r="T112" s="408" t="s">
        <x:v>12</x:v>
      </x:c>
      <x:c r="U112" s="402">
        <x:f t="shared" si="5"/>
        <x:v>0</x:v>
      </x:c>
      <x:c r="V112" s="402">
        <x:f t="shared" si="5"/>
        <x:v>0</x:v>
      </x:c>
      <x:c r="W112" s="402">
        <x:f t="shared" si="5"/>
        <x:v>0</x:v>
      </x:c>
      <x:c r="X112" s="402">
        <x:f t="shared" si="5"/>
        <x:v>0</x:v>
      </x:c>
      <x:c r="Y112" s="402">
        <x:f t="shared" si="5"/>
        <x:v>0</x:v>
      </x:c>
      <x:c r="Z112" s="402">
        <x:f t="shared" si="5"/>
        <x:v>0</x:v>
      </x:c>
      <x:c r="AA112" s="402">
        <x:f t="shared" si="5"/>
        <x:v>0</x:v>
      </x:c>
      <x:c r="AB112" s="402">
        <x:f t="shared" si="5"/>
        <x:v>0</x:v>
      </x:c>
      <x:c r="AC112" s="402">
        <x:f t="shared" si="5"/>
        <x:v>0</x:v>
      </x:c>
      <x:c r="AD112" s="402">
        <x:f t="shared" si="2"/>
        <x:v>0</x:v>
      </x:c>
      <x:c r="AE112" s="402">
        <x:f t="shared" si="5"/>
        <x:v>0</x:v>
      </x:c>
      <x:c r="AF112" s="402">
        <x:f t="shared" si="5"/>
        <x:v>0</x:v>
      </x:c>
      <x:c r="AG112" s="402">
        <x:f t="shared" ref="AG112" si="7">AG11-(AG28+AG45+AG62++AG78+AG95)</x:f>
        <x:v>0</x:v>
      </x:c>
      <x:c r="AI112" s="404"/>
      <x:c r="AJ112" s="403"/>
    </x:row>
    <x:row r="113" spans="1:36" x14ac:dyDescent="0.2">
      <x:c r="B113" s="16">
        <x:v>4</x:v>
      </x:c>
      <x:c r="C113" s="62" t="s">
        <x:v>13</x:v>
      </x:c>
      <x:c r="D113" s="402">
        <x:f t="shared" si="4"/>
        <x:v>0</x:v>
      </x:c>
      <x:c r="E113" s="402">
        <x:f t="shared" si="4"/>
        <x:v>0</x:v>
      </x:c>
      <x:c r="F113" s="402">
        <x:f t="shared" si="4"/>
        <x:v>0</x:v>
      </x:c>
      <x:c r="G113" s="402">
        <x:f t="shared" si="4"/>
        <x:v>0</x:v>
      </x:c>
      <x:c r="H113" s="402">
        <x:f t="shared" si="4"/>
        <x:v>0</x:v>
      </x:c>
      <x:c r="I113" s="402">
        <x:f t="shared" si="4"/>
        <x:v>0</x:v>
      </x:c>
      <x:c r="J113" s="402">
        <x:f t="shared" si="4"/>
        <x:v>0</x:v>
      </x:c>
      <x:c r="K113" s="402">
        <x:f t="shared" si="4"/>
        <x:v>0</x:v>
      </x:c>
      <x:c r="L113" s="402">
        <x:f t="shared" si="4"/>
        <x:v>0</x:v>
      </x:c>
      <x:c r="M113" s="402">
        <x:f t="shared" si="4"/>
        <x:v>0</x:v>
      </x:c>
      <x:c r="N113" s="402">
        <x:f t="shared" si="4"/>
        <x:v>0</x:v>
      </x:c>
      <x:c r="O113" s="402">
        <x:f t="shared" si="4"/>
        <x:v>0</x:v>
      </x:c>
      <x:c r="P113" s="403"/>
      <x:c r="Q113" s="404"/>
      <x:c r="R113" s="403"/>
      <x:c r="S113" s="407">
        <x:v>4</x:v>
      </x:c>
      <x:c r="T113" s="408" t="s">
        <x:v>13</x:v>
      </x:c>
      <x:c r="U113" s="402">
        <x:f t="shared" si="5"/>
        <x:v>0</x:v>
      </x:c>
      <x:c r="V113" s="402">
        <x:f t="shared" si="5"/>
        <x:v>0</x:v>
      </x:c>
      <x:c r="W113" s="402">
        <x:f t="shared" si="5"/>
        <x:v>0</x:v>
      </x:c>
      <x:c r="X113" s="402">
        <x:f t="shared" si="5"/>
        <x:v>0</x:v>
      </x:c>
      <x:c r="Y113" s="402">
        <x:f t="shared" si="5"/>
        <x:v>0</x:v>
      </x:c>
      <x:c r="Z113" s="402">
        <x:f t="shared" si="5"/>
        <x:v>0</x:v>
      </x:c>
      <x:c r="AA113" s="402">
        <x:f t="shared" si="5"/>
        <x:v>0</x:v>
      </x:c>
      <x:c r="AB113" s="402">
        <x:f t="shared" si="5"/>
        <x:v>0</x:v>
      </x:c>
      <x:c r="AC113" s="402">
        <x:f t="shared" si="5"/>
        <x:v>0</x:v>
      </x:c>
      <x:c r="AD113" s="402">
        <x:f t="shared" si="2"/>
        <x:v>0</x:v>
      </x:c>
      <x:c r="AE113" s="402">
        <x:f t="shared" si="5"/>
        <x:v>0</x:v>
      </x:c>
      <x:c r="AF113" s="402">
        <x:f t="shared" si="5"/>
        <x:v>0</x:v>
      </x:c>
      <x:c r="AG113" s="402">
        <x:f t="shared" ref="AG113" si="8">AG12-(AG29+AG46+AG63++AG79+AG96)</x:f>
        <x:v>0</x:v>
      </x:c>
      <x:c r="AI113" s="404"/>
      <x:c r="AJ113" s="403"/>
    </x:row>
    <x:row r="114" spans="1:36" ht="12.75" thickBot="1" x14ac:dyDescent="0.25">
      <x:c r="B114" s="19">
        <x:v>5</x:v>
      </x:c>
      <x:c r="C114" s="63" t="s">
        <x:v>14</x:v>
      </x:c>
      <x:c r="D114" s="402">
        <x:f t="shared" si="4"/>
        <x:v>0</x:v>
      </x:c>
      <x:c r="E114" s="402">
        <x:f t="shared" si="4"/>
        <x:v>0</x:v>
      </x:c>
      <x:c r="F114" s="402">
        <x:f t="shared" si="4"/>
        <x:v>0</x:v>
      </x:c>
      <x:c r="G114" s="402">
        <x:f t="shared" si="4"/>
        <x:v>0</x:v>
      </x:c>
      <x:c r="H114" s="402">
        <x:f t="shared" si="4"/>
        <x:v>0</x:v>
      </x:c>
      <x:c r="I114" s="402">
        <x:f t="shared" si="4"/>
        <x:v>0</x:v>
      </x:c>
      <x:c r="J114" s="402">
        <x:f t="shared" si="4"/>
        <x:v>0</x:v>
      </x:c>
      <x:c r="K114" s="402">
        <x:f t="shared" si="4"/>
        <x:v>0</x:v>
      </x:c>
      <x:c r="L114" s="402">
        <x:f t="shared" si="4"/>
        <x:v>0</x:v>
      </x:c>
      <x:c r="M114" s="402">
        <x:f t="shared" si="4"/>
        <x:v>0</x:v>
      </x:c>
      <x:c r="N114" s="402">
        <x:f t="shared" si="4"/>
        <x:v>0</x:v>
      </x:c>
      <x:c r="O114" s="402">
        <x:f t="shared" si="4"/>
        <x:v>0</x:v>
      </x:c>
      <x:c r="P114" s="403"/>
      <x:c r="Q114" s="404"/>
      <x:c r="R114" s="403"/>
      <x:c r="S114" s="409">
        <x:v>5</x:v>
      </x:c>
      <x:c r="T114" s="410" t="s">
        <x:v>14</x:v>
      </x:c>
      <x:c r="U114" s="402">
        <x:f t="shared" si="5"/>
        <x:v>0</x:v>
      </x:c>
      <x:c r="V114" s="402">
        <x:f t="shared" si="5"/>
        <x:v>0</x:v>
      </x:c>
      <x:c r="W114" s="402">
        <x:f t="shared" si="5"/>
        <x:v>0</x:v>
      </x:c>
      <x:c r="X114" s="402">
        <x:f t="shared" si="5"/>
        <x:v>0</x:v>
      </x:c>
      <x:c r="Y114" s="402">
        <x:f t="shared" si="5"/>
        <x:v>0</x:v>
      </x:c>
      <x:c r="Z114" s="402">
        <x:f t="shared" si="5"/>
        <x:v>0</x:v>
      </x:c>
      <x:c r="AA114" s="402">
        <x:f t="shared" si="5"/>
        <x:v>0</x:v>
      </x:c>
      <x:c r="AB114" s="402">
        <x:f t="shared" si="5"/>
        <x:v>0</x:v>
      </x:c>
      <x:c r="AC114" s="402">
        <x:f t="shared" si="5"/>
        <x:v>0</x:v>
      </x:c>
      <x:c r="AD114" s="402">
        <x:f t="shared" si="2"/>
        <x:v>0</x:v>
      </x:c>
      <x:c r="AE114" s="402">
        <x:f t="shared" si="5"/>
        <x:v>0</x:v>
      </x:c>
      <x:c r="AF114" s="402">
        <x:f t="shared" si="5"/>
        <x:v>0</x:v>
      </x:c>
      <x:c r="AG114" s="402">
        <x:f t="shared" ref="AG114" si="9">AG13-(AG30+AG47+AG64++AG80+AG97)</x:f>
        <x:v>0</x:v>
      </x:c>
      <x:c r="AI114" s="404"/>
      <x:c r="AJ114" s="403"/>
    </x:row>
    <x:row r="115" spans="1:36" ht="12.75" thickBot="1" x14ac:dyDescent="0.25">
      <x:c r="B115" s="21"/>
      <x:c r="C115" s="22" t="s">
        <x:v>2</x:v>
      </x:c>
      <x:c r="D115" s="471">
        <x:f t="shared" si="4"/>
        <x:v>0</x:v>
      </x:c>
      <x:c r="E115" s="471">
        <x:f t="shared" si="4"/>
        <x:v>0</x:v>
      </x:c>
      <x:c r="F115" s="471">
        <x:f t="shared" si="4"/>
        <x:v>0</x:v>
      </x:c>
      <x:c r="G115" s="471">
        <x:f t="shared" si="4"/>
        <x:v>0</x:v>
      </x:c>
      <x:c r="H115" s="471">
        <x:f t="shared" si="4"/>
        <x:v>0</x:v>
      </x:c>
      <x:c r="I115" s="471">
        <x:f t="shared" si="4"/>
        <x:v>0</x:v>
      </x:c>
      <x:c r="J115" s="471">
        <x:f t="shared" si="4"/>
        <x:v>0</x:v>
      </x:c>
      <x:c r="K115" s="471">
        <x:f t="shared" si="4"/>
        <x:v>0</x:v>
      </x:c>
      <x:c r="L115" s="471">
        <x:f t="shared" si="4"/>
        <x:v>0</x:v>
      </x:c>
      <x:c r="M115" s="471">
        <x:f t="shared" si="4"/>
        <x:v>0</x:v>
      </x:c>
      <x:c r="N115" s="471">
        <x:f t="shared" si="4"/>
        <x:v>0</x:v>
      </x:c>
      <x:c r="O115" s="471">
        <x:f t="shared" si="4"/>
        <x:v>0</x:v>
      </x:c>
      <x:c r="P115" s="411"/>
      <x:c r="Q115" s="404"/>
      <x:c r="R115" s="403"/>
      <x:c r="S115" s="412"/>
      <x:c r="T115" s="413" t="s">
        <x:v>2</x:v>
      </x:c>
      <x:c r="U115" s="471">
        <x:f t="shared" si="5"/>
        <x:v>0</x:v>
      </x:c>
      <x:c r="V115" s="471">
        <x:f t="shared" si="5"/>
        <x:v>0</x:v>
      </x:c>
      <x:c r="W115" s="471">
        <x:f t="shared" si="5"/>
        <x:v>0</x:v>
      </x:c>
      <x:c r="X115" s="471">
        <x:f t="shared" si="5"/>
        <x:v>0</x:v>
      </x:c>
      <x:c r="Y115" s="471">
        <x:f t="shared" si="5"/>
        <x:v>0</x:v>
      </x:c>
      <x:c r="Z115" s="471">
        <x:f t="shared" si="5"/>
        <x:v>0</x:v>
      </x:c>
      <x:c r="AA115" s="471">
        <x:f t="shared" si="5"/>
        <x:v>0</x:v>
      </x:c>
      <x:c r="AB115" s="471">
        <x:f t="shared" si="5"/>
        <x:v>0</x:v>
      </x:c>
      <x:c r="AC115" s="471">
        <x:f t="shared" si="5"/>
        <x:v>0</x:v>
      </x:c>
      <x:c r="AD115" s="471">
        <x:f t="shared" si="2"/>
        <x:v>0</x:v>
      </x:c>
      <x:c r="AE115" s="471">
        <x:f t="shared" si="5"/>
        <x:v>0</x:v>
      </x:c>
      <x:c r="AF115" s="471">
        <x:f t="shared" si="5"/>
        <x:v>0</x:v>
      </x:c>
      <x:c r="AG115" s="471">
        <x:f t="shared" ref="AG115" si="10">AG14-(AG31+AG48+AG65++AG81+AG98)</x:f>
        <x:v>0</x:v>
      </x:c>
      <x:c r="AI115" s="404"/>
      <x:c r="AJ115" s="403"/>
    </x:row>
    <x:row r="116" spans="1:36" x14ac:dyDescent="0.2">
      <x:c r="B116" s="2"/>
      <x:c r="C116" s="2"/>
      <x:c r="D116" s="374"/>
      <x:c r="E116" s="374"/>
      <x:c r="F116" s="374"/>
      <x:c r="G116" s="374"/>
      <x:c r="H116" s="374"/>
      <x:c r="I116" s="374"/>
      <x:c r="K116" s="374"/>
      <x:c r="L116" s="374"/>
      <x:c r="M116" s="374"/>
      <x:c r="N116" s="374"/>
      <x:c r="O116" s="374"/>
      <x:c r="Q116" s="4"/>
      <x:c r="S116" s="2"/>
      <x:c r="T116" s="2"/>
      <x:c r="U116" s="374"/>
      <x:c r="V116" s="374"/>
      <x:c r="W116" s="374"/>
      <x:c r="X116" s="374"/>
      <x:c r="Y116" s="374"/>
      <x:c r="AF116" s="374"/>
      <x:c r="AI116" s="4"/>
    </x:row>
    <x:row r="117" spans="1:36" x14ac:dyDescent="0.2">
      <x:c r="B117" s="2"/>
      <x:c r="C117" s="2"/>
      <x:c r="D117" s="374" t="s">
        <x:v>1</x:v>
      </x:c>
      <x:c r="E117" s="374"/>
      <x:c r="F117" s="374"/>
      <x:c r="G117" s="374"/>
      <x:c r="H117" s="374"/>
      <x:c r="I117" s="374"/>
      <x:c r="K117" s="374"/>
      <x:c r="L117" s="374"/>
      <x:c r="M117" s="374"/>
      <x:c r="N117" s="374"/>
      <x:c r="O117" s="374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x14ac:dyDescent="0.2">
      <x:c r="A118" s="4"/>
      <x:c r="B118" s="34"/>
      <x:c r="C118" s="34"/>
      <x:c r="D118" s="397"/>
      <x:c r="E118" s="397"/>
      <x:c r="F118" s="397"/>
      <x:c r="G118" s="397"/>
      <x:c r="H118" s="397"/>
      <x:c r="I118" s="397"/>
      <x:c r="J118" s="4"/>
      <x:c r="K118" s="397"/>
      <x:c r="L118" s="397"/>
      <x:c r="M118" s="397"/>
      <x:c r="N118" s="397"/>
      <x:c r="O118" s="397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.75" thickBot="1" x14ac:dyDescent="0.25">
      <x:c r="Q119" s="4"/>
      <x:c r="AI119" s="4"/>
    </x:row>
    <x:row r="120" spans="1:36" x14ac:dyDescent="0.2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5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75" x14ac:dyDescent="0.25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5" x14ac:dyDescent="0.25">
      <x:c r="B123" s="8"/>
      <x:c r="F123" s="2" t="s">
        <x:v>30</x:v>
      </x:c>
      <x:c r="G123" s="2"/>
      <x:c r="L123" s="90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75" x14ac:dyDescent="0.25">
      <x:c r="B124" s="8"/>
      <x:c r="C124" s="2" t="s">
        <x:v>17</x:v>
      </x:c>
      <x:c r="D124" s="9">
        <x:f>'REMUNERACION_EAAB-CL'!D101</x:f>
        <x:v>46238</x:v>
      </x:c>
      <x:c r="F124" s="58" t="s">
        <x:v>188</x:v>
      </x:c>
      <x:c r="G124" s="58"/>
      <x:c r="H124" s="59"/>
      <x:c r="I124" s="60"/>
      <x:c r="J124" s="59"/>
      <x:c r="K124" s="60"/>
      <x:c r="L124" s="90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8" thickBot="1" x14ac:dyDescent="0.35">
      <x:c r="B125" s="92"/>
      <x:c r="C125" s="473" t="s">
        <x:v>0</x:v>
      </x:c>
      <x:c r="D125" s="474">
        <x:f>'REMUNERACION_EAAB-CL'!D102</x:f>
        <x:v>0.58333333333333337</x:v>
      </x:c>
      <x:c r="E125" s="45"/>
      <x:c r="F125" s="473" t="s">
        <x:v>27</x:v>
      </x:c>
      <x:c r="G125" s="475">
        <x:f>'REMUNERACION_EAAB-CL'!G102</x:f>
        <x:v>46219</x:v>
      </x:c>
      <x:c r="H125" s="45"/>
      <x:c r="I125" s="45"/>
      <x:c r="J125" s="473" t="s">
        <x:v>28</x:v>
      </x:c>
      <x:c r="K125" s="475">
        <x:f>'REMUNERACION_EAAB-CL'!K102</x:f>
        <x:v>46234</x:v>
      </x:c>
      <x:c r="L125" s="91"/>
      <x:c r="M125" s="45"/>
      <x:c r="N125" s="45"/>
      <x:c r="O125" s="476"/>
      <x:c r="P125" s="2"/>
      <x:c r="Q125" s="4"/>
      <x:c r="S125" s="92"/>
      <x:c r="T125" s="45"/>
      <x:c r="U125" s="45" t="str">
        <x:f>F125</x:f>
        <x:v>Fecha Desde:</x:v>
      </x:c>
      <x:c r="V125" s="475">
        <x:f>'REMUNERACION_EAAB-CL'!V102</x:f>
        <x:v>46219</x:v>
      </x:c>
      <x:c r="W125" s="45" t="s">
        <x:v>1</x:v>
      </x:c>
      <x:c r="X125" s="45" t="str">
        <x:f>J125</x:f>
        <x:v>Feha Hasta:</x:v>
      </x:c>
      <x:c r="Y125" s="475">
        <x:f>'REMUNERACION_EAAB-CL'!Y102</x:f>
        <x:v>46234</x:v>
      </x:c>
      <x:c r="Z125" s="45" t="s">
        <x:v>1</x:v>
      </x:c>
      <x:c r="AA125" s="45"/>
      <x:c r="AB125" s="45"/>
      <x:c r="AC125" s="45"/>
      <x:c r="AD125" s="45"/>
      <x:c r="AE125" s="45"/>
      <x:c r="AF125" s="477"/>
      <x:c r="AG125" s="2"/>
      <x:c r="AI125" s="4"/>
      <x:c r="AJ125" s="105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workbookViewId="0">
      <x:selection activeCell="D106" sqref="D106"/>
    </x:sheetView>
  </x:sheetViews>
  <x:sheetFormatPr baseColWidth="10" defaultRowHeight="12.75" x14ac:dyDescent="0.2"/>
  <x:cols>
    <x:col min="1" max="1" width="2.42578125" customWidth="1"/>
    <x:col min="3" max="3" width="36.7109375" bestFit="1" customWidth="1"/>
    <x:col min="4" max="4" width="12" bestFit="1" customWidth="1"/>
    <x:col min="5" max="5" width="12.28515625" customWidth="1"/>
    <x:col min="6" max="6" width="9.28515625" customWidth="1"/>
    <x:col min="7" max="7" width="14.7109375" customWidth="1"/>
    <x:col min="8" max="8" width="15.28515625" customWidth="1"/>
    <x:col min="9" max="9" width="20.28515625" bestFit="1" customWidth="1"/>
    <x:col min="10" max="10" width="15.42578125" customWidth="1"/>
    <x:col min="11" max="11" width="17.7109375" customWidth="1"/>
    <x:col min="12" max="12" width="20.7109375" customWidth="1"/>
    <x:col min="17" max="17" width="1.28515625" customWidth="1"/>
  </x:cols>
  <x:sheetData>
    <x:row r="1" spans="1:33" s="1" customFormat="1" thickBot="1" x14ac:dyDescent="0.25">
      <x:c r="Q1" s="4"/>
    </x:row>
    <x:row r="2" spans="1:33" s="1" customFormat="1" ht="12" x14ac:dyDescent="0.2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397"/>
    </x:row>
    <x:row r="3" spans="1:33" s="1" customFormat="1" ht="15.75" x14ac:dyDescent="0.25">
      <x:c r="B3" s="8"/>
      <x:c r="F3" s="394" t="s">
        <x:v>37</x:v>
      </x:c>
      <x:c r="G3" s="394"/>
      <x:c r="H3" s="395"/>
      <x:c r="I3" s="396"/>
      <x:c r="J3" s="395"/>
      <x:c r="K3" s="396"/>
      <x:c r="O3" s="10"/>
      <x:c r="P3" s="2"/>
      <x:c r="Q3" s="4"/>
    </x:row>
    <x:row r="4" spans="1:33" s="1" customFormat="1" thickBot="1" x14ac:dyDescent="0.25">
      <x:c r="B4" s="8"/>
      <x:c r="C4" s="2" t="s">
        <x:v>1</x:v>
      </x:c>
      <x:c r="D4" s="2" t="s">
        <x:v>1</x:v>
      </x:c>
      <x:c r="O4" s="44"/>
      <x:c r="P4" s="2"/>
      <x:c r="Q4" s="4"/>
      <x:c r="AG4" s="403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97" t="s">
        <x:v>47</x:v>
      </x:c>
      <x:c r="H5" s="73" t="s">
        <x:v>56</x:v>
      </x:c>
      <x:c r="I5" s="73" t="s">
        <x:v>130</x:v>
      </x:c>
      <x:c r="J5" s="73" t="s">
        <x:v>171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241" customFormat="1" ht="12" x14ac:dyDescent="0.2">
      <x:c r="B6" s="270">
        <x:v>1</x:v>
      </x:c>
      <x:c r="C6" s="271" t="s">
        <x:v>10</x:v>
      </x:c>
      <x:c r="D6" s="244">
        <x:f>'CONSOLIDADO_TOTAL RECAUDO'!D125</x:f>
        <x:v>0</x:v>
      </x:c>
      <x:c r="E6" s="245">
        <x:f>'CONSOLIDADO_TOTAL RECAUDO'!E125</x:f>
        <x:v>0</x:v>
      </x:c>
      <x:c r="G6" s="272">
        <x:f>'CONSOLIDADO_TOTAL RECAUDO'!G125</x:f>
        <x:v>0</x:v>
      </x:c>
      <x:c r="H6" s="246">
        <x:f>'CONSOLIDADO_TOTAL RECAUDO'!H125</x:f>
        <x:v>0</x:v>
      </x:c>
      <x:c r="I6" s="245">
        <x:f>'CONSOLIDADO_TOTAL RECAUDO'!I125</x:f>
        <x:v>0</x:v>
      </x:c>
      <x:c r="J6" s="245">
        <x:f>'CONSOLIDADO_TOTAL RECAUDO'!J125</x:f>
        <x:v>0</x:v>
      </x:c>
      <x:c r="K6" s="245">
        <x:f>'CONSOLIDADO_TOTAL RECAUDO'!K125</x:f>
        <x:v>0</x:v>
      </x:c>
      <x:c r="L6" s="245">
        <x:f>'CONSOLIDADO_TOTAL RECAUDO'!L125</x:f>
        <x:v>0</x:v>
      </x:c>
      <x:c r="O6" s="273"/>
      <x:c r="Q6" s="242"/>
    </x:row>
    <x:row r="7" spans="1:33" s="241" customFormat="1" ht="12" x14ac:dyDescent="0.2">
      <x:c r="B7" s="250">
        <x:v>2</x:v>
      </x:c>
      <x:c r="C7" s="274" t="s">
        <x:v>11</x:v>
      </x:c>
      <x:c r="D7" s="228">
        <x:f>'CONSOLIDADO_TOTAL RECAUDO'!D126</x:f>
        <x:v>0</x:v>
      </x:c>
      <x:c r="E7" s="224">
        <x:f>'CONSOLIDADO_TOTAL RECAUDO'!E126</x:f>
        <x:v>0</x:v>
      </x:c>
      <x:c r="G7" s="275">
        <x:f>'CONSOLIDADO_TOTAL RECAUDO'!G126</x:f>
        <x:v>0</x:v>
      </x:c>
      <x:c r="H7" s="276">
        <x:f>'CONSOLIDADO_TOTAL RECAUDO'!H126</x:f>
        <x:v>0</x:v>
      </x:c>
      <x:c r="I7" s="224">
        <x:f>'CONSOLIDADO_TOTAL RECAUDO'!I126</x:f>
        <x:v>0</x:v>
      </x:c>
      <x:c r="J7" s="224">
        <x:f>'CONSOLIDADO_TOTAL RECAUDO'!J126</x:f>
        <x:v>0</x:v>
      </x:c>
      <x:c r="K7" s="224">
        <x:f>'CONSOLIDADO_TOTAL RECAUDO'!K126</x:f>
        <x:v>0</x:v>
      </x:c>
      <x:c r="L7" s="224">
        <x:f>'CONSOLIDADO_TOTAL RECAUDO'!L126</x:f>
        <x:v>0</x:v>
      </x:c>
      <x:c r="O7" s="273"/>
      <x:c r="Q7" s="242"/>
    </x:row>
    <x:row r="8" spans="1:33" s="241" customFormat="1" ht="12" x14ac:dyDescent="0.2">
      <x:c r="B8" s="250">
        <x:v>3</x:v>
      </x:c>
      <x:c r="C8" s="274" t="s">
        <x:v>12</x:v>
      </x:c>
      <x:c r="D8" s="228">
        <x:f>'CONSOLIDADO_TOTAL RECAUDO'!D127</x:f>
        <x:v>0</x:v>
      </x:c>
      <x:c r="E8" s="224">
        <x:f>'CONSOLIDADO_TOTAL RECAUDO'!E127</x:f>
        <x:v>0</x:v>
      </x:c>
      <x:c r="G8" s="275">
        <x:f>'CONSOLIDADO_TOTAL RECAUDO'!G127</x:f>
        <x:v>0</x:v>
      </x:c>
      <x:c r="H8" s="276">
        <x:f>'CONSOLIDADO_TOTAL RECAUDO'!H127</x:f>
        <x:v>0</x:v>
      </x:c>
      <x:c r="I8" s="224">
        <x:f>'CONSOLIDADO_TOTAL RECAUDO'!I127</x:f>
        <x:v>0</x:v>
      </x:c>
      <x:c r="J8" s="224">
        <x:f>'CONSOLIDADO_TOTAL RECAUDO'!J127</x:f>
        <x:v>0</x:v>
      </x:c>
      <x:c r="K8" s="224">
        <x:f>'CONSOLIDADO_TOTAL RECAUDO'!K127</x:f>
        <x:v>0</x:v>
      </x:c>
      <x:c r="L8" s="224">
        <x:f>'CONSOLIDADO_TOTAL RECAUDO'!L127</x:f>
        <x:v>0</x:v>
      </x:c>
      <x:c r="O8" s="273"/>
      <x:c r="Q8" s="242"/>
    </x:row>
    <x:row r="9" spans="1:33" s="241" customFormat="1" ht="12" x14ac:dyDescent="0.2">
      <x:c r="B9" s="250">
        <x:v>4</x:v>
      </x:c>
      <x:c r="C9" s="274" t="s">
        <x:v>13</x:v>
      </x:c>
      <x:c r="D9" s="228">
        <x:f>'CONSOLIDADO_TOTAL RECAUDO'!D128</x:f>
        <x:v>0</x:v>
      </x:c>
      <x:c r="E9" s="224">
        <x:f>'CONSOLIDADO_TOTAL RECAUDO'!E128</x:f>
        <x:v>0</x:v>
      </x:c>
      <x:c r="G9" s="275">
        <x:f>'CONSOLIDADO_TOTAL RECAUDO'!G128</x:f>
        <x:v>0</x:v>
      </x:c>
      <x:c r="H9" s="276">
        <x:f>'CONSOLIDADO_TOTAL RECAUDO'!H128</x:f>
        <x:v>0</x:v>
      </x:c>
      <x:c r="I9" s="224">
        <x:f>'CONSOLIDADO_TOTAL RECAUDO'!I128</x:f>
        <x:v>0</x:v>
      </x:c>
      <x:c r="J9" s="224">
        <x:f>'CONSOLIDADO_TOTAL RECAUDO'!J128</x:f>
        <x:v>0</x:v>
      </x:c>
      <x:c r="K9" s="224">
        <x:f>'CONSOLIDADO_TOTAL RECAUDO'!K128</x:f>
        <x:v>0</x:v>
      </x:c>
      <x:c r="L9" s="224">
        <x:f>'CONSOLIDADO_TOTAL RECAUDO'!L128</x:f>
        <x:v>0</x:v>
      </x:c>
      <x:c r="O9" s="273"/>
      <x:c r="Q9" s="242"/>
    </x:row>
    <x:row r="10" spans="1:33" s="241" customFormat="1" ht="12" x14ac:dyDescent="0.2">
      <x:c r="B10" s="277">
        <x:v>5</x:v>
      </x:c>
      <x:c r="C10" s="278" t="s">
        <x:v>14</x:v>
      </x:c>
      <x:c r="D10" s="228">
        <x:f>'CONSOLIDADO_TOTAL RECAUDO'!D129</x:f>
        <x:v>0</x:v>
      </x:c>
      <x:c r="E10" s="280">
        <x:f>'CONSOLIDADO_TOTAL RECAUDO'!E129</x:f>
        <x:v>0</x:v>
      </x:c>
      <x:c r="G10" s="275">
        <x:f>'CONSOLIDADO_TOTAL RECAUDO'!G129</x:f>
        <x:v>0</x:v>
      </x:c>
      <x:c r="H10" s="276">
        <x:f>'CONSOLIDADO_TOTAL RECAUDO'!H129</x:f>
        <x:v>0</x:v>
      </x:c>
      <x:c r="I10" s="224">
        <x:f>'CONSOLIDADO_TOTAL RECAUDO'!I129</x:f>
        <x:v>0</x:v>
      </x:c>
      <x:c r="J10" s="224">
        <x:f>'CONSOLIDADO_TOTAL RECAUDO'!J129</x:f>
        <x:v>0</x:v>
      </x:c>
      <x:c r="K10" s="224">
        <x:f>'CONSOLIDADO_TOTAL RECAUDO'!K129</x:f>
        <x:v>0</x:v>
      </x:c>
      <x:c r="L10" s="224">
        <x:f>'CONSOLIDADO_TOTAL RECAUDO'!L129</x:f>
        <x:v>0</x:v>
      </x:c>
      <x:c r="O10" s="273"/>
      <x:c r="Q10" s="242"/>
    </x:row>
    <x:row r="11" spans="1:33" s="241" customFormat="1" thickBot="1" x14ac:dyDescent="0.25">
      <x:c r="B11" s="260" t="s">
        <x:v>89</x:v>
      </x:c>
      <x:c r="C11" s="281" t="s">
        <x:v>113</x:v>
      </x:c>
      <x:c r="D11" s="233">
        <x:f>'CONSOLIDADO_TOTAL RECAUDO'!D130</x:f>
        <x:v>0</x:v>
      </x:c>
      <x:c r="E11" s="225">
        <x:f>'CONSOLIDADO_TOTAL RECAUDO'!E130</x:f>
        <x:v>0</x:v>
      </x:c>
      <x:c r="G11" s="282">
        <x:f>'CONSOLIDADO_TOTAL RECAUDO'!G130</x:f>
        <x:v>0</x:v>
      </x:c>
      <x:c r="H11" s="283">
        <x:f>'CONSOLIDADO_TOTAL RECAUDO'!H130</x:f>
        <x:v>0</x:v>
      </x:c>
      <x:c r="I11" s="225">
        <x:f>'CONSOLIDADO_TOTAL RECAUDO'!I130</x:f>
        <x:v>0</x:v>
      </x:c>
      <x:c r="J11" s="225">
        <x:f>'CONSOLIDADO_TOTAL RECAUDO'!J130</x:f>
        <x:v>0</x:v>
      </x:c>
      <x:c r="K11" s="225">
        <x:f>'CONSOLIDADO_TOTAL RECAUDO'!K130</x:f>
        <x:v>0</x:v>
      </x:c>
      <x:c r="L11" s="225">
        <x:f>'CONSOLIDADO_TOTAL RECAUDO'!L130</x:f>
        <x:v>0</x:v>
      </x:c>
      <x:c r="O11" s="273"/>
      <x:c r="Q11" s="242"/>
    </x:row>
    <x:row r="12" spans="1:33" s="241" customFormat="1" thickBot="1" x14ac:dyDescent="0.25">
      <x:c r="B12" s="284"/>
      <x:c r="C12" s="285" t="s">
        <x:v>2</x:v>
      </x:c>
      <x:c r="D12" s="286">
        <x:f>'CONSOLIDADO_TOTAL RECAUDO'!D131</x:f>
        <x:v>0</x:v>
      </x:c>
      <x:c r="E12" s="286">
        <x:f>'CONSOLIDADO_TOTAL RECAUDO'!E131</x:f>
        <x:v>0</x:v>
      </x:c>
      <x:c r="F12" s="287"/>
      <x:c r="G12" s="286">
        <x:f>'CONSOLIDADO_TOTAL RECAUDO'!G131</x:f>
        <x:v>0</x:v>
      </x:c>
      <x:c r="H12" s="286">
        <x:f>'CONSOLIDADO_TOTAL RECAUDO'!H131</x:f>
        <x:v>0</x:v>
      </x:c>
      <x:c r="I12" s="286">
        <x:f>'CONSOLIDADO_TOTAL RECAUDO'!I131</x:f>
        <x:v>0</x:v>
      </x:c>
      <x:c r="J12" s="286">
        <x:f>'CONSOLIDADO_TOTAL RECAUDO'!J131</x:f>
        <x:v>0</x:v>
      </x:c>
      <x:c r="K12" s="286">
        <x:f>'CONSOLIDADO_TOTAL RECAUDO'!K131</x:f>
        <x:v>0</x:v>
      </x:c>
      <x:c r="L12" s="286">
        <x:f>'CONSOLIDADO_TOTAL RECAUDO'!L131</x:f>
        <x:v>0</x:v>
      </x:c>
      <x:c r="M12" s="287"/>
      <x:c r="N12" s="287"/>
      <x:c r="O12" s="288"/>
      <x:c r="P12" s="265"/>
      <x:c r="Q12" s="242"/>
    </x:row>
    <x:row r="13" spans="1:33" s="1" customFormat="1" ht="12" x14ac:dyDescent="0.2">
      <x:c r="B13" s="2"/>
      <x:c r="C13" s="2"/>
      <x:c r="D13" s="374"/>
      <x:c r="Q13" s="4"/>
    </x:row>
    <x:row r="14" spans="1:33" s="1" customFormat="1" ht="12" x14ac:dyDescent="0.2">
      <x:c r="B14" s="2"/>
      <x:c r="C14" s="2"/>
      <x:c r="D14" s="374"/>
      <x:c r="Q14" s="4"/>
    </x:row>
    <x:row r="15" spans="1:33" s="1" customFormat="1" ht="12" x14ac:dyDescent="0.2">
      <x:c r="A15" s="52"/>
      <x:c r="B15" s="53"/>
      <x:c r="C15" s="53"/>
      <x:c r="D15" s="380"/>
      <x:c r="E15" s="380"/>
      <x:c r="F15" s="380"/>
      <x:c r="G15" s="380"/>
      <x:c r="H15" s="380"/>
      <x:c r="I15" s="380"/>
      <x:c r="J15" s="52"/>
      <x:c r="K15" s="380"/>
      <x:c r="L15" s="380"/>
      <x:c r="M15" s="380"/>
      <x:c r="N15" s="380"/>
      <x:c r="O15" s="380"/>
      <x:c r="P15" s="52"/>
      <x:c r="Q15" s="4"/>
    </x:row>
    <x:row r="16" spans="1:33" ht="13.5" thickBot="1" x14ac:dyDescent="0.25"/>
    <x:row r="17" spans="1:17" s="1" customFormat="1" ht="12" x14ac:dyDescent="0.2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397"/>
    </x:row>
    <x:row r="18" spans="1:17" s="1" customFormat="1" ht="15.75" x14ac:dyDescent="0.25">
      <x:c r="B18" s="8"/>
      <x:c r="F18" s="398" t="s">
        <x:v>191</x:v>
      </x:c>
      <x:c r="G18" s="398"/>
      <x:c r="H18" s="34"/>
      <x:c r="I18" s="4"/>
      <x:c r="J18" s="34"/>
      <x:c r="K18" s="4"/>
      <x:c r="O18" s="10"/>
      <x:c r="P18" s="2"/>
      <x:c r="Q18" s="4"/>
    </x:row>
    <x:row r="19" spans="1:17" s="1" customFormat="1" thickBot="1" x14ac:dyDescent="0.25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97" t="s">
        <x:v>47</x:v>
      </x:c>
      <x:c r="H20" s="73" t="s">
        <x:v>56</x:v>
      </x:c>
      <x:c r="I20" s="73" t="s">
        <x:v>130</x:v>
      </x:c>
      <x:c r="J20" s="73" t="s">
        <x:v>171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241" customFormat="1" ht="12" x14ac:dyDescent="0.2">
      <x:c r="B21" s="270">
        <x:v>1</x:v>
      </x:c>
      <x:c r="C21" s="271" t="s">
        <x:v>10</x:v>
      </x:c>
      <x:c r="D21" s="244">
        <x:f>'REMUNERACION Reciprocidad EAAB'!D125</x:f>
        <x:v>0</x:v>
      </x:c>
      <x:c r="E21" s="245">
        <x:f>'REMUNERACION Reciprocidad EAAB'!E125</x:f>
        <x:v>0</x:v>
      </x:c>
      <x:c r="G21" s="272">
        <x:f>'REMUNERACION Reciprocidad EAAB'!G125</x:f>
        <x:v>0</x:v>
      </x:c>
      <x:c r="H21" s="246">
        <x:f>'REMUNERACION Reciprocidad EAAB'!H125</x:f>
        <x:v>0</x:v>
      </x:c>
      <x:c r="I21" s="245">
        <x:f>'REMUNERACION Reciprocidad EAAB'!I125</x:f>
        <x:v>0</x:v>
      </x:c>
      <x:c r="J21" s="245">
        <x:f>'REMUNERACION Reciprocidad EAAB'!J125</x:f>
        <x:v>0</x:v>
      </x:c>
      <x:c r="K21" s="245">
        <x:f>'REMUNERACION Reciprocidad EAAB'!K125</x:f>
        <x:v>0</x:v>
      </x:c>
      <x:c r="L21" s="245">
        <x:f>'REMUNERACION Reciprocidad EAAB'!L125</x:f>
        <x:v>0</x:v>
      </x:c>
      <x:c r="O21" s="273"/>
      <x:c r="Q21" s="242"/>
    </x:row>
    <x:row r="22" spans="1:17" s="241" customFormat="1" ht="12" x14ac:dyDescent="0.2">
      <x:c r="B22" s="250">
        <x:v>2</x:v>
      </x:c>
      <x:c r="C22" s="274" t="s">
        <x:v>11</x:v>
      </x:c>
      <x:c r="D22" s="228">
        <x:f>'REMUNERACION Reciprocidad EAAB'!D126</x:f>
        <x:v>0</x:v>
      </x:c>
      <x:c r="E22" s="224">
        <x:f>'REMUNERACION Reciprocidad EAAB'!E126</x:f>
        <x:v>0</x:v>
      </x:c>
      <x:c r="G22" s="275">
        <x:f>'REMUNERACION Reciprocidad EAAB'!G126</x:f>
        <x:v>0</x:v>
      </x:c>
      <x:c r="H22" s="276">
        <x:f>'REMUNERACION Reciprocidad EAAB'!H126</x:f>
        <x:v>0</x:v>
      </x:c>
      <x:c r="I22" s="224">
        <x:f>'REMUNERACION Reciprocidad EAAB'!I126</x:f>
        <x:v>0</x:v>
      </x:c>
      <x:c r="J22" s="224">
        <x:f>'REMUNERACION Reciprocidad EAAB'!J126</x:f>
        <x:v>0</x:v>
      </x:c>
      <x:c r="K22" s="224">
        <x:f>'REMUNERACION Reciprocidad EAAB'!K126</x:f>
        <x:v>0</x:v>
      </x:c>
      <x:c r="L22" s="224">
        <x:f>'REMUNERACION Reciprocidad EAAB'!L126</x:f>
        <x:v>0</x:v>
      </x:c>
      <x:c r="O22" s="273"/>
      <x:c r="Q22" s="242"/>
    </x:row>
    <x:row r="23" spans="1:17" s="241" customFormat="1" ht="12" x14ac:dyDescent="0.2">
      <x:c r="B23" s="250">
        <x:v>3</x:v>
      </x:c>
      <x:c r="C23" s="274" t="s">
        <x:v>12</x:v>
      </x:c>
      <x:c r="D23" s="228">
        <x:f>'REMUNERACION Reciprocidad EAAB'!D127</x:f>
        <x:v>0</x:v>
      </x:c>
      <x:c r="E23" s="224">
        <x:f>'REMUNERACION Reciprocidad EAAB'!E127</x:f>
        <x:v>0</x:v>
      </x:c>
      <x:c r="G23" s="275">
        <x:f>'REMUNERACION Reciprocidad EAAB'!G127</x:f>
        <x:v>0</x:v>
      </x:c>
      <x:c r="H23" s="276">
        <x:f>'REMUNERACION Reciprocidad EAAB'!H127</x:f>
        <x:v>0</x:v>
      </x:c>
      <x:c r="I23" s="224">
        <x:f>'REMUNERACION Reciprocidad EAAB'!I127</x:f>
        <x:v>0</x:v>
      </x:c>
      <x:c r="J23" s="224">
        <x:f>'REMUNERACION Reciprocidad EAAB'!J127</x:f>
        <x:v>0</x:v>
      </x:c>
      <x:c r="K23" s="224">
        <x:f>'REMUNERACION Reciprocidad EAAB'!K127</x:f>
        <x:v>0</x:v>
      </x:c>
      <x:c r="L23" s="224">
        <x:f>'REMUNERACION Reciprocidad EAAB'!L127</x:f>
        <x:v>0</x:v>
      </x:c>
      <x:c r="O23" s="273"/>
      <x:c r="Q23" s="242"/>
    </x:row>
    <x:row r="24" spans="1:17" s="241" customFormat="1" ht="12" x14ac:dyDescent="0.2">
      <x:c r="B24" s="250">
        <x:v>4</x:v>
      </x:c>
      <x:c r="C24" s="274" t="s">
        <x:v>13</x:v>
      </x:c>
      <x:c r="D24" s="228">
        <x:f>'REMUNERACION Reciprocidad EAAB'!D128</x:f>
        <x:v>0</x:v>
      </x:c>
      <x:c r="E24" s="224">
        <x:f>'REMUNERACION Reciprocidad EAAB'!E128</x:f>
        <x:v>0</x:v>
      </x:c>
      <x:c r="G24" s="275">
        <x:f>'REMUNERACION Reciprocidad EAAB'!G128</x:f>
        <x:v>0</x:v>
      </x:c>
      <x:c r="H24" s="276">
        <x:f>'REMUNERACION Reciprocidad EAAB'!H128</x:f>
        <x:v>0</x:v>
      </x:c>
      <x:c r="I24" s="224">
        <x:f>'REMUNERACION Reciprocidad EAAB'!I128</x:f>
        <x:v>0</x:v>
      </x:c>
      <x:c r="J24" s="224">
        <x:f>'REMUNERACION Reciprocidad EAAB'!J128</x:f>
        <x:v>0</x:v>
      </x:c>
      <x:c r="K24" s="224">
        <x:f>'REMUNERACION Reciprocidad EAAB'!K128</x:f>
        <x:v>0</x:v>
      </x:c>
      <x:c r="L24" s="224">
        <x:f>'REMUNERACION Reciprocidad EAAB'!L128</x:f>
        <x:v>0</x:v>
      </x:c>
      <x:c r="O24" s="273"/>
      <x:c r="Q24" s="242"/>
    </x:row>
    <x:row r="25" spans="1:17" s="241" customFormat="1" ht="12" x14ac:dyDescent="0.2">
      <x:c r="B25" s="277">
        <x:v>5</x:v>
      </x:c>
      <x:c r="C25" s="278" t="s">
        <x:v>14</x:v>
      </x:c>
      <x:c r="D25" s="228">
        <x:f>'REMUNERACION Reciprocidad EAAB'!D129</x:f>
        <x:v>0</x:v>
      </x:c>
      <x:c r="E25" s="280">
        <x:f>'REMUNERACION Reciprocidad EAAB'!E129</x:f>
        <x:v>0</x:v>
      </x:c>
      <x:c r="G25" s="275">
        <x:f>'REMUNERACION Reciprocidad EAAB'!G129</x:f>
        <x:v>0</x:v>
      </x:c>
      <x:c r="H25" s="276">
        <x:f>'REMUNERACION Reciprocidad EAAB'!H129</x:f>
        <x:v>0</x:v>
      </x:c>
      <x:c r="I25" s="224">
        <x:f>'REMUNERACION Reciprocidad EAAB'!I129</x:f>
        <x:v>0</x:v>
      </x:c>
      <x:c r="J25" s="224">
        <x:f>'REMUNERACION Reciprocidad EAAB'!J129</x:f>
        <x:v>0</x:v>
      </x:c>
      <x:c r="K25" s="224">
        <x:f>'REMUNERACION Reciprocidad EAAB'!K129</x:f>
        <x:v>0</x:v>
      </x:c>
      <x:c r="L25" s="224">
        <x:f>'REMUNERACION Reciprocidad EAAB'!L129</x:f>
        <x:v>0</x:v>
      </x:c>
      <x:c r="O25" s="273"/>
      <x:c r="Q25" s="242"/>
    </x:row>
    <x:row r="26" spans="1:17" s="241" customFormat="1" thickBot="1" x14ac:dyDescent="0.25">
      <x:c r="B26" s="260" t="s">
        <x:v>89</x:v>
      </x:c>
      <x:c r="C26" s="281" t="s">
        <x:v>113</x:v>
      </x:c>
      <x:c r="D26" s="233">
        <x:f>'REMUNERACION Reciprocidad EAAB'!D130</x:f>
        <x:v>0</x:v>
      </x:c>
      <x:c r="E26" s="225">
        <x:f>'REMUNERACION Reciprocidad EAAB'!E130</x:f>
        <x:v>0</x:v>
      </x:c>
      <x:c r="G26" s="282">
        <x:f>'REMUNERACION Reciprocidad EAAB'!G130</x:f>
        <x:v>0</x:v>
      </x:c>
      <x:c r="H26" s="283">
        <x:f>'REMUNERACION Reciprocidad EAAB'!H130</x:f>
        <x:v>0</x:v>
      </x:c>
      <x:c r="I26" s="225">
        <x:f>'REMUNERACION Reciprocidad EAAB'!I130</x:f>
        <x:v>0</x:v>
      </x:c>
      <x:c r="J26" s="225">
        <x:f>'REMUNERACION Reciprocidad EAAB'!J130</x:f>
        <x:v>0</x:v>
      </x:c>
      <x:c r="K26" s="225">
        <x:f>'REMUNERACION Reciprocidad EAAB'!K130</x:f>
        <x:v>0</x:v>
      </x:c>
      <x:c r="L26" s="225">
        <x:f>'REMUNERACION Reciprocidad EAAB'!L130</x:f>
        <x:v>0</x:v>
      </x:c>
      <x:c r="O26" s="273"/>
      <x:c r="Q26" s="242"/>
    </x:row>
    <x:row r="27" spans="1:17" s="241" customFormat="1" thickBot="1" x14ac:dyDescent="0.25">
      <x:c r="B27" s="284"/>
      <x:c r="C27" s="285" t="s">
        <x:v>2</x:v>
      </x:c>
      <x:c r="D27" s="286">
        <x:f>'REMUNERACION Reciprocidad EAAB'!D131</x:f>
        <x:v>0</x:v>
      </x:c>
      <x:c r="E27" s="286">
        <x:f>'REMUNERACION Reciprocidad EAAB'!E131</x:f>
        <x:v>0</x:v>
      </x:c>
      <x:c r="F27" s="287"/>
      <x:c r="G27" s="286">
        <x:f>'REMUNERACION Reciprocidad EAAB'!G131</x:f>
        <x:v>0</x:v>
      </x:c>
      <x:c r="H27" s="286">
        <x:f>'REMUNERACION Reciprocidad EAAB'!H131</x:f>
        <x:v>0</x:v>
      </x:c>
      <x:c r="I27" s="286">
        <x:f>'REMUNERACION Reciprocidad EAAB'!I131</x:f>
        <x:v>0</x:v>
      </x:c>
      <x:c r="J27" s="286">
        <x:f>'REMUNERACION Reciprocidad EAAB'!J131</x:f>
        <x:v>0</x:v>
      </x:c>
      <x:c r="K27" s="286">
        <x:f>'REMUNERACION Reciprocidad EAAB'!K131</x:f>
        <x:v>0</x:v>
      </x:c>
      <x:c r="L27" s="286">
        <x:f>'REMUNERACION Reciprocidad EAAB'!L131</x:f>
        <x:v>0</x:v>
      </x:c>
      <x:c r="M27" s="287"/>
      <x:c r="N27" s="287"/>
      <x:c r="O27" s="288"/>
      <x:c r="P27" s="265"/>
      <x:c r="Q27" s="242"/>
    </x:row>
    <x:row r="28" spans="1:17" s="1" customFormat="1" ht="12" x14ac:dyDescent="0.2">
      <x:c r="B28" s="2"/>
      <x:c r="C28" s="2"/>
      <x:c r="D28" s="374"/>
      <x:c r="Q28" s="4"/>
    </x:row>
    <x:row r="29" spans="1:17" s="1" customFormat="1" ht="12" x14ac:dyDescent="0.2">
      <x:c r="B29" s="2"/>
      <x:c r="C29" s="2"/>
      <x:c r="D29" s="374"/>
      <x:c r="Q29" s="4"/>
    </x:row>
    <x:row r="30" spans="1:17" s="1" customFormat="1" ht="12" x14ac:dyDescent="0.2">
      <x:c r="A30" s="52"/>
      <x:c r="B30" s="53"/>
      <x:c r="C30" s="53"/>
      <x:c r="D30" s="380"/>
      <x:c r="E30" s="380"/>
      <x:c r="F30" s="380"/>
      <x:c r="G30" s="380"/>
      <x:c r="H30" s="380"/>
      <x:c r="I30" s="380"/>
      <x:c r="J30" s="52"/>
      <x:c r="K30" s="380"/>
      <x:c r="L30" s="380"/>
      <x:c r="M30" s="380"/>
      <x:c r="N30" s="380"/>
      <x:c r="O30" s="380"/>
      <x:c r="P30" s="52"/>
      <x:c r="Q30" s="4"/>
    </x:row>
    <x:row r="32" spans="1:17" s="1" customFormat="1" ht="15.75" x14ac:dyDescent="0.25">
      <x:c r="B32" s="8"/>
      <x:c r="F32" s="414" t="s">
        <x:v>192</x:v>
      </x:c>
      <x:c r="G32" s="414"/>
      <x:c r="H32" s="415"/>
      <x:c r="I32" s="416"/>
      <x:c r="J32" s="415"/>
      <x:c r="K32" s="416"/>
      <x:c r="O32" s="10"/>
      <x:c r="P32" s="2"/>
      <x:c r="Q32" s="4"/>
    </x:row>
    <x:row r="33" spans="1:17" s="1" customFormat="1" thickBot="1" x14ac:dyDescent="0.25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97" t="s">
        <x:v>47</x:v>
      </x:c>
      <x:c r="H34" s="73" t="s">
        <x:v>56</x:v>
      </x:c>
      <x:c r="I34" s="73" t="s">
        <x:v>130</x:v>
      </x:c>
      <x:c r="J34" s="73" t="s">
        <x:v>171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241" customFormat="1" ht="12" x14ac:dyDescent="0.2">
      <x:c r="B35" s="270">
        <x:v>1</x:v>
      </x:c>
      <x:c r="C35" s="271" t="s">
        <x:v>10</x:v>
      </x:c>
      <x:c r="D35" s="244">
        <x:f>REMUNERACION_ENEL!D125</x:f>
        <x:v>0</x:v>
      </x:c>
      <x:c r="E35" s="245">
        <x:f>REMUNERACION_ENEL!E125</x:f>
        <x:v>0</x:v>
      </x:c>
      <x:c r="G35" s="272">
        <x:f>REMUNERACION_ENEL!G125</x:f>
        <x:v>0</x:v>
      </x:c>
      <x:c r="H35" s="246">
        <x:f>REMUNERACION_ENEL!H125</x:f>
        <x:v>0</x:v>
      </x:c>
      <x:c r="I35" s="245">
        <x:f>REMUNERACION_ENEL!I125</x:f>
        <x:v>0</x:v>
      </x:c>
      <x:c r="J35" s="245">
        <x:f>REMUNERACION_ENEL!J125</x:f>
        <x:v>0</x:v>
      </x:c>
      <x:c r="K35" s="245">
        <x:f>REMUNERACION_ENEL!K125</x:f>
        <x:v>0</x:v>
      </x:c>
      <x:c r="L35" s="245">
        <x:f>REMUNERACION_ENEL!L125</x:f>
        <x:v>0</x:v>
      </x:c>
      <x:c r="O35" s="273"/>
      <x:c r="Q35" s="242"/>
    </x:row>
    <x:row r="36" spans="1:17" s="241" customFormat="1" ht="12" x14ac:dyDescent="0.2">
      <x:c r="B36" s="250">
        <x:v>2</x:v>
      </x:c>
      <x:c r="C36" s="274" t="s">
        <x:v>11</x:v>
      </x:c>
      <x:c r="D36" s="228">
        <x:f>REMUNERACION_ENEL!D126</x:f>
        <x:v>0</x:v>
      </x:c>
      <x:c r="E36" s="224">
        <x:f>REMUNERACION_ENEL!E126</x:f>
        <x:v>0</x:v>
      </x:c>
      <x:c r="G36" s="275">
        <x:f>REMUNERACION_ENEL!G126</x:f>
        <x:v>0</x:v>
      </x:c>
      <x:c r="H36" s="276">
        <x:f>REMUNERACION_ENEL!H126</x:f>
        <x:v>0</x:v>
      </x:c>
      <x:c r="I36" s="224">
        <x:f>REMUNERACION_ENEL!I126</x:f>
        <x:v>0</x:v>
      </x:c>
      <x:c r="J36" s="224">
        <x:f>REMUNERACION_ENEL!J126</x:f>
        <x:v>0</x:v>
      </x:c>
      <x:c r="K36" s="224">
        <x:f>REMUNERACION_ENEL!K126</x:f>
        <x:v>0</x:v>
      </x:c>
      <x:c r="L36" s="224">
        <x:f>REMUNERACION_ENEL!L126</x:f>
        <x:v>0</x:v>
      </x:c>
      <x:c r="O36" s="273"/>
      <x:c r="Q36" s="242"/>
    </x:row>
    <x:row r="37" spans="1:17" s="241" customFormat="1" ht="12" x14ac:dyDescent="0.2">
      <x:c r="B37" s="250">
        <x:v>3</x:v>
      </x:c>
      <x:c r="C37" s="274" t="s">
        <x:v>12</x:v>
      </x:c>
      <x:c r="D37" s="228">
        <x:f>REMUNERACION_ENEL!D127</x:f>
        <x:v>0</x:v>
      </x:c>
      <x:c r="E37" s="224">
        <x:f>REMUNERACION_ENEL!E127</x:f>
        <x:v>0</x:v>
      </x:c>
      <x:c r="G37" s="275">
        <x:f>REMUNERACION_ENEL!G127</x:f>
        <x:v>0</x:v>
      </x:c>
      <x:c r="H37" s="276">
        <x:f>REMUNERACION_ENEL!H127</x:f>
        <x:v>0</x:v>
      </x:c>
      <x:c r="I37" s="224">
        <x:f>REMUNERACION_ENEL!I127</x:f>
        <x:v>0</x:v>
      </x:c>
      <x:c r="J37" s="224">
        <x:f>REMUNERACION_ENEL!J127</x:f>
        <x:v>0</x:v>
      </x:c>
      <x:c r="K37" s="224">
        <x:f>REMUNERACION_ENEL!K127</x:f>
        <x:v>0</x:v>
      </x:c>
      <x:c r="L37" s="224">
        <x:f>REMUNERACION_ENEL!L127</x:f>
        <x:v>0</x:v>
      </x:c>
      <x:c r="O37" s="273"/>
      <x:c r="Q37" s="242"/>
    </x:row>
    <x:row r="38" spans="1:17" s="241" customFormat="1" ht="12" x14ac:dyDescent="0.2">
      <x:c r="B38" s="250">
        <x:v>4</x:v>
      </x:c>
      <x:c r="C38" s="274" t="s">
        <x:v>13</x:v>
      </x:c>
      <x:c r="D38" s="228">
        <x:f>REMUNERACION_ENEL!D128</x:f>
        <x:v>0</x:v>
      </x:c>
      <x:c r="E38" s="224">
        <x:f>REMUNERACION_ENEL!E128</x:f>
        <x:v>0</x:v>
      </x:c>
      <x:c r="G38" s="275">
        <x:f>REMUNERACION_ENEL!G128</x:f>
        <x:v>0</x:v>
      </x:c>
      <x:c r="H38" s="276">
        <x:f>REMUNERACION_ENEL!H128</x:f>
        <x:v>0</x:v>
      </x:c>
      <x:c r="I38" s="224">
        <x:f>REMUNERACION_ENEL!I128</x:f>
        <x:v>0</x:v>
      </x:c>
      <x:c r="J38" s="224">
        <x:f>REMUNERACION_ENEL!J128</x:f>
        <x:v>0</x:v>
      </x:c>
      <x:c r="K38" s="224">
        <x:f>REMUNERACION_ENEL!K128</x:f>
        <x:v>0</x:v>
      </x:c>
      <x:c r="L38" s="224">
        <x:f>REMUNERACION_ENEL!L128</x:f>
        <x:v>0</x:v>
      </x:c>
      <x:c r="O38" s="273"/>
      <x:c r="Q38" s="242"/>
    </x:row>
    <x:row r="39" spans="1:17" s="241" customFormat="1" ht="12" x14ac:dyDescent="0.2">
      <x:c r="B39" s="277">
        <x:v>5</x:v>
      </x:c>
      <x:c r="C39" s="278" t="s">
        <x:v>14</x:v>
      </x:c>
      <x:c r="D39" s="228">
        <x:f>REMUNERACION_ENEL!D129</x:f>
        <x:v>0</x:v>
      </x:c>
      <x:c r="E39" s="280">
        <x:f>REMUNERACION_ENEL!E129</x:f>
        <x:v>0</x:v>
      </x:c>
      <x:c r="G39" s="275">
        <x:f>REMUNERACION_ENEL!G129</x:f>
        <x:v>0</x:v>
      </x:c>
      <x:c r="H39" s="276">
        <x:f>REMUNERACION_ENEL!H129</x:f>
        <x:v>0</x:v>
      </x:c>
      <x:c r="I39" s="224">
        <x:f>REMUNERACION_ENEL!I129</x:f>
        <x:v>0</x:v>
      </x:c>
      <x:c r="J39" s="224">
        <x:f>REMUNERACION_ENEL!J129</x:f>
        <x:v>0</x:v>
      </x:c>
      <x:c r="K39" s="224">
        <x:f>REMUNERACION_ENEL!K129</x:f>
        <x:v>0</x:v>
      </x:c>
      <x:c r="L39" s="224">
        <x:f>REMUNERACION_ENEL!L129</x:f>
        <x:v>0</x:v>
      </x:c>
      <x:c r="O39" s="273"/>
      <x:c r="Q39" s="242"/>
    </x:row>
    <x:row r="40" spans="1:17" s="241" customFormat="1" thickBot="1" x14ac:dyDescent="0.25">
      <x:c r="B40" s="260" t="s">
        <x:v>89</x:v>
      </x:c>
      <x:c r="C40" s="281" t="s">
        <x:v>113</x:v>
      </x:c>
      <x:c r="D40" s="233">
        <x:f>REMUNERACION_ENEL!D130</x:f>
        <x:v>0</x:v>
      </x:c>
      <x:c r="E40" s="225">
        <x:f>REMUNERACION_ENEL!E130</x:f>
        <x:v>0</x:v>
      </x:c>
      <x:c r="G40" s="282">
        <x:f>REMUNERACION_ENEL!G130</x:f>
        <x:v>0</x:v>
      </x:c>
      <x:c r="H40" s="283">
        <x:f>REMUNERACION_ENEL!H130</x:f>
        <x:v>0</x:v>
      </x:c>
      <x:c r="I40" s="225">
        <x:f>REMUNERACION_ENEL!I130</x:f>
        <x:v>0</x:v>
      </x:c>
      <x:c r="J40" s="225">
        <x:f>REMUNERACION_ENEL!J130</x:f>
        <x:v>0</x:v>
      </x:c>
      <x:c r="K40" s="225">
        <x:f>REMUNERACION_ENEL!K130</x:f>
        <x:v>0</x:v>
      </x:c>
      <x:c r="L40" s="225">
        <x:f>REMUNERACION_ENEL!L130</x:f>
        <x:v>0</x:v>
      </x:c>
      <x:c r="O40" s="273"/>
      <x:c r="Q40" s="242"/>
    </x:row>
    <x:row r="41" spans="1:17" s="241" customFormat="1" thickBot="1" x14ac:dyDescent="0.25">
      <x:c r="B41" s="284"/>
      <x:c r="C41" s="285" t="s">
        <x:v>2</x:v>
      </x:c>
      <x:c r="D41" s="286">
        <x:f>REMUNERACION_ENEL!D131</x:f>
        <x:v>0</x:v>
      </x:c>
      <x:c r="E41" s="286">
        <x:f>REMUNERACION_ENEL!E131</x:f>
        <x:v>0</x:v>
      </x:c>
      <x:c r="F41" s="287"/>
      <x:c r="G41" s="286">
        <x:f>REMUNERACION_ENEL!G131</x:f>
        <x:v>0</x:v>
      </x:c>
      <x:c r="H41" s="286">
        <x:f>REMUNERACION_ENEL!H131</x:f>
        <x:v>0</x:v>
      </x:c>
      <x:c r="I41" s="286">
        <x:f>REMUNERACION_ENEL!I131</x:f>
        <x:v>0</x:v>
      </x:c>
      <x:c r="J41" s="286">
        <x:f>REMUNERACION_ENEL!J131</x:f>
        <x:v>0</x:v>
      </x:c>
      <x:c r="K41" s="286">
        <x:f>REMUNERACION_ENEL!K131</x:f>
        <x:v>0</x:v>
      </x:c>
      <x:c r="L41" s="286">
        <x:f>REMUNERACION_ENEL!L131</x:f>
        <x:v>0</x:v>
      </x:c>
      <x:c r="M41" s="287"/>
      <x:c r="N41" s="287"/>
      <x:c r="O41" s="288"/>
      <x:c r="P41" s="265"/>
      <x:c r="Q41" s="242"/>
    </x:row>
    <x:row r="42" spans="1:17" s="1" customFormat="1" ht="12" x14ac:dyDescent="0.2">
      <x:c r="B42" s="2"/>
      <x:c r="C42" s="2"/>
      <x:c r="D42" s="374"/>
      <x:c r="Q42" s="4"/>
    </x:row>
    <x:row r="43" spans="1:17" s="1" customFormat="1" ht="12" x14ac:dyDescent="0.2">
      <x:c r="B43" s="2"/>
      <x:c r="C43" s="2"/>
      <x:c r="D43" s="374"/>
      <x:c r="Q43" s="4"/>
    </x:row>
    <x:row r="44" spans="1:17" s="1" customFormat="1" ht="12" x14ac:dyDescent="0.2">
      <x:c r="A44" s="52"/>
      <x:c r="B44" s="53"/>
      <x:c r="C44" s="53"/>
      <x:c r="D44" s="380"/>
      <x:c r="E44" s="380"/>
      <x:c r="F44" s="380"/>
      <x:c r="G44" s="380"/>
      <x:c r="H44" s="380"/>
      <x:c r="I44" s="380"/>
      <x:c r="J44" s="52"/>
      <x:c r="K44" s="380"/>
      <x:c r="L44" s="380"/>
      <x:c r="M44" s="380"/>
      <x:c r="N44" s="380"/>
      <x:c r="O44" s="380"/>
      <x:c r="P44" s="52"/>
      <x:c r="Q44" s="4"/>
    </x:row>
    <x:row r="45" spans="1:17" s="1" customFormat="1" ht="12" x14ac:dyDescent="0.2">
      <x:c r="B45" s="2"/>
      <x:c r="C45" s="2"/>
      <x:c r="D45" s="374"/>
      <x:c r="Q45" s="4"/>
    </x:row>
    <x:row r="46" spans="1:17" s="1" customFormat="1" ht="15.75" x14ac:dyDescent="0.25">
      <x:c r="B46" s="8"/>
      <x:c r="F46" s="414" t="s">
        <x:v>331</x:v>
      </x:c>
      <x:c r="G46" s="414"/>
      <x:c r="H46" s="415"/>
      <x:c r="I46" s="416"/>
      <x:c r="J46" s="415"/>
      <x:c r="K46" s="416"/>
      <x:c r="O46" s="10"/>
      <x:c r="P46" s="2"/>
      <x:c r="Q46" s="4"/>
    </x:row>
    <x:row r="47" spans="1:17" s="1" customFormat="1" thickBot="1" x14ac:dyDescent="0.25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97" t="s">
        <x:v>47</x:v>
      </x:c>
      <x:c r="H48" s="73" t="s">
        <x:v>56</x:v>
      </x:c>
      <x:c r="I48" s="73" t="s">
        <x:v>130</x:v>
      </x:c>
      <x:c r="J48" s="73" t="s">
        <x:v>171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241" customFormat="1" ht="12" x14ac:dyDescent="0.2">
      <x:c r="B49" s="270">
        <x:v>1</x:v>
      </x:c>
      <x:c r="C49" s="271" t="s">
        <x:v>10</x:v>
      </x:c>
      <x:c r="D49" s="244">
        <x:f>REMUNERACION_ENERBIT!D125</x:f>
        <x:v>0</x:v>
      </x:c>
      <x:c r="E49" s="244">
        <x:f>REMUNERACION_ENERBIT!E125</x:f>
        <x:v>0</x:v>
      </x:c>
      <x:c r="G49" s="272">
        <x:f>REMUNERACION_ENERBIT!G125</x:f>
        <x:v>0</x:v>
      </x:c>
      <x:c r="H49" s="272">
        <x:f>REMUNERACION_ENERBIT!H125</x:f>
        <x:v>0</x:v>
      </x:c>
      <x:c r="I49" s="272">
        <x:f>REMUNERACION_ENERBIT!I125</x:f>
        <x:v>0</x:v>
      </x:c>
      <x:c r="J49" s="272">
        <x:f>REMUNERACION_ENERBIT!J125</x:f>
        <x:v>0</x:v>
      </x:c>
      <x:c r="K49" s="272">
        <x:f>REMUNERACION_ENERBIT!K125</x:f>
        <x:v>0</x:v>
      </x:c>
      <x:c r="L49" s="272">
        <x:f>REMUNERACION_ENERBIT!L125</x:f>
        <x:v>0</x:v>
      </x:c>
      <x:c r="O49" s="273"/>
      <x:c r="Q49" s="242"/>
    </x:row>
    <x:row r="50" spans="1:17" s="241" customFormat="1" ht="12" x14ac:dyDescent="0.2">
      <x:c r="B50" s="250">
        <x:v>2</x:v>
      </x:c>
      <x:c r="C50" s="274" t="s">
        <x:v>11</x:v>
      </x:c>
      <x:c r="D50" s="228">
        <x:f>REMUNERACION_ENERBIT!D126</x:f>
        <x:v>0</x:v>
      </x:c>
      <x:c r="E50" s="228">
        <x:f>REMUNERACION_ENERBIT!E126</x:f>
        <x:v>0</x:v>
      </x:c>
      <x:c r="G50" s="275">
        <x:f>REMUNERACION_ENERBIT!G126</x:f>
        <x:v>0</x:v>
      </x:c>
      <x:c r="H50" s="275">
        <x:f>REMUNERACION_ENERBIT!H126</x:f>
        <x:v>0</x:v>
      </x:c>
      <x:c r="I50" s="275">
        <x:f>REMUNERACION_ENERBIT!I126</x:f>
        <x:v>0</x:v>
      </x:c>
      <x:c r="J50" s="275">
        <x:f>REMUNERACION_ENERBIT!J126</x:f>
        <x:v>0</x:v>
      </x:c>
      <x:c r="K50" s="275">
        <x:f>REMUNERACION_ENERBIT!K126</x:f>
        <x:v>0</x:v>
      </x:c>
      <x:c r="L50" s="275">
        <x:f>REMUNERACION_ENERBIT!L126</x:f>
        <x:v>0</x:v>
      </x:c>
      <x:c r="O50" s="273"/>
      <x:c r="Q50" s="242"/>
    </x:row>
    <x:row r="51" spans="1:17" s="241" customFormat="1" ht="12" x14ac:dyDescent="0.2">
      <x:c r="B51" s="250">
        <x:v>3</x:v>
      </x:c>
      <x:c r="C51" s="274" t="s">
        <x:v>12</x:v>
      </x:c>
      <x:c r="D51" s="228">
        <x:f>REMUNERACION_ENERBIT!D127</x:f>
        <x:v>0</x:v>
      </x:c>
      <x:c r="E51" s="228">
        <x:f>REMUNERACION_ENERBIT!E127</x:f>
        <x:v>0</x:v>
      </x:c>
      <x:c r="G51" s="275">
        <x:f>REMUNERACION_ENERBIT!G127</x:f>
        <x:v>0</x:v>
      </x:c>
      <x:c r="H51" s="275">
        <x:f>REMUNERACION_ENERBIT!H127</x:f>
        <x:v>0</x:v>
      </x:c>
      <x:c r="I51" s="275">
        <x:f>REMUNERACION_ENERBIT!I127</x:f>
        <x:v>0</x:v>
      </x:c>
      <x:c r="J51" s="275">
        <x:f>REMUNERACION_ENERBIT!J127</x:f>
        <x:v>0</x:v>
      </x:c>
      <x:c r="K51" s="275">
        <x:f>REMUNERACION_ENERBIT!K127</x:f>
        <x:v>0</x:v>
      </x:c>
      <x:c r="L51" s="275">
        <x:f>REMUNERACION_ENERBIT!L127</x:f>
        <x:v>0</x:v>
      </x:c>
      <x:c r="O51" s="273"/>
      <x:c r="Q51" s="242"/>
    </x:row>
    <x:row r="52" spans="1:17" s="241" customFormat="1" ht="12" x14ac:dyDescent="0.2">
      <x:c r="B52" s="250">
        <x:v>4</x:v>
      </x:c>
      <x:c r="C52" s="274" t="s">
        <x:v>13</x:v>
      </x:c>
      <x:c r="D52" s="228">
        <x:f>REMUNERACION_ENERBIT!D128</x:f>
        <x:v>0</x:v>
      </x:c>
      <x:c r="E52" s="228">
        <x:f>REMUNERACION_ENERBIT!E128</x:f>
        <x:v>0</x:v>
      </x:c>
      <x:c r="G52" s="275">
        <x:f>REMUNERACION_ENERBIT!G128</x:f>
        <x:v>0</x:v>
      </x:c>
      <x:c r="H52" s="275">
        <x:f>REMUNERACION_ENERBIT!H128</x:f>
        <x:v>0</x:v>
      </x:c>
      <x:c r="I52" s="275">
        <x:f>REMUNERACION_ENERBIT!I128</x:f>
        <x:v>0</x:v>
      </x:c>
      <x:c r="J52" s="275">
        <x:f>REMUNERACION_ENERBIT!J128</x:f>
        <x:v>0</x:v>
      </x:c>
      <x:c r="K52" s="275">
        <x:f>REMUNERACION_ENERBIT!K128</x:f>
        <x:v>0</x:v>
      </x:c>
      <x:c r="L52" s="275">
        <x:f>REMUNERACION_ENERBIT!L128</x:f>
        <x:v>0</x:v>
      </x:c>
      <x:c r="O52" s="273"/>
      <x:c r="Q52" s="242"/>
    </x:row>
    <x:row r="53" spans="1:17" s="241" customFormat="1" ht="12" x14ac:dyDescent="0.2">
      <x:c r="B53" s="277">
        <x:v>5</x:v>
      </x:c>
      <x:c r="C53" s="278" t="s">
        <x:v>14</x:v>
      </x:c>
      <x:c r="D53" s="228">
        <x:f>REMUNERACION_ENERBIT!D129</x:f>
        <x:v>0</x:v>
      </x:c>
      <x:c r="E53" s="228">
        <x:f>REMUNERACION_ENERBIT!E129</x:f>
        <x:v>0</x:v>
      </x:c>
      <x:c r="G53" s="275">
        <x:f>REMUNERACION_ENERBIT!G129</x:f>
        <x:v>0</x:v>
      </x:c>
      <x:c r="H53" s="275">
        <x:f>REMUNERACION_ENERBIT!H129</x:f>
        <x:v>0</x:v>
      </x:c>
      <x:c r="I53" s="275">
        <x:f>REMUNERACION_ENERBIT!I129</x:f>
        <x:v>0</x:v>
      </x:c>
      <x:c r="J53" s="275">
        <x:f>REMUNERACION_ENERBIT!J129</x:f>
        <x:v>0</x:v>
      </x:c>
      <x:c r="K53" s="275">
        <x:f>REMUNERACION_ENERBIT!K129</x:f>
        <x:v>0</x:v>
      </x:c>
      <x:c r="L53" s="275">
        <x:f>REMUNERACION_ENERBIT!L129</x:f>
        <x:v>0</x:v>
      </x:c>
      <x:c r="O53" s="273"/>
      <x:c r="Q53" s="242"/>
    </x:row>
    <x:row r="54" spans="1:17" s="241" customFormat="1" thickBot="1" x14ac:dyDescent="0.25">
      <x:c r="B54" s="260" t="s">
        <x:v>89</x:v>
      </x:c>
      <x:c r="C54" s="281" t="s">
        <x:v>113</x:v>
      </x:c>
      <x:c r="D54" s="233">
        <x:f>REMUNERACION_ENERBIT!D130</x:f>
        <x:v>0</x:v>
      </x:c>
      <x:c r="E54" s="233">
        <x:f>REMUNERACION_ENERBIT!E130</x:f>
        <x:v>0</x:v>
      </x:c>
      <x:c r="G54" s="282">
        <x:f>REMUNERACION_ENERBIT!G130</x:f>
        <x:v>0</x:v>
      </x:c>
      <x:c r="H54" s="282">
        <x:f>REMUNERACION_ENERBIT!H130</x:f>
        <x:v>0</x:v>
      </x:c>
      <x:c r="I54" s="282">
        <x:f>REMUNERACION_ENERBIT!I130</x:f>
        <x:v>0</x:v>
      </x:c>
      <x:c r="J54" s="282">
        <x:f>REMUNERACION_ENERBIT!J130</x:f>
        <x:v>0</x:v>
      </x:c>
      <x:c r="K54" s="282">
        <x:f>REMUNERACION_ENERBIT!K130</x:f>
        <x:v>0</x:v>
      </x:c>
      <x:c r="L54" s="282">
        <x:f>REMUNERACION_ENERBIT!L130</x:f>
        <x:v>0</x:v>
      </x:c>
      <x:c r="O54" s="273"/>
      <x:c r="Q54" s="242"/>
    </x:row>
    <x:row r="55" spans="1:17" s="241" customFormat="1" thickBot="1" x14ac:dyDescent="0.25">
      <x:c r="B55" s="284"/>
      <x:c r="C55" s="285" t="s">
        <x:v>2</x:v>
      </x:c>
      <x:c r="D55" s="286">
        <x:f>REMUNERACION_ENERBIT!D131</x:f>
        <x:v>0</x:v>
      </x:c>
      <x:c r="E55" s="286">
        <x:f>REMUNERACION_ENERBIT!E131</x:f>
        <x:v>0</x:v>
      </x:c>
      <x:c r="F55" s="287"/>
      <x:c r="G55" s="286">
        <x:f>REMUNERACION_ENERBIT!G131</x:f>
        <x:v>0</x:v>
      </x:c>
      <x:c r="H55" s="286">
        <x:f>REMUNERACION_ENERBIT!H131</x:f>
        <x:v>0</x:v>
      </x:c>
      <x:c r="I55" s="286">
        <x:f>REMUNERACION_ENERBIT!I131</x:f>
        <x:v>0</x:v>
      </x:c>
      <x:c r="J55" s="286">
        <x:f>REMUNERACION_ENERBIT!J131</x:f>
        <x:v>0</x:v>
      </x:c>
      <x:c r="K55" s="286">
        <x:f>REMUNERACION_ENERBIT!K131</x:f>
        <x:v>0</x:v>
      </x:c>
      <x:c r="L55" s="286">
        <x:f>REMUNERACION_ENERBIT!L131</x:f>
        <x:v>0</x:v>
      </x:c>
      <x:c r="M55" s="287"/>
      <x:c r="N55" s="287"/>
      <x:c r="O55" s="288"/>
      <x:c r="P55" s="265"/>
      <x:c r="Q55" s="242"/>
    </x:row>
    <x:row r="56" spans="1:17" s="1" customFormat="1" ht="12" x14ac:dyDescent="0.2">
      <x:c r="B56" s="2"/>
      <x:c r="C56" s="2"/>
      <x:c r="D56" s="374"/>
      <x:c r="Q56" s="4"/>
    </x:row>
    <x:row r="57" spans="1:17" s="1" customFormat="1" ht="12" x14ac:dyDescent="0.2">
      <x:c r="B57" s="2"/>
      <x:c r="C57" s="2"/>
      <x:c r="D57" s="374"/>
      <x:c r="Q57" s="4"/>
    </x:row>
    <x:row r="58" spans="1:17" s="1" customFormat="1" ht="12" x14ac:dyDescent="0.2">
      <x:c r="A58" s="52"/>
      <x:c r="B58" s="53"/>
      <x:c r="C58" s="53"/>
      <x:c r="D58" s="380"/>
      <x:c r="E58" s="380"/>
      <x:c r="F58" s="380"/>
      <x:c r="G58" s="380"/>
      <x:c r="H58" s="380"/>
      <x:c r="I58" s="380"/>
      <x:c r="J58" s="52"/>
      <x:c r="K58" s="380"/>
      <x:c r="L58" s="380"/>
      <x:c r="M58" s="380"/>
      <x:c r="N58" s="380"/>
      <x:c r="O58" s="380"/>
      <x:c r="P58" s="52"/>
      <x:c r="Q58" s="4"/>
    </x:row>
    <x:row r="60" spans="1:17" s="1" customFormat="1" ht="15.75" x14ac:dyDescent="0.25">
      <x:c r="B60" s="8"/>
      <x:c r="F60" s="399" t="s">
        <x:v>193</x:v>
      </x:c>
      <x:c r="G60" s="399"/>
      <x:c r="H60" s="400"/>
      <x:c r="I60" s="401"/>
      <x:c r="J60" s="400"/>
      <x:c r="K60" s="401"/>
      <x:c r="O60" s="10"/>
      <x:c r="P60" s="2"/>
      <x:c r="Q60" s="4"/>
    </x:row>
    <x:row r="61" spans="1:17" s="1" customFormat="1" thickBot="1" x14ac:dyDescent="0.25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97" t="s">
        <x:v>47</x:v>
      </x:c>
      <x:c r="H62" s="73" t="s">
        <x:v>56</x:v>
      </x:c>
      <x:c r="I62" s="73" t="s">
        <x:v>130</x:v>
      </x:c>
      <x:c r="J62" s="73" t="s">
        <x:v>171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241" customFormat="1" ht="12" x14ac:dyDescent="0.2">
      <x:c r="B63" s="270">
        <x:v>1</x:v>
      </x:c>
      <x:c r="C63" s="271" t="s">
        <x:v>10</x:v>
      </x:c>
      <x:c r="D63" s="244">
        <x:f>'REMUNERACION_OCCIDENTE_ Directa'!D125</x:f>
        <x:v>0</x:v>
      </x:c>
      <x:c r="E63" s="245">
        <x:f>'REMUNERACION_OCCIDENTE_ Directa'!E125</x:f>
        <x:v>0</x:v>
      </x:c>
      <x:c r="G63" s="272">
        <x:f>'REMUNERACION_OCCIDENTE_ Directa'!G125</x:f>
        <x:v>0</x:v>
      </x:c>
      <x:c r="H63" s="246">
        <x:f>'REMUNERACION_OCCIDENTE_ Directa'!H125</x:f>
        <x:v>0</x:v>
      </x:c>
      <x:c r="I63" s="245">
        <x:f>'REMUNERACION_OCCIDENTE_ Directa'!I125</x:f>
        <x:v>0</x:v>
      </x:c>
      <x:c r="J63" s="245">
        <x:f>'REMUNERACION_OCCIDENTE_ Directa'!J125</x:f>
        <x:v>0</x:v>
      </x:c>
      <x:c r="K63" s="245">
        <x:f>'REMUNERACION_OCCIDENTE_ Directa'!K125</x:f>
        <x:v>0</x:v>
      </x:c>
      <x:c r="L63" s="245">
        <x:f>'REMUNERACION_OCCIDENTE_ Directa'!L125</x:f>
        <x:v>0</x:v>
      </x:c>
      <x:c r="O63" s="273"/>
      <x:c r="Q63" s="242"/>
    </x:row>
    <x:row r="64" spans="1:17" s="241" customFormat="1" ht="12" x14ac:dyDescent="0.2">
      <x:c r="B64" s="250">
        <x:v>2</x:v>
      </x:c>
      <x:c r="C64" s="274" t="s">
        <x:v>11</x:v>
      </x:c>
      <x:c r="D64" s="228">
        <x:f>'REMUNERACION_OCCIDENTE_ Directa'!D126</x:f>
        <x:v>0</x:v>
      </x:c>
      <x:c r="E64" s="224">
        <x:f>'REMUNERACION_OCCIDENTE_ Directa'!E126</x:f>
        <x:v>0</x:v>
      </x:c>
      <x:c r="G64" s="275">
        <x:f>'REMUNERACION_OCCIDENTE_ Directa'!G126</x:f>
        <x:v>0</x:v>
      </x:c>
      <x:c r="H64" s="276">
        <x:f>'REMUNERACION_OCCIDENTE_ Directa'!H126</x:f>
        <x:v>0</x:v>
      </x:c>
      <x:c r="I64" s="224">
        <x:f>'REMUNERACION_OCCIDENTE_ Directa'!I126</x:f>
        <x:v>0</x:v>
      </x:c>
      <x:c r="J64" s="224">
        <x:f>'REMUNERACION_OCCIDENTE_ Directa'!J126</x:f>
        <x:v>0</x:v>
      </x:c>
      <x:c r="K64" s="224">
        <x:f>'REMUNERACION_OCCIDENTE_ Directa'!K126</x:f>
        <x:v>0</x:v>
      </x:c>
      <x:c r="L64" s="224">
        <x:f>'REMUNERACION_OCCIDENTE_ Directa'!L126</x:f>
        <x:v>0</x:v>
      </x:c>
      <x:c r="O64" s="273"/>
      <x:c r="Q64" s="242"/>
    </x:row>
    <x:row r="65" spans="1:17" s="241" customFormat="1" ht="12" x14ac:dyDescent="0.2">
      <x:c r="B65" s="250">
        <x:v>3</x:v>
      </x:c>
      <x:c r="C65" s="274" t="s">
        <x:v>12</x:v>
      </x:c>
      <x:c r="D65" s="228">
        <x:f>'REMUNERACION_OCCIDENTE_ Directa'!D127</x:f>
        <x:v>0</x:v>
      </x:c>
      <x:c r="E65" s="224">
        <x:f>'REMUNERACION_OCCIDENTE_ Directa'!E127</x:f>
        <x:v>0</x:v>
      </x:c>
      <x:c r="G65" s="275">
        <x:f>'REMUNERACION_OCCIDENTE_ Directa'!G127</x:f>
        <x:v>0</x:v>
      </x:c>
      <x:c r="H65" s="276">
        <x:f>'REMUNERACION_OCCIDENTE_ Directa'!H127</x:f>
        <x:v>0</x:v>
      </x:c>
      <x:c r="I65" s="224">
        <x:f>'REMUNERACION_OCCIDENTE_ Directa'!I127</x:f>
        <x:v>0</x:v>
      </x:c>
      <x:c r="J65" s="224">
        <x:f>'REMUNERACION_OCCIDENTE_ Directa'!J127</x:f>
        <x:v>0</x:v>
      </x:c>
      <x:c r="K65" s="224">
        <x:f>'REMUNERACION_OCCIDENTE_ Directa'!K127</x:f>
        <x:v>0</x:v>
      </x:c>
      <x:c r="L65" s="224">
        <x:f>'REMUNERACION_OCCIDENTE_ Directa'!L127</x:f>
        <x:v>0</x:v>
      </x:c>
      <x:c r="O65" s="273"/>
      <x:c r="Q65" s="242"/>
    </x:row>
    <x:row r="66" spans="1:17" s="241" customFormat="1" ht="12" x14ac:dyDescent="0.2">
      <x:c r="B66" s="250">
        <x:v>4</x:v>
      </x:c>
      <x:c r="C66" s="274" t="s">
        <x:v>13</x:v>
      </x:c>
      <x:c r="D66" s="228">
        <x:f>'REMUNERACION_OCCIDENTE_ Directa'!D128</x:f>
        <x:v>0</x:v>
      </x:c>
      <x:c r="E66" s="224">
        <x:f>'REMUNERACION_OCCIDENTE_ Directa'!E128</x:f>
        <x:v>0</x:v>
      </x:c>
      <x:c r="G66" s="275">
        <x:f>'REMUNERACION_OCCIDENTE_ Directa'!G128</x:f>
        <x:v>0</x:v>
      </x:c>
      <x:c r="H66" s="276">
        <x:f>'REMUNERACION_OCCIDENTE_ Directa'!H128</x:f>
        <x:v>0</x:v>
      </x:c>
      <x:c r="I66" s="224">
        <x:f>'REMUNERACION_OCCIDENTE_ Directa'!I128</x:f>
        <x:v>0</x:v>
      </x:c>
      <x:c r="J66" s="224">
        <x:f>'REMUNERACION_OCCIDENTE_ Directa'!J128</x:f>
        <x:v>0</x:v>
      </x:c>
      <x:c r="K66" s="224">
        <x:f>'REMUNERACION_OCCIDENTE_ Directa'!K128</x:f>
        <x:v>0</x:v>
      </x:c>
      <x:c r="L66" s="224">
        <x:f>'REMUNERACION_OCCIDENTE_ Directa'!L128</x:f>
        <x:v>0</x:v>
      </x:c>
      <x:c r="O66" s="273"/>
      <x:c r="Q66" s="242"/>
    </x:row>
    <x:row r="67" spans="1:17" s="241" customFormat="1" ht="12" x14ac:dyDescent="0.2">
      <x:c r="B67" s="277">
        <x:v>5</x:v>
      </x:c>
      <x:c r="C67" s="278" t="s">
        <x:v>14</x:v>
      </x:c>
      <x:c r="D67" s="228">
        <x:f>'REMUNERACION_OCCIDENTE_ Directa'!D129</x:f>
        <x:v>0</x:v>
      </x:c>
      <x:c r="E67" s="280">
        <x:f>'REMUNERACION_OCCIDENTE_ Directa'!E129</x:f>
        <x:v>0</x:v>
      </x:c>
      <x:c r="G67" s="275">
        <x:f>'REMUNERACION_OCCIDENTE_ Directa'!G129</x:f>
        <x:v>0</x:v>
      </x:c>
      <x:c r="H67" s="276">
        <x:f>'REMUNERACION_OCCIDENTE_ Directa'!H129</x:f>
        <x:v>0</x:v>
      </x:c>
      <x:c r="I67" s="224">
        <x:f>'REMUNERACION_OCCIDENTE_ Directa'!I129</x:f>
        <x:v>0</x:v>
      </x:c>
      <x:c r="J67" s="224">
        <x:f>'REMUNERACION_OCCIDENTE_ Directa'!J129</x:f>
        <x:v>0</x:v>
      </x:c>
      <x:c r="K67" s="224">
        <x:f>'REMUNERACION_OCCIDENTE_ Directa'!K129</x:f>
        <x:v>0</x:v>
      </x:c>
      <x:c r="L67" s="224">
        <x:f>'REMUNERACION_OCCIDENTE_ Directa'!L129</x:f>
        <x:v>0</x:v>
      </x:c>
      <x:c r="O67" s="273"/>
      <x:c r="Q67" s="242"/>
    </x:row>
    <x:row r="68" spans="1:17" s="241" customFormat="1" thickBot="1" x14ac:dyDescent="0.25">
      <x:c r="B68" s="260" t="s">
        <x:v>89</x:v>
      </x:c>
      <x:c r="C68" s="281" t="s">
        <x:v>113</x:v>
      </x:c>
      <x:c r="D68" s="233">
        <x:f>'REMUNERACION_OCCIDENTE_ Directa'!D130</x:f>
        <x:v>0</x:v>
      </x:c>
      <x:c r="E68" s="225">
        <x:f>'REMUNERACION_OCCIDENTE_ Directa'!E130</x:f>
        <x:v>0</x:v>
      </x:c>
      <x:c r="G68" s="282">
        <x:f>'REMUNERACION_OCCIDENTE_ Directa'!G130</x:f>
        <x:v>0</x:v>
      </x:c>
      <x:c r="H68" s="283">
        <x:f>'REMUNERACION_OCCIDENTE_ Directa'!H130</x:f>
        <x:v>0</x:v>
      </x:c>
      <x:c r="I68" s="225">
        <x:f>'REMUNERACION_OCCIDENTE_ Directa'!I130</x:f>
        <x:v>0</x:v>
      </x:c>
      <x:c r="J68" s="225">
        <x:f>'REMUNERACION_OCCIDENTE_ Directa'!J130</x:f>
        <x:v>0</x:v>
      </x:c>
      <x:c r="K68" s="225">
        <x:f>'REMUNERACION_OCCIDENTE_ Directa'!K130</x:f>
        <x:v>0</x:v>
      </x:c>
      <x:c r="L68" s="225">
        <x:f>'REMUNERACION_OCCIDENTE_ Directa'!L130</x:f>
        <x:v>0</x:v>
      </x:c>
      <x:c r="O68" s="273"/>
      <x:c r="Q68" s="242"/>
    </x:row>
    <x:row r="69" spans="1:17" s="241" customFormat="1" thickBot="1" x14ac:dyDescent="0.25">
      <x:c r="B69" s="284"/>
      <x:c r="C69" s="285" t="s">
        <x:v>2</x:v>
      </x:c>
      <x:c r="D69" s="286">
        <x:f>'REMUNERACION_OCCIDENTE_ Directa'!D131</x:f>
        <x:v>0</x:v>
      </x:c>
      <x:c r="E69" s="286">
        <x:f>'REMUNERACION_OCCIDENTE_ Directa'!E131</x:f>
        <x:v>0</x:v>
      </x:c>
      <x:c r="F69" s="287"/>
      <x:c r="G69" s="286">
        <x:f>'REMUNERACION_OCCIDENTE_ Directa'!G131</x:f>
        <x:v>0</x:v>
      </x:c>
      <x:c r="H69" s="286">
        <x:f>'REMUNERACION_OCCIDENTE_ Directa'!H131</x:f>
        <x:v>0</x:v>
      </x:c>
      <x:c r="I69" s="286">
        <x:f>'REMUNERACION_OCCIDENTE_ Directa'!I131</x:f>
        <x:v>0</x:v>
      </x:c>
      <x:c r="J69" s="286">
        <x:f>'REMUNERACION_OCCIDENTE_ Directa'!J131</x:f>
        <x:v>0</x:v>
      </x:c>
      <x:c r="K69" s="286">
        <x:f>'REMUNERACION_OCCIDENTE_ Directa'!K131</x:f>
        <x:v>0</x:v>
      </x:c>
      <x:c r="L69" s="286">
        <x:f>'REMUNERACION_OCCIDENTE_ Directa'!L131</x:f>
        <x:v>0</x:v>
      </x:c>
      <x:c r="M69" s="287"/>
      <x:c r="N69" s="287"/>
      <x:c r="O69" s="288"/>
      <x:c r="P69" s="265"/>
      <x:c r="Q69" s="242"/>
    </x:row>
    <x:row r="70" spans="1:17" s="1" customFormat="1" ht="12" x14ac:dyDescent="0.2">
      <x:c r="B70" s="2"/>
      <x:c r="C70" s="2"/>
      <x:c r="D70" s="374"/>
      <x:c r="Q70" s="4"/>
    </x:row>
    <x:row r="71" spans="1:17" s="1" customFormat="1" ht="12" x14ac:dyDescent="0.2">
      <x:c r="B71" s="2"/>
      <x:c r="C71" s="2"/>
      <x:c r="D71" s="374"/>
      <x:c r="Q71" s="4"/>
    </x:row>
    <x:row r="72" spans="1:17" s="1" customFormat="1" ht="12" x14ac:dyDescent="0.2">
      <x:c r="A72" s="52"/>
      <x:c r="B72" s="53"/>
      <x:c r="C72" s="53"/>
      <x:c r="D72" s="380"/>
      <x:c r="E72" s="380"/>
      <x:c r="F72" s="380"/>
      <x:c r="G72" s="380"/>
      <x:c r="H72" s="380"/>
      <x:c r="I72" s="380"/>
      <x:c r="J72" s="52"/>
      <x:c r="K72" s="380"/>
      <x:c r="L72" s="380"/>
      <x:c r="M72" s="380"/>
      <x:c r="N72" s="380"/>
      <x:c r="O72" s="380"/>
      <x:c r="P72" s="52"/>
      <x:c r="Q72" s="4"/>
    </x:row>
    <x:row r="74" spans="1:17" s="1" customFormat="1" ht="15.75" x14ac:dyDescent="0.25">
      <x:c r="B74" s="8"/>
      <x:c r="F74" s="58" t="s">
        <x:v>194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thickBot="1" x14ac:dyDescent="0.25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97" t="s">
        <x:v>47</x:v>
      </x:c>
      <x:c r="H76" s="73" t="s">
        <x:v>56</x:v>
      </x:c>
      <x:c r="I76" s="73" t="s">
        <x:v>130</x:v>
      </x:c>
      <x:c r="J76" s="73" t="s">
        <x:v>171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241" customFormat="1" ht="12" x14ac:dyDescent="0.2">
      <x:c r="B77" s="270">
        <x:v>1</x:v>
      </x:c>
      <x:c r="C77" s="271" t="s">
        <x:v>10</x:v>
      </x:c>
      <x:c r="D77" s="244">
        <x:f>'REMUNERACION_EAAB-CL'!D125</x:f>
        <x:v>0</x:v>
      </x:c>
      <x:c r="E77" s="245">
        <x:f>'REMUNERACION_EAAB-CL'!E125</x:f>
        <x:v>0</x:v>
      </x:c>
      <x:c r="G77" s="272">
        <x:f>'REMUNERACION_EAAB-CL'!G125</x:f>
        <x:v>0</x:v>
      </x:c>
      <x:c r="H77" s="246">
        <x:f>'REMUNERACION_EAAB-CL'!H125</x:f>
        <x:v>0</x:v>
      </x:c>
      <x:c r="I77" s="245">
        <x:f>'REMUNERACION_EAAB-CL'!I125</x:f>
        <x:v>0</x:v>
      </x:c>
      <x:c r="J77" s="245">
        <x:f>'REMUNERACION_EAAB-CL'!J125</x:f>
        <x:v>0</x:v>
      </x:c>
      <x:c r="K77" s="245">
        <x:f>'REMUNERACION_EAAB-CL'!K125</x:f>
        <x:v>0</x:v>
      </x:c>
      <x:c r="L77" s="245">
        <x:f>'REMUNERACION_EAAB-CL'!L125</x:f>
        <x:v>0</x:v>
      </x:c>
      <x:c r="O77" s="273"/>
      <x:c r="Q77" s="242"/>
    </x:row>
    <x:row r="78" spans="1:17" s="241" customFormat="1" ht="12" x14ac:dyDescent="0.2">
      <x:c r="B78" s="250">
        <x:v>2</x:v>
      </x:c>
      <x:c r="C78" s="274" t="s">
        <x:v>11</x:v>
      </x:c>
      <x:c r="D78" s="228">
        <x:f>'REMUNERACION_EAAB-CL'!D126</x:f>
        <x:v>0</x:v>
      </x:c>
      <x:c r="E78" s="224">
        <x:f>'REMUNERACION_EAAB-CL'!E126</x:f>
        <x:v>0</x:v>
      </x:c>
      <x:c r="G78" s="275">
        <x:f>'REMUNERACION_EAAB-CL'!G126</x:f>
        <x:v>0</x:v>
      </x:c>
      <x:c r="H78" s="276">
        <x:f>'REMUNERACION_EAAB-CL'!H126</x:f>
        <x:v>0</x:v>
      </x:c>
      <x:c r="I78" s="224">
        <x:f>'REMUNERACION_EAAB-CL'!I126</x:f>
        <x:v>0</x:v>
      </x:c>
      <x:c r="J78" s="224">
        <x:f>'REMUNERACION_EAAB-CL'!J126</x:f>
        <x:v>0</x:v>
      </x:c>
      <x:c r="K78" s="224">
        <x:f>'REMUNERACION_EAAB-CL'!K126</x:f>
        <x:v>0</x:v>
      </x:c>
      <x:c r="L78" s="224">
        <x:f>'REMUNERACION_EAAB-CL'!L126</x:f>
        <x:v>0</x:v>
      </x:c>
      <x:c r="O78" s="273"/>
      <x:c r="Q78" s="242"/>
    </x:row>
    <x:row r="79" spans="1:17" s="241" customFormat="1" ht="12" x14ac:dyDescent="0.2">
      <x:c r="B79" s="250">
        <x:v>3</x:v>
      </x:c>
      <x:c r="C79" s="274" t="s">
        <x:v>12</x:v>
      </x:c>
      <x:c r="D79" s="228">
        <x:f>'REMUNERACION_EAAB-CL'!D127</x:f>
        <x:v>0</x:v>
      </x:c>
      <x:c r="E79" s="224">
        <x:f>'REMUNERACION_EAAB-CL'!E127</x:f>
        <x:v>0</x:v>
      </x:c>
      <x:c r="G79" s="275">
        <x:f>'REMUNERACION_EAAB-CL'!G127</x:f>
        <x:v>0</x:v>
      </x:c>
      <x:c r="H79" s="276">
        <x:f>'REMUNERACION_EAAB-CL'!H127</x:f>
        <x:v>0</x:v>
      </x:c>
      <x:c r="I79" s="224">
        <x:f>'REMUNERACION_EAAB-CL'!I127</x:f>
        <x:v>0</x:v>
      </x:c>
      <x:c r="J79" s="224">
        <x:f>'REMUNERACION_EAAB-CL'!J127</x:f>
        <x:v>0</x:v>
      </x:c>
      <x:c r="K79" s="224">
        <x:f>'REMUNERACION_EAAB-CL'!K127</x:f>
        <x:v>0</x:v>
      </x:c>
      <x:c r="L79" s="224">
        <x:f>'REMUNERACION_EAAB-CL'!L127</x:f>
        <x:v>0</x:v>
      </x:c>
      <x:c r="O79" s="273"/>
      <x:c r="Q79" s="242"/>
    </x:row>
    <x:row r="80" spans="1:17" s="241" customFormat="1" ht="12" x14ac:dyDescent="0.2">
      <x:c r="B80" s="250">
        <x:v>4</x:v>
      </x:c>
      <x:c r="C80" s="274" t="s">
        <x:v>13</x:v>
      </x:c>
      <x:c r="D80" s="228">
        <x:f>'REMUNERACION_EAAB-CL'!D128</x:f>
        <x:v>0</x:v>
      </x:c>
      <x:c r="E80" s="224">
        <x:f>'REMUNERACION_EAAB-CL'!E128</x:f>
        <x:v>0</x:v>
      </x:c>
      <x:c r="G80" s="275">
        <x:f>'REMUNERACION_EAAB-CL'!G128</x:f>
        <x:v>0</x:v>
      </x:c>
      <x:c r="H80" s="276">
        <x:f>'REMUNERACION_EAAB-CL'!H128</x:f>
        <x:v>0</x:v>
      </x:c>
      <x:c r="I80" s="224">
        <x:f>'REMUNERACION_EAAB-CL'!I128</x:f>
        <x:v>0</x:v>
      </x:c>
      <x:c r="J80" s="224">
        <x:f>'REMUNERACION_EAAB-CL'!J128</x:f>
        <x:v>0</x:v>
      </x:c>
      <x:c r="K80" s="224">
        <x:f>'REMUNERACION_EAAB-CL'!K128</x:f>
        <x:v>0</x:v>
      </x:c>
      <x:c r="L80" s="224">
        <x:f>'REMUNERACION_EAAB-CL'!L128</x:f>
        <x:v>0</x:v>
      </x:c>
      <x:c r="O80" s="273"/>
      <x:c r="Q80" s="242"/>
    </x:row>
    <x:row r="81" spans="1:17" s="241" customFormat="1" ht="12" x14ac:dyDescent="0.2">
      <x:c r="B81" s="277">
        <x:v>5</x:v>
      </x:c>
      <x:c r="C81" s="278" t="s">
        <x:v>14</x:v>
      </x:c>
      <x:c r="D81" s="228">
        <x:f>'REMUNERACION_EAAB-CL'!D129</x:f>
        <x:v>0</x:v>
      </x:c>
      <x:c r="E81" s="280">
        <x:f>'REMUNERACION_EAAB-CL'!E129</x:f>
        <x:v>0</x:v>
      </x:c>
      <x:c r="G81" s="275">
        <x:f>'REMUNERACION_EAAB-CL'!G129</x:f>
        <x:v>0</x:v>
      </x:c>
      <x:c r="H81" s="276">
        <x:f>'REMUNERACION_EAAB-CL'!H129</x:f>
        <x:v>0</x:v>
      </x:c>
      <x:c r="I81" s="224">
        <x:f>'REMUNERACION_EAAB-CL'!I129</x:f>
        <x:v>0</x:v>
      </x:c>
      <x:c r="J81" s="224">
        <x:f>'REMUNERACION_EAAB-CL'!J129</x:f>
        <x:v>0</x:v>
      </x:c>
      <x:c r="K81" s="224">
        <x:f>'REMUNERACION_EAAB-CL'!K129</x:f>
        <x:v>0</x:v>
      </x:c>
      <x:c r="L81" s="224">
        <x:f>'REMUNERACION_EAAB-CL'!L129</x:f>
        <x:v>0</x:v>
      </x:c>
      <x:c r="O81" s="273"/>
      <x:c r="Q81" s="242"/>
    </x:row>
    <x:row r="82" spans="1:17" s="241" customFormat="1" thickBot="1" x14ac:dyDescent="0.25">
      <x:c r="B82" s="260" t="s">
        <x:v>89</x:v>
      </x:c>
      <x:c r="C82" s="281" t="s">
        <x:v>113</x:v>
      </x:c>
      <x:c r="D82" s="233">
        <x:f>'REMUNERACION_EAAB-CL'!D130</x:f>
        <x:v>0</x:v>
      </x:c>
      <x:c r="E82" s="225">
        <x:f>'REMUNERACION_EAAB-CL'!E130</x:f>
        <x:v>0</x:v>
      </x:c>
      <x:c r="G82" s="282">
        <x:f>'REMUNERACION_EAAB-CL'!G130</x:f>
        <x:v>0</x:v>
      </x:c>
      <x:c r="H82" s="283">
        <x:f>'REMUNERACION_EAAB-CL'!H130</x:f>
        <x:v>0</x:v>
      </x:c>
      <x:c r="I82" s="225">
        <x:f>'REMUNERACION_EAAB-CL'!I130</x:f>
        <x:v>0</x:v>
      </x:c>
      <x:c r="J82" s="225">
        <x:f>'REMUNERACION_EAAB-CL'!J130</x:f>
        <x:v>0</x:v>
      </x:c>
      <x:c r="K82" s="225">
        <x:f>'REMUNERACION_EAAB-CL'!K130</x:f>
        <x:v>0</x:v>
      </x:c>
      <x:c r="L82" s="225">
        <x:f>'REMUNERACION_EAAB-CL'!L130</x:f>
        <x:v>0</x:v>
      </x:c>
      <x:c r="O82" s="273"/>
      <x:c r="Q82" s="242"/>
    </x:row>
    <x:row r="83" spans="1:17" s="241" customFormat="1" thickBot="1" x14ac:dyDescent="0.25">
      <x:c r="B83" s="284"/>
      <x:c r="C83" s="285" t="s">
        <x:v>2</x:v>
      </x:c>
      <x:c r="D83" s="286">
        <x:f>'REMUNERACION_EAAB-CL'!D131</x:f>
        <x:v>0</x:v>
      </x:c>
      <x:c r="E83" s="286">
        <x:f>'REMUNERACION_EAAB-CL'!E131</x:f>
        <x:v>0</x:v>
      </x:c>
      <x:c r="F83" s="287"/>
      <x:c r="G83" s="286">
        <x:f>'REMUNERACION_EAAB-CL'!G131</x:f>
        <x:v>0</x:v>
      </x:c>
      <x:c r="H83" s="286">
        <x:f>'REMUNERACION_EAAB-CL'!H131</x:f>
        <x:v>0</x:v>
      </x:c>
      <x:c r="I83" s="286">
        <x:f>'REMUNERACION_EAAB-CL'!I131</x:f>
        <x:v>0</x:v>
      </x:c>
      <x:c r="J83" s="286">
        <x:f>'REMUNERACION_EAAB-CL'!J131</x:f>
        <x:v>0</x:v>
      </x:c>
      <x:c r="K83" s="286">
        <x:f>'REMUNERACION_EAAB-CL'!K131</x:f>
        <x:v>0</x:v>
      </x:c>
      <x:c r="L83" s="286">
        <x:f>'REMUNERACION_EAAB-CL'!L131</x:f>
        <x:v>0</x:v>
      </x:c>
      <x:c r="M83" s="287"/>
      <x:c r="N83" s="287"/>
      <x:c r="O83" s="288"/>
      <x:c r="P83" s="265"/>
      <x:c r="Q83" s="242"/>
    </x:row>
    <x:row r="84" spans="1:17" s="1" customFormat="1" ht="12" x14ac:dyDescent="0.2">
      <x:c r="B84" s="2"/>
      <x:c r="C84" s="2"/>
      <x:c r="D84" s="374"/>
      <x:c r="Q84" s="4"/>
    </x:row>
    <x:row r="85" spans="1:17" s="1" customFormat="1" ht="12" x14ac:dyDescent="0.2">
      <x:c r="B85" s="2"/>
      <x:c r="C85" s="2"/>
      <x:c r="D85" s="374"/>
      <x:c r="Q85" s="4"/>
    </x:row>
    <x:row r="86" spans="1:17" s="1" customFormat="1" ht="12" x14ac:dyDescent="0.2">
      <x:c r="A86" s="52"/>
      <x:c r="B86" s="53"/>
      <x:c r="C86" s="53"/>
      <x:c r="D86" s="380"/>
      <x:c r="E86" s="380"/>
      <x:c r="F86" s="380"/>
      <x:c r="G86" s="380"/>
      <x:c r="H86" s="380"/>
      <x:c r="I86" s="380"/>
      <x:c r="J86" s="52"/>
      <x:c r="K86" s="380"/>
      <x:c r="L86" s="380"/>
      <x:c r="M86" s="380"/>
      <x:c r="N86" s="380"/>
      <x:c r="O86" s="380"/>
      <x:c r="P86" s="52"/>
      <x:c r="Q86" s="4"/>
    </x:row>
    <x:row r="88" spans="1:17" ht="15.75" x14ac:dyDescent="0.25">
      <x:c r="F88" s="41" t="s">
        <x:v>190</x:v>
      </x:c>
    </x:row>
    <x:row r="89" spans="1:17" s="1" customFormat="1" ht="15.75" x14ac:dyDescent="0.25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thickBot="1" x14ac:dyDescent="0.25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97" t="s">
        <x:v>47</x:v>
      </x:c>
      <x:c r="H91" s="73" t="s">
        <x:v>56</x:v>
      </x:c>
      <x:c r="I91" s="73" t="s">
        <x:v>130</x:v>
      </x:c>
      <x:c r="J91" s="73" t="s">
        <x:v>171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241" customFormat="1" ht="12" x14ac:dyDescent="0.2">
      <x:c r="B92" s="270">
        <x:v>1</x:v>
      </x:c>
      <x:c r="C92" s="271" t="s">
        <x:v>10</x:v>
      </x:c>
      <x:c r="D92" s="244">
        <x:f>D6-(D21+D35+D49++D63+D77)</x:f>
        <x:v>0</x:v>
      </x:c>
      <x:c r="E92" s="244">
        <x:f>E6-(E21+E35+E49++E63+E77)</x:f>
        <x:v>0</x:v>
      </x:c>
      <x:c r="G92" s="272">
        <x:f>G6-(G21+G35+G49+G63+G77)</x:f>
        <x:v>0</x:v>
      </x:c>
      <x:c r="H92" s="272">
        <x:f t="shared" ref="H92:L92" si="0">H6-(H21+H35+H49+H63+H77)</x:f>
        <x:v>0</x:v>
      </x:c>
      <x:c r="I92" s="272">
        <x:f t="shared" si="0"/>
        <x:v>0</x:v>
      </x:c>
      <x:c r="J92" s="272">
        <x:f t="shared" si="0"/>
        <x:v>0</x:v>
      </x:c>
      <x:c r="K92" s="272">
        <x:f t="shared" si="0"/>
        <x:v>0</x:v>
      </x:c>
      <x:c r="L92" s="272">
        <x:f t="shared" si="0"/>
        <x:v>0</x:v>
      </x:c>
      <x:c r="O92" s="273"/>
      <x:c r="Q92" s="242"/>
    </x:row>
    <x:row r="93" spans="1:17" s="241" customFormat="1" ht="12" x14ac:dyDescent="0.2">
      <x:c r="B93" s="250">
        <x:v>2</x:v>
      </x:c>
      <x:c r="C93" s="274" t="s">
        <x:v>11</x:v>
      </x:c>
      <x:c r="D93" s="228">
        <x:f t="shared" ref="D93:E98" si="1">D7-(D22+D36+D50++D64+D78)</x:f>
        <x:v>0</x:v>
      </x:c>
      <x:c r="E93" s="228">
        <x:f t="shared" si="1"/>
        <x:v>0</x:v>
      </x:c>
      <x:c r="G93" s="275">
        <x:f t="shared" ref="G93:L98" si="2">G7-(G22+G36+G50+G64+G78)</x:f>
        <x:v>0</x:v>
      </x:c>
      <x:c r="H93" s="275">
        <x:f t="shared" si="2"/>
        <x:v>0</x:v>
      </x:c>
      <x:c r="I93" s="275">
        <x:f t="shared" si="2"/>
        <x:v>0</x:v>
      </x:c>
      <x:c r="J93" s="275">
        <x:f t="shared" si="2"/>
        <x:v>0</x:v>
      </x:c>
      <x:c r="K93" s="275">
        <x:f t="shared" si="2"/>
        <x:v>0</x:v>
      </x:c>
      <x:c r="L93" s="275">
        <x:f t="shared" si="2"/>
        <x:v>0</x:v>
      </x:c>
      <x:c r="O93" s="273"/>
      <x:c r="Q93" s="242"/>
    </x:row>
    <x:row r="94" spans="1:17" s="241" customFormat="1" ht="12" x14ac:dyDescent="0.2">
      <x:c r="B94" s="250">
        <x:v>3</x:v>
      </x:c>
      <x:c r="C94" s="274" t="s">
        <x:v>12</x:v>
      </x:c>
      <x:c r="D94" s="228">
        <x:f t="shared" si="1"/>
        <x:v>0</x:v>
      </x:c>
      <x:c r="E94" s="228">
        <x:f t="shared" si="1"/>
        <x:v>0</x:v>
      </x:c>
      <x:c r="G94" s="275">
        <x:f t="shared" si="2"/>
        <x:v>0</x:v>
      </x:c>
      <x:c r="H94" s="275">
        <x:f t="shared" si="2"/>
        <x:v>0</x:v>
      </x:c>
      <x:c r="I94" s="275">
        <x:f t="shared" si="2"/>
        <x:v>0</x:v>
      </x:c>
      <x:c r="J94" s="275">
        <x:f t="shared" si="2"/>
        <x:v>0</x:v>
      </x:c>
      <x:c r="K94" s="275">
        <x:f t="shared" si="2"/>
        <x:v>0</x:v>
      </x:c>
      <x:c r="L94" s="275">
        <x:f t="shared" si="2"/>
        <x:v>0</x:v>
      </x:c>
      <x:c r="O94" s="273"/>
      <x:c r="Q94" s="242"/>
    </x:row>
    <x:row r="95" spans="1:17" s="241" customFormat="1" ht="12" x14ac:dyDescent="0.2">
      <x:c r="B95" s="250">
        <x:v>4</x:v>
      </x:c>
      <x:c r="C95" s="274" t="s">
        <x:v>13</x:v>
      </x:c>
      <x:c r="D95" s="228">
        <x:f t="shared" si="1"/>
        <x:v>0</x:v>
      </x:c>
      <x:c r="E95" s="228">
        <x:f t="shared" si="1"/>
        <x:v>0</x:v>
      </x:c>
      <x:c r="G95" s="275">
        <x:f t="shared" si="2"/>
        <x:v>0</x:v>
      </x:c>
      <x:c r="H95" s="275">
        <x:f t="shared" si="2"/>
        <x:v>0</x:v>
      </x:c>
      <x:c r="I95" s="275">
        <x:f t="shared" si="2"/>
        <x:v>0</x:v>
      </x:c>
      <x:c r="J95" s="275">
        <x:f t="shared" si="2"/>
        <x:v>0</x:v>
      </x:c>
      <x:c r="K95" s="275">
        <x:f t="shared" si="2"/>
        <x:v>0</x:v>
      </x:c>
      <x:c r="L95" s="275">
        <x:f t="shared" si="2"/>
        <x:v>0</x:v>
      </x:c>
      <x:c r="O95" s="273"/>
      <x:c r="Q95" s="242"/>
    </x:row>
    <x:row r="96" spans="1:17" s="241" customFormat="1" ht="12" x14ac:dyDescent="0.2">
      <x:c r="B96" s="277">
        <x:v>5</x:v>
      </x:c>
      <x:c r="C96" s="278" t="s">
        <x:v>14</x:v>
      </x:c>
      <x:c r="D96" s="228">
        <x:f t="shared" si="1"/>
        <x:v>0</x:v>
      </x:c>
      <x:c r="E96" s="228">
        <x:f t="shared" si="1"/>
        <x:v>0</x:v>
      </x:c>
      <x:c r="G96" s="275">
        <x:f t="shared" si="2"/>
        <x:v>0</x:v>
      </x:c>
      <x:c r="H96" s="275">
        <x:f t="shared" si="2"/>
        <x:v>0</x:v>
      </x:c>
      <x:c r="I96" s="275">
        <x:f t="shared" si="2"/>
        <x:v>0</x:v>
      </x:c>
      <x:c r="J96" s="275">
        <x:f t="shared" si="2"/>
        <x:v>0</x:v>
      </x:c>
      <x:c r="K96" s="275">
        <x:f t="shared" si="2"/>
        <x:v>0</x:v>
      </x:c>
      <x:c r="L96" s="275">
        <x:f t="shared" si="2"/>
        <x:v>0</x:v>
      </x:c>
      <x:c r="O96" s="273"/>
      <x:c r="Q96" s="242"/>
    </x:row>
    <x:row r="97" spans="1:17" s="241" customFormat="1" thickBot="1" x14ac:dyDescent="0.25">
      <x:c r="B97" s="260" t="s">
        <x:v>89</x:v>
      </x:c>
      <x:c r="C97" s="281" t="s">
        <x:v>113</x:v>
      </x:c>
      <x:c r="D97" s="233">
        <x:f t="shared" si="1"/>
        <x:v>0</x:v>
      </x:c>
      <x:c r="E97" s="233">
        <x:f t="shared" si="1"/>
        <x:v>0</x:v>
      </x:c>
      <x:c r="G97" s="282">
        <x:f t="shared" si="2"/>
        <x:v>0</x:v>
      </x:c>
      <x:c r="H97" s="282">
        <x:f t="shared" si="2"/>
        <x:v>0</x:v>
      </x:c>
      <x:c r="I97" s="282">
        <x:f t="shared" si="2"/>
        <x:v>0</x:v>
      </x:c>
      <x:c r="J97" s="282">
        <x:f t="shared" si="2"/>
        <x:v>0</x:v>
      </x:c>
      <x:c r="K97" s="282">
        <x:f t="shared" si="2"/>
        <x:v>0</x:v>
      </x:c>
      <x:c r="L97" s="282">
        <x:f t="shared" si="2"/>
        <x:v>0</x:v>
      </x:c>
      <x:c r="O97" s="273"/>
      <x:c r="Q97" s="242"/>
    </x:row>
    <x:row r="98" spans="1:17" s="241" customFormat="1" thickBot="1" x14ac:dyDescent="0.25">
      <x:c r="B98" s="284"/>
      <x:c r="C98" s="285" t="s">
        <x:v>2</x:v>
      </x:c>
      <x:c r="D98" s="286">
        <x:f t="shared" si="1"/>
        <x:v>0</x:v>
      </x:c>
      <x:c r="E98" s="286">
        <x:f t="shared" si="1"/>
        <x:v>0</x:v>
      </x:c>
      <x:c r="F98" s="287"/>
      <x:c r="G98" s="286">
        <x:f t="shared" si="2"/>
        <x:v>0</x:v>
      </x:c>
      <x:c r="H98" s="286">
        <x:f t="shared" si="2"/>
        <x:v>0</x:v>
      </x:c>
      <x:c r="I98" s="286">
        <x:f t="shared" si="2"/>
        <x:v>0</x:v>
      </x:c>
      <x:c r="J98" s="286">
        <x:f t="shared" si="2"/>
        <x:v>0</x:v>
      </x:c>
      <x:c r="K98" s="286">
        <x:f t="shared" si="2"/>
        <x:v>0</x:v>
      </x:c>
      <x:c r="L98" s="286">
        <x:f t="shared" si="2"/>
        <x:v>0</x:v>
      </x:c>
      <x:c r="M98" s="287"/>
      <x:c r="N98" s="287"/>
      <x:c r="O98" s="288"/>
      <x:c r="P98" s="265"/>
      <x:c r="Q98" s="242"/>
    </x:row>
    <x:row r="99" spans="1:17" s="1" customFormat="1" ht="12" x14ac:dyDescent="0.2">
      <x:c r="B99" s="2"/>
      <x:c r="C99" s="2"/>
      <x:c r="D99" s="374"/>
      <x:c r="Q99" s="4"/>
    </x:row>
    <x:row r="100" spans="1:17" s="1" customFormat="1" ht="12" x14ac:dyDescent="0.2">
      <x:c r="B100" s="2"/>
      <x:c r="C100" s="2"/>
      <x:c r="D100" s="374"/>
      <x:c r="L100" s="1" t="s">
        <x:v>1</x:v>
      </x:c>
      <x:c r="Q100" s="4"/>
    </x:row>
    <x:row r="101" spans="1:17" s="1" customFormat="1" ht="12" x14ac:dyDescent="0.2">
      <x:c r="A101" s="52"/>
      <x:c r="B101" s="53"/>
      <x:c r="C101" s="53"/>
      <x:c r="D101" s="380"/>
      <x:c r="E101" s="380"/>
      <x:c r="F101" s="380"/>
      <x:c r="G101" s="380"/>
      <x:c r="H101" s="380"/>
      <x:c r="I101" s="380"/>
      <x:c r="J101" s="52"/>
      <x:c r="K101" s="380"/>
      <x:c r="L101" s="380"/>
      <x:c r="M101" s="380"/>
      <x:c r="N101" s="380"/>
      <x:c r="O101" s="380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K16" sqref="K16"/>
    </x:sheetView>
  </x:sheetViews>
  <x:sheetFormatPr baseColWidth="10" defaultRowHeight="12.75" x14ac:dyDescent="0.2"/>
  <x:cols>
    <x:col min="1" max="1" width="4.7109375" customWidth="1"/>
    <x:col min="2" max="2" width="10" customWidth="1"/>
    <x:col min="3" max="3" width="20.42578125" bestFit="1" customWidth="1"/>
    <x:col min="4" max="4" width="17.28515625" customWidth="1"/>
    <x:col min="5" max="5" width="16.28515625" customWidth="1"/>
    <x:col min="6" max="6" width="21" bestFit="1" customWidth="1"/>
  </x:cols>
  <x:sheetData>
    <x:row r="1" spans="2:9" ht="13.5" thickBot="1" x14ac:dyDescent="0.25"/>
    <x:row r="2" spans="2:9" ht="15.75" thickBot="1" x14ac:dyDescent="0.3">
      <x:c r="C2" s="444">
        <x:f>'CONSOLIDADO_TOTAL RECAUDO'!N3</x:f>
        <x:v>2026072</x:v>
      </x:c>
      <x:c r="D2" s="445" t="s">
        <x:v>224</x:v>
      </x:c>
      <x:c r="E2" s="445" t="s">
        <x:v>201</x:v>
      </x:c>
      <x:c r="F2" s="132"/>
      <x:c r="G2" s="132"/>
      <x:c r="H2" s="132"/>
      <x:c r="I2" s="132"/>
    </x:row>
    <x:row r="3" spans="2:9" ht="15" x14ac:dyDescent="0.25">
      <x:c r="B3" s="494">
        <x:v>0</x:v>
      </x:c>
      <x:c r="C3" s="455" t="s">
        <x:v>202</x:v>
      </x:c>
      <x:c r="D3" s="446">
        <x:v>0</x:v>
      </x:c>
      <x:c r="E3" s="456">
        <x:v>0</x:v>
      </x:c>
      <x:c r="F3" s="447"/>
      <x:c r="G3" s="132"/>
      <x:c r="H3" s="132"/>
      <x:c r="I3" s="132"/>
    </x:row>
    <x:row r="4" spans="2:9" ht="15" x14ac:dyDescent="0.25">
      <x:c r="B4" s="495">
        <x:v>0</x:v>
      </x:c>
      <x:c r="C4" s="457" t="s">
        <x:v>202</x:v>
      </x:c>
      <x:c r="D4" s="448">
        <x:v>0</x:v>
      </x:c>
      <x:c r="E4" s="458"/>
      <x:c r="F4" s="450"/>
      <x:c r="G4" s="132"/>
      <x:c r="H4" s="132"/>
      <x:c r="I4" s="132"/>
    </x:row>
    <x:row r="5" spans="2:9" ht="15" x14ac:dyDescent="0.25">
      <x:c r="B5" s="495">
        <x:v>0</x:v>
      </x:c>
      <x:c r="C5" s="459" t="s">
        <x:v>203</x:v>
      </x:c>
      <x:c r="D5" s="460">
        <x:v>0</x:v>
      </x:c>
      <x:c r="E5" s="461">
        <x:v>0</x:v>
      </x:c>
      <x:c r="F5" s="450"/>
      <x:c r="G5" s="132"/>
      <x:c r="H5" s="132"/>
      <x:c r="I5" s="132"/>
    </x:row>
    <x:row r="6" spans="2:9" ht="15.75" thickBot="1" x14ac:dyDescent="0.3">
      <x:c r="B6" s="496">
        <x:v>0</x:v>
      </x:c>
      <x:c r="C6" s="459" t="s">
        <x:v>203</x:v>
      </x:c>
      <x:c r="D6" s="460">
        <x:v>0</x:v>
      </x:c>
      <x:c r="E6" s="462"/>
      <x:c r="F6" s="450"/>
      <x:c r="G6" s="132"/>
      <x:c r="H6" s="132"/>
      <x:c r="I6" s="132"/>
    </x:row>
    <x:row r="7" spans="2:9" ht="15" x14ac:dyDescent="0.25">
      <x:c r="B7" t="s">
        <x:v>1</x:v>
      </x:c>
      <x:c r="C7" s="463" t="s">
        <x:v>204</x:v>
      </x:c>
      <x:c r="D7" s="464">
        <x:v>0</x:v>
      </x:c>
      <x:c r="E7" s="451">
        <x:v>0</x:v>
      </x:c>
      <x:c r="F7" s="452" t="b">
        <x:v>1</x:v>
      </x:c>
      <x:c r="G7" s="132"/>
      <x:c r="H7" s="132"/>
      <x:c r="I7" s="132"/>
    </x:row>
    <x:row r="8" spans="2:9" ht="15" x14ac:dyDescent="0.25">
      <x:c r="C8" s="463" t="s">
        <x:v>326</x:v>
      </x:c>
      <x:c r="D8" s="464">
        <x:v>0</x:v>
      </x:c>
      <x:c r="E8" s="604"/>
      <x:c r="F8" s="452"/>
      <x:c r="G8" s="132"/>
      <x:c r="H8" s="132"/>
      <x:c r="I8" s="132"/>
    </x:row>
    <x:row r="9" spans="2:9" ht="15" x14ac:dyDescent="0.25">
      <x:c r="B9" t="s">
        <x:v>1</x:v>
      </x:c>
      <x:c r="C9" s="463" t="s">
        <x:v>205</x:v>
      </x:c>
      <x:c r="D9" s="464">
        <x:v>0</x:v>
      </x:c>
      <x:c r="E9" s="449"/>
      <x:c r="F9" s="450"/>
      <x:c r="G9" s="132"/>
      <x:c r="H9" s="132"/>
      <x:c r="I9" s="132"/>
    </x:row>
    <x:row r="10" spans="2:9" ht="15.75" thickBot="1" x14ac:dyDescent="0.3">
      <x:c r="C10" s="465" t="s">
        <x:v>206</x:v>
      </x:c>
      <x:c r="D10" s="453">
        <x:v>0</x:v>
      </x:c>
      <x:c r="E10" s="453">
        <x:v>0</x:v>
      </x:c>
      <x:c r="F10" s="454" t="n">
        <x:v>77064563298</x:v>
      </x:c>
      <x:c r="G10" s="132"/>
      <x:c r="H10" s="132"/>
      <x:c r="I10" s="132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2026-08-28T23:10:04Z</dcterms:modified>
</cp:coreProperties>
</file>