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2- REMUNERACION QUINCENAL\2026\2026072\"/>
    </mc:Choice>
  </mc:AlternateContent>
  <xr:revisionPtr revIDLastSave="0" documentId="13_ncr:1_{6514AB45-6A11-412E-8D7C-5B24C45C1974}" xr6:coauthVersionLast="47" xr6:coauthVersionMax="47" xr10:uidLastSave="{00000000-0000-0000-0000-000000000000}"/>
  <x:bookViews>
    <x:workbookView xWindow="28680" yWindow="-120" windowWidth="29040" windowHeight="15720" tabRatio="780" firstSheet="11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Z480" i="55" l="1"/>
  <c r="Y480" i="55"/>
  <c r="X480" i="55"/>
  <c r="W480" i="55"/>
  <c r="AC50" i="79" s="1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AC50" i="22"/>
  <c r="M27" i="94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L10" i="22" l="1"/>
  <c r="L11" i="22"/>
  <c r="L12" i="22"/>
  <c r="L13" i="22"/>
  <c r="L9" i="22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1" i="66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L13" i="79" l="1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C9" i="80" s="1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R262" i="59" l="1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D128" i="97"/>
  <c r="D52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<x:sst xmlns:x="http://schemas.openxmlformats.org/spreadsheetml/2006/main" count="7552" uniqueCount="348">
  <x:si>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</x:si>
  <x:si>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</x:si>
  <x:si>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</x:si>
  <x:si>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</x:si>
  <x:si>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</x:si>
  <x:si>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</x:si>
  <x:si>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</x:si>
  <x:si>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</x:si>
  <x:si>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</x:si>
  <x:si>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</x:si>
  <x:si>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</x:si>
  <x:si>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</x:si>
  <x:si>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</x:si>
  <x:si>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</x:si>
  <x:si>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</x:si>
  <x:si>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</x:si>
  <x:si>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</x:si>
  <x:si>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</x:si>
  <x:si>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</x:si>
  <x:si>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</x:si>
  <x:si>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</x:si>
  <x:si>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</x:si>
  <x:si>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</x:si>
  <x:si>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</x:si>
  <x:si>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</x:si>
  <x:si>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</x:si>
  <x:si>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</x:si>
  <x:si>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</x:si>
  <x:si>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</x:si>
  <x:si>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</x:si>
  <x:si>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</x:si>
  <x:si>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</x:si>
  <x:si>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</x:si>
  <x:si>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</x:si>
  <x:si>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</x:si>
  <x:si>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</x:si>
  <x:si>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</x:si>
  <x:si>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</x:si>
  <x:si>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</x:si>
  <x:si>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</x:si>
  <x:si>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</x:si>
  <x:si>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</x:si>
  <x:si>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</x:si>
  <x:si>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</x:si>
  <x:si>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</x:si>
  <x:si>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</x:si>
  <x:si>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</x:si>
  <x:si>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</x:si>
  <x:si>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</x:si>
  <x:si>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</x:si>
  <x:si>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</x:si>
  <x:si>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</x:si>
  <x:si>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</x:si>
  <x:si>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</x:si>
  <x:si>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</x:si>
  <x:si>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</x:si>
  <x:si>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</x:si>
  <x:si>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</x:si>
  <x:si>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</x:si>
  <x:si>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</x:si>
  <x:si>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</x:si>
  <x:si>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</x:si>
  <x:si>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</x:si>
  <x:si>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</x:si>
  <x:si>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</x:si>
  <x:si>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</x:si>
  <x:si>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</x:si>
  <x:si>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</x:si>
  <x:si>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</x:si>
  <x:si>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</x:si>
  <x:si>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</x:si>
  <x:si>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</x:si>
  <x:si>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</x:si>
  <x:si>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</x:si>
  <x:si>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</x:si>
  <x:si>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</x:si>
  <x:si>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</x:si>
  <x:si>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</x:si>
  <x:si>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</x:si>
  <x:si>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</x:si>
  <x:si>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</x:si>
  <x:si>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</x:si>
  <x:si>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</x:si>
  <x:si>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</x:si>
  <x:si>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</x:si>
  <x:si>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</x:si>
  <x:si>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</x:si>
  <x:si>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</x:si>
  <x:si>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</x:si>
  <x:si>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</x:si>
  <x:si>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</x:si>
  <x:si>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</x:si>
  <x:si>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</x:si>
  <x:si>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</x:si>
  <x:si>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</x:si>
  <x:si>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</x:si>
  <x:si>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</x:si>
  <x:si>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</x:si>
  <x:si>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</x:si>
  <x:si>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</x:si>
  <x:si>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</x:si>
  <x:si>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</x:si>
  <x:si>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</x:si>
  <x:si>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</x:si>
  <x:si>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</x:si>
  <x:si>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</x:si>
  <x:si>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</x:si>
  <x:si>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</x:si>
  <x:si>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</x:si>
  <x:si>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</x:si>
  <x:si>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</x:si>
  <x:si>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</x:si>
  <x:si>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</x:si>
  <x:si>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</x:si>
  <x:si>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</x:si>
  <x:si>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</x:si>
  <x:si>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</x:si>
  <x:si>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</x:si>
  <x:si>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</x:si>
  <x:si>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</x:si>
  <x:si>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</x:si>
  <x:si>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</x:si>
  <x:si>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</x:si>
  <x:si>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</x:si>
  <x:si>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</x:si>
  <x:si>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</x:si>
  <x:si>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</x:si>
  <x:si>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</x:si>
  <x:si>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</x:si>
  <x:si>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</x:si>
  <x:si>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</x:si>
  <x:si>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</x:si>
  <x:si>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</x:si>
  <x:si>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</x:si>
  <x:si>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</x:si>
  <x:si>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</x:si>
  <x:si>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</x:si>
  <x:si>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</x:si>
  <x:si>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</x:si>
  <x:si>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</x:si>
  <x:si>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</x:si>
  <x:si>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</x:si>
  <x:si>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</x:si>
  <x:si>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</x:si>
  <x:si>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</x:si>
  <x:si>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</x:si>
  <x:si>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</x:si>
  <x:si>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</x:si>
  <x:si>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</x:si>
  <x:si>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</x:si>
  <x:si>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</x:si>
  <x:si>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</x:si>
  <x:si>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</x:si>
  <x:si>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</x:si>
  <x:si>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</x:si>
  <x:si>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</x:si>
  <x:si>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</x:si>
  <x:si>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</x:si>
  <x:si>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</x:si>
  <x:si>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</x:si>
  <x:si>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</x:si>
  <x:si>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</x:si>
  <x:si>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</x:si>
  <x:si>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</x:si>
  <x:si>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</x:si>
  <x:si>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</x:si>
  <x:si>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</x:si>
  <x:si>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</x:si>
  <x:si>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</x:si>
  <x:si>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</x:si>
  <x:si>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</x:si>
  <x:si>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</x:si>
  <x:si>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</x:si>
  <x:si>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</x:si>
  <x:si>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</x:si>
  <x:si>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</x:si>
  <x:si>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</x:si>
  <x:si>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</x:si>
  <x:si>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</x:si>
  <x:si>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</x:si>
  <x:si>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</x:si>
  <x:si>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</x:si>
  <x:si>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</x:si>
  <x:si>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</x:si>
  <x:si>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</x:si>
  <x:si>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</x:si>
  <x:si>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</x:si>
  <x:si>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</x:si>
  <x:si>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</x:si>
  <x:si>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</x:si>
  <x:si>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</x:si>
  <x:si>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</x:si>
  <x:si>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</x:si>
  <x:si>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</x:si>
  <x:si>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</x:si>
  <x:si>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</x:si>
  <x:si>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</x:si>
  <x:si>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</x:si>
  <x:si>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</x:si>
  <x:si>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</x:si>
  <x:si>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</x:si>
  <x:si>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</x:si>
  <x:si>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</x:si>
  <x:si>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</x:si>
  <x:si>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</x:si>
  <x:si>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</x:si>
  <x:si>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</x:si>
  <x:si>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</x:si>
  <x:si>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</x:si>
  <x:si>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</x:si>
  <x:si>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</x:si>
  <x:si>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</x:si>
  <x:si>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</x:si>
  <x:si>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</x:si>
  <x:si>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</x:si>
  <x:si>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</x:si>
  <x:si>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</x:si>
  <x:si>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</x:si>
  <x:si>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</x:si>
  <x:si>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</x:si>
  <x:si>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</x:si>
  <x:si>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</x:si>
  <x:si>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</x:si>
  <x:si>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</x:si>
  <x:si>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</x:si>
  <x:si>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</x:si>
  <x:si>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</x:si>
  <x:si>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</x:si>
  <x:si>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</x:si>
  <x:si>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</x:si>
  <x:si>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</x:si>
  <x:si>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</x:si>
  <x:si>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</x:si>
  <x:si>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</x:si>
  <x:si>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</x:si>
  <x:si>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</x:si>
  <x:si>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</x:si>
  <x:si>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</x:si>
  <x:si>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</x:si>
  <x:si>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</x:si>
  <x:si>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</x:si>
  <x:si>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</x:si>
  <x:si>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</x:si>
  <x:si>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</x:si>
  <x:si>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</x:si>
  <x:si>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</x:si>
  <x:si>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</x:si>
  <x:si>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</x:si>
  <x:si>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</x:si>
  <x:si>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</x:si>
  <x:si>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</x:si>
  <x:si>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</x:si>
  <x:si>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</x:si>
  <x:si>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</x:si>
  <x:si>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</x:si>
  <x:si>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</x:si>
  <x:si>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</x:si>
  <x:si>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</x:si>
  <x:si>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</x:si>
  <x:si>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</x:si>
  <x:si>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</x:si>
  <x:si>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</x:si>
  <x:si>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</x:si>
  <x:si>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</x:si>
  <x:si>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</x:si>
  <x:si>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</x:si>
  <x:si>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</x:si>
  <x:si>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</x:si>
  <x:si>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</x:si>
  <x:si>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</x:si>
  <x:si>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</x:si>
  <x:si>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</x:si>
  <x:si>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</x:si>
  <x:si>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</x:si>
  <x:si>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</x:si>
  <x:si>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</x:si>
  <x:si>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</x:si>
  <x:si>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</x:si>
  <x:si>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</x:si>
  <x:si>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</x:si>
  <x:si>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</x:si>
  <x:si>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</x:si>
  <x:si>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</x:si>
  <x:si>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</x:si>
  <x:si>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</x:si>
  <x:si>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</x:si>
  <x:si>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</x:si>
  <x:si>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</x:si>
  <x:si>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</x:si>
  <x:si>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</x:si>
  <x:si>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</x:si>
  <x:si>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</x:si>
  <x:si>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</x:si>
  <x:si>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</x:si>
  <x:si>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</x:si>
  <x:si>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</x:si>
  <x:si>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</x:si>
  <x:si>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</x:si>
  <x:si>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</x:si>
  <x:si>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</x:si>
  <x:si>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</x:si>
  <x:si>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</x:si>
  <x:si>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</x:si>
  <x:si>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</x:si>
  <x:si>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</x:si>
  <x:si>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</x:si>
  <x:si>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</x:si>
  <x:si>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</x:si>
  <x:si>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</x:si>
  <x:si>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</x:si>
  <x:si>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</x:si>
  <x:si>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</x:si>
  <x:si>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</x:si>
  <x:si>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</x:si>
  <x:si>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</x:si>
  <x:si>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</x:si>
  <x:si>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</x:si>
  <x:si>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</x:si>
  <x:si>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</x:si>
  <x:si>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</x:si>
  <x:si>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</x:si>
  <x:si>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</x:si>
  <x:si>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</x:si>
  <x:si>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</x:si>
  <x:si>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</x:si>
  <x:si>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</x:si>
  <x:si>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</x:si>
  <x:si>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</x:si>
  <x:si>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</x:si>
  <x:si>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</x:si>
  <x:si>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</x:si>
  <x:si>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</x:si>
  <x:si>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</x:si>
  <x:si>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</x:si>
  <x:si>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</x:si>
  <x:si>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</x:si>
  <x:si>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</x:si>
  <x:si>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</x:si>
  <x:si>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</x:si>
  <x:si>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</x:si>
  <x:si>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</x:si>
  <x:si>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</x:si>
  <x:si>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ok</x:t>
  </x:si>
  <x:si>
    <x:t>2026072</x:t>
  </x:si>
  <x:si>
    <x:t>04/08/2026</x:t>
  </x:si>
  <x:si>
    <x:t>10:15 AM</x:t>
  </x:si>
  <x:si>
    <x:t>16/07/2026</x:t>
  </x:si>
  <x:si>
    <x:t>31/07/2026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</x:si>
</x:sst>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.0_-;\-* #,##0.0_-;_-* &quot;-&quot;?_-;_-@_-"/>
    <numFmt numFmtId="170" formatCode="_-* #,##0.0_-;\-* #,##0.0_-;_-* &quot;-&quot;_-;_-@_-"/>
    <numFmt numFmtId="171" formatCode="_-* #,##0.00_-;\-* #,##0.00_-;_-* &quot;-&quot;_-;_-@_-"/>
    <numFmt numFmtId="172" formatCode="[$-F400]h:mm\ AM/PM"/>
    <numFmt numFmtId="173" formatCode="#,##0_ ;[Red]\-#,##0\ "/>
    <numFmt numFmtId="174" formatCode="#,##0.0_ ;[Red]\-#,##0.0\ "/>
    <numFmt numFmtId="175" formatCode="_-* #,##0.000000_-;\-* #,##0.000000_-;_-* &quot;-&quot;??_-;_-@_-"/>
    <numFmt numFmtId="176" formatCode="_-* #,##0.000_-;\-* #,##0.000_-;_-* &quot;-&quot;??_-;_-@_-"/>
    <numFmt numFmtId="177" formatCode="_-* #,##0.000_-;\-* #,##0.000_-;_-* &quot;-&quot;???_-;_-@_-"/>
    <numFmt numFmtId="178" formatCode="_-* #,##0.000000000_-;\-* #,##0.000000000_-;_-* &quot;-&quot;_-;_-@_-"/>
    <numFmt numFmtId="179" formatCode="_-* #,##0.0000000000_-;\-* #,##0.0000000000_-;_-* &quot;-&quot;_-;_-@_-"/>
    <numFmt numFmtId="180" formatCode="_-* #,##0.0_-;\-* #,##0.0_-;_-* &quot;-&quot;??_-;_-@_-"/>
    <numFmt numFmtId="181" formatCode="#,##0.0000"/>
    <numFmt numFmtId="182" formatCode="#,##0.00_ ;[Red]\-#,##0.00\ "/>
    <numFmt numFmtId="183" formatCode="_-* #,##0.000_-;\-* #,##0.000_-;_-* &quot;-&quot;?_-;_-@_-"/>
    <numFmt numFmtId="184" formatCode="#,##0.0"/>
    <numFmt numFmtId="185" formatCode="_-* #,##0.000000000000_-;\-* #,##0.000000000000_-;_-* &quot;-&quot;??_-;_-@_-"/>
    <numFmt numFmtId="186" formatCode="#,##0.00;[Red]#,##0.00"/>
    <numFmt numFmtId="187" formatCode="#,##0.0;[Red]#,##0.0"/>
    <numFmt numFmtId="188" formatCode="#,##0.000000000"/>
    <numFmt numFmtId="189" formatCode="#,##0.0000000000"/>
    <numFmt numFmtId="190" formatCode="_-* #,##0.00000_-;\-* #,##0.00000_-;_-* &quot;-&quot;??_-;_-@_-"/>
    <numFmt numFmtId="191" formatCode="#,##0.000"/>
    <numFmt numFmtId="192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6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6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1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5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5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5" fontId="20" fillId="0" borderId="14" xfId="2599" applyNumberFormat="1" applyFont="1" applyBorder="1"/>
    <xf numFmtId="165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5" fontId="20" fillId="35" borderId="21" xfId="2599" applyNumberFormat="1" applyFont="1" applyFill="1" applyBorder="1"/>
    <xf numFmtId="165" fontId="20" fillId="35" borderId="22" xfId="2599" applyNumberFormat="1" applyFont="1" applyFill="1" applyBorder="1"/>
    <xf numFmtId="165" fontId="20" fillId="35" borderId="11" xfId="2599" applyNumberFormat="1" applyFont="1" applyFill="1" applyBorder="1"/>
    <xf numFmtId="165" fontId="25" fillId="0" borderId="2" xfId="2599" applyNumberFormat="1" applyFont="1" applyBorder="1"/>
    <xf numFmtId="0" fontId="20" fillId="33" borderId="0" xfId="0" applyFont="1" applyFill="1"/>
    <xf numFmtId="165" fontId="25" fillId="33" borderId="0" xfId="2599" applyNumberFormat="1" applyFont="1" applyFill="1"/>
    <xf numFmtId="0" fontId="23" fillId="0" borderId="0" xfId="0" applyFont="1"/>
    <xf numFmtId="165" fontId="25" fillId="0" borderId="37" xfId="2599" applyNumberFormat="1" applyFont="1" applyBorder="1"/>
    <xf numFmtId="165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5" fontId="20" fillId="35" borderId="23" xfId="2599" applyNumberFormat="1" applyFont="1" applyFill="1" applyBorder="1"/>
    <xf numFmtId="0" fontId="49" fillId="0" borderId="0" xfId="0" applyFont="1"/>
    <xf numFmtId="165" fontId="20" fillId="0" borderId="0" xfId="2599" applyNumberFormat="1" applyFont="1"/>
    <xf numFmtId="165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5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5" fontId="25" fillId="37" borderId="0" xfId="2599" applyNumberFormat="1" applyFont="1" applyFill="1"/>
    <xf numFmtId="165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5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5" fontId="25" fillId="0" borderId="15" xfId="2599" applyNumberFormat="1" applyFont="1" applyBorder="1"/>
    <xf numFmtId="165" fontId="25" fillId="0" borderId="22" xfId="2599" applyNumberFormat="1" applyFont="1" applyBorder="1"/>
    <xf numFmtId="165" fontId="20" fillId="38" borderId="11" xfId="2599" applyNumberFormat="1" applyFont="1" applyFill="1" applyBorder="1"/>
    <xf numFmtId="165" fontId="20" fillId="38" borderId="21" xfId="2599" applyNumberFormat="1" applyFont="1" applyFill="1" applyBorder="1"/>
    <xf numFmtId="165" fontId="20" fillId="38" borderId="22" xfId="2599" applyNumberFormat="1" applyFont="1" applyFill="1" applyBorder="1"/>
    <xf numFmtId="171" fontId="25" fillId="0" borderId="12" xfId="2601" applyNumberFormat="1" applyFont="1" applyBorder="1"/>
    <xf numFmtId="171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5" fontId="25" fillId="0" borderId="41" xfId="2599" applyNumberFormat="1" applyFont="1" applyBorder="1"/>
    <xf numFmtId="43" fontId="25" fillId="0" borderId="21" xfId="2599" applyFont="1" applyBorder="1"/>
    <xf numFmtId="165" fontId="22" fillId="35" borderId="11" xfId="2599" applyNumberFormat="1" applyFont="1" applyFill="1" applyBorder="1"/>
    <xf numFmtId="165" fontId="25" fillId="0" borderId="17" xfId="2599" applyNumberFormat="1" applyFont="1" applyBorder="1"/>
    <xf numFmtId="165" fontId="25" fillId="0" borderId="18" xfId="2599" applyNumberFormat="1" applyFont="1" applyBorder="1"/>
    <xf numFmtId="165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5" fontId="25" fillId="0" borderId="16" xfId="2599" applyNumberFormat="1" applyFont="1" applyBorder="1"/>
    <xf numFmtId="165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5" fontId="20" fillId="39" borderId="11" xfId="2599" applyNumberFormat="1" applyFont="1" applyFill="1" applyBorder="1"/>
    <xf numFmtId="165" fontId="25" fillId="0" borderId="47" xfId="2599" applyNumberFormat="1" applyFont="1" applyBorder="1"/>
    <xf numFmtId="165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5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5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5" fontId="25" fillId="0" borderId="40" xfId="2599" applyNumberFormat="1" applyFont="1" applyBorder="1"/>
    <xf numFmtId="165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5" fontId="20" fillId="38" borderId="54" xfId="2599" applyNumberFormat="1" applyFont="1" applyFill="1" applyBorder="1"/>
    <xf numFmtId="165" fontId="20" fillId="38" borderId="55" xfId="2599" applyNumberFormat="1" applyFont="1" applyFill="1" applyBorder="1"/>
    <xf numFmtId="170" fontId="25" fillId="0" borderId="21" xfId="2601" applyNumberFormat="1" applyFont="1" applyBorder="1"/>
    <xf numFmtId="170" fontId="25" fillId="0" borderId="22" xfId="2601" applyNumberFormat="1" applyFont="1" applyBorder="1"/>
    <xf numFmtId="170" fontId="25" fillId="0" borderId="23" xfId="2601" applyNumberFormat="1" applyFont="1" applyBorder="1"/>
    <xf numFmtId="170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5" fontId="25" fillId="0" borderId="58" xfId="2599" applyNumberFormat="1" applyFont="1" applyBorder="1"/>
    <xf numFmtId="165" fontId="25" fillId="0" borderId="63" xfId="2599" applyNumberFormat="1" applyFont="1" applyBorder="1"/>
    <xf numFmtId="165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5" fontId="25" fillId="0" borderId="64" xfId="2599" applyNumberFormat="1" applyFont="1" applyBorder="1"/>
    <xf numFmtId="165" fontId="25" fillId="0" borderId="51" xfId="2599" applyNumberFormat="1" applyFont="1" applyBorder="1"/>
    <xf numFmtId="165" fontId="0" fillId="0" borderId="0" xfId="0" applyNumberFormat="1"/>
    <xf numFmtId="0" fontId="19" fillId="0" borderId="0" xfId="0" applyFont="1"/>
    <xf numFmtId="41" fontId="0" fillId="0" borderId="0" xfId="2601" applyFont="1"/>
    <xf numFmtId="171" fontId="0" fillId="0" borderId="0" xfId="2601" applyNumberFormat="1" applyFont="1"/>
    <xf numFmtId="171" fontId="0" fillId="41" borderId="0" xfId="2601" applyNumberFormat="1" applyFont="1" applyFill="1" applyAlignment="1">
      <alignment vertical="top"/>
    </xf>
    <xf numFmtId="171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6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2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1" fontId="0" fillId="0" borderId="49" xfId="2601" applyNumberFormat="1" applyFont="1" applyBorder="1"/>
    <xf numFmtId="171" fontId="0" fillId="0" borderId="46" xfId="2601" applyNumberFormat="1" applyFont="1" applyBorder="1"/>
    <xf numFmtId="171" fontId="0" fillId="0" borderId="11" xfId="2601" applyNumberFormat="1" applyFont="1" applyBorder="1"/>
    <xf numFmtId="171" fontId="22" fillId="0" borderId="11" xfId="2601" applyNumberFormat="1" applyFont="1" applyBorder="1"/>
    <xf numFmtId="171" fontId="0" fillId="34" borderId="0" xfId="2601" applyNumberFormat="1" applyFont="1" applyFill="1"/>
    <xf numFmtId="171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69" fontId="0" fillId="0" borderId="0" xfId="0" applyNumberFormat="1"/>
    <xf numFmtId="170" fontId="25" fillId="0" borderId="0" xfId="2601" applyNumberFormat="1" applyFont="1"/>
    <xf numFmtId="170" fontId="20" fillId="0" borderId="0" xfId="2601" applyNumberFormat="1" applyFont="1"/>
    <xf numFmtId="170" fontId="20" fillId="0" borderId="0" xfId="2601" applyNumberFormat="1" applyFont="1" applyAlignment="1">
      <alignment horizontal="center" vertical="center" wrapText="1"/>
    </xf>
    <xf numFmtId="170" fontId="25" fillId="33" borderId="0" xfId="2601" applyNumberFormat="1" applyFont="1" applyFill="1"/>
    <xf numFmtId="170" fontId="25" fillId="37" borderId="0" xfId="2601" applyNumberFormat="1" applyFont="1" applyFill="1"/>
    <xf numFmtId="6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3" fontId="25" fillId="0" borderId="41" xfId="2599" applyNumberFormat="1" applyFont="1" applyBorder="1"/>
    <xf numFmtId="173" fontId="25" fillId="0" borderId="46" xfId="2599" applyNumberFormat="1" applyFont="1" applyBorder="1"/>
    <xf numFmtId="173" fontId="20" fillId="0" borderId="11" xfId="2599" applyNumberFormat="1" applyFont="1" applyBorder="1"/>
    <xf numFmtId="173" fontId="25" fillId="0" borderId="15" xfId="2599" applyNumberFormat="1" applyFont="1" applyBorder="1"/>
    <xf numFmtId="173" fontId="25" fillId="0" borderId="4" xfId="2599" applyNumberFormat="1" applyFont="1" applyBorder="1"/>
    <xf numFmtId="173" fontId="20" fillId="35" borderId="21" xfId="2599" applyNumberFormat="1" applyFont="1" applyFill="1" applyBorder="1"/>
    <xf numFmtId="173" fontId="25" fillId="0" borderId="37" xfId="2599" applyNumberFormat="1" applyFont="1" applyBorder="1"/>
    <xf numFmtId="173" fontId="20" fillId="35" borderId="22" xfId="2599" applyNumberFormat="1" applyFont="1" applyFill="1" applyBorder="1"/>
    <xf numFmtId="173" fontId="25" fillId="0" borderId="17" xfId="2599" applyNumberFormat="1" applyFont="1" applyBorder="1"/>
    <xf numFmtId="173" fontId="25" fillId="0" borderId="18" xfId="2599" applyNumberFormat="1" applyFont="1" applyBorder="1"/>
    <xf numFmtId="173" fontId="20" fillId="35" borderId="23" xfId="2599" applyNumberFormat="1" applyFont="1" applyFill="1" applyBorder="1"/>
    <xf numFmtId="173" fontId="25" fillId="0" borderId="38" xfId="2599" applyNumberFormat="1" applyFont="1" applyBorder="1"/>
    <xf numFmtId="173" fontId="20" fillId="35" borderId="11" xfId="2599" applyNumberFormat="1" applyFont="1" applyFill="1" applyBorder="1"/>
    <xf numFmtId="173" fontId="20" fillId="0" borderId="14" xfId="2599" applyNumberFormat="1" applyFont="1" applyBorder="1"/>
    <xf numFmtId="173" fontId="22" fillId="35" borderId="11" xfId="2599" applyNumberFormat="1" applyFont="1" applyFill="1" applyBorder="1"/>
    <xf numFmtId="173" fontId="20" fillId="0" borderId="15" xfId="0" applyNumberFormat="1" applyFont="1" applyBorder="1" applyAlignment="1">
      <alignment horizontal="center"/>
    </xf>
    <xf numFmtId="173" fontId="20" fillId="0" borderId="35" xfId="0" applyNumberFormat="1" applyFont="1" applyBorder="1"/>
    <xf numFmtId="173" fontId="25" fillId="0" borderId="0" xfId="0" applyNumberFormat="1" applyFont="1"/>
    <xf numFmtId="173" fontId="25" fillId="33" borderId="0" xfId="0" applyNumberFormat="1" applyFont="1" applyFill="1"/>
    <xf numFmtId="173" fontId="25" fillId="0" borderId="51" xfId="2599" applyNumberFormat="1" applyFont="1" applyBorder="1"/>
    <xf numFmtId="173" fontId="25" fillId="0" borderId="40" xfId="2599" applyNumberFormat="1" applyFont="1" applyBorder="1"/>
    <xf numFmtId="173" fontId="25" fillId="0" borderId="52" xfId="2599" applyNumberFormat="1" applyFont="1" applyBorder="1"/>
    <xf numFmtId="173" fontId="25" fillId="0" borderId="47" xfId="2599" applyNumberFormat="1" applyFont="1" applyBorder="1"/>
    <xf numFmtId="173" fontId="25" fillId="0" borderId="21" xfId="2601" applyNumberFormat="1" applyFont="1" applyBorder="1"/>
    <xf numFmtId="173" fontId="25" fillId="0" borderId="21" xfId="2599" applyNumberFormat="1" applyFont="1" applyBorder="1"/>
    <xf numFmtId="173" fontId="20" fillId="38" borderId="54" xfId="2599" applyNumberFormat="1" applyFont="1" applyFill="1" applyBorder="1"/>
    <xf numFmtId="173" fontId="20" fillId="0" borderId="16" xfId="0" applyNumberFormat="1" applyFont="1" applyBorder="1" applyAlignment="1">
      <alignment horizontal="center"/>
    </xf>
    <xf numFmtId="173" fontId="20" fillId="0" borderId="36" xfId="0" applyNumberFormat="1" applyFont="1" applyBorder="1"/>
    <xf numFmtId="173" fontId="25" fillId="0" borderId="16" xfId="2599" applyNumberFormat="1" applyFont="1" applyBorder="1"/>
    <xf numFmtId="173" fontId="25" fillId="0" borderId="3" xfId="2599" applyNumberFormat="1" applyFont="1" applyBorder="1"/>
    <xf numFmtId="173" fontId="25" fillId="0" borderId="49" xfId="2599" applyNumberFormat="1" applyFont="1" applyBorder="1"/>
    <xf numFmtId="173" fontId="25" fillId="0" borderId="48" xfId="2599" applyNumberFormat="1" applyFont="1" applyBorder="1"/>
    <xf numFmtId="173" fontId="25" fillId="0" borderId="22" xfId="2599" applyNumberFormat="1" applyFont="1" applyBorder="1"/>
    <xf numFmtId="173" fontId="25" fillId="0" borderId="43" xfId="2599" applyNumberFormat="1" applyFont="1" applyBorder="1"/>
    <xf numFmtId="173" fontId="20" fillId="38" borderId="55" xfId="2599" applyNumberFormat="1" applyFont="1" applyFill="1" applyBorder="1"/>
    <xf numFmtId="173" fontId="25" fillId="0" borderId="22" xfId="2601" applyNumberFormat="1" applyFont="1" applyBorder="1"/>
    <xf numFmtId="173" fontId="20" fillId="0" borderId="17" xfId="0" applyNumberFormat="1" applyFont="1" applyBorder="1" applyAlignment="1">
      <alignment horizontal="center"/>
    </xf>
    <xf numFmtId="173" fontId="20" fillId="0" borderId="39" xfId="0" applyNumberFormat="1" applyFont="1" applyBorder="1"/>
    <xf numFmtId="173" fontId="25" fillId="0" borderId="23" xfId="2601" applyNumberFormat="1" applyFont="1" applyBorder="1"/>
    <xf numFmtId="173" fontId="20" fillId="0" borderId="5" xfId="0" applyNumberFormat="1" applyFont="1" applyBorder="1"/>
    <xf numFmtId="173" fontId="20" fillId="0" borderId="11" xfId="0" applyNumberFormat="1" applyFont="1" applyBorder="1" applyAlignment="1">
      <alignment horizontal="center"/>
    </xf>
    <xf numFmtId="173" fontId="20" fillId="0" borderId="0" xfId="0" applyNumberFormat="1" applyFont="1"/>
    <xf numFmtId="173" fontId="20" fillId="0" borderId="13" xfId="2599" applyNumberFormat="1" applyFont="1" applyBorder="1"/>
    <xf numFmtId="173" fontId="20" fillId="38" borderId="11" xfId="2599" applyNumberFormat="1" applyFont="1" applyFill="1" applyBorder="1"/>
    <xf numFmtId="173" fontId="20" fillId="0" borderId="13" xfId="2601" applyNumberFormat="1" applyFont="1" applyBorder="1"/>
    <xf numFmtId="173" fontId="25" fillId="0" borderId="0" xfId="2601" applyNumberFormat="1" applyFont="1"/>
    <xf numFmtId="173" fontId="20" fillId="0" borderId="51" xfId="0" applyNumberFormat="1" applyFont="1" applyBorder="1" applyAlignment="1">
      <alignment horizontal="center"/>
    </xf>
    <xf numFmtId="173" fontId="20" fillId="0" borderId="40" xfId="0" applyNumberFormat="1" applyFont="1" applyBorder="1"/>
    <xf numFmtId="173" fontId="25" fillId="0" borderId="21" xfId="2604" applyNumberFormat="1" applyFont="1" applyBorder="1"/>
    <xf numFmtId="173" fontId="25" fillId="0" borderId="9" xfId="0" applyNumberFormat="1" applyFont="1" applyBorder="1"/>
    <xf numFmtId="173" fontId="20" fillId="0" borderId="3" xfId="0" applyNumberFormat="1" applyFont="1" applyBorder="1"/>
    <xf numFmtId="173" fontId="25" fillId="0" borderId="22" xfId="2604" applyNumberFormat="1" applyFont="1" applyBorder="1"/>
    <xf numFmtId="173" fontId="25" fillId="0" borderId="61" xfId="2599" applyNumberFormat="1" applyFont="1" applyBorder="1"/>
    <xf numFmtId="173" fontId="20" fillId="0" borderId="59" xfId="0" applyNumberFormat="1" applyFont="1" applyBorder="1" applyAlignment="1">
      <alignment horizontal="center"/>
    </xf>
    <xf numFmtId="173" fontId="20" fillId="0" borderId="58" xfId="0" applyNumberFormat="1" applyFont="1" applyBorder="1"/>
    <xf numFmtId="173" fontId="25" fillId="0" borderId="63" xfId="2599" applyNumberFormat="1" applyFont="1" applyBorder="1"/>
    <xf numFmtId="173" fontId="25" fillId="0" borderId="64" xfId="2599" applyNumberFormat="1" applyFont="1" applyBorder="1"/>
    <xf numFmtId="173" fontId="20" fillId="0" borderId="18" xfId="0" applyNumberFormat="1" applyFont="1" applyBorder="1"/>
    <xf numFmtId="173" fontId="25" fillId="0" borderId="23" xfId="2599" applyNumberFormat="1" applyFont="1" applyBorder="1"/>
    <xf numFmtId="173" fontId="25" fillId="0" borderId="66" xfId="2599" applyNumberFormat="1" applyFont="1" applyBorder="1"/>
    <xf numFmtId="173" fontId="20" fillId="0" borderId="50" xfId="0" applyNumberFormat="1" applyFont="1" applyBorder="1"/>
    <xf numFmtId="173" fontId="20" fillId="0" borderId="13" xfId="0" applyNumberFormat="1" applyFont="1" applyBorder="1" applyAlignment="1">
      <alignment horizontal="center"/>
    </xf>
    <xf numFmtId="173" fontId="20" fillId="34" borderId="13" xfId="2599" applyNumberFormat="1" applyFont="1" applyFill="1" applyBorder="1"/>
    <xf numFmtId="173" fontId="25" fillId="0" borderId="2" xfId="0" applyNumberFormat="1" applyFont="1" applyBorder="1"/>
    <xf numFmtId="173" fontId="25" fillId="0" borderId="10" xfId="0" applyNumberFormat="1" applyFont="1" applyBorder="1"/>
    <xf numFmtId="173" fontId="25" fillId="0" borderId="35" xfId="2599" applyNumberFormat="1" applyFont="1" applyBorder="1"/>
    <xf numFmtId="173" fontId="53" fillId="34" borderId="0" xfId="0" applyNumberFormat="1" applyFont="1" applyFill="1"/>
    <xf numFmtId="173" fontId="0" fillId="0" borderId="0" xfId="0" applyNumberFormat="1"/>
    <xf numFmtId="173" fontId="25" fillId="0" borderId="58" xfId="2599" applyNumberFormat="1" applyFont="1" applyBorder="1"/>
    <xf numFmtId="173" fontId="25" fillId="0" borderId="62" xfId="2599" applyNumberFormat="1" applyFont="1" applyBorder="1"/>
    <xf numFmtId="173" fontId="25" fillId="0" borderId="60" xfId="2599" applyNumberFormat="1" applyFont="1" applyBorder="1"/>
    <xf numFmtId="173" fontId="20" fillId="36" borderId="11" xfId="2599" applyNumberFormat="1" applyFont="1" applyFill="1" applyBorder="1"/>
    <xf numFmtId="173" fontId="25" fillId="0" borderId="0" xfId="2599" applyNumberFormat="1" applyFont="1"/>
    <xf numFmtId="173" fontId="25" fillId="33" borderId="0" xfId="2599" applyNumberFormat="1" applyFont="1" applyFill="1"/>
    <xf numFmtId="173" fontId="20" fillId="34" borderId="11" xfId="2599" applyNumberFormat="1" applyFont="1" applyFill="1" applyBorder="1"/>
    <xf numFmtId="173" fontId="20" fillId="38" borderId="21" xfId="2599" applyNumberFormat="1" applyFont="1" applyFill="1" applyBorder="1"/>
    <xf numFmtId="173" fontId="25" fillId="0" borderId="12" xfId="2601" applyNumberFormat="1" applyFont="1" applyBorder="1"/>
    <xf numFmtId="173" fontId="20" fillId="38" borderId="22" xfId="2599" applyNumberFormat="1" applyFont="1" applyFill="1" applyBorder="1"/>
    <xf numFmtId="173" fontId="25" fillId="0" borderId="44" xfId="2601" applyNumberFormat="1" applyFont="1" applyBorder="1"/>
    <xf numFmtId="173" fontId="20" fillId="0" borderId="70" xfId="0" applyNumberFormat="1" applyFont="1" applyBorder="1"/>
    <xf numFmtId="173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5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5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3" fontId="25" fillId="0" borderId="40" xfId="2599" applyNumberFormat="1" applyFont="1" applyFill="1" applyBorder="1"/>
    <xf numFmtId="173" fontId="25" fillId="0" borderId="15" xfId="2599" applyNumberFormat="1" applyFont="1" applyFill="1" applyBorder="1"/>
    <xf numFmtId="173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0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0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2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0" fontId="20" fillId="0" borderId="0" xfId="2612" applyNumberFormat="1" applyFont="1" applyAlignment="1">
      <alignment horizontal="center" vertical="center" wrapText="1"/>
    </xf>
    <xf numFmtId="173" fontId="20" fillId="0" borderId="15" xfId="2611" applyNumberFormat="1" applyFont="1" applyBorder="1" applyAlignment="1">
      <alignment horizontal="center"/>
    </xf>
    <xf numFmtId="173" fontId="20" fillId="0" borderId="35" xfId="2611" applyNumberFormat="1" applyFont="1" applyBorder="1"/>
    <xf numFmtId="173" fontId="25" fillId="0" borderId="15" xfId="2602" applyNumberFormat="1" applyFont="1" applyBorder="1"/>
    <xf numFmtId="173" fontId="25" fillId="0" borderId="4" xfId="2602" applyNumberFormat="1" applyFont="1" applyBorder="1"/>
    <xf numFmtId="173" fontId="20" fillId="35" borderId="22" xfId="2602" applyNumberFormat="1" applyFont="1" applyFill="1" applyBorder="1"/>
    <xf numFmtId="173" fontId="25" fillId="0" borderId="0" xfId="2611" applyNumberFormat="1" applyFont="1"/>
    <xf numFmtId="173" fontId="25" fillId="33" borderId="0" xfId="2611" applyNumberFormat="1" applyFont="1" applyFill="1"/>
    <xf numFmtId="173" fontId="25" fillId="0" borderId="51" xfId="2602" applyNumberFormat="1" applyFont="1" applyBorder="1"/>
    <xf numFmtId="173" fontId="25" fillId="0" borderId="40" xfId="2602" applyNumberFormat="1" applyFont="1" applyBorder="1"/>
    <xf numFmtId="173" fontId="25" fillId="0" borderId="0" xfId="2612" applyNumberFormat="1" applyFont="1"/>
    <xf numFmtId="173" fontId="20" fillId="0" borderId="16" xfId="2611" applyNumberFormat="1" applyFont="1" applyBorder="1" applyAlignment="1">
      <alignment horizontal="center"/>
    </xf>
    <xf numFmtId="173" fontId="20" fillId="0" borderId="36" xfId="2611" applyNumberFormat="1" applyFont="1" applyBorder="1"/>
    <xf numFmtId="173" fontId="25" fillId="0" borderId="16" xfId="2602" applyNumberFormat="1" applyFont="1" applyBorder="1"/>
    <xf numFmtId="173" fontId="25" fillId="0" borderId="3" xfId="2602" applyNumberFormat="1" applyFont="1" applyBorder="1"/>
    <xf numFmtId="173" fontId="20" fillId="0" borderId="17" xfId="2611" applyNumberFormat="1" applyFont="1" applyBorder="1" applyAlignment="1">
      <alignment horizontal="center"/>
    </xf>
    <xf numFmtId="173" fontId="20" fillId="0" borderId="39" xfId="2611" applyNumberFormat="1" applyFont="1" applyBorder="1"/>
    <xf numFmtId="173" fontId="25" fillId="0" borderId="17" xfId="2602" applyNumberFormat="1" applyFont="1" applyBorder="1"/>
    <xf numFmtId="173" fontId="25" fillId="0" borderId="18" xfId="2602" applyNumberFormat="1" applyFont="1" applyBorder="1"/>
    <xf numFmtId="173" fontId="20" fillId="0" borderId="5" xfId="2611" applyNumberFormat="1" applyFont="1" applyBorder="1"/>
    <xf numFmtId="173" fontId="20" fillId="0" borderId="11" xfId="2611" applyNumberFormat="1" applyFont="1" applyBorder="1" applyAlignment="1">
      <alignment horizontal="center"/>
    </xf>
    <xf numFmtId="173" fontId="20" fillId="0" borderId="11" xfId="2602" applyNumberFormat="1" applyFont="1" applyBorder="1"/>
    <xf numFmtId="173" fontId="20" fillId="35" borderId="11" xfId="2602" applyNumberFormat="1" applyFont="1" applyFill="1" applyBorder="1"/>
    <xf numFmtId="173" fontId="20" fillId="0" borderId="0" xfId="2611" applyNumberFormat="1" applyFont="1"/>
    <xf numFmtId="173" fontId="20" fillId="0" borderId="13" xfId="2602" applyNumberFormat="1" applyFont="1" applyBorder="1"/>
    <xf numFmtId="173" fontId="20" fillId="0" borderId="13" xfId="2612" applyNumberFormat="1" applyFont="1" applyBorder="1"/>
    <xf numFmtId="6" fontId="25" fillId="0" borderId="0" xfId="2611" applyNumberFormat="1" applyFont="1"/>
    <xf numFmtId="165" fontId="25" fillId="0" borderId="0" xfId="2602" applyNumberFormat="1" applyFont="1"/>
    <xf numFmtId="165" fontId="20" fillId="39" borderId="11" xfId="2602" applyNumberFormat="1" applyFont="1" applyFill="1" applyBorder="1"/>
    <xf numFmtId="165" fontId="25" fillId="0" borderId="2" xfId="2602" applyNumberFormat="1" applyFont="1" applyBorder="1"/>
    <xf numFmtId="165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5" fontId="25" fillId="37" borderId="0" xfId="2602" applyNumberFormat="1" applyFont="1" applyFill="1"/>
    <xf numFmtId="170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3" fontId="20" fillId="34" borderId="13" xfId="2602" applyNumberFormat="1" applyFont="1" applyFill="1" applyBorder="1"/>
    <xf numFmtId="173" fontId="20" fillId="34" borderId="3" xfId="2602" applyNumberFormat="1" applyFont="1" applyFill="1" applyBorder="1"/>
    <xf numFmtId="173" fontId="20" fillId="34" borderId="40" xfId="2602" applyNumberFormat="1" applyFont="1" applyFill="1" applyBorder="1"/>
    <xf numFmtId="173" fontId="25" fillId="0" borderId="52" xfId="2612" applyNumberFormat="1" applyFont="1" applyBorder="1"/>
    <xf numFmtId="173" fontId="25" fillId="0" borderId="49" xfId="2612" applyNumberFormat="1" applyFont="1" applyBorder="1"/>
    <xf numFmtId="173" fontId="20" fillId="34" borderId="18" xfId="2602" applyNumberFormat="1" applyFont="1" applyFill="1" applyBorder="1"/>
    <xf numFmtId="173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3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5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0" fontId="25" fillId="0" borderId="15" xfId="2604" applyNumberFormat="1" applyFont="1" applyBorder="1"/>
    <xf numFmtId="170" fontId="25" fillId="0" borderId="0" xfId="2604" applyNumberFormat="1" applyFont="1"/>
    <xf numFmtId="170" fontId="25" fillId="33" borderId="0" xfId="2604" applyNumberFormat="1" applyFont="1" applyFill="1"/>
    <xf numFmtId="170" fontId="20" fillId="0" borderId="15" xfId="2604" applyNumberFormat="1" applyFont="1" applyBorder="1" applyAlignment="1">
      <alignment horizontal="center"/>
    </xf>
    <xf numFmtId="170" fontId="20" fillId="0" borderId="35" xfId="2604" applyNumberFormat="1" applyFont="1" applyBorder="1"/>
    <xf numFmtId="170" fontId="20" fillId="0" borderId="16" xfId="2604" applyNumberFormat="1" applyFont="1" applyBorder="1" applyAlignment="1">
      <alignment horizontal="center"/>
    </xf>
    <xf numFmtId="170" fontId="20" fillId="0" borderId="36" xfId="2604" applyNumberFormat="1" applyFont="1" applyBorder="1"/>
    <xf numFmtId="170" fontId="20" fillId="0" borderId="17" xfId="2604" applyNumberFormat="1" applyFont="1" applyBorder="1" applyAlignment="1">
      <alignment horizontal="center"/>
    </xf>
    <xf numFmtId="170" fontId="20" fillId="0" borderId="39" xfId="2604" applyNumberFormat="1" applyFont="1" applyBorder="1"/>
    <xf numFmtId="170" fontId="20" fillId="0" borderId="0" xfId="2604" applyNumberFormat="1" applyFont="1"/>
    <xf numFmtId="170" fontId="20" fillId="0" borderId="5" xfId="2604" applyNumberFormat="1" applyFont="1" applyBorder="1"/>
    <xf numFmtId="170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1" fontId="0" fillId="0" borderId="0" xfId="2601" applyNumberFormat="1" applyFont="1" applyFill="1" applyBorder="1"/>
    <xf numFmtId="171" fontId="0" fillId="0" borderId="0" xfId="2601" applyNumberFormat="1" applyFont="1" applyFill="1"/>
    <xf numFmtId="171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1" fontId="0" fillId="0" borderId="54" xfId="2601" applyNumberFormat="1" applyFont="1" applyBorder="1"/>
    <xf numFmtId="0" fontId="0" fillId="0" borderId="40" xfId="0" applyBorder="1"/>
    <xf numFmtId="171" fontId="0" fillId="0" borderId="52" xfId="2601" applyNumberFormat="1" applyFont="1" applyBorder="1"/>
    <xf numFmtId="171" fontId="0" fillId="0" borderId="55" xfId="2601" applyNumberFormat="1" applyFont="1" applyBorder="1"/>
    <xf numFmtId="171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4" fontId="25" fillId="0" borderId="21" xfId="2601" applyNumberFormat="1" applyFont="1" applyBorder="1"/>
    <xf numFmtId="174" fontId="25" fillId="0" borderId="22" xfId="2601" applyNumberFormat="1" applyFont="1" applyBorder="1"/>
    <xf numFmtId="174" fontId="25" fillId="0" borderId="23" xfId="2601" applyNumberFormat="1" applyFont="1" applyBorder="1"/>
    <xf numFmtId="174" fontId="20" fillId="0" borderId="13" xfId="2601" applyNumberFormat="1" applyFont="1" applyBorder="1"/>
    <xf numFmtId="176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5" fontId="25" fillId="0" borderId="0" xfId="2599" applyNumberFormat="1" applyFont="1"/>
    <xf numFmtId="165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0" fontId="25" fillId="0" borderId="51" xfId="2604" applyNumberFormat="1" applyFont="1" applyBorder="1"/>
    <xf numFmtId="170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2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3" fontId="20" fillId="0" borderId="5" xfId="0" applyNumberFormat="1" applyFont="1" applyBorder="1" applyAlignment="1">
      <alignment horizontal="center"/>
    </xf>
    <xf numFmtId="173" fontId="20" fillId="0" borderId="10" xfId="2599" applyNumberFormat="1" applyFont="1" applyBorder="1"/>
    <xf numFmtId="173" fontId="25" fillId="0" borderId="47" xfId="2601" applyNumberFormat="1" applyFont="1" applyBorder="1"/>
    <xf numFmtId="173" fontId="25" fillId="0" borderId="77" xfId="2601" applyNumberFormat="1" applyFont="1" applyBorder="1"/>
    <xf numFmtId="173" fontId="25" fillId="0" borderId="71" xfId="2601" applyNumberFormat="1" applyFont="1" applyBorder="1"/>
    <xf numFmtId="173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3" fontId="25" fillId="0" borderId="66" xfId="2601" applyNumberFormat="1" applyFont="1" applyBorder="1"/>
    <xf numFmtId="173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7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1" fontId="0" fillId="0" borderId="4" xfId="2604" applyNumberFormat="1" applyFont="1" applyBorder="1" applyAlignment="1">
      <alignment vertical="top"/>
    </xf>
    <xf numFmtId="171" fontId="0" fillId="0" borderId="49" xfId="2604" applyNumberFormat="1" applyFont="1" applyBorder="1"/>
    <xf numFmtId="171" fontId="0" fillId="0" borderId="49" xfId="2604" applyNumberFormat="1" applyFont="1" applyFill="1" applyBorder="1"/>
    <xf numFmtId="171" fontId="0" fillId="0" borderId="46" xfId="2604" applyNumberFormat="1" applyFont="1" applyBorder="1"/>
    <xf numFmtId="179" fontId="0" fillId="34" borderId="0" xfId="2601" applyNumberFormat="1" applyFont="1" applyFill="1"/>
    <xf numFmtId="178" fontId="65" fillId="0" borderId="0" xfId="2601" applyNumberFormat="1" applyFont="1" applyFill="1"/>
    <xf numFmtId="180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5" fontId="0" fillId="0" borderId="0" xfId="2615" applyNumberFormat="1" applyFont="1"/>
    <xf numFmtId="171" fontId="0" fillId="0" borderId="3" xfId="2604" applyNumberFormat="1" applyFont="1" applyFill="1" applyBorder="1" applyAlignment="1">
      <alignment vertical="top"/>
    </xf>
    <xf numFmtId="171" fontId="0" fillId="0" borderId="42" xfId="2604" applyNumberFormat="1" applyFont="1" applyFill="1" applyBorder="1" applyAlignment="1">
      <alignment vertical="top"/>
    </xf>
    <xf numFmtId="173" fontId="25" fillId="0" borderId="76" xfId="2599" applyNumberFormat="1" applyFont="1" applyBorder="1"/>
    <xf numFmtId="173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3" fontId="20" fillId="0" borderId="53" xfId="2599" applyNumberFormat="1" applyFont="1" applyBorder="1"/>
    <xf numFmtId="173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1" fontId="66" fillId="0" borderId="0" xfId="2617" applyNumberFormat="1"/>
    <xf numFmtId="171" fontId="0" fillId="0" borderId="41" xfId="2601" applyNumberFormat="1" applyFont="1" applyBorder="1" applyAlignment="1">
      <alignment horizontal="right"/>
    </xf>
    <xf numFmtId="171" fontId="0" fillId="0" borderId="49" xfId="2601" applyNumberFormat="1" applyFont="1" applyBorder="1" applyAlignment="1">
      <alignment horizontal="right"/>
    </xf>
    <xf numFmtId="171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2" fontId="0" fillId="0" borderId="0" xfId="0" applyNumberFormat="1"/>
    <xf numFmtId="182" fontId="22" fillId="0" borderId="0" xfId="0" applyNumberFormat="1" applyFont="1"/>
    <xf numFmtId="182" fontId="0" fillId="0" borderId="0" xfId="0" applyNumberFormat="1" applyAlignment="1">
      <alignment vertical="top"/>
    </xf>
    <xf numFmtId="182" fontId="19" fillId="36" borderId="0" xfId="0" applyNumberFormat="1" applyFont="1" applyFill="1" applyAlignment="1">
      <alignment vertical="top"/>
    </xf>
    <xf numFmtId="182" fontId="19" fillId="0" borderId="0" xfId="0" applyNumberFormat="1" applyFont="1" applyAlignment="1">
      <alignment vertical="top"/>
    </xf>
    <xf numFmtId="182" fontId="0" fillId="55" borderId="0" xfId="0" applyNumberFormat="1" applyFill="1"/>
    <xf numFmtId="182" fontId="0" fillId="55" borderId="0" xfId="0" applyNumberFormat="1" applyFill="1" applyAlignment="1">
      <alignment vertical="top"/>
    </xf>
    <xf numFmtId="182" fontId="0" fillId="54" borderId="0" xfId="0" applyNumberFormat="1" applyFill="1"/>
    <xf numFmtId="182" fontId="0" fillId="54" borderId="0" xfId="0" applyNumberFormat="1" applyFill="1" applyAlignment="1">
      <alignment vertical="top"/>
    </xf>
    <xf numFmtId="182" fontId="0" fillId="38" borderId="0" xfId="0" applyNumberFormat="1" applyFill="1"/>
    <xf numFmtId="182" fontId="0" fillId="38" borderId="0" xfId="0" applyNumberFormat="1" applyFill="1" applyAlignment="1">
      <alignment vertical="top"/>
    </xf>
    <xf numFmtId="182" fontId="19" fillId="38" borderId="0" xfId="0" applyNumberFormat="1" applyFont="1" applyFill="1" applyAlignment="1">
      <alignment vertical="top"/>
    </xf>
    <xf numFmtId="182" fontId="0" fillId="33" borderId="0" xfId="0" applyNumberFormat="1" applyFill="1" applyAlignment="1">
      <alignment vertical="top"/>
    </xf>
    <xf numFmtId="182" fontId="19" fillId="33" borderId="0" xfId="0" applyNumberFormat="1" applyFont="1" applyFill="1" applyAlignment="1">
      <alignment vertical="top"/>
    </xf>
    <xf numFmtId="182" fontId="0" fillId="41" borderId="0" xfId="0" applyNumberFormat="1" applyFill="1" applyAlignment="1">
      <alignment vertical="top"/>
    </xf>
    <xf numFmtId="182" fontId="0" fillId="41" borderId="0" xfId="0" applyNumberFormat="1" applyFill="1"/>
    <xf numFmtId="182" fontId="0" fillId="46" borderId="0" xfId="0" applyNumberFormat="1" applyFill="1" applyAlignment="1">
      <alignment vertical="top"/>
    </xf>
    <xf numFmtId="182" fontId="0" fillId="39" borderId="0" xfId="0" applyNumberFormat="1" applyFill="1" applyAlignment="1">
      <alignment vertical="top"/>
    </xf>
    <xf numFmtId="182" fontId="0" fillId="48" borderId="0" xfId="0" applyNumberFormat="1" applyFill="1" applyAlignment="1">
      <alignment vertical="top"/>
    </xf>
    <xf numFmtId="182" fontId="0" fillId="37" borderId="0" xfId="0" applyNumberFormat="1" applyFill="1"/>
    <xf numFmtId="182" fontId="19" fillId="54" borderId="0" xfId="0" applyNumberFormat="1" applyFont="1" applyFill="1" applyAlignment="1">
      <alignment vertical="top"/>
    </xf>
    <xf numFmtId="182" fontId="0" fillId="39" borderId="0" xfId="0" applyNumberFormat="1" applyFill="1"/>
    <xf numFmtId="4" fontId="53" fillId="0" borderId="0" xfId="0" applyNumberFormat="1" applyFont="1"/>
    <xf numFmtId="165" fontId="25" fillId="0" borderId="0" xfId="2599" applyNumberFormat="1" applyFont="1" applyAlignment="1"/>
    <xf numFmtId="165" fontId="25" fillId="0" borderId="0" xfId="2602" applyNumberFormat="1" applyFont="1" applyBorder="1"/>
    <xf numFmtId="49" fontId="0" fillId="0" borderId="3" xfId="0" applyNumberFormat="1" applyBorder="1"/>
    <xf numFmtId="6" fontId="0" fillId="0" borderId="3" xfId="0" applyNumberFormat="1" applyBorder="1" applyAlignment="1">
      <alignment horizontal="center" vertical="center"/>
    </xf>
    <xf numFmtId="183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69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3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5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1" fontId="0" fillId="0" borderId="0" xfId="0" applyNumberFormat="1"/>
    <xf numFmtId="184" fontId="66" fillId="0" borderId="3" xfId="2617" applyNumberFormat="1" applyBorder="1"/>
    <xf numFmtId="0" fontId="69" fillId="0" borderId="0" xfId="0" applyFont="1" applyAlignment="1">
      <alignment wrapText="1"/>
    </xf>
    <xf numFmtId="171" fontId="55" fillId="0" borderId="0" xfId="2604" applyNumberFormat="1" applyFont="1"/>
    <xf numFmtId="171" fontId="62" fillId="0" borderId="12" xfId="2604" applyNumberFormat="1" applyFont="1" applyBorder="1" applyAlignment="1">
      <alignment horizontal="center" vertical="center" wrapText="1"/>
    </xf>
    <xf numFmtId="170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0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5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8" fontId="66" fillId="0" borderId="0" xfId="2617" applyNumberFormat="1"/>
    <xf numFmtId="185" fontId="66" fillId="0" borderId="0" xfId="0" applyNumberFormat="1" applyFont="1" applyAlignment="1">
      <alignment vertical="center"/>
    </xf>
    <xf numFmtId="0" fontId="22" fillId="36" borderId="0" xfId="0" applyFont="1" applyFill="1"/>
    <xf numFmtId="165" fontId="0" fillId="42" borderId="0" xfId="0" applyNumberFormat="1" applyFill="1"/>
    <xf numFmtId="186" fontId="0" fillId="0" borderId="0" xfId="2598" applyNumberFormat="1" applyFont="1"/>
    <xf numFmtId="186" fontId="0" fillId="0" borderId="0" xfId="0" applyNumberFormat="1"/>
    <xf numFmtId="187" fontId="0" fillId="0" borderId="0" xfId="2598" applyNumberFormat="1" applyFont="1"/>
    <xf numFmtId="165" fontId="0" fillId="42" borderId="0" xfId="2598" applyNumberFormat="1" applyFont="1" applyFill="1"/>
    <xf numFmtId="187" fontId="0" fillId="53" borderId="0" xfId="2598" applyNumberFormat="1" applyFont="1" applyFill="1"/>
    <xf numFmtId="165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88" fontId="66" fillId="0" borderId="3" xfId="2617" applyNumberFormat="1" applyBorder="1"/>
    <xf numFmtId="189" fontId="66" fillId="0" borderId="3" xfId="2617" applyNumberFormat="1" applyBorder="1"/>
    <xf numFmtId="190" fontId="25" fillId="0" borderId="0" xfId="2599" applyNumberFormat="1" applyFont="1"/>
    <xf numFmtId="182" fontId="19" fillId="46" borderId="0" xfId="0" applyNumberFormat="1" applyFont="1" applyFill="1" applyAlignment="1">
      <alignment vertical="top"/>
    </xf>
    <xf numFmtId="191" fontId="66" fillId="0" borderId="3" xfId="2617" applyNumberFormat="1" applyBorder="1"/>
    <xf numFmtId="192" fontId="0" fillId="0" borderId="3" xfId="0" applyNumberFormat="1" applyBorder="1"/>
    <xf numFmtId="41" fontId="0" fillId="0" borderId="72" xfId="2604" applyFont="1" applyBorder="1"/>
    <xf numFmtId="171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0" fillId="53" borderId="0" xfId="0" applyNumberFormat="1" applyFill="1" applyAlignment="1">
      <alignment vertical="top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6" fontId="25" fillId="0" borderId="15" xfId="2599" applyNumberFormat="1" applyFont="1" applyBorder="1"/>
    <xf numFmtId="176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2" fontId="0" fillId="33" borderId="0" xfId="0" applyNumberFormat="1" applyFill="1"/>
    <xf numFmtId="182" fontId="0" fillId="35" borderId="0" xfId="0" applyNumberFormat="1" applyFill="1"/>
    <xf numFmtId="182" fontId="19" fillId="35" borderId="0" xfId="0" applyNumberFormat="1" applyFont="1" applyFill="1" applyAlignment="1">
      <alignment vertical="top"/>
    </xf>
    <xf numFmtId="182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5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2" fontId="0" fillId="47" borderId="0" xfId="0" applyNumberFormat="1" applyFill="1"/>
    <xf numFmtId="182" fontId="0" fillId="47" borderId="0" xfId="0" applyNumberFormat="1" applyFill="1" applyAlignment="1">
      <alignment vertical="top"/>
    </xf>
    <xf numFmtId="182" fontId="19" fillId="47" borderId="0" xfId="0" applyNumberFormat="1" applyFont="1" applyFill="1" applyAlignment="1">
      <alignment vertical="top"/>
    </xf>
    <xf numFmtId="182" fontId="0" fillId="42" borderId="0" xfId="0" applyNumberFormat="1" applyFill="1" applyAlignment="1">
      <alignment vertical="top"/>
    </xf>
    <xf numFmtId="182" fontId="19" fillId="42" borderId="0" xfId="0" applyNumberFormat="1" applyFont="1" applyFill="1" applyAlignment="1">
      <alignment vertical="top"/>
    </xf>
    <xf numFmtId="0" fontId="62" fillId="34" borderId="5" xfId="0" applyFont="1" applyFill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2" fontId="22" fillId="34" borderId="0" xfId="0" applyNumberFormat="1" applyFont="1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22" fillId="0" borderId="0" xfId="0" applyNumberFormat="1" applyFont="1" applyAlignment="1">
      <alignment horizontal="center" vertical="center"/>
    </xf>
    <xf numFmtId="182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9ACDD4"/>
      <color rgb="FFCCFFCC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977900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  <xdr:twoCellAnchor editAs="oneCell">
    <xdr:from>
      <xdr:col>19</xdr:col>
      <xdr:colOff>152400</xdr:colOff>
      <xdr:row>7</xdr:row>
      <xdr:rowOff>257629</xdr:rowOff>
    </xdr:from>
    <xdr:to>
      <xdr:col>25</xdr:col>
      <xdr:colOff>382284</xdr:colOff>
      <xdr:row>21</xdr:row>
      <xdr:rowOff>371003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CCADF5-D5AE-8DD5-59D2-2AF3625DE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37200" y="1486354"/>
          <a:ext cx="5030484" cy="28692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/>
  </x:sheetViews>
  <x:sheetFormatPr baseColWidth="10" defaultRowHeight="12.5" x14ac:dyDescent="0.25"/>
  <x:cols>
    <x:col min="1" max="1" width="2.1796875" customWidth="1"/>
    <x:col min="2" max="2" width="12.81640625" bestFit="1" customWidth="1"/>
    <x:col min="3" max="3" width="7.1796875" customWidth="1"/>
    <x:col min="4" max="4" width="15.1796875" style="167" customWidth="1"/>
    <x:col min="5" max="5" width="20.453125" style="167" customWidth="1"/>
    <x:col min="6" max="6" width="15.1796875" style="167" customWidth="1"/>
    <x:col min="7" max="7" width="20.1796875" style="167" customWidth="1"/>
    <x:col min="8" max="8" width="3.81640625" style="167" customWidth="1"/>
    <x:col min="9" max="10" width="26.54296875" style="167" bestFit="1" customWidth="1"/>
    <x:col min="11" max="13" width="19.81640625" style="167" customWidth="1"/>
  </x:cols>
  <x:sheetData>
    <x:row r="1" spans="2:13" ht="13" thickBot="1" x14ac:dyDescent="0.3"/>
    <x:row r="2" spans="2:13" s="102" customFormat="1" ht="13.5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8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9"/>
    </x:row>
    <x:row r="4" spans="2:13" x14ac:dyDescent="0.25">
      <x:c r="C4" s="178">
        <x:v>2</x:v>
      </x:c>
      <x:c r="D4" s="179">
        <x:v>29345550</x:v>
      </x:c>
      <x:c r="E4" s="180">
        <x:v>341</x:v>
      </x:c>
      <x:c r="F4" s="180" t="n">
        <x:v>18262430</x:v>
      </x:c>
      <x:c r="G4" s="181" t="n">
        <x:v>217</x:v>
      </x:c>
      <x:c r="J4" s="729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9"/>
    </x:row>
    <x:row r="6" spans="2:13" ht="13.5" customHeight="1" x14ac:dyDescent="0.25">
      <x:c r="C6" s="178">
        <x:v>4</x:v>
      </x:c>
      <x:c r="D6" s="179">
        <x:v>15240310</x:v>
      </x:c>
      <x:c r="E6" s="180">
        <x:v>108</x:v>
      </x:c>
      <x:c r="F6" s="180" t="n">
        <x:v>8615850</x:v>
      </x:c>
      <x:c r="G6" s="181" t="n">
        <x:v>64</x:v>
      </x:c>
      <x:c r="J6" s="729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9"/>
    </x:row>
    <x:row r="8" spans="2:13" ht="13" thickBot="1" x14ac:dyDescent="0.3">
      <x:c r="C8" s="182" t="s">
        <x:v>89</x:v>
      </x:c>
      <x:c r="D8" s="183"/>
      <x:c r="E8" s="184"/>
      <x:c r="F8" s="184"/>
      <x:c r="G8" s="185"/>
      <x:c r="J8" s="729"/>
    </x:row>
    <x:row r="9" spans="2:13" ht="13.5" thickBot="1" x14ac:dyDescent="0.35">
      <x:c r="D9" s="186">
        <x:v>44585860</x:v>
      </x:c>
      <x:c r="E9" s="186">
        <x:v>449</x:v>
      </x:c>
      <x:c r="F9" s="186" t="n">
        <x:v>26878280</x:v>
      </x:c>
      <x:c r="G9" s="186" t="n">
        <x:v>281</x:v>
      </x:c>
      <x:c r="J9" s="729"/>
    </x:row>
    <x:row r="10" spans="2:13" ht="13" thickBot="1" x14ac:dyDescent="0.3"/>
    <x:row r="11" spans="2:13" s="102" customFormat="1" ht="13.5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3" x14ac:dyDescent="0.3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798760</x:v>
      </x:c>
      <x:c r="G13" s="181" t="n">
        <x:v>7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228530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" thickBot="1" x14ac:dyDescent="0.3">
      <x:c r="C17" s="182" t="s">
        <x:v>89</x:v>
      </x:c>
      <x:c r="D17" s="183"/>
      <x:c r="E17" s="184"/>
      <x:c r="F17" s="184"/>
      <x:c r="G17" s="185"/>
    </x:row>
    <x:row r="18" spans="1:11" ht="13.5" thickBot="1" x14ac:dyDescent="0.35">
      <x:c r="D18" s="186">
        <x:v>0</x:v>
      </x:c>
      <x:c r="E18" s="186">
        <x:v>0</x:v>
      </x:c>
      <x:c r="F18" s="186" t="n">
        <x:v>1027290</x:v>
      </x:c>
      <x:c r="G18" s="186" t="n">
        <x:v>8</x:v>
      </x:c>
    </x:row>
    <x:row r="19" spans="1:11" ht="13" thickBot="1" x14ac:dyDescent="0.3"/>
    <x:row r="20" spans="1:11" ht="13.5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3" x14ac:dyDescent="0.3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29345550</x:v>
      </x:c>
      <x:c r="E22" s="180">
        <x:v>341</x:v>
      </x:c>
      <x:c r="F22" s="180" t="n">
        <x:v>19061190</x:v>
      </x:c>
      <x:c r="G22" s="181" t="n">
        <x:v>224</x:v>
      </x:c>
      <x:c r="I22" s="179">
        <x:v>53577310</x:v>
      </x:c>
      <x:c r="J22" s="181">
        <x:v>672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15240310</x:v>
      </x:c>
      <x:c r="E24" s="180">
        <x:v>108</x:v>
      </x:c>
      <x:c r="F24" s="180" t="n">
        <x:v>8844380</x:v>
      </x:c>
      <x:c r="G24" s="181" t="n">
        <x:v>65</x:v>
      </x:c>
      <x:c r="I24" s="179">
        <x:v>31125950</x:v>
      </x:c>
      <x:c r="J24" s="181">
        <x:v>242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35">
      <x:c r="D27" s="186">
        <x:v>44585860</x:v>
      </x:c>
      <x:c r="E27" s="186">
        <x:v>449</x:v>
      </x:c>
      <x:c r="F27" s="186" t="n">
        <x:v>27905570</x:v>
      </x:c>
      <x:c r="G27" s="186" t="n">
        <x:v>289</x:v>
      </x:c>
      <x:c r="I27" s="204">
        <x:v>84703260</x:v>
      </x:c>
      <x:c r="J27" s="205">
        <x:v>914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ht="13" x14ac:dyDescent="0.3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ht="13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ht="13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/>
  </x:sheetViews>
  <x:sheetFormatPr baseColWidth="10" defaultRowHeight="12.5" x14ac:dyDescent="0.25"/>
  <x:cols>
    <x:col min="1" max="1" width="2.1796875" customWidth="1"/>
    <x:col min="2" max="2" width="12.81640625" bestFit="1" customWidth="1"/>
    <x:col min="3" max="3" width="7.1796875" customWidth="1"/>
    <x:col min="4" max="4" width="16" style="167" bestFit="1" customWidth="1"/>
    <x:col min="5" max="5" width="20.453125" style="167" customWidth="1"/>
    <x:col min="6" max="6" width="16" style="167" bestFit="1" customWidth="1"/>
    <x:col min="7" max="7" width="20.1796875" style="167" customWidth="1"/>
    <x:col min="8" max="8" width="3.81640625" style="167" customWidth="1"/>
    <x:col min="9" max="10" width="26.54296875" style="167" bestFit="1" customWidth="1"/>
    <x:col min="11" max="13" width="19.81640625" style="167" customWidth="1"/>
  </x:cols>
  <x:sheetData>
    <x:row r="1" spans="2:13" ht="14.5" customHeight="1" thickBot="1" x14ac:dyDescent="0.3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8"/>
      <x:c r="K2" s="173"/>
      <x:c r="L2" s="173"/>
      <x:c r="M2" s="173"/>
    </x:row>
    <x:row r="3" spans="2:13" ht="12.65" customHeight="1" x14ac:dyDescent="0.25">
      <x:c r="C3" s="174">
        <x:v>1</x:v>
      </x:c>
      <x:c r="D3" s="175">
        <x:v>16020970408</x:v>
      </x:c>
      <x:c r="E3" s="176">
        <x:v>330319</x:v>
      </x:c>
      <x:c r="F3" s="176" t="n">
        <x:v>17277226302</x:v>
      </x:c>
      <x:c r="G3" s="177" t="n">
        <x:v>316936</x:v>
      </x:c>
      <x:c r="J3" s="729"/>
    </x:row>
    <x:row r="4" spans="2:13" ht="12.65" customHeight="1" x14ac:dyDescent="0.25">
      <x:c r="C4" s="178">
        <x:v>2</x:v>
      </x:c>
      <x:c r="D4" s="179">
        <x:v>11733539858</x:v>
      </x:c>
      <x:c r="E4" s="180">
        <x:v>232298</x:v>
      </x:c>
      <x:c r="F4" s="180" t="n">
        <x:v>19264884848</x:v>
      </x:c>
      <x:c r="G4" s="181" t="n">
        <x:v>396694</x:v>
      </x:c>
      <x:c r="J4" s="729"/>
    </x:row>
    <x:row r="5" spans="2:13" ht="12.65" customHeight="1" x14ac:dyDescent="0.25">
      <x:c r="C5" s="178">
        <x:v>3</x:v>
      </x:c>
      <x:c r="D5" s="179">
        <x:v>9618825681</x:v>
      </x:c>
      <x:c r="E5" s="180">
        <x:v>222340</x:v>
      </x:c>
      <x:c r="F5" s="180" t="n">
        <x:v>15047689272</x:v>
      </x:c>
      <x:c r="G5" s="181" t="n">
        <x:v>273948</x:v>
      </x:c>
      <x:c r="J5" s="729"/>
    </x:row>
    <x:row r="6" spans="2:13" ht="12.65" customHeight="1" x14ac:dyDescent="0.25">
      <x:c r="C6" s="178">
        <x:v>4</x:v>
      </x:c>
      <x:c r="D6" s="179">
        <x:v>10290225466</x:v>
      </x:c>
      <x:c r="E6" s="180">
        <x:v>177955</x:v>
      </x:c>
      <x:c r="F6" s="180" t="n">
        <x:v>7298795841</x:v>
      </x:c>
      <x:c r="G6" s="181" t="n">
        <x:v>142161</x:v>
      </x:c>
    </x:row>
    <x:row r="7" spans="2:13" ht="12.65" customHeight="1" x14ac:dyDescent="0.25">
      <x:c r="C7" s="178">
        <x:v>5</x:v>
      </x:c>
      <x:c r="D7" s="179">
        <x:v>8111886280</x:v>
      </x:c>
      <x:c r="E7" s="180">
        <x:v>159077</x:v>
      </x:c>
      <x:c r="F7" s="180" t="n">
        <x:v>11700424846</x:v>
      </x:c>
      <x:c r="G7" s="181" t="n">
        <x:v>249311</x:v>
      </x:c>
    </x:row>
    <x:row r="8" spans="2:13" ht="12.65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>
        <x:v>55775447693</x:v>
      </x:c>
      <x:c r="E9" s="186">
        <x:v>1121989</x:v>
      </x:c>
      <x:c r="F9" s="186" t="n">
        <x:v>70589021109</x:v>
      </x:c>
      <x:c r="G9" s="186" t="n">
        <x:v>1379050</x:v>
      </x:c>
    </x:row>
    <x:row r="10" spans="2:13" ht="12.65" customHeight="1" thickBot="1" x14ac:dyDescent="0.3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>
        <x:v>223833110</x:v>
      </x:c>
      <x:c r="E12" s="176">
        <x:v>3064</x:v>
      </x:c>
      <x:c r="F12" s="176" t="n">
        <x:v>208241806</x:v>
      </x:c>
      <x:c r="G12" s="177" t="n">
        <x:v>4505</x:v>
      </x:c>
    </x:row>
    <x:row r="13" spans="2:13" ht="12.65" customHeight="1" x14ac:dyDescent="0.25">
      <x:c r="C13" s="178">
        <x:v>2</x:v>
      </x:c>
      <x:c r="D13" s="179">
        <x:v>99273804</x:v>
      </x:c>
      <x:c r="E13" s="180">
        <x:v>1926</x:v>
      </x:c>
      <x:c r="F13" s="180" t="n">
        <x:v>47318959</x:v>
      </x:c>
      <x:c r="G13" s="181" t="n">
        <x:v>914</x:v>
      </x:c>
    </x:row>
    <x:row r="14" spans="2:13" ht="12.65" customHeight="1" x14ac:dyDescent="0.25">
      <x:c r="C14" s="178">
        <x:v>3</x:v>
      </x:c>
      <x:c r="D14" s="179">
        <x:v>66145670</x:v>
      </x:c>
      <x:c r="E14" s="180">
        <x:v>1462</x:v>
      </x:c>
      <x:c r="F14" s="180" t="n">
        <x:v>96850450</x:v>
      </x:c>
      <x:c r="G14" s="181" t="n">
        <x:v>2077</x:v>
      </x:c>
    </x:row>
    <x:row r="15" spans="2:13" ht="12.65" customHeight="1" x14ac:dyDescent="0.25">
      <x:c r="C15" s="178">
        <x:v>4</x:v>
      </x:c>
      <x:c r="D15" s="179">
        <x:v>85892126</x:v>
      </x:c>
      <x:c r="E15" s="180">
        <x:v>1255</x:v>
      </x:c>
      <x:c r="F15" s="180" t="n">
        <x:v>96874840</x:v>
      </x:c>
      <x:c r="G15" s="181" t="n">
        <x:v>2369</x:v>
      </x:c>
    </x:row>
    <x:row r="16" spans="2:13" ht="12.65" customHeight="1" x14ac:dyDescent="0.25">
      <x:c r="C16" s="178">
        <x:v>5</x:v>
      </x:c>
      <x:c r="D16" s="179">
        <x:v>166326259</x:v>
      </x:c>
      <x:c r="E16" s="180">
        <x:v>2744</x:v>
      </x:c>
      <x:c r="F16" s="180" t="n">
        <x:v>80297730</x:v>
      </x:c>
      <x:c r="G16" s="181" t="n">
        <x:v>1887</x:v>
      </x:c>
    </x:row>
    <x:row r="17" spans="1:11" ht="12.65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>
        <x:v>641470969</x:v>
      </x:c>
      <x:c r="E18" s="186">
        <x:v>10451</x:v>
      </x:c>
      <x:c r="F18" s="186" t="n">
        <x:v>529583785</x:v>
      </x:c>
      <x:c r="G18" s="186" t="n">
        <x:v>11752</x:v>
      </x:c>
    </x:row>
    <x:row r="19" spans="1:11" ht="12.65" customHeight="1" thickBot="1" x14ac:dyDescent="0.3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>
        <x:v>16244803518</x:v>
      </x:c>
      <x:c r="E21" s="176">
        <x:v>333383</x:v>
      </x:c>
      <x:c r="F21" s="176" t="n">
        <x:v>17485468108</x:v>
      </x:c>
      <x:c r="G21" s="177" t="n">
        <x:v>321441</x:v>
      </x:c>
      <x:c r="I21" s="175">
        <x:v>32905491709</x:v>
      </x:c>
      <x:c r="J21" s="177">
        <x:v>610479</x:v>
      </x:c>
    </x:row>
    <x:row r="22" spans="1:11" s="167" customFormat="1" ht="12.65" customHeight="1" x14ac:dyDescent="0.25">
      <x:c r="B22"/>
      <x:c r="C22" s="178">
        <x:v>2</x:v>
      </x:c>
      <x:c r="D22" s="179">
        <x:v>11832813662</x:v>
      </x:c>
      <x:c r="E22" s="180">
        <x:v>234224</x:v>
      </x:c>
      <x:c r="F22" s="180" t="n">
        <x:v>19312203807</x:v>
      </x:c>
      <x:c r="G22" s="181" t="n">
        <x:v>397608</x:v>
      </x:c>
      <x:c r="I22" s="179">
        <x:v>30923523804</x:v>
      </x:c>
      <x:c r="J22" s="181">
        <x:v>641357</x:v>
      </x:c>
    </x:row>
    <x:row r="23" spans="1:11" s="167" customFormat="1" ht="12.65" customHeight="1" x14ac:dyDescent="0.25">
      <x:c r="B23"/>
      <x:c r="C23" s="178">
        <x:v>3</x:v>
      </x:c>
      <x:c r="D23" s="179">
        <x:v>9684971351</x:v>
      </x:c>
      <x:c r="E23" s="180">
        <x:v>223802</x:v>
      </x:c>
      <x:c r="F23" s="180" t="n">
        <x:v>15144539722</x:v>
      </x:c>
      <x:c r="G23" s="181" t="n">
        <x:v>276025</x:v>
      </x:c>
      <x:c r="I23" s="179">
        <x:v>23712173173</x:v>
      </x:c>
      <x:c r="J23" s="181">
        <x:v>494676</x:v>
      </x:c>
    </x:row>
    <x:row r="24" spans="1:11" s="167" customFormat="1" ht="12.65" customHeight="1" x14ac:dyDescent="0.25">
      <x:c r="B24"/>
      <x:c r="C24" s="178">
        <x:v>4</x:v>
      </x:c>
      <x:c r="D24" s="179">
        <x:v>10376117592</x:v>
      </x:c>
      <x:c r="E24" s="180">
        <x:v>179210</x:v>
      </x:c>
      <x:c r="F24" s="180" t="n">
        <x:v>7395670681</x:v>
      </x:c>
      <x:c r="G24" s="181" t="n">
        <x:v>144530</x:v>
      </x:c>
      <x:c r="I24" s="179">
        <x:v>17016509002</x:v>
      </x:c>
      <x:c r="J24" s="181">
        <x:v>301033</x:v>
      </x:c>
    </x:row>
    <x:row r="25" spans="1:11" s="167" customFormat="1" ht="12.65" customHeight="1" x14ac:dyDescent="0.25">
      <x:c r="B25"/>
      <x:c r="C25" s="178">
        <x:v>5</x:v>
      </x:c>
      <x:c r="D25" s="179">
        <x:v>8278212539</x:v>
      </x:c>
      <x:c r="E25" s="180">
        <x:v>161821</x:v>
      </x:c>
      <x:c r="F25" s="180" t="n">
        <x:v>11780722576</x:v>
      </x:c>
      <x:c r="G25" s="181" t="n">
        <x:v>251198</x:v>
      </x:c>
      <x:c r="I25" s="179">
        <x:v>20003839166</x:v>
      </x:c>
      <x:c r="J25" s="181">
        <x:v>405269</x:v>
      </x:c>
    </x:row>
    <x:row r="26" spans="1:11" ht="12.65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>
        <x:v>56416918662</x:v>
      </x:c>
      <x:c r="E27" s="186">
        <x:v>1132440</x:v>
      </x:c>
      <x:c r="F27" s="186" t="n">
        <x:v>71118604894</x:v>
      </x:c>
      <x:c r="G27" s="186" t="n">
        <x:v>1390802</x:v>
      </x:c>
      <x:c r="I27" s="204">
        <x:v>124561536854</x:v>
      </x:c>
      <x:c r="J27" s="205">
        <x:v>2452814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ht="13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ht="13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ht="13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/>
  </x:sheetViews>
  <x:sheetFormatPr baseColWidth="10" defaultRowHeight="12.5" x14ac:dyDescent="0.25"/>
  <x:cols>
    <x:col min="1" max="1" width="2.1796875" customWidth="1"/>
    <x:col min="2" max="2" width="12.81640625" bestFit="1" customWidth="1"/>
    <x:col min="3" max="3" width="7.1796875" customWidth="1"/>
    <x:col min="4" max="4" width="16" style="167" bestFit="1" customWidth="1"/>
    <x:col min="5" max="5" width="20.453125" style="167" customWidth="1"/>
    <x:col min="6" max="6" width="16" style="167" bestFit="1" customWidth="1"/>
    <x:col min="7" max="7" width="20.1796875" style="167" customWidth="1"/>
    <x:col min="8" max="8" width="3.81640625" style="167" customWidth="1"/>
    <x:col min="9" max="10" width="26.54296875" style="167" bestFit="1" customWidth="1"/>
    <x:col min="11" max="13" width="19.81640625" style="167" customWidth="1"/>
  </x:cols>
  <x:sheetData>
    <x:row r="1" spans="2:13" ht="14.5" customHeight="1" thickBot="1" x14ac:dyDescent="0.3"/>
    <x:row r="2" spans="2:13" s="102" customFormat="1" ht="12.65" customHeight="1" thickBot="1" x14ac:dyDescent="0.3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8"/>
      <x:c r="K2" s="173"/>
      <x:c r="L2" s="173"/>
      <x:c r="M2" s="173"/>
    </x:row>
    <x:row r="3" spans="2:13" ht="12.65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9"/>
    </x:row>
    <x:row r="4" spans="2:13" ht="12.65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9"/>
    </x:row>
    <x:row r="5" spans="2:13" ht="12.65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9"/>
    </x:row>
    <x:row r="6" spans="2:13" ht="12.65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5" customHeight="1" x14ac:dyDescent="0.25">
      <x:c r="C7" s="178">
        <x:v>5</x:v>
      </x:c>
      <x:c r="D7" s="179">
        <x:v>129429946</x:v>
      </x:c>
      <x:c r="E7" s="180">
        <x:v>2854</x:v>
      </x:c>
      <x:c r="F7" s="180" t="n">
        <x:v>32068500</x:v>
      </x:c>
      <x:c r="G7" s="181" t="n">
        <x:v>539</x:v>
      </x:c>
    </x:row>
    <x:row r="8" spans="2:13" ht="12.65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5" customHeight="1" thickBot="1" x14ac:dyDescent="0.35">
      <x:c r="D9" s="186">
        <x:v>129429946</x:v>
      </x:c>
      <x:c r="E9" s="186">
        <x:v>2854</x:v>
      </x:c>
      <x:c r="F9" s="186" t="n">
        <x:v>32068500</x:v>
      </x:c>
      <x:c r="G9" s="186" t="n">
        <x:v>539</x:v>
      </x:c>
    </x:row>
    <x:row r="10" spans="2:13" ht="12.65" customHeight="1" thickBot="1" x14ac:dyDescent="0.3"/>
    <x:row r="11" spans="2:13" s="102" customFormat="1" ht="12.65" customHeight="1" thickBot="1" x14ac:dyDescent="0.3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5" customHeight="1" x14ac:dyDescent="0.3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5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5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5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5" customHeight="1" x14ac:dyDescent="0.25">
      <x:c r="C16" s="178">
        <x:v>5</x:v>
      </x:c>
      <x:c r="D16" s="179">
        <x:v>106710</x:v>
      </x:c>
      <x:c r="E16" s="180">
        <x:v>1</x:v>
      </x:c>
      <x:c r="F16" s="180" t="n">
        <x:v>488120</x:v>
      </x:c>
      <x:c r="G16" s="181" t="n">
        <x:v>11</x:v>
      </x:c>
    </x:row>
    <x:row r="17" spans="1:11" ht="12.65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5" customHeight="1" thickBot="1" x14ac:dyDescent="0.35">
      <x:c r="D18" s="186">
        <x:v>106710</x:v>
      </x:c>
      <x:c r="E18" s="186">
        <x:v>1</x:v>
      </x:c>
      <x:c r="F18" s="186" t="n">
        <x:v>488120</x:v>
      </x:c>
      <x:c r="G18" s="186" t="n">
        <x:v>11</x:v>
      </x:c>
    </x:row>
    <x:row r="19" spans="1:11" ht="12.65" customHeight="1" thickBot="1" x14ac:dyDescent="0.3"/>
    <x:row r="20" spans="1:11" ht="12.65" customHeight="1" thickBot="1" x14ac:dyDescent="0.3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5" customHeight="1" x14ac:dyDescent="0.3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5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5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5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5" customHeight="1" x14ac:dyDescent="0.25">
      <x:c r="B25"/>
      <x:c r="C25" s="178">
        <x:v>5</x:v>
      </x:c>
      <x:c r="D25" s="179">
        <x:v>129536656</x:v>
      </x:c>
      <x:c r="E25" s="180">
        <x:v>2855</x:v>
      </x:c>
      <x:c r="F25" s="180" t="n">
        <x:v>32556620</x:v>
      </x:c>
      <x:c r="G25" s="181" t="n">
        <x:v>550</x:v>
      </x:c>
      <x:c r="I25" s="179">
        <x:v>158181979</x:v>
      </x:c>
      <x:c r="J25" s="181">
        <x:v>3400</x:v>
      </x:c>
    </x:row>
    <x:row r="26" spans="1:11" ht="12.65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5" customHeight="1" thickBot="1" x14ac:dyDescent="0.35">
      <x:c r="D27" s="186">
        <x:v>129536656</x:v>
      </x:c>
      <x:c r="E27" s="186">
        <x:v>2855</x:v>
      </x:c>
      <x:c r="F27" s="186" t="n">
        <x:v>32556620</x:v>
      </x:c>
      <x:c r="G27" s="186" t="n">
        <x:v>550</x:v>
      </x:c>
      <x:c r="I27" s="204">
        <x:v>158181979</x:v>
      </x:c>
      <x:c r="J27" s="205">
        <x:v>3400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ht="13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ht="13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ht="13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G41" sqref="G41"/>
    </x:sheetView>
  </x:sheetViews>
  <x:sheetFormatPr baseColWidth="10" defaultColWidth="11.453125" defaultRowHeight="12.5" x14ac:dyDescent="0.25"/>
  <x:cols>
    <x:col min="1" max="1" width="2.1796875" style="213" customWidth="1"/>
    <x:col min="2" max="2" width="25" style="213" bestFit="1" customWidth="1"/>
    <x:col min="3" max="3" width="4.81640625" style="213" bestFit="1" customWidth="1"/>
    <x:col min="4" max="4" width="13.81640625" style="167" bestFit="1" customWidth="1"/>
    <x:col min="5" max="5" width="19" style="167" bestFit="1" customWidth="1"/>
    <x:col min="6" max="6" width="13.81640625" style="167" bestFit="1" customWidth="1"/>
    <x:col min="7" max="7" width="19" style="167" bestFit="1" customWidth="1"/>
    <x:col min="8" max="8" width="3.81640625" style="167" customWidth="1"/>
    <x:col min="9" max="9" width="20" style="167" bestFit="1" customWidth="1"/>
    <x:col min="10" max="10" width="26.54296875" style="167" bestFit="1" customWidth="1"/>
    <x:col min="11" max="13" width="19.81640625" style="167" customWidth="1"/>
    <x:col min="14" max="16384" width="11.453125" style="213"/>
  </x:cols>
  <x:sheetData>
    <x:row r="1" spans="2:13" ht="13" thickBot="1" x14ac:dyDescent="0.3"/>
    <x:row r="2" spans="2:13" s="214" customFormat="1" ht="13.5" thickBot="1" x14ac:dyDescent="0.3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" thickBot="1" x14ac:dyDescent="0.3">
      <x:c r="C8" s="182" t="s">
        <x:v>89</x:v>
      </x:c>
      <x:c r="D8" s="183"/>
      <x:c r="E8" s="184"/>
      <x:c r="F8" s="184"/>
      <x:c r="G8" s="185"/>
    </x:row>
    <x:row r="9" spans="2:13" ht="13.5" thickBot="1" x14ac:dyDescent="0.35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" thickBot="1" x14ac:dyDescent="0.3"/>
    <x:row r="11" spans="2:13" s="214" customFormat="1" ht="13.5" thickBot="1" x14ac:dyDescent="0.3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3" x14ac:dyDescent="0.3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" thickBot="1" x14ac:dyDescent="0.3">
      <x:c r="C17" s="182" t="s">
        <x:v>89</x:v>
      </x:c>
      <x:c r="D17" s="183"/>
      <x:c r="E17" s="184"/>
      <x:c r="F17" s="184"/>
      <x:c r="G17" s="185"/>
    </x:row>
    <x:row r="18" spans="1:13" ht="13.5" thickBot="1" x14ac:dyDescent="0.3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" thickBot="1" x14ac:dyDescent="0.3"/>
    <x:row r="20" spans="1:13" ht="13.5" thickBot="1" x14ac:dyDescent="0.3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ht="13" x14ac:dyDescent="0.3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35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ht="13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ht="13" x14ac:dyDescent="0.3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ht="13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/>
  </x:sheetViews>
  <x:sheetFormatPr baseColWidth="10" defaultColWidth="11.453125" defaultRowHeight="12.5" x14ac:dyDescent="0.25"/>
  <x:cols>
    <x:col min="1" max="1" width="2.1796875" style="166" customWidth="1"/>
    <x:col min="2" max="2" width="12.81640625" style="166" bestFit="1" customWidth="1"/>
    <x:col min="3" max="3" width="7.1796875" style="166" customWidth="1"/>
    <x:col min="4" max="4" width="15.1796875" style="167" customWidth="1"/>
    <x:col min="5" max="5" width="20.453125" style="167" customWidth="1"/>
    <x:col min="6" max="6" width="15.1796875" style="167" customWidth="1"/>
    <x:col min="7" max="7" width="20.1796875" style="167" customWidth="1"/>
    <x:col min="8" max="8" width="3.81640625" style="167" customWidth="1"/>
    <x:col min="9" max="10" width="26.54296875" style="167" bestFit="1" customWidth="1"/>
    <x:col min="11" max="13" width="19.81640625" style="167" customWidth="1"/>
    <x:col min="14" max="16384" width="11.453125" style="166"/>
  </x:cols>
  <x:sheetData>
    <x:row r="1" spans="2:13" ht="13" thickBot="1" x14ac:dyDescent="0.3"/>
    <x:row r="2" spans="2:13" s="168" customFormat="1" ht="13.5" thickBot="1" x14ac:dyDescent="0.3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8"/>
      <x:c r="K2" s="173"/>
      <x:c r="L2" s="173"/>
      <x:c r="M2" s="173"/>
    </x:row>
    <x:row r="3" spans="2:13" x14ac:dyDescent="0.25">
      <x:c r="C3" s="174">
        <x:v>1</x:v>
      </x:c>
      <x:c r="D3" s="277">
        <x:v>335015748</x:v>
      </x:c>
      <x:c r="E3" s="176">
        <x:v>1590</x:v>
      </x:c>
      <x:c r="F3" s="176" t="n">
        <x:v>708118766</x:v>
      </x:c>
      <x:c r="G3" s="177" t="n">
        <x:v>2516</x:v>
      </x:c>
      <x:c r="J3" s="729"/>
    </x:row>
    <x:row r="4" spans="2:13" x14ac:dyDescent="0.25">
      <x:c r="C4" s="178">
        <x:v>2</x:v>
      </x:c>
      <x:c r="D4" s="278">
        <x:v>389025865</x:v>
      </x:c>
      <x:c r="E4" s="180">
        <x:v>2713</x:v>
      </x:c>
      <x:c r="F4" s="180" t="n">
        <x:v>2044964380</x:v>
      </x:c>
      <x:c r="G4" s="181" t="n">
        <x:v>10424</x:v>
      </x:c>
      <x:c r="J4" s="729"/>
    </x:row>
    <x:row r="5" spans="2:13" x14ac:dyDescent="0.25">
      <x:c r="C5" s="178">
        <x:v>3</x:v>
      </x:c>
      <x:c r="D5" s="278">
        <x:v>346289622</x:v>
      </x:c>
      <x:c r="E5" s="180">
        <x:v>1123</x:v>
      </x:c>
      <x:c r="F5" s="180" t="n">
        <x:v>799641564</x:v>
      </x:c>
      <x:c r="G5" s="181" t="n">
        <x:v>2133</x:v>
      </x:c>
      <x:c r="J5" s="729"/>
    </x:row>
    <x:row r="6" spans="2:13" x14ac:dyDescent="0.25">
      <x:c r="C6" s="178">
        <x:v>4</x:v>
      </x:c>
      <x:c r="D6" s="278">
        <x:v>236541566</x:v>
      </x:c>
      <x:c r="E6" s="180">
        <x:v>1643</x:v>
      </x:c>
      <x:c r="F6" s="180" t="n">
        <x:v>769620840</x:v>
      </x:c>
      <x:c r="G6" s="181" t="n">
        <x:v>4462</x:v>
      </x:c>
    </x:row>
    <x:row r="7" spans="2:13" x14ac:dyDescent="0.25">
      <x:c r="C7" s="178">
        <x:v>5</x:v>
      </x:c>
      <x:c r="D7" s="278">
        <x:v>155743651</x:v>
      </x:c>
      <x:c r="E7" s="180">
        <x:v>776</x:v>
      </x:c>
      <x:c r="F7" s="180" t="n">
        <x:v>305626540</x:v>
      </x:c>
      <x:c r="G7" s="181" t="n">
        <x:v>1484</x:v>
      </x:c>
    </x:row>
    <x:row r="8" spans="2:13" ht="13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5" thickBot="1" x14ac:dyDescent="0.35">
      <x:c r="D9" s="186">
        <x:v>1462616452</x:v>
      </x:c>
      <x:c r="E9" s="186">
        <x:v>7845</x:v>
      </x:c>
      <x:c r="F9" s="186" t="n">
        <x:v>4627972090</x:v>
      </x:c>
      <x:c r="G9" s="186" t="n">
        <x:v>21019</x:v>
      </x:c>
    </x:row>
    <x:row r="10" spans="2:13" ht="13" thickBot="1" x14ac:dyDescent="0.3">
      <x:c r="D10" s="280"/>
    </x:row>
    <x:row r="11" spans="2:13" s="168" customFormat="1" ht="13.5" thickBot="1" x14ac:dyDescent="0.3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ht="13" x14ac:dyDescent="0.3">
      <x:c r="B12" s="189" t="s">
        <x:v>140</x:v>
      </x:c>
      <x:c r="C12" s="190">
        <x:v>1</x:v>
      </x:c>
      <x:c r="D12" s="281">
        <x:v>205459944</x:v>
      </x:c>
      <x:c r="E12" s="191">
        <x:v>70</x:v>
      </x:c>
      <x:c r="F12" s="191" t="n">
        <x:v>202466152</x:v>
      </x:c>
      <x:c r="G12" s="192" t="n">
        <x:v>535</x:v>
      </x:c>
    </x:row>
    <x:row r="13" spans="2:13" x14ac:dyDescent="0.25">
      <x:c r="C13" s="193">
        <x:v>2</x:v>
      </x:c>
      <x:c r="D13" s="278">
        <x:v>33195420</x:v>
      </x:c>
      <x:c r="E13" s="180">
        <x:v>58</x:v>
      </x:c>
      <x:c r="F13" s="180" t="n">
        <x:v>341841786</x:v>
      </x:c>
      <x:c r="G13" s="181" t="n">
        <x:v>623</x:v>
      </x:c>
    </x:row>
    <x:row r="14" spans="2:13" x14ac:dyDescent="0.25">
      <x:c r="C14" s="193">
        <x:v>3</x:v>
      </x:c>
      <x:c r="D14" s="278">
        <x:v>126229443</x:v>
      </x:c>
      <x:c r="E14" s="180">
        <x:v>55</x:v>
      </x:c>
      <x:c r="F14" s="180" t="n">
        <x:v>469277064</x:v>
      </x:c>
      <x:c r="G14" s="181" t="n">
        <x:v>248</x:v>
      </x:c>
    </x:row>
    <x:row r="15" spans="2:13" x14ac:dyDescent="0.25">
      <x:c r="C15" s="193">
        <x:v>4</x:v>
      </x:c>
      <x:c r="D15" s="278">
        <x:v>2600820</x:v>
      </x:c>
      <x:c r="E15" s="180">
        <x:v>21</x:v>
      </x:c>
      <x:c r="F15" s="180" t="n">
        <x:v>208355087</x:v>
      </x:c>
      <x:c r="G15" s="181" t="n">
        <x:v>216</x:v>
      </x:c>
    </x:row>
    <x:row r="16" spans="2:13" x14ac:dyDescent="0.25">
      <x:c r="C16" s="193">
        <x:v>5</x:v>
      </x:c>
      <x:c r="D16" s="278">
        <x:v>25989911</x:v>
      </x:c>
      <x:c r="E16" s="180">
        <x:v>18</x:v>
      </x:c>
      <x:c r="F16" s="180" t="n">
        <x:v>35584035</x:v>
      </x:c>
      <x:c r="G16" s="181" t="n">
        <x:v>152</x:v>
      </x:c>
    </x:row>
    <x:row r="17" spans="1:13" ht="13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5" thickBot="1" x14ac:dyDescent="0.35">
      <x:c r="D18" s="198">
        <x:v>393475538</x:v>
      </x:c>
      <x:c r="E18" s="198">
        <x:v>222</x:v>
      </x:c>
      <x:c r="F18" s="198" t="n">
        <x:v>1257524124</x:v>
      </x:c>
      <x:c r="G18" s="198" t="n">
        <x:v>1774</x:v>
      </x:c>
    </x:row>
    <x:row r="19" spans="1:13" ht="13" thickBot="1" x14ac:dyDescent="0.3"/>
    <x:row r="20" spans="1:13" ht="13.5" thickBot="1" x14ac:dyDescent="0.3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ht="13" x14ac:dyDescent="0.3">
      <x:c r="B21" s="201" t="s">
        <x:v>2</x:v>
      </x:c>
      <x:c r="C21" s="174">
        <x:v>1</x:v>
      </x:c>
      <x:c r="D21" s="277">
        <x:v>540475692</x:v>
      </x:c>
      <x:c r="E21" s="282">
        <x:v>1660</x:v>
      </x:c>
      <x:c r="F21" s="176" t="n">
        <x:v>910584918</x:v>
      </x:c>
      <x:c r="G21" s="177" t="n">
        <x:v>3051</x:v>
      </x:c>
      <x:c r="I21" s="175">
        <x:v>1345789409</x:v>
      </x:c>
      <x:c r="J21" s="177">
        <x:v>4527</x:v>
      </x:c>
    </x:row>
    <x:row r="22" spans="1:13" s="167" customFormat="1" x14ac:dyDescent="0.25">
      <x:c r="B22" s="166"/>
      <x:c r="C22" s="178">
        <x:v>2</x:v>
      </x:c>
      <x:c r="D22" s="278">
        <x:v>422221285</x:v>
      </x:c>
      <x:c r="E22" s="283">
        <x:v>2771</x:v>
      </x:c>
      <x:c r="F22" s="180" t="n">
        <x:v>2386806166</x:v>
      </x:c>
      <x:c r="G22" s="181" t="n">
        <x:v>11047</x:v>
      </x:c>
      <x:c r="I22" s="179">
        <x:v>1848167463</x:v>
      </x:c>
      <x:c r="J22" s="181">
        <x:v>12515</x:v>
      </x:c>
    </x:row>
    <x:row r="23" spans="1:13" s="167" customFormat="1" x14ac:dyDescent="0.25">
      <x:c r="B23" s="166"/>
      <x:c r="C23" s="178">
        <x:v>3</x:v>
      </x:c>
      <x:c r="D23" s="278">
        <x:v>472519065</x:v>
      </x:c>
      <x:c r="E23" s="283">
        <x:v>1178</x:v>
      </x:c>
      <x:c r="F23" s="180" t="n">
        <x:v>1268918628</x:v>
      </x:c>
      <x:c r="G23" s="181" t="n">
        <x:v>2381</x:v>
      </x:c>
      <x:c r="I23" s="179">
        <x:v>1717689584</x:v>
      </x:c>
      <x:c r="J23" s="181">
        <x:v>3716</x:v>
      </x:c>
    </x:row>
    <x:row r="24" spans="1:13" s="167" customFormat="1" x14ac:dyDescent="0.25">
      <x:c r="B24" s="166"/>
      <x:c r="C24" s="178">
        <x:v>4</x:v>
      </x:c>
      <x:c r="D24" s="278">
        <x:v>239142386</x:v>
      </x:c>
      <x:c r="E24" s="283">
        <x:v>1664</x:v>
      </x:c>
      <x:c r="F24" s="180" t="n">
        <x:v>977975927</x:v>
      </x:c>
      <x:c r="G24" s="181" t="n">
        <x:v>4678</x:v>
      </x:c>
      <x:c r="I24" s="179">
        <x:v>725781903</x:v>
      </x:c>
      <x:c r="J24" s="181">
        <x:v>4147</x:v>
      </x:c>
    </x:row>
    <x:row r="25" spans="1:13" s="167" customFormat="1" x14ac:dyDescent="0.25">
      <x:c r="B25" s="166"/>
      <x:c r="C25" s="178">
        <x:v>5</x:v>
      </x:c>
      <x:c r="D25" s="278">
        <x:v>181733562</x:v>
      </x:c>
      <x:c r="E25" s="283">
        <x:v>794</x:v>
      </x:c>
      <x:c r="F25" s="180" t="n">
        <x:v>341210575</x:v>
      </x:c>
      <x:c r="G25" s="181" t="n">
        <x:v>1636</x:v>
      </x:c>
      <x:c r="I25" s="179">
        <x:v>503232683</x:v>
      </x:c>
      <x:c r="J25" s="181">
        <x:v>2227</x:v>
      </x:c>
    </x:row>
    <x:row r="26" spans="1:13" ht="13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5" thickBot="1" x14ac:dyDescent="0.35">
      <x:c r="D27" s="186">
        <x:v>1856091990</x:v>
      </x:c>
      <x:c r="E27" s="186">
        <x:v>8067</x:v>
      </x:c>
      <x:c r="F27" s="186" t="n">
        <x:v>5885496214</x:v>
      </x:c>
      <x:c r="G27" s="186" t="n">
        <x:v>22793</x:v>
      </x:c>
      <x:c r="I27" s="204">
        <x:v>6140661042</x:v>
      </x:c>
      <x:c r="J27" s="205">
        <x:v>27132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ht="13" x14ac:dyDescent="0.3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ht="13" x14ac:dyDescent="0.3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ht="13" x14ac:dyDescent="0.3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topLeftCell="A33" zoomScale="90" zoomScaleNormal="90" workbookViewId="0"/>
  </x:sheetViews>
  <x:sheetFormatPr baseColWidth="10" defaultRowHeight="12.5" x14ac:dyDescent="0.25"/>
  <x:cols>
    <x:col min="1" max="1" width="6" customWidth="1"/>
    <x:col min="2" max="2" width="47.81640625" bestFit="1" customWidth="1"/>
    <x:col min="3" max="9" width="22.7265625" customWidth="1"/>
    <x:col min="10" max="10" width="17.81640625" customWidth="1"/>
  </x:cols>
  <x:sheetData>
    <x:row r="1" spans="1:10" ht="13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328</x:v>
      </x:c>
      <x:c r="H1" s="248" t="s">
        <x:v>119</x:v>
      </x:c>
      <x:c r="I1" s="248" t="s">
        <x:v>70</x:v>
      </x:c>
    </x:row>
    <x:row r="2" spans="1:10" ht="13" x14ac:dyDescent="0.3">
      <x:c r="B2" t="s">
        <x:v>97</x:v>
      </x:c>
      <x:c r="C2" s="249">
        <x:f>C13+C23+C32+C41+C51</x:f>
        <x:v>67949267697.75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17028090</x:v>
      </x:c>
      <x:c r="G2" s="249">
        <x:f t="shared" si="0"/>
        <x:v>26864220</x:v>
      </x:c>
      <x:c r="H2" s="249">
        <x:f t="shared" si="0"/>
        <x:v>4106855179.5799994</x:v>
      </x:c>
      <x:c r="I2" s="250">
        <x:f>SUM(C2:H2)</x:f>
        <x:v>72100015187.330002</x:v>
      </x:c>
    </x:row>
    <x:row r="3" spans="1:10" ht="13" x14ac:dyDescent="0.3">
      <x:c r="B3" t="s">
        <x:v>98</x:v>
      </x:c>
      <x:c r="C3" s="249">
        <x:f>C14+C24+C33+C42+C52</x:f>
        <x:v>236717169.25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23089310</x:v>
      </x:c>
      <x:c r="G3" s="249">
        <x:f t="shared" ref="G3" si="2">G14+G24+G33+G42+G52</x:f>
        <x:v>1781103</x:v>
      </x:c>
      <x:c r="H3" s="249">
        <x:f t="shared" si="1"/>
        <x:v>136872738.84999999</x:v>
      </x:c>
      <x:c r="I3" s="250">
        <x:f>SUM(C3:H3)</x:f>
        <x:v>398460321.10000002</x:v>
      </x:c>
      <x:c r="J3" s="252" t="s">
        <x:v>1</x:v>
      </x:c>
    </x:row>
    <x:row r="4" spans="1:10" ht="13" x14ac:dyDescent="0.3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40841133.569999993</x:v>
      </x:c>
      <x:c r="I4" s="250">
        <x:f>SUM(C4:H4)</x:f>
        <x:v>40841133.569999993</x:v>
      </x:c>
    </x:row>
    <x:row r="5" spans="1:10" ht="13" x14ac:dyDescent="0.3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ht="13" x14ac:dyDescent="0.3">
      <x:c r="B6" t="s">
        <x:v>70</x:v>
      </x:c>
      <x:c r="C6" s="250">
        <x:f>SUM(C2:C5)</x:f>
        <x:v>68185984867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40117400</x:v>
      </x:c>
      <x:c r="G6" s="250">
        <x:f t="shared" si="5"/>
        <x:v>28645323</x:v>
      </x:c>
      <x:c r="H6" s="250">
        <x:f t="shared" si="5"/>
        <x:v>4284569051.9999995</x:v>
      </x:c>
      <x:c r="I6" s="250">
        <x:f>SUM(I2:I5)</x:f>
        <x:v>72539316642.000015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ht="13" x14ac:dyDescent="0.3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328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17445127414</x:v>
      </x:c>
      <x:c r="D13" s="244"/>
      <x:c r="E13" s="244"/>
      <x:c r="F13" s="244"/>
      <x:c r="G13" s="244"/>
      <x:c r="H13" s="244" t="n">
        <x:v>878866230</x:v>
      </x:c>
      <x:c r="I13" s="246">
        <x:f>SUM(C13:H13)</x:f>
        <x:v>17353337876.119999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40340694</x:v>
      </x:c>
      <x:c r="D14" s="244"/>
      <x:c r="E14" s="244"/>
      <x:c r="F14" s="244"/>
      <x:c r="G14" s="244"/>
      <x:c r="H14" s="244" t="n">
        <x:v>20016520.48</x:v>
      </x:c>
      <x:c r="I14" s="246">
        <x:f t="shared" ref="I14:I16" si="7">SUM(C14:H14)</x:f>
        <x:v>100931031.88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/>
      <x:c r="E15" s="244"/>
      <x:c r="F15" s="244"/>
      <x:c r="G15" s="244"/>
      <x:c r="H15" s="244" t="n">
        <x:v>11702167.52</x:v>
      </x:c>
      <x:c r="I15" s="246">
        <x:f t="shared" si="7"/>
        <x:v>11733000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/>
      <x:c r="E16" s="244"/>
      <x:c r="F16" s="244"/>
      <x:c r="G16" s="244"/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16660688191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805313717</x:v>
      </x:c>
      <x:c r="I17" s="247">
        <x:f t="shared" si="9"/>
        <x:v>17466001908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328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19260091230.78</x:v>
      </x:c>
      <x:c r="D23" s="244"/>
      <x:c r="E23" s="244">
        <x:v>0</x:v>
      </x:c>
      <x:c r="F23" s="244" t="n">
        <x:v>9350210</x:v>
      </x:c>
      <x:c r="G23" s="244"/>
      <x:c r="H23" s="244" t="n">
        <x:v>2260522795</x:v>
      </x:c>
      <x:c r="I23" s="246">
        <x:f>SUM(C23:H23)</x:f>
        <x:v>20405722762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53772356.22</x:v>
      </x:c>
      <x:c r="D24" s="244"/>
      <x:c r="E24" s="244">
        <x:v>0</x:v>
      </x:c>
      <x:c r="F24" s="244" t="n">
        <x:v>9710980</x:v>
      </x:c>
      <x:c r="G24" s="244"/>
      <x:c r="H24" s="244" t="n">
        <x:v>126283371</x:v>
      </x:c>
      <x:c r="I24" s="246">
        <x:f t="shared" ref="I24:I26" si="11">SUM(C24:H24)</x:f>
        <x:v>136534753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/>
      <x:c r="E25" s="244">
        <x:v>0</x:v>
      </x:c>
      <x:c r="F25" s="244" t="n">
        <x:v>0</x:v>
      </x:c>
      <x:c r="G25" s="244"/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/>
      <x:c r="E26" s="244"/>
      <x:c r="F26" s="244" t="n">
        <x:v>0</x:v>
      </x:c>
      <x:c r="G26" s="244"/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19092079577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24231760</x:v>
      </x:c>
      <x:c r="G27" s="244">
        <x:f>SUM(G23:G26)</x:f>
        <x:v>0</x:v>
      </x:c>
      <x:c r="H27" s="244">
        <x:f>SUM(H23:H26)</x:f>
        <x:v>1425946178</x:v>
      </x:c>
      <x:c r="I27" s="247">
        <x:f>SUM(I23:I26)</x:f>
        <x:v>20542257515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328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15124893786</x:v>
      </x:c>
      <x:c r="D32" s="244"/>
      <x:c r="E32" s="244"/>
      <x:c r="F32" s="244">
        <x:v>0</x:v>
      </x:c>
      <x:c r="G32" s="244"/>
      <x:c r="H32" s="244" t="n">
        <x:v>1255924231.01</x:v>
      </x:c>
      <x:c r="I32" s="246">
        <x:f>SUM(C32:H32)</x:f>
        <x:v>15238046229.35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20418516</x:v>
      </x:c>
      <x:c r="D33" s="244"/>
      <x:c r="E33" s="244"/>
      <x:c r="F33" s="244">
        <x:v>0</x:v>
      </x:c>
      <x:c r="G33" s="244"/>
      <x:c r="H33" s="244" t="n">
        <x:v>10719555.23</x:v>
      </x:c>
      <x:c r="I33" s="246">
        <x:f>SUM(C33:H33)</x:f>
        <x:v>58884032.920000002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/>
      <x:c r="E34" s="244"/>
      <x:c r="F34" s="244">
        <x:v>0</x:v>
      </x:c>
      <x:c r="G34" s="244"/>
      <x:c r="H34" s="244" t="n">
        <x:v>2274841.76</x:v>
      </x:c>
      <x:c r="I34" s="246">
        <x:f t="shared" ref="I34:I35" si="14">SUM(C34:H34)</x:f>
        <x:v>2482198.73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/>
      <x:c r="E35" s="244"/>
      <x:c r="F35" s="244">
        <x:v>0</x:v>
      </x:c>
      <x:c r="G35" s="244"/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14054241942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1245170519</x:v>
      </x:c>
      <x:c r="I36" s="247">
        <x:f>SUM(I32:I35)</x:f>
        <x:v>15299412461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328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7358390426</x:v>
      </x:c>
      <x:c r="D41" s="244"/>
      <x:c r="E41" s="244">
        <x:v>0</x:v>
      </x:c>
      <x:c r="F41" s="244" t="n">
        <x:v>4363050</x:v>
      </x:c>
      <x:c r="G41" s="244"/>
      <x:c r="H41" s="244" t="n">
        <x:v>908362098.18</x:v>
      </x:c>
      <x:c r="I41" s="246">
        <x:f t="shared" ref="I41:I44" si="16">SUM(C41:H41)</x:f>
        <x:v>7055653331.2600002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37713515</x:v>
      </x:c>
      <x:c r="D42" s="244"/>
      <x:c r="E42" s="244">
        <x:v>0</x:v>
      </x:c>
      <x:c r="F42" s="244" t="n">
        <x:v>4481330</x:v>
      </x:c>
      <x:c r="G42" s="244"/>
      <x:c r="H42" s="244" t="n">
        <x:v>57223143.46</x:v>
      </x:c>
      <x:c r="I42" s="246">
        <x:f t="shared" si="16"/>
        <x:v>73726637.340000004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/>
      <x:c r="E43" s="244">
        <x:v>0</x:v>
      </x:c>
      <x:c r="F43" s="244" t="n">
        <x:v>0</x:v>
      </x:c>
      <x:c r="G43" s="244"/>
      <x:c r="H43" s="244" t="n">
        <x:v>12390685.36</x:v>
      </x:c>
      <x:c r="I43" s="246">
        <x:f t="shared" si="16"/>
        <x:v>25967508.399999999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/>
      <x:c r="E44" s="244"/>
      <x:c r="F44" s="244" t="n">
        <x:v>0</x:v>
      </x:c>
      <x:c r="G44" s="244"/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6652822320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15885640</x:v>
      </x:c>
      <x:c r="G45" s="244">
        <x:f>SUM(G41:G44)</x:f>
        <x:v>0</x:v>
      </x:c>
      <x:c r="H45" s="244">
        <x:f>SUM(H41:H44)</x:f>
        <x:v>486639516.99999994</x:v>
      </x:c>
      <x:c r="I45" s="247">
        <x:f>SUM(I41:I44)</x:f>
        <x:v>7155347477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328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11757334219</x:v>
      </x:c>
      <x:c r="D51" s="244"/>
      <x:c r="E51" s="244"/>
      <x:c r="F51" s="244"/>
      <x:c r="G51" s="244" t="n">
        <x:v>28784210</x:v>
      </x:c>
      <x:c r="H51" s="590" t="n">
        <x:v>328895723.05</x:v>
      </x:c>
      <x:c r="I51" s="246">
        <x:f t="shared" ref="I51:I54" si="19">SUM(C51:H51)</x:f>
        <x:v>12047254988.6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23895807</x:v>
      </x:c>
      <x:c r="D52" s="244"/>
      <x:c r="E52" s="244"/>
      <x:c r="F52" s="244"/>
      <x:c r="G52" s="244" t="n">
        <x:v>3772410</x:v>
      </x:c>
      <x:c r="H52" s="590" t="n">
        <x:v>11551639</x:v>
      </x:c>
      <x:c r="I52" s="246">
        <x:f>SUM(C52:H52)</x:f>
        <x:v>28383865.960000001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/>
      <x:c r="E53" s="244"/>
      <x:c r="F53" s="244"/>
      <x:c r="G53" s="244" t="n">
        <x:v>0</x:v>
      </x:c>
      <x:c r="H53" s="590" t="n">
        <x:v>763212.95</x:v>
      </x:c>
      <x:c r="I53" s="246">
        <x:f t="shared" si="19"/>
        <x:v>658426.43999999994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/>
      <x:c r="E54" s="244"/>
      <x:c r="F54" s="244"/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11726152837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28645323</x:v>
      </x:c>
      <x:c r="H55" s="244">
        <x:f>SUM(H51:H54)</x:f>
        <x:v>321499121</x:v>
      </x:c>
      <x:c r="I55" s="247">
        <x:f>SUM(I51:I54)</x:f>
        <x:v>12076297281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ht="13" x14ac:dyDescent="0.3">
      <x:c r="B59" s="744" t="s">
        <x:v>336</x:v>
      </x:c>
      <x:c r="C59" s="209" t="n">
        <x:v>2</x:v>
      </x:c>
      <x:c r="D59" s="745" t="s">
        <x:v>337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6" t="s">
        <x:v>208</x:v>
      </x:c>
      <x:c r="C62" s="747">
        <x:f>IF($C$59=1,'Recaudo ENEL'!D21,'Recaudo ENEL'!F21)</x:f>
        <x:v>16660688191</x:v>
      </x:c>
      <x:c r="D62" s="746" t="b">
        <x:f>C17=C62</x:f>
        <x:v>1</x:v>
      </x:c>
      <x:c r="E62" s="748">
        <x:f>C17-C62</x:f>
        <x:v>0</x:v>
      </x:c>
      <x:c r="F62" s="212"/>
    </x:row>
    <x:row r="63" spans="2:10" x14ac:dyDescent="0.25">
      <x:c r="B63" s="746" t="s">
        <x:v>338</x:v>
      </x:c>
      <x:c r="C63" s="747">
        <x:f>IF($C$59=1,'Recaudo ENERBIT'!D21,'Recaudo ENERBIT'!F21)</x:f>
        <x:v>0</x:v>
      </x:c>
      <x:c r="D63" s="746" t="b">
        <x:f>G17=C63</x:f>
        <x:v>1</x:v>
      </x:c>
      <x:c r="E63" s="748">
        <x:f>G17-C63</x:f>
        <x:v>0</x:v>
      </x:c>
    </x:row>
    <x:row r="64" spans="2:10" x14ac:dyDescent="0.25">
      <x:c r="B64" s="749" t="s">
        <x:v>210</x:v>
      </x:c>
      <x:c r="C64" s="750">
        <x:f>IF($C$59=1,'Recaudo EAAB Reciprocidad'!D22,'Recaudo EAAB Reciprocidad'!F22)</x:f>
        <x:v>24231760</x:v>
      </x:c>
      <x:c r="D64" s="749" t="b">
        <x:f>F27=C64</x:f>
        <x:v>1</x:v>
      </x:c>
      <x:c r="E64" s="751">
        <x:f>F27-C64</x:f>
        <x:v>0</x:v>
      </x:c>
      <x:c r="H64" s="167"/>
    </x:row>
    <x:row r="65" spans="2:7" x14ac:dyDescent="0.25">
      <x:c r="B65" s="749" t="s">
        <x:v>326</x:v>
      </x:c>
      <x:c r="C65" s="750">
        <x:f>IF($C$59=1,'Recaudo ENEL'!D22,'Recaudo ENEL'!F22)</x:f>
        <x:v>19090710142</x:v>
      </x:c>
      <x:c r="D65" s="749" t="b">
        <x:f>C27=C65</x:f>
        <x:v>0</x:v>
      </x:c>
      <x:c r="E65" s="751">
        <x:f>C27-C65</x:f>
        <x:v>1369435</x:v>
      </x:c>
      <x:c r="F65" s="142" t="s">
        <x:v>342</x:v>
      </x:c>
    </x:row>
    <x:row r="66" spans="2:7" x14ac:dyDescent="0.25">
      <x:c r="B66" s="749" t="s">
        <x:v>339</x:v>
      </x:c>
      <x:c r="C66" s="750">
        <x:f>IF($C$59=1,'Recaudo ENERBIT'!D22,'Recaudo ENERBIT'!F22)</x:f>
        <x:v>0</x:v>
      </x:c>
      <x:c r="D66" s="749" t="b">
        <x:f>G27=C66</x:f>
        <x:v>1</x:v>
      </x:c>
      <x:c r="E66" s="751">
        <x:f>G27-C66</x:f>
        <x:v>0</x:v>
      </x:c>
    </x:row>
    <x:row r="67" spans="2:7" x14ac:dyDescent="0.25">
      <x:c r="B67" s="746" t="s">
        <x:v>212</x:v>
      </x:c>
      <x:c r="C67" s="747">
        <x:f>IF($C$59=1,'Recaudo ENEL'!D23,'Recaudo ENEL'!F23)</x:f>
        <x:v>14027201822</x:v>
      </x:c>
      <x:c r="D67" s="746" t="b">
        <x:f>C36=C67</x:f>
        <x:v>0</x:v>
      </x:c>
      <x:c r="E67" s="748">
        <x:f>C36-C67</x:f>
        <x:v>27040120</x:v>
      </x:c>
      <x:c r="F67" s="761" t="s">
        <x:v>342</x:v>
      </x:c>
    </x:row>
    <x:row r="68" spans="2:7" x14ac:dyDescent="0.25">
      <x:c r="B68" s="746" t="s">
        <x:v>340</x:v>
      </x:c>
      <x:c r="C68" s="747">
        <x:f>IF($C$59=1,'Recaudo ENERBIT'!D23,'Recaudo ENERBIT'!F23)</x:f>
        <x:v>0</x:v>
      </x:c>
      <x:c r="D68" s="746" t="b">
        <x:f>G36=C68</x:f>
        <x:v>1</x:v>
      </x:c>
      <x:c r="E68" s="748">
        <x:f>G36-C68</x:f>
        <x:v>0</x:v>
      </x:c>
    </x:row>
    <x:row r="69" spans="2:7" x14ac:dyDescent="0.25">
      <x:c r="B69" s="749" t="s">
        <x:v>211</x:v>
      </x:c>
      <x:c r="C69" s="750">
        <x:f>IF($C$59=1,'Recaudo EAAB Reciprocidad'!D24,'Recaudo EAAB Reciprocidad'!F24)</x:f>
        <x:v>15885640</x:v>
      </x:c>
      <x:c r="D69" s="749" t="b">
        <x:f>F45=C69</x:f>
        <x:v>1</x:v>
      </x:c>
      <x:c r="E69" s="751">
        <x:f>F45-C69</x:f>
        <x:v>0</x:v>
      </x:c>
    </x:row>
    <x:row r="70" spans="2:7" x14ac:dyDescent="0.25">
      <x:c r="B70" s="749" t="s">
        <x:v>327</x:v>
      </x:c>
      <x:c r="C70" s="750">
        <x:f>IF($C$59=1,'Recaudo ENEL'!D24,'Recaudo ENEL'!F24)</x:f>
        <x:v>6640391410</x:v>
      </x:c>
      <x:c r="D70" s="749" t="b">
        <x:f>C45=C70</x:f>
        <x:v>0</x:v>
      </x:c>
      <x:c r="E70" s="751">
        <x:f>C45-C70</x:f>
        <x:v>12430910</x:v>
      </x:c>
      <x:c r="F70" s="142" t="s">
        <x:v>342</x:v>
      </x:c>
    </x:row>
    <x:row r="71" spans="2:7" x14ac:dyDescent="0.25">
      <x:c r="B71" s="749" t="s">
        <x:v>341</x:v>
      </x:c>
      <x:c r="C71" s="750">
        <x:f>IF($C$59=1,'Recaudo ENERBIT'!D24,'Recaudo ENERBIT'!F24)</x:f>
        <x:v>0</x:v>
      </x:c>
      <x:c r="D71" s="749" t="b">
        <x:f>G45=C71</x:f>
        <x:v>1</x:v>
      </x:c>
      <x:c r="E71" s="751">
        <x:f>G45-C71</x:f>
        <x:v>0</x:v>
      </x:c>
      <x:c r="F71" s="212"/>
    </x:row>
    <x:row r="72" spans="2:7" x14ac:dyDescent="0.25">
      <x:c r="B72" s="746" t="s">
        <x:v>209</x:v>
      </x:c>
      <x:c r="C72" s="747">
        <x:f>IF($C$59=1,'Recaudo ENEL'!D25,'Recaudo ENEL'!F25)</x:f>
        <x:v>11725626627</x:v>
      </x:c>
      <x:c r="D72" s="746" t="b">
        <x:f>C55=C72</x:f>
        <x:v>0</x:v>
      </x:c>
      <x:c r="E72" s="748">
        <x:f>C55-C72</x:f>
        <x:v>526210</x:v>
      </x:c>
      <x:c r="F72" s="142" t="s">
        <x:v>342</x:v>
      </x:c>
    </x:row>
    <x:row r="73" spans="2:7" x14ac:dyDescent="0.25">
      <x:c r="B73" s="746" t="s">
        <x:v>329</x:v>
      </x:c>
      <x:c r="C73" s="747">
        <x:f>IF($C$59=1,'Recaudo ENERBIT'!D25,'Recaudo ENERBIT'!F25)</x:f>
        <x:v>28645323</x:v>
      </x:c>
      <x:c r="D73" s="746" t="b">
        <x:f>G55=C73</x:f>
        <x:v>1</x:v>
      </x:c>
      <x:c r="E73" s="748">
        <x:f>G55-C73</x:f>
        <x:v>0</x:v>
      </x:c>
    </x:row>
    <x:row r="74" spans="2:7" x14ac:dyDescent="0.25">
      <x:c r="C74" s="167"/>
    </x:row>
    <x:row r="75" spans="2:7" x14ac:dyDescent="0.25">
      <x:c r="B75" s="746" t="s">
        <x:v>262</x:v>
      </x:c>
      <x:c r="C75" s="747">
        <x:f>IF($C$59=1,'Recaudo Directa Occidente'!D21,'Recaudo Directa Occidente'!F21)</x:f>
        <x:v>805313717</x:v>
      </x:c>
      <x:c r="D75" s="746" t="b">
        <x:f>C75=H17</x:f>
        <x:v>1</x:v>
      </x:c>
      <x:c r="E75" s="748">
        <x:f>C75-H17</x:f>
        <x:v>0</x:v>
      </x:c>
      <x:c r="F75" s="696"/>
      <x:c r="G75" s="696"/>
    </x:row>
    <x:row r="76" spans="2:7" x14ac:dyDescent="0.25">
      <x:c r="B76" s="749" t="s">
        <x:v>263</x:v>
      </x:c>
      <x:c r="C76" s="750">
        <x:f>IF($C$59=1,'Recaudo Directa Occidente'!D22,'Recaudo Directa Occidente'!F22)</x:f>
        <x:v>1425946178</x:v>
      </x:c>
      <x:c r="D76" s="749" t="b">
        <x:f>C76=H27</x:f>
        <x:v>1</x:v>
      </x:c>
      <x:c r="E76" s="751">
        <x:f>C76-H27</x:f>
        <x:v>0</x:v>
      </x:c>
    </x:row>
    <x:row r="77" spans="2:7" x14ac:dyDescent="0.25">
      <x:c r="B77" s="746" t="s">
        <x:v>264</x:v>
      </x:c>
      <x:c r="C77" s="747">
        <x:f>IF($C$59=1,'Recaudo Directa Occidente'!D23,'Recaudo Directa Occidente'!F23)</x:f>
        <x:v>1245170519</x:v>
      </x:c>
      <x:c r="D77" s="746" t="b">
        <x:f>C77=H36</x:f>
        <x:v>1</x:v>
      </x:c>
      <x:c r="E77" s="748">
        <x:f>C77-H36</x:f>
        <x:v>0</x:v>
      </x:c>
      <x:c r="F77" s="212"/>
      <x:c r="G77" s="212"/>
    </x:row>
    <x:row r="78" spans="2:7" x14ac:dyDescent="0.25">
      <x:c r="B78" s="749" t="s">
        <x:v>265</x:v>
      </x:c>
      <x:c r="C78" s="750">
        <x:f>IF($C$59=1,'Recaudo Directa Occidente'!D24,'Recaudo Directa Occidente'!F24)</x:f>
        <x:v>486639517</x:v>
      </x:c>
      <x:c r="D78" s="749" t="b">
        <x:f>C78=H45</x:f>
        <x:v>1</x:v>
      </x:c>
      <x:c r="E78" s="751">
        <x:f>C78-H45</x:f>
        <x:v>0</x:v>
      </x:c>
    </x:row>
    <x:row r="79" spans="2:7" x14ac:dyDescent="0.25">
      <x:c r="B79" s="746" t="s">
        <x:v>266</x:v>
      </x:c>
      <x:c r="C79" s="747">
        <x:f>IF($C$59=1,'Recaudo Directa Occidente'!D25,'Recaudo Directa Occidente'!F25)</x:f>
        <x:v>321499121</x:v>
      </x:c>
      <x:c r="D79" s="746" t="b">
        <x:f>C79=H55</x:f>
        <x:v>1</x:v>
      </x:c>
      <x:c r="E79" s="748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/>
  </x:sheetViews>
  <x:sheetFormatPr baseColWidth="10" defaultRowHeight="12.5" x14ac:dyDescent="0.25"/>
  <x:cols>
    <x:col min="1" max="1" width="3.453125" customWidth="1"/>
    <x:col min="2" max="2" width="20.81640625" bestFit="1" customWidth="1"/>
    <x:col min="3" max="3" width="13.1796875" bestFit="1" customWidth="1"/>
    <x:col min="4" max="6" width="12.81640625" bestFit="1" customWidth="1"/>
    <x:col min="7" max="7" width="12.54296875" customWidth="1"/>
    <x:col min="8" max="14" width="12.81640625" bestFit="1" customWidth="1"/>
    <x:col min="16" max="16" width="12.81640625" bestFit="1" customWidth="1"/>
  </x:cols>
  <x:sheetData>
    <x:row r="1" spans="1:16" ht="13.5" thickBot="1" x14ac:dyDescent="0.35">
      <x:c r="C1" s="770" t="s">
        <x:v>99</x:v>
      </x:c>
      <x:c r="D1" s="770"/>
      <x:c r="E1" s="770" t="s">
        <x:v>100</x:v>
      </x:c>
      <x:c r="F1" s="770"/>
      <x:c r="G1" s="770" t="s">
        <x:v>101</x:v>
      </x:c>
      <x:c r="H1" s="770"/>
      <x:c r="I1" s="770" t="s">
        <x:v>102</x:v>
      </x:c>
      <x:c r="J1" s="770"/>
      <x:c r="K1" s="770" t="s">
        <x:v>103</x:v>
      </x:c>
      <x:c r="L1" s="770"/>
      <x:c r="M1" s="770" t="s">
        <x:v>2</x:v>
      </x:c>
      <x:c r="N1" s="770"/>
    </x:row>
    <x:row r="2" spans="1:16" ht="13" x14ac:dyDescent="0.3">
      <x:c r="C2" s="257" t="s">
        <x:v>149</x:v>
      </x:c>
      <x:c r="D2" s="733" t="s">
        <x:v>150</x:v>
      </x:c>
      <x:c r="E2" s="733" t="s">
        <x:v>149</x:v>
      </x:c>
      <x:c r="F2" s="733" t="s">
        <x:v>150</x:v>
      </x:c>
      <x:c r="G2" s="733" t="s">
        <x:v>149</x:v>
      </x:c>
      <x:c r="H2" s="733" t="s">
        <x:v>150</x:v>
      </x:c>
      <x:c r="I2" s="733" t="s">
        <x:v>149</x:v>
      </x:c>
      <x:c r="J2" s="733" t="s">
        <x:v>150</x:v>
      </x:c>
      <x:c r="K2" s="733" t="s">
        <x:v>149</x:v>
      </x:c>
      <x:c r="L2" s="733" t="s">
        <x:v>150</x:v>
      </x:c>
      <x:c r="M2" s="257" t="s">
        <x:v>149</x:v>
      </x:c>
      <x:c r="N2" s="258" t="s">
        <x:v>150</x:v>
      </x:c>
    </x:row>
    <x:row r="3" spans="1:16" ht="13" x14ac:dyDescent="0.3">
      <x:c r="B3" s="210" t="s">
        <x:v>151</x:v>
      </x:c>
      <x:c r="C3" s="734">
        <x:f>C11+C19+C27+C35+C43</x:f>
        <x:v>49580</x:v>
      </x:c>
      <x:c r="D3" s="249">
        <x:f>D11+D19+D27+D35+D43</x:f>
        <x:v>-16536713.09</x:v>
      </x:c>
      <x:c r="E3" s="249">
        <x:f t="shared" ref="E3:K3" si="0">E11+E19+E27+E35+E43</x:f>
        <x:v>56190070</x:v>
      </x:c>
      <x:c r="F3" s="249">
        <x:f>F11+F19+F27+F35+F43</x:f>
        <x:v>-71069759</x:v>
      </x:c>
      <x:c r="G3" s="249">
        <x:f t="shared" si="0"/>
        <x:v>1307680</x:v>
      </x:c>
      <x:c r="H3" s="249">
        <x:f t="shared" si="0"/>
        <x:v>-32310979.800000001</x:v>
      </x:c>
      <x:c r="I3" s="249">
        <x:f t="shared" si="0"/>
        <x:v>4343101</x:v>
      </x:c>
      <x:c r="J3" s="249">
        <x:f t="shared" si="0"/>
        <x:v>-33738104.230000004</x:v>
      </x:c>
      <x:c r="K3" s="249">
        <x:f t="shared" si="0"/>
        <x:v>441849</x:v>
      </x:c>
      <x:c r="L3" s="249">
        <x:f>L11+L19+L27+L35+L43</x:f>
        <x:v>-3092375.5300000003</x:v>
      </x:c>
      <x:c r="M3" s="259">
        <x:f>C3+E3+G3+I3+K3</x:f>
        <x:v>62332280</x:v>
      </x:c>
      <x:c r="N3" s="260">
        <x:f>D3+F3+H3+J3+L3</x:f>
        <x:v>-156747931.65000001</x:v>
      </x:c>
      <x:c r="P3" s="209" t="b">
        <x:f>N3=(-VALIDACION_TOTAL!M9)</x:f>
        <x:v>1</x:v>
      </x:c>
    </x:row>
    <x:row r="4" spans="1:16" ht="13.5" thickBot="1" x14ac:dyDescent="0.35">
      <x:c r="B4" s="210" t="s">
        <x:v>152</x:v>
      </x:c>
      <x:c r="C4" s="731">
        <x:f>C12+C20+C28+C36+C44</x:f>
        <x:v>82340</x:v>
      </x:c>
      <x:c r="D4" s="732">
        <x:f>D12+D20+D28+D36+D44</x:f>
        <x:v>-182537.90999999997</x:v>
      </x:c>
      <x:c r="E4" s="732">
        <x:f t="shared" ref="E4:K4" si="1">E12+E20+E28+E36+E44</x:f>
        <x:v>5228610</x:v>
      </x:c>
      <x:c r="F4" s="732">
        <x:f t="shared" si="1"/>
        <x:v>0</x:v>
      </x:c>
      <x:c r="G4" s="732">
        <x:f t="shared" si="1"/>
        <x:v>0</x:v>
      </x:c>
      <x:c r="H4" s="732">
        <x:f t="shared" si="1"/>
        <x:v>-2423600.2000000002</x:v>
      </x:c>
      <x:c r="I4" s="732">
        <x:f t="shared" si="1"/>
        <x:v>14538094</x:v>
      </x:c>
      <x:c r="J4" s="732">
        <x:f t="shared" si="1"/>
        <x:v>-14979759.77</x:v>
      </x:c>
      <x:c r="K4" s="732">
        <x:f t="shared" si="1"/>
        <x:v>87550</x:v>
      </x:c>
      <x:c r="L4" s="732">
        <x:f>L12+L20+L28+L36+L44</x:f>
        <x:v>-215053.47</x:v>
      </x:c>
      <x:c r="M4" s="735">
        <x:f>C4+E4+G4+I4+K4</x:f>
        <x:v>19936594</x:v>
      </x:c>
      <x:c r="N4" s="736">
        <x:f>D4+F4+H4+J4+L4</x:f>
        <x:v>-17800951.349999998</x:v>
      </x:c>
      <x:c r="P4" s="209" t="b">
        <x:f>N4=(-'CONSOLIDADO_TOTAL RECAUDO'!L131)</x:f>
        <x:v>1</x:v>
      </x:c>
    </x:row>
    <x:row r="5" spans="1:16" ht="13.5" thickBot="1" x14ac:dyDescent="0.35">
      <x:c r="B5" s="211" t="s">
        <x:v>2</x:v>
      </x:c>
      <x:c r="C5" s="253">
        <x:f>SUM(C3:C4)</x:f>
        <x:v>131920</x:v>
      </x:c>
      <x:c r="D5" s="254">
        <x:f t="shared" ref="D5:L5" si="2">SUM(D3:D4)</x:f>
        <x:v>-16719251</x:v>
      </x:c>
      <x:c r="E5" s="254">
        <x:f t="shared" si="2"/>
        <x:v>61418680</x:v>
      </x:c>
      <x:c r="F5" s="254">
        <x:f t="shared" si="2"/>
        <x:v>-71069759</x:v>
      </x:c>
      <x:c r="G5" s="254">
        <x:f t="shared" si="2"/>
        <x:v>1307680</x:v>
      </x:c>
      <x:c r="H5" s="254">
        <x:f t="shared" si="2"/>
        <x:v>-34734580</x:v>
      </x:c>
      <x:c r="I5" s="254">
        <x:f t="shared" si="2"/>
        <x:v>18881195</x:v>
      </x:c>
      <x:c r="J5" s="254">
        <x:f t="shared" si="2"/>
        <x:v>-48717864</x:v>
      </x:c>
      <x:c r="K5" s="254">
        <x:f>SUM(K3:K4)</x:f>
        <x:v>529399</x:v>
      </x:c>
      <x:c r="L5" s="256">
        <x:f t="shared" si="2"/>
        <x:v>-3307429.0000000005</x:v>
      </x:c>
      <x:c r="M5" s="253">
        <x:f t="shared" ref="M5" si="3">SUM(M3:M4)</x:f>
        <x:v>82268874</x:v>
      </x:c>
      <x:c r="N5" s="255">
        <x:f>SUM(N3:N4)</x:f>
        <x:v>-174548883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5" x14ac:dyDescent="0.35">
      <x:c r="B8" s="208" t="s">
        <x:v>148</x:v>
      </x:c>
      <x:c r="C8" s="209"/>
    </x:row>
    <x:row r="9" spans="1:16" ht="13" x14ac:dyDescent="0.3">
      <x:c r="C9" s="770" t="s">
        <x:v>99</x:v>
      </x:c>
      <x:c r="D9" s="770"/>
      <x:c r="E9" s="770" t="s">
        <x:v>100</x:v>
      </x:c>
      <x:c r="F9" s="770"/>
      <x:c r="G9" s="770" t="s">
        <x:v>101</x:v>
      </x:c>
      <x:c r="H9" s="770"/>
      <x:c r="I9" s="770" t="s">
        <x:v>102</x:v>
      </x:c>
      <x:c r="J9" s="770"/>
      <x:c r="K9" s="770" t="s">
        <x:v>103</x:v>
      </x:c>
      <x:c r="L9" s="770"/>
      <x:c r="M9" s="770" t="s">
        <x:v>2</x:v>
      </x:c>
      <x:c r="N9" s="770"/>
    </x:row>
    <x:row r="10" spans="1:16" ht="13" x14ac:dyDescent="0.3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ht="13" x14ac:dyDescent="0.3">
      <x:c r="B11" s="210" t="s">
        <x:v>151</x:v>
      </x:c>
      <x:c r="C11" s="245">
        <x:v>0</x:v>
      </x:c>
      <x:c r="D11" s="245">
        <x:v>-1002751.39</x:v>
      </x:c>
      <x:c r="E11" s="245">
        <x:v>111210</x:v>
      </x:c>
      <x:c r="F11" s="245">
        <x:v>-290750</x:v>
      </x:c>
      <x:c r="G11" s="245">
        <x:v>0</x:v>
      </x:c>
      <x:c r="H11" s="245">
        <x:v>-306659.8</x:v>
      </x:c>
      <x:c r="I11" s="245">
        <x:v>691194</x:v>
      </x:c>
      <x:c r="J11" s="245">
        <x:v>-3233428.34</x:v>
      </x:c>
      <x:c r="K11" s="244">
        <x:v>441849</x:v>
      </x:c>
      <x:c r="L11" s="245">
        <x:v>-1026775.53</x:v>
      </x:c>
      <x:c r="M11" s="249">
        <x:f>C11+E11+G11+I11+K11</x:f>
        <x:v>1244253</x:v>
      </x:c>
      <x:c r="N11" s="245">
        <x:f>D11+F11+H11+J11+L11</x:f>
        <x:v>-5860365.0600000005</x:v>
      </x:c>
    </x:row>
    <x:row r="12" spans="1:16" ht="13" x14ac:dyDescent="0.3">
      <x:c r="B12" s="210" t="s">
        <x:v>152</x:v>
      </x:c>
      <x:c r="C12" s="245">
        <x:v>82340</x:v>
      </x:c>
      <x:c r="D12" s="245">
        <x:v>-165648.60999999999</x:v>
      </x:c>
      <x:c r="E12" s="245">
        <x:v>1370</x:v>
      </x:c>
      <x:c r="F12" s="245">
        <x:v>0</x:v>
      </x:c>
      <x:c r="G12" s="245">
        <x:v>0</x:v>
      </x:c>
      <x:c r="H12" s="245">
        <x:v>-2343750.2000000002</x:v>
      </x:c>
      <x:c r="I12" s="245">
        <x:v>2209000</x:v>
      </x:c>
      <x:c r="J12" s="245">
        <x:v>-14593375.66</x:v>
      </x:c>
      <x:c r="K12" s="244">
        <x:v>87550</x:v>
      </x:c>
      <x:c r="L12" s="245">
        <x:v>-165773.47</x:v>
      </x:c>
      <x:c r="M12" s="249">
        <x:f>C12+E12+G12+I12+K12</x:f>
        <x:v>2380260</x:v>
      </x:c>
      <x:c r="N12" s="245">
        <x:f>D12+F12+H12+J12+L12</x:f>
        <x:v>-17268547.939999998</x:v>
      </x:c>
    </x:row>
    <x:row r="13" spans="1:16" ht="13" x14ac:dyDescent="0.3">
      <x:c r="B13" s="211" t="s">
        <x:v>2</x:v>
      </x:c>
      <x:c r="C13" s="249">
        <x:f>SUM(C11:C12)</x:f>
        <x:v>82340</x:v>
      </x:c>
      <x:c r="D13" s="249">
        <x:f t="shared" ref="D13:N13" si="6">SUM(D11:D12)</x:f>
        <x:v>-1168400</x:v>
      </x:c>
      <x:c r="E13" s="249">
        <x:f t="shared" si="6"/>
        <x:v>112580</x:v>
      </x:c>
      <x:c r="F13" s="249">
        <x:f t="shared" si="6"/>
        <x:v>-290750</x:v>
      </x:c>
      <x:c r="G13" s="249">
        <x:f>SUM(G11:G12)</x:f>
        <x:v>0</x:v>
      </x:c>
      <x:c r="H13" s="249">
        <x:f>SUM(H11:H12)</x:f>
        <x:v>-2650410</x:v>
      </x:c>
      <x:c r="I13" s="249">
        <x:f t="shared" si="6"/>
        <x:v>2900194</x:v>
      </x:c>
      <x:c r="J13" s="249">
        <x:f t="shared" si="6"/>
        <x:v>-17826804</x:v>
      </x:c>
      <x:c r="K13" s="249">
        <x:f t="shared" si="6"/>
        <x:v>529399</x:v>
      </x:c>
      <x:c r="L13" s="249">
        <x:f t="shared" si="6"/>
        <x:v>-1192549</x:v>
      </x:c>
      <x:c r="M13" s="249">
        <x:f t="shared" si="6"/>
        <x:v>3624513</x:v>
      </x:c>
      <x:c r="N13" s="249">
        <x:f t="shared" si="6"/>
        <x:v>-23128913</x:v>
      </x:c>
    </x:row>
    <x:row r="14" spans="1:16" x14ac:dyDescent="0.25">
      <x:c r="E14" s="212"/>
    </x:row>
    <x:row r="16" spans="1:16" ht="14.5" x14ac:dyDescent="0.35">
      <x:c r="B16" s="208" t="s">
        <x:v>153</x:v>
      </x:c>
      <x:c r="C16" s="209"/>
    </x:row>
    <x:row r="17" spans="2:14" ht="13" x14ac:dyDescent="0.3">
      <x:c r="C17" s="770" t="s">
        <x:v>99</x:v>
      </x:c>
      <x:c r="D17" s="770"/>
      <x:c r="E17" s="770" t="s">
        <x:v>100</x:v>
      </x:c>
      <x:c r="F17" s="770"/>
      <x:c r="G17" s="770" t="s">
        <x:v>101</x:v>
      </x:c>
      <x:c r="H17" s="770"/>
      <x:c r="I17" s="770" t="s">
        <x:v>102</x:v>
      </x:c>
      <x:c r="J17" s="770"/>
      <x:c r="K17" s="770" t="s">
        <x:v>103</x:v>
      </x:c>
      <x:c r="L17" s="770"/>
      <x:c r="M17" s="770" t="s">
        <x:v>2</x:v>
      </x:c>
      <x:c r="N17" s="770"/>
    </x:row>
    <x:row r="18" spans="2:14" ht="13" x14ac:dyDescent="0.3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ht="13" x14ac:dyDescent="0.3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41900</x:v>
      </x:c>
      <x:c r="J19" s="245">
        <x:v>-736030</x:v>
      </x:c>
      <x:c r="K19" s="244">
        <x:v>0</x:v>
      </x:c>
      <x:c r="L19" s="245">
        <x:v>0</x:v>
      </x:c>
      <x:c r="M19" s="245">
        <x:f>C19+E19+G19+I19+K19</x:f>
        <x:v>41900</x:v>
      </x:c>
      <x:c r="N19" s="245">
        <x:f>D19+F19+H19+J19+L19</x:f>
        <x:v>-736030</x:v>
      </x:c>
    </x:row>
    <x:row r="20" spans="2:14" ht="13" x14ac:dyDescent="0.3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694130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694130</x:v>
      </x:c>
      <x:c r="N20" s="245">
        <x:f>D20+F20+H20+J20+L20</x:f>
        <x:v>0</x:v>
      </x:c>
    </x:row>
    <x:row r="21" spans="2:14" ht="13" x14ac:dyDescent="0.3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736030</x:v>
      </x:c>
      <x:c r="J21" s="249">
        <x:f t="shared" si="7"/>
        <x:v>-736030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736030</x:v>
      </x:c>
      <x:c r="N21" s="249">
        <x:f t="shared" ref="N21" si="8">SUM(N19:N20)</x:f>
        <x:v>-736030</x:v>
      </x:c>
    </x:row>
    <x:row r="24" spans="2:14" ht="14.5" x14ac:dyDescent="0.35">
      <x:c r="B24" s="208" t="s">
        <x:v>154</x:v>
      </x:c>
      <x:c r="C24" s="209"/>
    </x:row>
    <x:row r="25" spans="2:14" ht="13" x14ac:dyDescent="0.3">
      <x:c r="C25" s="770" t="s">
        <x:v>99</x:v>
      </x:c>
      <x:c r="D25" s="770"/>
      <x:c r="E25" s="770" t="s">
        <x:v>100</x:v>
      </x:c>
      <x:c r="F25" s="770"/>
      <x:c r="G25" s="770" t="s">
        <x:v>101</x:v>
      </x:c>
      <x:c r="H25" s="770"/>
      <x:c r="I25" s="770" t="s">
        <x:v>102</x:v>
      </x:c>
      <x:c r="J25" s="770"/>
      <x:c r="K25" s="770" t="s">
        <x:v>103</x:v>
      </x:c>
      <x:c r="L25" s="770"/>
      <x:c r="M25" s="770" t="s">
        <x:v>2</x:v>
      </x:c>
      <x:c r="N25" s="770"/>
    </x:row>
    <x:row r="26" spans="2:14" ht="13" x14ac:dyDescent="0.3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ht="13" x14ac:dyDescent="0.3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ht="13" x14ac:dyDescent="0.3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ht="13" x14ac:dyDescent="0.3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ht="13" x14ac:dyDescent="0.3">
      <x:c r="C33" s="770" t="s">
        <x:v>99</x:v>
      </x:c>
      <x:c r="D33" s="770"/>
      <x:c r="E33" s="770" t="s">
        <x:v>100</x:v>
      </x:c>
      <x:c r="F33" s="770"/>
      <x:c r="G33" s="770" t="s">
        <x:v>101</x:v>
      </x:c>
      <x:c r="H33" s="770"/>
      <x:c r="I33" s="770" t="s">
        <x:v>102</x:v>
      </x:c>
      <x:c r="J33" s="770"/>
      <x:c r="K33" s="770" t="s">
        <x:v>103</x:v>
      </x:c>
      <x:c r="L33" s="770"/>
      <x:c r="M33" s="770" t="s">
        <x:v>2</x:v>
      </x:c>
      <x:c r="N33" s="770"/>
    </x:row>
    <x:row r="34" spans="2:14" ht="13" x14ac:dyDescent="0.3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ht="13" x14ac:dyDescent="0.3">
      <x:c r="B35" s="210" t="s">
        <x:v>151</x:v>
      </x:c>
      <x:c r="C35" s="245">
        <x:v>49580</x:v>
      </x:c>
      <x:c r="D35" s="245">
        <x:v>-15533961.699999999</x:v>
      </x:c>
      <x:c r="E35" s="245">
        <x:v>56078860</x:v>
      </x:c>
      <x:c r="F35" s="245">
        <x:v>-70779009</x:v>
      </x:c>
      <x:c r="G35" s="245">
        <x:v>1307680</x:v>
      </x:c>
      <x:c r="H35" s="245">
        <x:v>-32004320</x:v>
      </x:c>
      <x:c r="I35" s="245">
        <x:v>3610007</x:v>
      </x:c>
      <x:c r="J35" s="245">
        <x:v>-29768645.890000001</x:v>
      </x:c>
      <x:c r="K35" s="244">
        <x:v>0</x:v>
      </x:c>
      <x:c r="L35" s="245">
        <x:v>-2065600</x:v>
      </x:c>
      <x:c r="M35" s="245">
        <x:f>C35+E35+G35+I35+K35</x:f>
        <x:v>61046127</x:v>
      </x:c>
      <x:c r="N35" s="245">
        <x:f>D35+F35+H35+J35+L35</x:f>
        <x:v>-150151536.59</x:v>
      </x:c>
    </x:row>
    <x:row r="36" spans="2:14" ht="13" x14ac:dyDescent="0.3">
      <x:c r="B36" s="210" t="s">
        <x:v>152</x:v>
      </x:c>
      <x:c r="C36" s="245">
        <x:v>0</x:v>
      </x:c>
      <x:c r="D36" s="245">
        <x:v>-16889.3</x:v>
      </x:c>
      <x:c r="E36" s="245">
        <x:v>5227240</x:v>
      </x:c>
      <x:c r="F36" s="245">
        <x:v>0</x:v>
      </x:c>
      <x:c r="G36" s="245">
        <x:v>0</x:v>
      </x:c>
      <x:c r="H36" s="245">
        <x:v>-79850</x:v>
      </x:c>
      <x:c r="I36" s="245">
        <x:v>11634964</x:v>
      </x:c>
      <x:c r="J36" s="245">
        <x:v>-386384.11</x:v>
      </x:c>
      <x:c r="K36" s="244">
        <x:v>0</x:v>
      </x:c>
      <x:c r="L36" s="245">
        <x:v>-49280</x:v>
      </x:c>
      <x:c r="M36" s="245">
        <x:f>C36+E36+G36+I36+K36</x:f>
        <x:v>16862204</x:v>
      </x:c>
      <x:c r="N36" s="245">
        <x:f>D36+F36+H36+J36+L36</x:f>
        <x:v>-532403.40999999992</x:v>
      </x:c>
    </x:row>
    <x:row r="37" spans="2:14" ht="13" x14ac:dyDescent="0.3">
      <x:c r="B37" s="211" t="s">
        <x:v>2</x:v>
      </x:c>
      <x:c r="C37" s="249">
        <x:f>SUM(C35:C36)</x:f>
        <x:v>49580</x:v>
      </x:c>
      <x:c r="D37" s="249">
        <x:f t="shared" ref="D37:L37" si="10">SUM(D35:D36)</x:f>
        <x:v>-15550851</x:v>
      </x:c>
      <x:c r="E37" s="249">
        <x:f t="shared" si="10"/>
        <x:v>61306100</x:v>
      </x:c>
      <x:c r="F37" s="249">
        <x:f t="shared" si="10"/>
        <x:v>-70779009</x:v>
      </x:c>
      <x:c r="G37" s="249">
        <x:f t="shared" si="10"/>
        <x:v>1307680</x:v>
      </x:c>
      <x:c r="H37" s="249">
        <x:f t="shared" si="10"/>
        <x:v>-32084170</x:v>
      </x:c>
      <x:c r="I37" s="249">
        <x:f t="shared" si="10"/>
        <x:v>15244971</x:v>
      </x:c>
      <x:c r="J37" s="249">
        <x:f t="shared" si="10"/>
        <x:v>-30155030</x:v>
      </x:c>
      <x:c r="K37" s="249">
        <x:f t="shared" si="10"/>
        <x:v>0</x:v>
      </x:c>
      <x:c r="L37" s="249">
        <x:f t="shared" si="10"/>
        <x:v>-2114880</x:v>
      </x:c>
      <x:c r="M37" s="249">
        <x:f>SUM(M35:M36)</x:f>
        <x:v>77908331</x:v>
      </x:c>
      <x:c r="N37" s="249">
        <x:f t="shared" ref="N37" si="11">SUM(N35:N36)</x:f>
        <x:v>-150683940</x:v>
      </x:c>
    </x:row>
    <x:row r="39" spans="2:14" x14ac:dyDescent="0.25">
      <x:c r="L39" s="212"/>
    </x:row>
    <x:row r="40" spans="2:14" x14ac:dyDescent="0.25">
      <x:c r="B40" s="743" t="s">
        <x:v>328</x:v>
      </x:c>
    </x:row>
    <x:row r="41" spans="2:14" ht="13" x14ac:dyDescent="0.3">
      <x:c r="C41" s="770" t="s">
        <x:v>99</x:v>
      </x:c>
      <x:c r="D41" s="770"/>
      <x:c r="E41" s="770" t="s">
        <x:v>100</x:v>
      </x:c>
      <x:c r="F41" s="770"/>
      <x:c r="G41" s="770" t="s">
        <x:v>101</x:v>
      </x:c>
      <x:c r="H41" s="770"/>
      <x:c r="I41" s="770" t="s">
        <x:v>102</x:v>
      </x:c>
      <x:c r="J41" s="770"/>
      <x:c r="K41" s="770" t="s">
        <x:v>103</x:v>
      </x:c>
      <x:c r="L41" s="770"/>
      <x:c r="M41" s="770" t="s">
        <x:v>2</x:v>
      </x:c>
      <x:c r="N41" s="770"/>
    </x:row>
    <x:row r="42" spans="2:14" ht="13" x14ac:dyDescent="0.3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ht="13" x14ac:dyDescent="0.3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ht="13" x14ac:dyDescent="0.3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ht="13" x14ac:dyDescent="0.3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33:N33"/>
    <x:mergeCell ref="C33:D33"/>
    <x:mergeCell ref="E33:F33"/>
    <x:mergeCell ref="G33:H33"/>
    <x:mergeCell ref="I33:J33"/>
    <x:mergeCell ref="K33:L33"/>
    <x:mergeCell ref="M9:N9"/>
    <x:mergeCell ref="C9:D9"/>
    <x:mergeCell ref="E9:F9"/>
    <x:mergeCell ref="G9:H9"/>
    <x:mergeCell ref="I9:J9"/>
    <x:mergeCell ref="K9:L9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1:N1"/>
    <x:mergeCell ref="C1:D1"/>
    <x:mergeCell ref="E1:F1"/>
    <x:mergeCell ref="G1:H1"/>
    <x:mergeCell ref="I1:J1"/>
    <x:mergeCell ref="K1:L1"/>
    <x:mergeCell ref="M41:N41"/>
    <x:mergeCell ref="C41:D41"/>
    <x:mergeCell ref="E41:F41"/>
    <x:mergeCell ref="G41:H41"/>
    <x:mergeCell ref="I41:J41"/>
    <x:mergeCell ref="K41:L41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3" sqref="C3"/>
    </x:sheetView>
  </x:sheetViews>
  <x:sheetFormatPr baseColWidth="10" defaultRowHeight="12.5" x14ac:dyDescent="0.25"/>
  <x:cols>
    <x:col min="1" max="1" width="2.453125" customWidth="1"/>
    <x:col min="2" max="2" width="8" customWidth="1"/>
    <x:col min="3" max="3" width="15.81640625" bestFit="1" customWidth="1"/>
    <x:col min="4" max="4" width="1.81640625" style="238" customWidth="1"/>
    <x:col min="5" max="5" width="14.81640625" customWidth="1"/>
    <x:col min="6" max="6" width="15.81640625" bestFit="1" customWidth="1"/>
    <x:col min="7" max="7" width="1.81640625" style="238" customWidth="1"/>
    <x:col min="8" max="8" width="9.1796875" customWidth="1"/>
    <x:col min="9" max="9" width="15.81640625" bestFit="1" customWidth="1"/>
    <x:col min="10" max="10" width="1.81640625" style="238" customWidth="1"/>
    <x:col min="11" max="11" width="14.1796875" customWidth="1"/>
    <x:col min="12" max="12" width="17.453125" customWidth="1"/>
    <x:col min="13" max="13" width="1.81640625" style="238" customWidth="1"/>
    <x:col min="14" max="14" width="14.1796875" customWidth="1"/>
    <x:col min="15" max="15" width="17.453125" customWidth="1"/>
    <x:col min="16" max="16" width="1.81640625" style="238" customWidth="1"/>
    <x:col min="17" max="17" width="20.1796875" customWidth="1"/>
    <x:col min="18" max="18" width="15.81640625" bestFit="1" customWidth="1"/>
    <x:col min="19" max="19" width="3.54296875" customWidth="1"/>
    <x:col min="20" max="20" width="48.453125" bestFit="1" customWidth="1"/>
  </x:cols>
  <x:sheetData>
    <x:row r="1" spans="2:20" ht="13" thickBot="1" x14ac:dyDescent="0.3">
      <x:c r="B1" s="142" t="s">
        <x:v>2</x:v>
      </x:c>
      <x:c r="E1" t="s">
        <x:v>165</x:v>
      </x:c>
      <x:c r="H1" t="s">
        <x:v>155</x:v>
      </x:c>
      <x:c r="K1" s="724" t="s">
        <x:v>328</x:v>
      </x:c>
      <x:c r="L1" s="724"/>
      <x:c r="N1" t="s">
        <x:v>119</x:v>
      </x:c>
      <x:c r="Q1" t="s">
        <x:v>166</x:v>
      </x:c>
    </x:row>
    <x:row r="2" spans="2:20" ht="35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100931031.88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83572548.25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17358483.629999999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136534753</x:v>
      </x:c>
      <x:c r="E4" s="16">
        <x:v>2</x:v>
      </x:c>
      <x:c r="F4" s="15">
        <x:f>'REPORTE RECAUDO x BANCO'!F24</x:f>
        <x:v>12820520</x:v>
      </x:c>
      <x:c r="H4" s="16">
        <x:v>2</x:v>
      </x:c>
      <x:c r="I4" s="15">
        <x:f>'REPORTE RECAUDO x BANCO'!C24</x:f>
        <x:v>44281124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79433109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58884032.920000002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44039530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14844502.92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73726637.340000004</x:v>
      </x:c>
      <x:c r="E6" s="16">
        <x:v>4</x:v>
      </x:c>
      <x:c r="F6" s="15">
        <x:f>'REPORTE RECAUDO x BANCO'!F42</x:f>
        <x:v>10268790</x:v>
      </x:c>
      <x:c r="H6" s="16">
        <x:v>4</x:v>
      </x:c>
      <x:c r="I6" s="15">
        <x:f>'REPORTE RECAUDO x BANCO'!C42</x:f>
        <x:v>48826052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14631795.34</x:v>
      </x:c>
      <x:c r="Q6" s="16">
        <x:v>4</x:v>
      </x:c>
      <x:c r="R6" s="15">
        <x:f>'REPORTE RECAUDO x BANCO'!D42+'REPORTE RECAUDO x BANCO'!E42</x:f>
        <x:v>0</x:v>
      </x:c>
    </x:row>
    <x:row r="7" spans="2:20" ht="13" thickBot="1" x14ac:dyDescent="0.3">
      <x:c r="B7" s="19">
        <x:v>5</x:v>
      </x:c>
      <x:c r="C7" s="15">
        <x:f>'REPORTE RECAUDO x BANCO'!I52</x:f>
        <x:v>28383865.960000001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15997915</x:v>
      </x:c>
      <x:c r="K7" s="19">
        <x:v>5</x:v>
      </x:c>
      <x:c r="L7" s="15">
        <x:f>'REPORTE RECAUDO x BANCO'!G52</x:f>
        <x:v>1781103</x:v>
      </x:c>
      <x:c r="N7" s="19">
        <x:v>5</x:v>
      </x:c>
      <x:c r="O7" s="15">
        <x:f>'REPORTE RECAUDO x BANCO'!H52</x:f>
        <x:v>10604847.960000001</x:v>
      </x:c>
      <x:c r="Q7" s="19">
        <x:v>5</x:v>
      </x:c>
      <x:c r="R7" s="15">
        <x:f>'REPORTE RECAUDO x BANCO'!D52+'REPORTE RECAUDO x BANCO'!E52</x:f>
        <x:v>0</x:v>
      </x:c>
    </x:row>
    <x:row r="8" spans="2:20" ht="13" thickBot="1" x14ac:dyDescent="0.3">
      <x:c r="B8" s="21"/>
      <x:c r="C8" s="47">
        <x:f>SUM(C3:C7)</x:f>
        <x:v>398460321.09999996</x:v>
      </x:c>
      <x:c r="E8" s="21"/>
      <x:c r="F8" s="47">
        <x:f>SUM(F3:F7)</x:f>
        <x:v>23089310</x:v>
      </x:c>
      <x:c r="H8" s="21"/>
      <x:c r="I8" s="47">
        <x:f>SUM(I3:I7)</x:f>
        <x:v>236717169.25</x:v>
      </x:c>
      <x:c r="K8" s="21"/>
      <x:c r="L8" s="47">
        <x:f>SUM(L3:L7)</x:f>
        <x:v>1781103</x:v>
      </x:c>
      <x:c r="N8" s="21"/>
      <x:c r="O8" s="47">
        <x:f>SUM(O3:O7)</x:f>
        <x:v>136872738.84999999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" thickBot="1" x14ac:dyDescent="0.3"/>
    <x:row r="11" spans="2:20" ht="58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82340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82340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5228610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5227240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1370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14538094</x:v>
      </x:c>
      <x:c r="E15" s="16">
        <x:v>4</x:v>
      </x:c>
      <x:c r="F15" s="15">
        <x:f>'ANT EXT-REV'!I20</x:f>
        <x:v>694130</x:v>
      </x:c>
      <x:c r="H15" s="16">
        <x:v>4</x:v>
      </x:c>
      <x:c r="I15" s="15">
        <x:f>'ANT EXT-REV'!I36</x:f>
        <x:v>11634964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2209000</x:v>
      </x:c>
      <x:c r="Q15" s="16">
        <x:v>4</x:v>
      </x:c>
      <x:c r="R15" s="15">
        <x:f>'ANT EXT-REV'!I28</x:f>
        <x:v>0</x:v>
      </x:c>
    </x:row>
    <x:row r="16" spans="2:20" ht="13" thickBot="1" x14ac:dyDescent="0.3">
      <x:c r="B16" s="19">
        <x:v>5</x:v>
      </x:c>
      <x:c r="C16" s="15">
        <x:f>'ANT EXT-REV'!K4</x:f>
        <x:v>87550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87550</x:v>
      </x:c>
      <x:c r="Q16" s="19">
        <x:v>5</x:v>
      </x:c>
      <x:c r="R16" s="15">
        <x:f>'ANT EXT-REV'!K28</x:f>
        <x:v>0</x:v>
      </x:c>
    </x:row>
    <x:row r="17" spans="2:20" ht="13" thickBot="1" x14ac:dyDescent="0.3">
      <x:c r="B17" s="21"/>
      <x:c r="C17" s="47">
        <x:f>SUM(C12:C16)</x:f>
        <x:v>19936594</x:v>
      </x:c>
      <x:c r="E17" s="21"/>
      <x:c r="F17" s="47">
        <x:f>SUM(F12:F16)</x:f>
        <x:v>694130</x:v>
      </x:c>
      <x:c r="H17" s="21"/>
      <x:c r="I17" s="47">
        <x:f>SUM(I12:I16)</x:f>
        <x:v>16862204</x:v>
      </x:c>
      <x:c r="K17" s="21"/>
      <x:c r="L17" s="47">
        <x:f>SUM(L12:L16)</x:f>
        <x:v>0</x:v>
      </x:c>
      <x:c r="N17" s="21"/>
      <x:c r="O17" s="47">
        <x:f>SUM(O12:O16)</x:f>
        <x:v>2380260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" thickBot="1" x14ac:dyDescent="0.3"/>
    <x:row r="20" spans="2:20" ht="35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-182537.90999999997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-16889.3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-165648.60999999999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-2423600.2000000002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-79850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-2343750.2000000002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-14979759.77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-386384.11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-14593375.66</x:v>
      </x:c>
      <x:c r="Q24" s="16">
        <x:v>4</x:v>
      </x:c>
      <x:c r="R24" s="15">
        <x:f>'ANT EXT-REV'!J28</x:f>
        <x:v>0</x:v>
      </x:c>
    </x:row>
    <x:row r="25" spans="2:20" ht="13" thickBot="1" x14ac:dyDescent="0.3">
      <x:c r="B25" s="19">
        <x:v>5</x:v>
      </x:c>
      <x:c r="C25" s="15">
        <x:f>'ANT EXT-REV'!L4</x:f>
        <x:v>-215053.47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-49280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-165773.47</x:v>
      </x:c>
      <x:c r="Q25" s="19">
        <x:v>5</x:v>
      </x:c>
      <x:c r="R25" s="15">
        <x:f>'ANT EXT-REV'!L28</x:f>
        <x:v>0</x:v>
      </x:c>
    </x:row>
    <x:row r="26" spans="2:20" ht="13" thickBot="1" x14ac:dyDescent="0.3">
      <x:c r="B26" s="21"/>
      <x:c r="C26" s="47">
        <x:f t="shared" ref="C26" si="0">SUM(C21:C25)</x:f>
        <x:v>-17800951.349999998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-532403.40999999992</x:v>
      </x:c>
      <x:c r="K26" s="21"/>
      <x:c r="L26" s="47">
        <x:f t="shared" ref="L26:O26" si="3">SUM(L21:L25)</x:f>
        <x:v>0</x:v>
      </x:c>
      <x:c r="N26" s="21"/>
      <x:c r="O26" s="47">
        <x:f t="shared" si="3"/>
        <x:v>-17268547.939999998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F7" sqref="F7"/>
    </x:sheetView>
  </x:sheetViews>
  <x:sheetFormatPr baseColWidth="10" defaultRowHeight="12.5" x14ac:dyDescent="0.25"/>
  <x:cols>
    <x:col min="3" max="3" width="11.453125" style="123"/>
    <x:col min="4" max="4" width="19.1796875" customWidth="1"/>
    <x:col min="5" max="5" width="18.1796875" customWidth="1"/>
    <x:col min="6" max="7" width="18" customWidth="1"/>
    <x:col min="8" max="8" width="27.81640625" customWidth="1"/>
    <x:col min="9" max="9" width="33.54296875" customWidth="1"/>
    <x:col min="13" max="13" width="28.453125" customWidth="1"/>
    <x:col min="17" max="17" width="12.81640625" bestFit="1" customWidth="1"/>
  </x:cols>
  <x:sheetData>
    <x:row r="1" spans="1:17" ht="13" thickBot="1" x14ac:dyDescent="0.3">
      <x:c r="H1" s="503" t="s">
        <x:v>1</x:v>
      </x:c>
    </x:row>
    <x:row r="2" spans="1:17" ht="15" thickBot="1" x14ac:dyDescent="0.4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30"/>
      <x:c r="Q2" s="597"/>
    </x:row>
    <x:row r="3" spans="1:17" x14ac:dyDescent="0.25">
      <x:c r="C3" s="126">
        <x:v>1</x:v>
      </x:c>
      <x:c r="D3" s="592" t="n">
        <x:v>2592514668.33</x:v>
      </x:c>
      <x:c r="E3" s="592" t="n">
        <x:v>-6202728417.6</x:v>
      </x:c>
      <x:c r="F3" s="593">
        <x:f>D3+E3</x:f>
        <x:v>-3589454665.5499997</x:v>
      </x:c>
      <x:c r="G3" s="499"/>
      <x:c r="H3" s="613">
        <x:f>DetRetri2026072!J9</x:f>
        <x:v>-3589454666</x:v>
      </x:c>
      <x:c r="I3" s="276">
        <x:f>F3-H3</x:f>
        <x:v>0.45000028610229492</x:v>
      </x:c>
    </x:row>
    <x:row r="4" spans="1:17" x14ac:dyDescent="0.25">
      <x:c r="C4" s="124">
        <x:v>2</x:v>
      </x:c>
      <x:c r="D4" s="603" t="n">
        <x:v>2384510488.25</x:v>
      </x:c>
      <x:c r="E4" s="603" t="n">
        <x:v>-6674386829.58</x:v>
      </x:c>
      <x:c r="F4" s="593">
        <x:f>D4+E4</x:f>
        <x:v>-3241193714.1100001</x:v>
      </x:c>
      <x:c r="G4" s="499"/>
      <x:c r="H4" s="614">
        <x:f>DetRetri2026072!J10</x:f>
        <x:v>-3241193714</x:v>
      </x:c>
      <x:c r="I4" s="276">
        <x:f t="shared" ref="I4:I7" si="0">F4-H4</x:f>
        <x:v>-0.1100001335144043</x:v>
      </x:c>
    </x:row>
    <x:row r="5" spans="1:17" x14ac:dyDescent="0.25">
      <x:c r="C5" s="124">
        <x:v>3</x:v>
      </x:c>
      <x:c r="D5" s="603" t="n">
        <x:v>1362127166.51</x:v>
      </x:c>
      <x:c r="E5" s="603" t="n">
        <x:v>-2191389399.81</x:v>
      </x:c>
      <x:c r="F5" s="594">
        <x:f>D5+E5</x:f>
        <x:v>-853244564.50999999</x:v>
      </x:c>
      <x:c r="G5" s="499"/>
      <x:c r="H5" s="614">
        <x:f>DetRetri2026072!J11</x:f>
        <x:v>-853244565</x:v>
      </x:c>
      <x:c r="I5" s="276">
        <x:f t="shared" si="0"/>
        <x:v>0.49000000953674316</x:v>
      </x:c>
    </x:row>
    <x:row r="6" spans="1:17" x14ac:dyDescent="0.25">
      <x:c r="C6" s="124">
        <x:v>4</x:v>
      </x:c>
      <x:c r="D6" s="90" t="n">
        <x:v>1877958693.8</x:v>
      </x:c>
      <x:c r="E6" s="603" t="n">
        <x:v>-2584194619.01</x:v>
      </x:c>
      <x:c r="F6" s="593">
        <x:f>D6+E6</x:f>
        <x:v>-699882713.37000012</x:v>
      </x:c>
      <x:c r="G6" s="499"/>
      <x:c r="H6" s="614">
        <x:f>DetRetri2026072!J12</x:f>
        <x:v>-699882713</x:v>
      </x:c>
      <x:c r="I6" s="276">
        <x:f t="shared" si="0"/>
        <x:v>-0.37000012397766113</x:v>
      </x:c>
    </x:row>
    <x:row r="7" spans="1:17" ht="13" thickBot="1" x14ac:dyDescent="0.3">
      <x:c r="C7" s="125">
        <x:v>5</x:v>
      </x:c>
      <x:c r="D7" s="604" t="n">
        <x:v>1214167050.3</x:v>
      </x:c>
      <x:c r="E7" s="604" t="n">
        <x:v>-1237570991.61</x:v>
      </x:c>
      <x:c r="F7" s="595">
        <x:f>D7+E7</x:f>
        <x:v>-82959023.660000086</x:v>
      </x:c>
      <x:c r="G7" s="499"/>
      <x:c r="H7" s="615">
        <x:f>DetRetri2026072!J13</x:f>
        <x:v>-82959024</x:v>
      </x:c>
      <x:c r="I7" s="276">
        <x:f t="shared" si="0"/>
        <x:v>0.33999991416931152</x:v>
      </x:c>
    </x:row>
    <x:row r="8" spans="1:17" ht="13" thickBot="1" x14ac:dyDescent="0.3">
      <x:c r="D8" s="144"/>
      <x:c r="E8" s="144"/>
      <x:c r="F8" s="144"/>
      <x:c r="G8" s="500"/>
      <x:c r="H8" s="143"/>
      <x:c r="I8" s="276"/>
    </x:row>
    <x:row r="9" spans="1:17" ht="13" thickBot="1" x14ac:dyDescent="0.3">
      <x:c r="D9" s="144"/>
      <x:c r="E9" s="144"/>
      <x:c r="F9" s="263">
        <x:f>SUM(F3:F7)</x:f>
        <x:v>-8466734681.1999998</x:v>
      </x:c>
      <x:c r="G9" s="499"/>
      <x:c r="H9" s="616">
        <x:f>SUM(H3:H7)</x:f>
        <x:v>-8466734682</x:v>
      </x:c>
      <x:c r="I9" s="276">
        <x:f>F9-H9</x:f>
        <x:v>0.80000019073486328</x:v>
      </x:c>
    </x:row>
    <x:row r="10" spans="1:17" ht="13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5" thickBot="1" x14ac:dyDescent="0.35">
      <x:c r="D11" s="264">
        <x:f>SUM(D3:D7)</x:f>
        <x:v>-17266607235.84</x:v>
      </x:c>
      <x:c r="E11" s="264">
        <x:f t="shared" ref="E11" si="1">SUM(E3:E7)</x:f>
        <x:v>8799872554.6399994</x:v>
      </x:c>
      <x:c r="F11" s="264">
        <x:f>SUM(D3:E7)</x:f>
        <x:v>-8466734681.2000008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6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4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-3589454665.5499997</x:v>
      </x:c>
      <x:c r="F19" s="514" t="b">
        <x:f>E19=F3</x:f>
        <x:v>1</x:v>
      </x:c>
      <x:c r="G19" s="514" t="b">
        <x:f>E19=H3</x:f>
        <x:v>0</x:v>
      </x:c>
      <x:c r="H19" s="515">
        <x:f>E19-H3</x:f>
        <x:v>0.45000028610229492</x:v>
      </x:c>
      <x:c r="I19" s="137"/>
    </x:row>
    <x:row r="20" spans="4:9" x14ac:dyDescent="0.25">
      <x:c r="D20" s="511">
        <x:v>2</x:v>
      </x:c>
      <x:c r="E20" s="516">
        <x:f>'CONSOLIDADO_TOTAL RECAUDO'!J105</x:f>
        <x:v>-3241193714.1100001</x:v>
      </x:c>
      <x:c r="F20" s="505" t="b">
        <x:f t="shared" ref="F20:F23" si="2">E20=F4</x:f>
        <x:v>1</x:v>
      </x:c>
      <x:c r="G20" s="505" t="b">
        <x:f t="shared" ref="G20:G23" si="3">E20=H4</x:f>
        <x:v>0</x:v>
      </x:c>
      <x:c r="H20" s="261">
        <x:f t="shared" ref="H20:H23" si="4">E20-H4</x:f>
        <x:v>-0.1100001335144043</x:v>
      </x:c>
      <x:c r="I20" s="137"/>
    </x:row>
    <x:row r="21" spans="4:9" x14ac:dyDescent="0.25">
      <x:c r="D21" s="511">
        <x:v>3</x:v>
      </x:c>
      <x:c r="E21" s="516">
        <x:f>'CONSOLIDADO_TOTAL RECAUDO'!J106</x:f>
        <x:v>-853244564.50999999</x:v>
      </x:c>
      <x:c r="F21" s="505" t="b">
        <x:f t="shared" si="2"/>
        <x:v>1</x:v>
      </x:c>
      <x:c r="G21" s="505" t="b">
        <x:f t="shared" si="3"/>
        <x:v>0</x:v>
      </x:c>
      <x:c r="H21" s="261">
        <x:f t="shared" si="4"/>
        <x:v>0.49000000953674316</x:v>
      </x:c>
    </x:row>
    <x:row r="22" spans="4:9" x14ac:dyDescent="0.25">
      <x:c r="D22" s="511">
        <x:v>4</x:v>
      </x:c>
      <x:c r="E22" s="516">
        <x:f>'CONSOLIDADO_TOTAL RECAUDO'!J107</x:f>
        <x:v>-699882713.37000012</x:v>
      </x:c>
      <x:c r="F22" s="505" t="b">
        <x:f t="shared" si="2"/>
        <x:v>1</x:v>
      </x:c>
      <x:c r="G22" s="505" t="b">
        <x:f t="shared" si="3"/>
        <x:v>0</x:v>
      </x:c>
      <x:c r="H22" s="261">
        <x:f t="shared" si="4"/>
        <x:v>-0.37000012397766113</x:v>
      </x:c>
    </x:row>
    <x:row r="23" spans="4:9" ht="13" thickBot="1" x14ac:dyDescent="0.3">
      <x:c r="D23" s="512">
        <x:v>5</x:v>
      </x:c>
      <x:c r="E23" s="517">
        <x:f>'CONSOLIDADO_TOTAL RECAUDO'!J108</x:f>
        <x:v>-82959023.660000086</x:v>
      </x:c>
      <x:c r="F23" s="518" t="b">
        <x:f t="shared" si="2"/>
        <x:v>1</x:v>
      </x:c>
      <x:c r="G23" s="518" t="b">
        <x:f t="shared" si="3"/>
        <x:v>0</x:v>
      </x:c>
      <x:c r="H23" s="262">
        <x:f t="shared" si="4"/>
        <x:v>0.33999991416931152</x:v>
      </x:c>
    </x:row>
    <x:row r="24" spans="4:9" ht="13.5" thickBot="1" x14ac:dyDescent="0.35">
      <x:c r="E24" s="264">
        <x:f>SUM(E19:E23)</x:f>
        <x:v>-8466734681.1999998</x:v>
      </x:c>
      <x:c r="F24" s="506" t="b">
        <x:f>E24=F9</x:f>
        <x:v>1</x:v>
      </x:c>
      <x:c r="G24" s="507" t="b">
        <x:f>E24=H9</x:f>
        <x:v>0</x:v>
      </x:c>
      <x:c r="H24" s="263">
        <x:f>E24-H9</x:f>
        <x:v>0.80000019073486328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586"/>
  <x:sheetViews>
    <x:sheetView zoomScale="90" zoomScaleNormal="90" workbookViewId="0">
      <x:pane ySplit="5" topLeftCell="A6" activePane="bottomLeft" state="frozen"/>
      <x:selection activeCell="A3" sqref="A3"/>
      <x:selection pane="bottomLeft" activeCell="A6" sqref="A6"/>
    </x:sheetView>
  </x:sheetViews>
  <x:sheetFormatPr baseColWidth="10" defaultRowHeight="12.5" x14ac:dyDescent="0.25"/>
  <x:cols>
    <x:col min="1" max="1" width="13.81640625" customWidth="1"/>
    <x:col min="2" max="2" width="16.81640625" customWidth="1"/>
    <x:col min="3" max="3" width="15.81640625" bestFit="1" customWidth="1"/>
    <x:col min="4" max="4" width="16.81640625" bestFit="1" customWidth="1"/>
    <x:col min="5" max="5" width="17" bestFit="1" customWidth="1"/>
    <x:col min="6" max="6" width="17.453125" bestFit="1" customWidth="1"/>
    <x:col min="7" max="7" width="16.81640625" bestFit="1" customWidth="1"/>
    <x:col min="8" max="8" width="16.1796875" bestFit="1" customWidth="1"/>
    <x:col min="9" max="9" width="19.1796875" customWidth="1"/>
    <x:col min="10" max="10" width="17" customWidth="1"/>
    <x:col min="11" max="11" width="17.1796875" bestFit="1" customWidth="1"/>
    <x:col min="12" max="12" width="22.453125" bestFit="1" customWidth="1"/>
    <x:col min="13" max="13" width="16.81640625" bestFit="1" customWidth="1"/>
    <x:col min="14" max="14" width="20.453125" bestFit="1" customWidth="1"/>
    <x:col min="15" max="15" width="20.453125" customWidth="1"/>
    <x:col min="16" max="16" width="20.453125" bestFit="1" customWidth="1"/>
    <x:col min="17" max="17" width="25.1796875" customWidth="1"/>
    <x:col min="18" max="18" width="17.1796875" customWidth="1"/>
    <x:col min="19" max="19" width="24" customWidth="1"/>
    <x:col min="20" max="22" width="23.81640625" customWidth="1"/>
    <x:col min="23" max="24" width="20" bestFit="1" customWidth="1"/>
    <x:col min="25" max="25" width="18.81640625" customWidth="1"/>
    <x:col min="26" max="26" width="14.1796875" bestFit="1" customWidth="1"/>
  </x:cols>
  <x:sheetData>
    <x:row r="1" spans="1:26" x14ac:dyDescent="0.25">
      <x:c r="F1" s="639"/>
    </x:row>
    <x:row r="3" spans="1:26" s="238" customFormat="1" x14ac:dyDescent="0.25"/>
    <x:row r="4" spans="1:26" ht="13.5" customHeight="1" x14ac:dyDescent="0.3">
      <x:c r="B4" s="97" t="s">
        <x:v>74</x:v>
      </x:c>
    </x:row>
    <x:row r="5" spans="1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224</x:v>
      </x:c>
      <x:c r="V5" s="89" t="s">
        <x:v>224</x:v>
      </x:c>
      <x:c r="W5" s="89" t="s">
        <x:v>173</x:v>
      </x:c>
      <x:c r="X5" t="s">
        <x:v>167</x:v>
      </x:c>
      <x:c r="Y5" s="89" t="s">
        <x:v>135</x:v>
      </x:c>
      <x:c r="Z5" s="89" t="s">
        <x:v>167</x:v>
      </x:c>
    </x:row>
    <x:row r="6" spans="1:26" ht="12.75" customHeight="1" x14ac:dyDescent="0.25">
      <x:c r="A6"/>
      <x:c r="B6"/>
      <x:c r="C6"/>
      <x:c r="D6"/>
      <x:c r="E6" s="89" t="inlineStr">
        <x:is>
          <x:t>Vlr Servicio</x:t>
        </x:is>
      </x:c>
      <x:c r="F6" s="371" t="n">
        <x:v>-9123.9</x:v>
      </x:c>
      <x:c r="G6" s="90" t="n">
        <x:v>-625.08</x:v>
      </x:c>
      <x:c r="H6" s="90" t="n">
        <x:v>-265.56</x:v>
      </x:c>
      <x:c r="I6" s="90" t="n">
        <x:v>-115.95</x:v>
      </x:c>
      <x:c r="J6" s="90" t="n">
        <x:v>-1600.92</x:v>
      </x:c>
      <x:c r="K6" s="90" t="n">
        <x:v>-103.46</x:v>
      </x:c>
      <x:c r="L6" s="90" t="n">
        <x:v>0</x:v>
      </x:c>
      <x:c r="M6" s="90" t="n">
        <x:v>-907.42</x:v>
      </x:c>
      <x:c r="N6" s="90" t="n">
        <x:v>-759.41</x:v>
      </x:c>
      <x:c r="O6" s="90" t="n">
        <x:v>-3031.34</x:v>
      </x:c>
      <x:c r="P6" s="90" t="n">
        <x:v>-1545.97</x:v>
      </x:c>
      <x:c r="Q6" s="90" t="n">
        <x:v>-168.79</x:v>
      </x:c>
      <x:c r="R6" s="90" t="n">
        <x:v>0</x:v>
      </x:c>
      <x:c r="S6" s="90" t="n">
        <x:v>0</x:v>
      </x:c>
      <x:c r="T6" s="90" t="n">
        <x:v>0</x:v>
      </x:c>
      <x:c r="U6" s="90">
        <x:v>0</x:v>
      </x:c>
      <x:c r="V6" s="90">
        <x:v>0</x:v>
      </x:c>
      <x:c r="W6" s="90">
        <x:v>0</x:v>
      </x:c>
      <x:c r="X6" s="90">
        <x:v>0</x:v>
      </x:c>
      <x:c r="Y6" s="90">
        <x:v>0</x:v>
      </x:c>
      <x:c r="Z6" s="90" t="n">
        <x:v>0</x:v>
      </x:c>
    </x:row>
    <x:row r="7" spans="1:26" ht="12.75" customHeight="1" x14ac:dyDescent="0.25">
      <x:c r="A7"/>
      <x:c r="B7"/>
      <x:c r="C7"/>
      <x:c r="D7" t="inlineStr">
        <x:is>
          <x:t>O</x:t>
        </x:is>
      </x:c>
      <x:c r="E7" s="89" t="inlineStr">
        <x:is>
          <x:t>Total</x:t>
        </x:is>
      </x:c>
      <x:c r="F7" s="371" t="n">
        <x:v>-9123.9</x:v>
      </x:c>
      <x:c r="G7" s="90" t="n">
        <x:v>-625.08</x:v>
      </x:c>
      <x:c r="H7" s="90" t="n">
        <x:v>-265.56</x:v>
      </x:c>
      <x:c r="I7" s="90" t="n">
        <x:v>-115.95</x:v>
      </x:c>
      <x:c r="J7" s="90" t="n">
        <x:v>-1600.92</x:v>
      </x:c>
      <x:c r="K7" s="90" t="n">
        <x:v>-103.46</x:v>
      </x:c>
      <x:c r="L7" s="90" t="n">
        <x:v>0</x:v>
      </x:c>
      <x:c r="M7" s="90" t="n">
        <x:v>-907.42</x:v>
      </x:c>
      <x:c r="N7" s="90" t="n">
        <x:v>-759.41</x:v>
      </x:c>
      <x:c r="O7" s="90" t="n">
        <x:v>-3031.34</x:v>
      </x:c>
      <x:c r="P7" s="90" t="n">
        <x:v>-1545.97</x:v>
      </x:c>
      <x:c r="Q7" s="90" t="n">
        <x:v>-168.79</x:v>
      </x:c>
      <x:c r="R7" s="90" t="n">
        <x:v>0</x:v>
      </x:c>
      <x:c r="S7" s="90" t="n">
        <x:v>0</x:v>
      </x:c>
      <x:c r="T7" s="90" t="n">
        <x:v>0</x:v>
      </x:c>
      <x:c r="U7" s="90">
        <x:v>0</x:v>
      </x:c>
      <x:c r="V7" s="90">
        <x:v>0</x:v>
      </x:c>
      <x:c r="W7" s="90">
        <x:v>0</x:v>
      </x:c>
      <x:c r="X7" s="90">
        <x:v>0</x:v>
      </x:c>
      <x:c r="Y7" s="90">
        <x:v>0</x:v>
      </x:c>
      <x:c r="Z7" s="90" t="n">
        <x:v>0</x:v>
      </x:c>
    </x:row>
    <x:row r="8" spans="1:26" s="286" customFormat="1" ht="12.75" customHeight="1" x14ac:dyDescent="0.25">
      <x:c r="A8"/>
      <x:c r="B8"/>
      <x:c r="C8" s="286" t="inlineStr">
        <x:is>
          <x:t>OCCIDENTE</x:t>
        </x:is>
      </x:c>
      <x:c r="D8" s="286" t="inlineStr">
        <x:is>
          <x:t>Total</x:t>
        </x:is>
      </x:c>
      <x:c r="E8" s="229"/>
      <x:c r="F8" s="229" t="n">
        <x:v>-9123.9</x:v>
      </x:c>
      <x:c r="G8" s="230" t="n">
        <x:v>-625.08</x:v>
      </x:c>
      <x:c r="H8" s="230" t="n">
        <x:v>-265.56</x:v>
      </x:c>
      <x:c r="I8" s="230" t="n">
        <x:v>-115.95</x:v>
      </x:c>
      <x:c r="J8" s="230" t="n">
        <x:v>-1600.92</x:v>
      </x:c>
      <x:c r="K8" s="230" t="n">
        <x:v>-103.46</x:v>
      </x:c>
      <x:c r="L8" s="230" t="n">
        <x:v>0</x:v>
      </x:c>
      <x:c r="M8" s="230" t="n">
        <x:v>-907.42</x:v>
      </x:c>
      <x:c r="N8" s="230" t="n">
        <x:v>-759.41</x:v>
      </x:c>
      <x:c r="O8" s="230" t="n">
        <x:v>-3031.34</x:v>
      </x:c>
      <x:c r="P8" s="230" t="n">
        <x:v>-1545.97</x:v>
      </x:c>
      <x:c r="Q8" s="230" t="n">
        <x:v>-168.79</x:v>
      </x:c>
      <x:c r="R8" s="230" t="n">
        <x:v>0</x:v>
      </x:c>
      <x:c r="S8" s="230" t="n">
        <x:v>0</x:v>
      </x:c>
      <x:c r="T8" s="230" t="n">
        <x:v>0</x:v>
      </x:c>
      <x:c r="U8" s="230">
        <x:v>0</x:v>
      </x:c>
      <x:c r="V8" s="230">
        <x:v>0</x:v>
      </x:c>
      <x:c r="W8" s="230">
        <x:v>0</x:v>
      </x:c>
      <x:c r="X8" s="230">
        <x:v>0</x:v>
      </x:c>
      <x:c r="Y8" s="230">
        <x:v>0</x:v>
      </x:c>
      <x:c r="Z8" s="230" t="n">
        <x:v>0</x:v>
      </x:c>
    </x:row>
    <x:row r="9" spans="1:26" ht="12.75" customHeight="1" x14ac:dyDescent="0.25">
      <x:c r="A9"/>
      <x:c r="B9" t="inlineStr">
        <x:is>
          <x:t>Mes</x:t>
        </x:is>
      </x:c>
      <x:c r="C9" t="inlineStr">
        <x:is>
          <x:t>Total</x:t>
        </x:is>
      </x:c>
      <x:c r="D9"/>
      <x:c r="E9" s="89"/>
      <x:c r="F9" s="371" t="n">
        <x:v>-9123.9</x:v>
      </x:c>
      <x:c r="G9" s="90" t="n">
        <x:v>-625.08</x:v>
      </x:c>
      <x:c r="H9" s="90" t="n">
        <x:v>-265.56</x:v>
      </x:c>
      <x:c r="I9" s="90" t="n">
        <x:v>-115.95</x:v>
      </x:c>
      <x:c r="J9" s="90" t="n">
        <x:v>-1600.92</x:v>
      </x:c>
      <x:c r="K9" s="90" t="n">
        <x:v>-103.46</x:v>
      </x:c>
      <x:c r="L9" s="90" t="n">
        <x:v>0</x:v>
      </x:c>
      <x:c r="M9" s="90" t="n">
        <x:v>-907.42</x:v>
      </x:c>
      <x:c r="N9" s="90" t="n">
        <x:v>-759.41</x:v>
      </x:c>
      <x:c r="O9" s="90" t="n">
        <x:v>-3031.34</x:v>
      </x:c>
      <x:c r="P9" s="90" t="n">
        <x:v>-1545.97</x:v>
      </x:c>
      <x:c r="Q9" s="90" t="n">
        <x:v>-168.79</x:v>
      </x:c>
      <x:c r="R9" s="90" t="n">
        <x:v>0</x:v>
      </x:c>
      <x:c r="S9" s="90" t="n">
        <x:v>0</x:v>
      </x:c>
      <x:c r="T9" s="90" t="n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 t="n">
        <x:v>0</x:v>
      </x:c>
    </x:row>
    <x:row r="10" spans="1:26" ht="12.75" customHeight="1" x14ac:dyDescent="0.25">
      <x:c r="A10" t="inlineStr">
        <x:is>
          <x:t>AFaseo</x:t>
        </x:is>
      </x:c>
      <x:c r="B10" t="inlineStr">
        <x:is>
          <x:t>Total</x:t>
        </x:is>
      </x:c>
      <x:c r="C10"/>
      <x:c r="D10"/>
      <x:c r="E10" s="89"/>
      <x:c r="F10" s="371" t="n">
        <x:v>-9123.9</x:v>
      </x:c>
      <x:c r="G10" s="90" t="n">
        <x:v>-625.08</x:v>
      </x:c>
      <x:c r="H10" s="90" t="n">
        <x:v>-265.56</x:v>
      </x:c>
      <x:c r="I10" s="90" t="n">
        <x:v>-115.95</x:v>
      </x:c>
      <x:c r="J10" s="90" t="n">
        <x:v>-1600.92</x:v>
      </x:c>
      <x:c r="K10" s="90" t="n">
        <x:v>-103.46</x:v>
      </x:c>
      <x:c r="L10" s="90" t="n">
        <x:v>0</x:v>
      </x:c>
      <x:c r="M10" s="90" t="n">
        <x:v>-907.42</x:v>
      </x:c>
      <x:c r="N10" s="90" t="n">
        <x:v>-759.41</x:v>
      </x:c>
      <x:c r="O10" s="90" t="n">
        <x:v>-3031.34</x:v>
      </x:c>
      <x:c r="P10" s="90" t="n">
        <x:v>-1545.97</x:v>
      </x:c>
      <x:c r="Q10" s="90" t="n">
        <x:v>-168.79</x:v>
      </x:c>
      <x:c r="R10" s="90" t="n">
        <x:v>0</x:v>
      </x:c>
      <x:c r="S10" s="90" t="n">
        <x:v>0</x:v>
      </x:c>
      <x:c r="T10" s="90" t="n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 t="n">
        <x:v>0</x:v>
      </x:c>
    </x:row>
    <x:row r="11" spans="1:26" s="94" customFormat="1" ht="12.75" customHeight="1" x14ac:dyDescent="0.25">
      <x:c r="A11"/>
      <x:c r="B11"/>
      <x:c r="C11" s="101"/>
      <x:c r="D11" s="101"/>
      <x:c r="E11" t="inlineStr">
        <x:is>
          <x:t>Vlr Servicio</x:t>
        </x:is>
      </x:c>
      <x:c r="F11" s="93" t="n">
        <x:v>42369.42</x:v>
      </x:c>
      <x:c r="G11" s="93" t="n">
        <x:v>2242.46</x:v>
      </x:c>
      <x:c r="H11" s="93" t="n">
        <x:v>1266.09</x:v>
      </x:c>
      <x:c r="I11" s="93" t="n">
        <x:v>664.53</x:v>
      </x:c>
      <x:c r="J11" s="93" t="n">
        <x:v>10026.01</x:v>
      </x:c>
      <x:c r="K11" s="93" t="n">
        <x:v>372.31</x:v>
      </x:c>
      <x:c r="L11" s="93" t="n">
        <x:v>0</x:v>
      </x:c>
      <x:c r="M11" s="93" t="n">
        <x:v>3265.88</x:v>
      </x:c>
      <x:c r="N11" s="93" t="n">
        <x:v>3109.1</x:v>
      </x:c>
      <x:c r="O11" s="93" t="n">
        <x:v>14722.61</x:v>
      </x:c>
      <x:c r="P11" s="93" t="n">
        <x:v>6097.75</x:v>
      </x:c>
      <x:c r="Q11" s="93" t="n">
        <x:v>607.45</x:v>
      </x:c>
      <x:c r="R11" s="93" t="n">
        <x:v>-4.77</x:v>
      </x:c>
      <x:c r="S11" s="93" t="n">
        <x:v>0</x:v>
      </x:c>
      <x:c r="T11" s="93" t="n">
        <x:v>0</x:v>
      </x:c>
      <x:c r="U11" s="93">
        <x:v>0</x:v>
      </x:c>
      <x:c r="V11" s="93">
        <x:v>0</x:v>
      </x:c>
      <x:c r="W11" s="93">
        <x:v>0</x:v>
      </x:c>
      <x:c r="X11" s="93">
        <x:v>0</x:v>
      </x:c>
      <x:c r="Y11" s="93">
        <x:v>0</x:v>
      </x:c>
      <x:c r="Z11" s="93" t="n">
        <x:v>0</x:v>
      </x:c>
    </x:row>
    <x:row r="12" spans="1:26" ht="12.75" customHeight="1" x14ac:dyDescent="0.25">
      <x:c r="A12"/>
      <x:c r="B12"/>
      <x:c r="C12"/>
      <x:c r="D12" t="inlineStr">
        <x:is>
          <x:t>E</x:t>
        </x:is>
      </x:c>
      <x:c r="E12" s="89" t="inlineStr">
        <x:is>
          <x:t>Total</x:t>
        </x:is>
      </x:c>
      <x:c r="F12" s="371" t="n">
        <x:v>42369.42</x:v>
      </x:c>
      <x:c r="G12" s="90" t="n">
        <x:v>2242.46</x:v>
      </x:c>
      <x:c r="H12" s="90" t="n">
        <x:v>1266.09</x:v>
      </x:c>
      <x:c r="I12" s="90" t="n">
        <x:v>664.53</x:v>
      </x:c>
      <x:c r="J12" s="90" t="n">
        <x:v>10026.01</x:v>
      </x:c>
      <x:c r="K12" s="90" t="n">
        <x:v>372.31</x:v>
      </x:c>
      <x:c r="L12" s="90" t="n">
        <x:v>0</x:v>
      </x:c>
      <x:c r="M12" s="90" t="n">
        <x:v>3265.88</x:v>
      </x:c>
      <x:c r="N12" s="90" t="n">
        <x:v>3109.1</x:v>
      </x:c>
      <x:c r="O12" s="90" t="n">
        <x:v>14722.61</x:v>
      </x:c>
      <x:c r="P12" s="90" t="n">
        <x:v>6097.75</x:v>
      </x:c>
      <x:c r="Q12" s="90" t="n">
        <x:v>607.45</x:v>
      </x:c>
      <x:c r="R12" s="90" t="n">
        <x:v>-4.77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1:26" s="458" customFormat="1" ht="12.75" customHeight="1" x14ac:dyDescent="0.25">
      <x:c r="A13" s="458"/>
      <x:c r="B13" s="458"/>
      <x:c r="C13" t="inlineStr">
        <x:is>
          <x:t>ENEL</x:t>
        </x:is>
      </x:c>
      <x:c r="D13" t="inlineStr">
        <x:is>
          <x:t>Total</x:t>
        </x:is>
      </x:c>
      <x:c r="E13"/>
      <x:c r="F13" s="458" t="n">
        <x:v>42369.42</x:v>
      </x:c>
      <x:c r="G13" s="458" t="n">
        <x:v>2242.46</x:v>
      </x:c>
      <x:c r="H13" s="458" t="n">
        <x:v>1266.09</x:v>
      </x:c>
      <x:c r="I13" s="458" t="n">
        <x:v>664.53</x:v>
      </x:c>
      <x:c r="J13" s="458" t="n">
        <x:v>10026.01</x:v>
      </x:c>
      <x:c r="K13" s="458" t="n">
        <x:v>372.31</x:v>
      </x:c>
      <x:c r="L13" s="458" t="n">
        <x:v>0</x:v>
      </x:c>
      <x:c r="M13" s="458" t="n">
        <x:v>3265.88</x:v>
      </x:c>
      <x:c r="N13" s="458" t="n">
        <x:v>3109.1</x:v>
      </x:c>
      <x:c r="O13" s="458" t="n">
        <x:v>14722.61</x:v>
      </x:c>
      <x:c r="P13" s="458" t="n">
        <x:v>6097.75</x:v>
      </x:c>
      <x:c r="Q13" s="458" t="n">
        <x:v>607.45</x:v>
      </x:c>
      <x:c r="R13" s="458" t="n">
        <x:v>-4.77</x:v>
      </x:c>
      <x:c r="S13" s="458" t="n">
        <x:v>0</x:v>
      </x:c>
      <x:c r="T13" s="458" t="n">
        <x:v>0</x:v>
      </x:c>
      <x:c r="U13" s="458">
        <x:v>0</x:v>
      </x:c>
      <x:c r="V13" s="458">
        <x:v>0</x:v>
      </x:c>
      <x:c r="W13" s="458">
        <x:v>0</x:v>
      </x:c>
      <x:c r="X13" s="458">
        <x:v>0</x:v>
      </x:c>
      <x:c r="Y13" s="458">
        <x:v>0</x:v>
      </x:c>
      <x:c r="Z13" s="458" t="n">
        <x:v>0</x:v>
      </x:c>
    </x:row>
    <x:row r="14" spans="1:26" ht="12.75" customHeight="1" x14ac:dyDescent="0.25">
      <x:c r="A14"/>
      <x:c r="B14" t="inlineStr">
        <x:is>
          <x:t>Aplicacion nuevos x reversion</x:t>
        </x:is>
      </x:c>
      <x:c r="C14" t="inlineStr">
        <x:is>
          <x:t>Total</x:t>
        </x:is>
      </x:c>
      <x:c r="D14"/>
      <x:c r="E14" s="89"/>
      <x:c r="F14" s="371" t="n">
        <x:v>42369.42</x:v>
      </x:c>
      <x:c r="G14" s="90" t="n">
        <x:v>2242.46</x:v>
      </x:c>
      <x:c r="H14" s="90" t="n">
        <x:v>1266.09</x:v>
      </x:c>
      <x:c r="I14" s="90" t="n">
        <x:v>664.53</x:v>
      </x:c>
      <x:c r="J14" s="90" t="n">
        <x:v>10026.01</x:v>
      </x:c>
      <x:c r="K14" s="90" t="n">
        <x:v>372.31</x:v>
      </x:c>
      <x:c r="L14" s="90" t="n">
        <x:v>0</x:v>
      </x:c>
      <x:c r="M14" s="90" t="n">
        <x:v>3265.88</x:v>
      </x:c>
      <x:c r="N14" s="90" t="n">
        <x:v>3109.1</x:v>
      </x:c>
      <x:c r="O14" s="90" t="n">
        <x:v>14722.61</x:v>
      </x:c>
      <x:c r="P14" s="90" t="n">
        <x:v>6097.75</x:v>
      </x:c>
      <x:c r="Q14" s="90" t="n">
        <x:v>607.45</x:v>
      </x:c>
      <x:c r="R14" s="90" t="n">
        <x:v>-4.77</x:v>
      </x:c>
      <x:c r="S14" s="90" t="n">
        <x:v>0</x:v>
      </x:c>
      <x:c r="T14" s="90" t="n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 t="n">
        <x:v>0</x:v>
      </x:c>
    </x:row>
    <x:row r="15" spans="1:26" ht="12.75" customHeight="1" x14ac:dyDescent="0.25">
      <x:c r="A15"/>
      <x:c r="B15"/>
      <x:c r="C15"/>
      <x:c r="D15"/>
      <x:c r="E15" s="89" t="inlineStr">
        <x:is>
          <x:t>Vlr Servicio</x:t>
        </x:is>
      </x:c>
      <x:c r="F15" s="371" t="n">
        <x:v>17290064314.52</x:v>
      </x:c>
      <x:c r="G15" s="90" t="n">
        <x:v>875679227.56</x:v>
      </x:c>
      <x:c r="H15" s="90" t="n">
        <x:v>493761649.64</x:v>
      </x:c>
      <x:c r="I15" s="90" t="n">
        <x:v>259701349.31</x:v>
      </x:c>
      <x:c r="J15" s="90" t="n">
        <x:v>4120776478.59</x:v>
      </x:c>
      <x:c r="K15" s="90" t="n">
        <x:v>154423786.41</x:v>
      </x:c>
      <x:c r="L15" s="90" t="n">
        <x:v>16025087.76</x:v>
      </x:c>
      <x:c r="M15" s="90" t="n">
        <x:v>1357666964.54</x:v>
      </x:c>
      <x:c r="N15" s="90" t="n">
        <x:v>1287591861.95</x:v>
      </x:c>
      <x:c r="O15" s="90" t="n">
        <x:v>6093979781.14</x:v>
      </x:c>
      <x:c r="P15" s="90" t="n">
        <x:v>2378368882.03</x:v>
      </x:c>
      <x:c r="Q15" s="90" t="n">
        <x:v>252086089.09</x:v>
      </x:c>
      <x:c r="R15" s="90" t="n">
        <x:v>3156.5</x:v>
      </x:c>
      <x:c r="S15" s="90" t="n">
        <x:v>0</x:v>
      </x:c>
      <x:c r="T15" s="90" t="n">
        <x:v>0</x:v>
      </x:c>
      <x:c r="U15" s="90">
        <x:v>0</x:v>
      </x:c>
      <x:c r="V15" s="90">
        <x:v>0</x:v>
      </x:c>
      <x:c r="W15" s="90">
        <x:v>0</x:v>
      </x:c>
      <x:c r="X15" s="90">
        <x:v>0</x:v>
      </x:c>
      <x:c r="Y15" s="90">
        <x:v>0</x:v>
      </x:c>
      <x:c r="Z15" s="90" t="n">
        <x:v>0</x:v>
      </x:c>
    </x:row>
    <x:row r="16" spans="1:26" s="286" customFormat="1" ht="12.75" customHeight="1" x14ac:dyDescent="0.25">
      <x:c r="A16"/>
      <x:c r="B16"/>
      <x:c r="C16" s="286"/>
      <x:c r="D16" s="286"/>
      <x:c r="E16" s="229" t="inlineStr">
        <x:is>
          <x:t>Vlr Intereses</x:t>
        </x:is>
      </x:c>
      <x:c r="F16" s="229" t="n">
        <x:v>3168870.32</x:v>
      </x:c>
      <x:c r="G16" s="230" t="n">
        <x:v>181699.71</x:v>
      </x:c>
      <x:c r="H16" s="230" t="n">
        <x:v>94563.09</x:v>
      </x:c>
      <x:c r="I16" s="230" t="n">
        <x:v>50842.1</x:v>
      </x:c>
      <x:c r="J16" s="230" t="n">
        <x:v>719172.29</x:v>
      </x:c>
      <x:c r="K16" s="230" t="n">
        <x:v>28488.91</x:v>
      </x:c>
      <x:c r="L16" s="230" t="n">
        <x:v>600.77</x:v>
      </x:c>
      <x:c r="M16" s="230" t="n">
        <x:v>251707.71</x:v>
      </x:c>
      <x:c r="N16" s="230" t="n">
        <x:v>231457.21</x:v>
      </x:c>
      <x:c r="O16" s="230" t="n">
        <x:v>1072357.84</x:v>
      </x:c>
      <x:c r="P16" s="230" t="n">
        <x:v>490967.89</x:v>
      </x:c>
      <x:c r="Q16" s="230" t="n">
        <x:v>46457.99</x:v>
      </x:c>
      <x:c r="R16" s="230" t="n">
        <x:v>253.72</x:v>
      </x:c>
      <x:c r="S16" s="230" t="n">
        <x:v>0</x:v>
      </x:c>
      <x:c r="T16" s="230" t="n">
        <x:v>301.09</x:v>
      </x:c>
      <x:c r="U16" s="230">
        <x:v>0</x:v>
      </x:c>
      <x:c r="V16" s="230">
        <x:v>0</x:v>
      </x:c>
      <x:c r="W16" s="230">
        <x:v>0</x:v>
      </x:c>
      <x:c r="X16" s="230">
        <x:v>0</x:v>
      </x:c>
      <x:c r="Y16" s="230">
        <x:v>0</x:v>
      </x:c>
      <x:c r="Z16" s="230" t="n">
        <x:v>0</x:v>
      </x:c>
    </x:row>
    <x:row r="17" spans="2:26" s="378" customFormat="1" ht="12.75" customHeight="1" x14ac:dyDescent="0.25">
      <x:c r="A17"/>
      <x:c r="B17" s="378"/>
      <x:c r="C17" s="378"/>
      <x:c r="D17" t="inlineStr">
        <x:is>
          <x:t>E</x:t>
        </x:is>
      </x:c>
      <x:c r="E17" s="376" t="inlineStr">
        <x:is>
          <x:t>Total</x:t>
        </x:is>
      </x:c>
      <x:c r="F17" s="711" t="n">
        <x:v>17293233184.84</x:v>
      </x:c>
      <x:c r="G17" s="377" t="n">
        <x:v>875860927.27</x:v>
      </x:c>
      <x:c r="H17" s="377" t="n">
        <x:v>493856212.73</x:v>
      </x:c>
      <x:c r="I17" s="377" t="n">
        <x:v>259752191.41</x:v>
      </x:c>
      <x:c r="J17" s="377" t="n">
        <x:v>4121495650.88</x:v>
      </x:c>
      <x:c r="K17" s="377" t="n">
        <x:v>154452275.32</x:v>
      </x:c>
      <x:c r="L17" s="377" t="n">
        <x:v>16025688.53</x:v>
      </x:c>
      <x:c r="M17" s="377" t="n">
        <x:v>1357918672.25</x:v>
      </x:c>
      <x:c r="N17" s="377" t="n">
        <x:v>1287823319.16</x:v>
      </x:c>
      <x:c r="O17" s="377" t="n">
        <x:v>6095052138.98</x:v>
      </x:c>
      <x:c r="P17" s="377" t="n">
        <x:v>2378859849.92</x:v>
      </x:c>
      <x:c r="Q17" s="377" t="n">
        <x:v>252132547.08</x:v>
      </x:c>
      <x:c r="R17" s="377" t="n">
        <x:v>3410.22</x:v>
      </x:c>
      <x:c r="S17" s="377" t="n">
        <x:v>0</x:v>
      </x:c>
      <x:c r="T17" s="377" t="n">
        <x:v>301.09</x:v>
      </x:c>
      <x:c r="U17" s="377">
        <x:v>0</x:v>
      </x:c>
      <x:c r="V17" s="377">
        <x:v>0</x:v>
      </x:c>
      <x:c r="W17" s="377">
        <x:v>0</x:v>
      </x:c>
      <x:c r="X17" s="377">
        <x:v>0</x:v>
      </x:c>
      <x:c r="Y17" s="377">
        <x:v>0</x:v>
      </x:c>
      <x:c r="Z17" s="377" t="n">
        <x:v>0</x:v>
      </x:c>
    </x:row>
    <x:row r="18" spans="2:26" ht="12.75" customHeight="1" x14ac:dyDescent="0.25">
      <x:c r="A18"/>
      <x:c r="B18"/>
      <x:c r="C18" t="inlineStr">
        <x:is>
          <x:t>ENEL</x:t>
        </x:is>
      </x:c>
      <x:c r="D18" t="inlineStr">
        <x:is>
          <x:t>Total</x:t>
        </x:is>
      </x:c>
      <x:c r="E18" s="89"/>
      <x:c r="F18" s="371" t="n">
        <x:v>17293233184.84</x:v>
      </x:c>
      <x:c r="G18" s="90" t="n">
        <x:v>875860927.27</x:v>
      </x:c>
      <x:c r="H18" s="90" t="n">
        <x:v>493856212.73</x:v>
      </x:c>
      <x:c r="I18" s="90" t="n">
        <x:v>259752191.41</x:v>
      </x:c>
      <x:c r="J18" s="90" t="n">
        <x:v>4121495650.88</x:v>
      </x:c>
      <x:c r="K18" s="90" t="n">
        <x:v>154452275.32</x:v>
      </x:c>
      <x:c r="L18" s="90" t="n">
        <x:v>16025688.53</x:v>
      </x:c>
      <x:c r="M18" s="90" t="n">
        <x:v>1357918672.25</x:v>
      </x:c>
      <x:c r="N18" s="90" t="n">
        <x:v>1287823319.16</x:v>
      </x:c>
      <x:c r="O18" s="90" t="n">
        <x:v>6095052138.98</x:v>
      </x:c>
      <x:c r="P18" s="90" t="n">
        <x:v>2378859849.92</x:v>
      </x:c>
      <x:c r="Q18" s="90" t="n">
        <x:v>252132547.08</x:v>
      </x:c>
      <x:c r="R18" s="90" t="n">
        <x:v>3410.22</x:v>
      </x:c>
      <x:c r="S18" s="90" t="n">
        <x:v>0</x:v>
      </x:c>
      <x:c r="T18" s="90" t="n">
        <x:v>301.09</x:v>
      </x:c>
      <x:c r="U18" s="90">
        <x:v>0</x:v>
      </x:c>
      <x:c r="V18" s="90">
        <x:v>0</x:v>
      </x:c>
      <x:c r="W18" s="90">
        <x:v>0</x:v>
      </x:c>
      <x:c r="X18" s="90">
        <x:v>0</x:v>
      </x:c>
      <x:c r="Y18" s="90">
        <x:v>0</x:v>
      </x:c>
      <x:c r="Z18" s="90" t="n">
        <x:v>0</x:v>
      </x:c>
    </x:row>
    <x:row r="19" spans="2:26" ht="12.75" customHeight="1" x14ac:dyDescent="0.25">
      <x:c r="A19"/>
      <x:c r="B19"/>
      <x:c r="C19"/>
      <x:c r="D19"/>
      <x:c r="E19" s="89" t="inlineStr">
        <x:is>
          <x:t>Vlr Servicio</x:t>
        </x:is>
      </x:c>
      <x:c r="F19" s="90" t="n">
        <x:v>31630649.03</x:v>
      </x:c>
      <x:c r="G19" s="90" t="n">
        <x:v>2116281.49</x:v>
      </x:c>
      <x:c r="H19" s="90" t="n">
        <x:v>1170722.51</x:v>
      </x:c>
      <x:c r="I19" s="90" t="n">
        <x:v>622287.66</x:v>
      </x:c>
      <x:c r="J19" s="90" t="n">
        <x:v>6853780.13</x:v>
      </x:c>
      <x:c r="K19" s="90" t="n">
        <x:v>205254.36</x:v>
      </x:c>
      <x:c r="L19" s="90" t="n">
        <x:v>0</x:v>
      </x:c>
      <x:c r="M19" s="90" t="n">
        <x:v>1791021.46</x:v>
      </x:c>
      <x:c r="N19" s="90" t="n">
        <x:v>2239705.04</x:v>
      </x:c>
      <x:c r="O19" s="90" t="n">
        <x:v>10554766.18</x:v>
      </x:c>
      <x:c r="P19" s="90" t="n">
        <x:v>5742154.81</x:v>
      </x:c>
      <x:c r="Q19" s="90" t="n">
        <x:v>334770.08</x:v>
      </x:c>
      <x:c r="R19" s="90" t="n">
        <x:v>-94.69</x:v>
      </x:c>
      <x:c r="S19" s="90" t="n">
        <x:v>0</x:v>
      </x:c>
      <x:c r="T19" s="90" t="n">
        <x:v>0</x:v>
      </x:c>
      <x:c r="U19" s="90">
        <x:v>0</x:v>
      </x:c>
      <x:c r="V19" s="90">
        <x:v>0</x:v>
      </x:c>
      <x:c r="W19" s="90">
        <x:v>0</x:v>
      </x:c>
      <x:c r="X19" s="90">
        <x:v>0</x:v>
      </x:c>
      <x:c r="Y19" s="90">
        <x:v>0</x:v>
      </x:c>
      <x:c r="Z19" s="90" t="n">
        <x:v>0</x:v>
      </x:c>
    </x:row>
    <x:row r="20" spans="2:26" ht="12.75" customHeight="1" x14ac:dyDescent="0.25">
      <x:c r="A20"/>
      <x:c r="B20"/>
      <x:c r="C20"/>
      <x:c r="D20"/>
      <x:c r="E20" s="89" t="inlineStr">
        <x:is>
          <x:t>Vlr Intereses</x:t>
        </x:is>
      </x:c>
      <x:c r="F20" s="89" t="n">
        <x:v>56566.94</x:v>
      </x:c>
      <x:c r="G20" s="90" t="n">
        <x:v>3153.2</x:v>
      </x:c>
      <x:c r="H20" s="90" t="n">
        <x:v>1630.48</x:v>
      </x:c>
      <x:c r="I20" s="90" t="n">
        <x:v>910.69</x:v>
      </x:c>
      <x:c r="J20" s="90" t="n">
        <x:v>14196.75</x:v>
      </x:c>
      <x:c r="K20" s="90" t="n">
        <x:v>404.44</x:v>
      </x:c>
      <x:c r="L20" s="90" t="n">
        <x:v>0</x:v>
      </x:c>
      <x:c r="M20" s="90" t="n">
        <x:v>3503.55</x:v>
      </x:c>
      <x:c r="N20" s="90" t="n">
        <x:v>4189.5</x:v>
      </x:c>
      <x:c r="O20" s="90" t="n">
        <x:v>19352.39</x:v>
      </x:c>
      <x:c r="P20" s="90" t="n">
        <x:v>8568.43</x:v>
      </x:c>
      <x:c r="Q20" s="90" t="n">
        <x:v>658.34</x:v>
      </x:c>
      <x:c r="R20" s="90" t="n">
        <x:v>-0.86</x:v>
      </x:c>
      <x:c r="S20" s="90" t="n">
        <x:v>0</x:v>
      </x:c>
      <x:c r="T20" s="90" t="n">
        <x:v>0.03</x:v>
      </x:c>
      <x:c r="U20" s="90">
        <x:v>0</x:v>
      </x:c>
      <x:c r="V20" s="90">
        <x:v>0</x:v>
      </x:c>
      <x:c r="W20" s="90">
        <x:v>0</x:v>
      </x:c>
      <x:c r="X20" s="90">
        <x:v>0</x:v>
      </x:c>
      <x:c r="Y20" s="90">
        <x:v>0</x:v>
      </x:c>
      <x:c r="Z20" s="90" t="n">
        <x:v>0</x:v>
      </x:c>
    </x:row>
    <x:row r="21" spans="2:26" s="286" customFormat="1" ht="12.75" customHeight="1" x14ac:dyDescent="0.25">
      <x:c r="A21"/>
      <x:c r="B21"/>
      <x:c r="C21" s="286"/>
      <x:c r="D21" s="286" t="inlineStr">
        <x:is>
          <x:t>H</x:t>
        </x:is>
      </x:c>
      <x:c r="E21" s="229" t="inlineStr">
        <x:is>
          <x:t>Total</x:t>
        </x:is>
      </x:c>
      <x:c r="F21" s="229" t="n">
        <x:v>31687215.97</x:v>
      </x:c>
      <x:c r="G21" s="230" t="n">
        <x:v>2119434.69</x:v>
      </x:c>
      <x:c r="H21" s="230" t="n">
        <x:v>1172352.99</x:v>
      </x:c>
      <x:c r="I21" s="230" t="n">
        <x:v>623198.35</x:v>
      </x:c>
      <x:c r="J21" s="230" t="n">
        <x:v>6867976.88</x:v>
      </x:c>
      <x:c r="K21" s="230" t="n">
        <x:v>205658.8</x:v>
      </x:c>
      <x:c r="L21" s="230" t="n">
        <x:v>0</x:v>
      </x:c>
      <x:c r="M21" s="230" t="n">
        <x:v>1794525.01</x:v>
      </x:c>
      <x:c r="N21" s="230" t="n">
        <x:v>2243894.54</x:v>
      </x:c>
      <x:c r="O21" s="230" t="n">
        <x:v>10574118.57</x:v>
      </x:c>
      <x:c r="P21" s="230" t="n">
        <x:v>5750723.24</x:v>
      </x:c>
      <x:c r="Q21" s="230" t="n">
        <x:v>335428.42</x:v>
      </x:c>
      <x:c r="R21" s="230" t="n">
        <x:v>-95.55</x:v>
      </x:c>
      <x:c r="S21" s="230" t="n">
        <x:v>0</x:v>
      </x:c>
      <x:c r="T21" s="230" t="n">
        <x:v>0.03</x:v>
      </x:c>
      <x:c r="U21" s="230">
        <x:v>0</x:v>
      </x:c>
      <x:c r="V21" s="230">
        <x:v>0</x:v>
      </x:c>
      <x:c r="W21" s="230">
        <x:v>0</x:v>
      </x:c>
      <x:c r="X21" s="230">
        <x:v>0</x:v>
      </x:c>
      <x:c r="Y21" s="230">
        <x:v>0</x:v>
      </x:c>
      <x:c r="Z21" s="230" t="n">
        <x:v>0</x:v>
      </x:c>
    </x:row>
    <x:row r="22" spans="2:26" ht="12.75" customHeight="1" x14ac:dyDescent="0.25">
      <x:c r="A22"/>
      <x:c r="B22"/>
      <x:c r="C22"/>
      <x:c r="D22"/>
      <x:c r="E22" s="89" t="inlineStr">
        <x:is>
          <x:t>Vlr Servicio</x:t>
        </x:is>
      </x:c>
      <x:c r="F22" s="89" t="n">
        <x:v>116689234.32</x:v>
      </x:c>
      <x:c r="G22" s="90" t="n">
        <x:v>12754733.99</x:v>
      </x:c>
      <x:c r="H22" s="90" t="n">
        <x:v>7083985.99</x:v>
      </x:c>
      <x:c r="I22" s="90" t="n">
        <x:v>3721696.38</x:v>
      </x:c>
      <x:c r="J22" s="90" t="n">
        <x:v>14791579.29</x:v>
      </x:c>
      <x:c r="K22" s="90" t="n">
        <x:v>679432.2</x:v>
      </x:c>
      <x:c r="L22" s="90" t="n">
        <x:v>200407</x:v>
      </x:c>
      <x:c r="M22" s="90" t="n">
        <x:v>5966168.71</x:v>
      </x:c>
      <x:c r="N22" s="90" t="n">
        <x:v>6324114.46</x:v>
      </x:c>
      <x:c r="O22" s="90" t="n">
        <x:v>29397613.74</x:v>
      </x:c>
      <x:c r="P22" s="90" t="n">
        <x:v>34660611.57</x:v>
      </x:c>
      <x:c r="Q22" s="90" t="n">
        <x:v>1109795.57</x:v>
      </x:c>
      <x:c r="R22" s="90" t="n">
        <x:v>-904.58</x:v>
      </x:c>
      <x:c r="S22" s="90" t="n">
        <x:v>0</x:v>
      </x:c>
      <x:c r="T22" s="90" t="n">
        <x:v>0</x:v>
      </x:c>
      <x:c r="U22" s="90">
        <x:v>0</x:v>
      </x:c>
      <x:c r="V22" s="90">
        <x:v>0</x:v>
      </x:c>
      <x:c r="W22" s="90">
        <x:v>0</x:v>
      </x:c>
      <x:c r="X22" s="90">
        <x:v>0</x:v>
      </x:c>
      <x:c r="Y22" s="90">
        <x:v>0</x:v>
      </x:c>
      <x:c r="Z22" s="90" t="n">
        <x:v>0</x:v>
      </x:c>
    </x:row>
    <x:row r="23" spans="2:26" ht="12.75" customHeight="1" x14ac:dyDescent="0.25">
      <x:c r="A23"/>
      <x:c r="B23"/>
      <x:c r="C23"/>
      <x:c r="D23"/>
      <x:c r="E23" s="89" t="inlineStr">
        <x:is>
          <x:t>Vlr Intereses</x:t>
        </x:is>
      </x:c>
      <x:c r="F23" s="90" t="n">
        <x:v>298459.58</x:v>
      </x:c>
      <x:c r="G23" s="90" t="n">
        <x:v>17963.04</x:v>
      </x:c>
      <x:c r="H23" s="90" t="n">
        <x:v>7955.38</x:v>
      </x:c>
      <x:c r="I23" s="90" t="n">
        <x:v>3775.96</x:v>
      </x:c>
      <x:c r="J23" s="90" t="n">
        <x:v>65367.19</x:v>
      </x:c>
      <x:c r="K23" s="90" t="n">
        <x:v>2954.14</x:v>
      </x:c>
      <x:c r="L23" s="90" t="n">
        <x:v>175.21</x:v>
      </x:c>
      <x:c r="M23" s="90" t="n">
        <x:v>26504.61</x:v>
      </x:c>
      <x:c r="N23" s="90" t="n">
        <x:v>23098.54</x:v>
      </x:c>
      <x:c r="O23" s="90" t="n">
        <x:v>96645.91</x:v>
      </x:c>
      <x:c r="P23" s="90" t="n">
        <x:v>49317.74</x:v>
      </x:c>
      <x:c r="Q23" s="90" t="n">
        <x:v>4814.6</x:v>
      </x:c>
      <x:c r="R23" s="90" t="n">
        <x:v>-5.81</x:v>
      </x:c>
      <x:c r="S23" s="90" t="n">
        <x:v>0</x:v>
      </x:c>
      <x:c r="T23" s="90" t="n">
        <x:v>0.13</x:v>
      </x:c>
      <x:c r="U23" s="90">
        <x:v>0</x:v>
      </x:c>
      <x:c r="V23" s="90">
        <x:v>0</x:v>
      </x:c>
      <x:c r="W23" s="90">
        <x:v>0</x:v>
      </x:c>
      <x:c r="X23" s="90">
        <x:v>0</x:v>
      </x:c>
      <x:c r="Y23" s="90">
        <x:v>0</x:v>
      </x:c>
      <x:c r="Z23" s="90" t="n">
        <x:v>-107.06</x:v>
      </x:c>
    </x:row>
    <x:row r="24" spans="2:26" ht="12.75" customHeight="1" x14ac:dyDescent="0.25">
      <x:c r="A24"/>
      <x:c r="B24"/>
      <x:c r="C24"/>
      <x:c r="D24" s="89" t="inlineStr">
        <x:is>
          <x:t>O</x:t>
        </x:is>
      </x:c>
      <x:c r="E24" s="89" t="inlineStr">
        <x:is>
          <x:t>Total</x:t>
        </x:is>
      </x:c>
      <x:c r="F24" s="90" t="n">
        <x:v>116987693.9</x:v>
      </x:c>
      <x:c r="G24" s="90" t="n">
        <x:v>12772697.03</x:v>
      </x:c>
      <x:c r="H24" s="90" t="n">
        <x:v>7091941.37</x:v>
      </x:c>
      <x:c r="I24" s="90" t="n">
        <x:v>3725472.34</x:v>
      </x:c>
      <x:c r="J24" s="90" t="n">
        <x:v>14856946.48</x:v>
      </x:c>
      <x:c r="K24" s="90" t="n">
        <x:v>682386.34</x:v>
      </x:c>
      <x:c r="L24" s="90" t="n">
        <x:v>200582.21</x:v>
      </x:c>
      <x:c r="M24" s="90" t="n">
        <x:v>5992673.32</x:v>
      </x:c>
      <x:c r="N24" s="90" t="n">
        <x:v>6347213</x:v>
      </x:c>
      <x:c r="O24" s="90" t="n">
        <x:v>29494259.65</x:v>
      </x:c>
      <x:c r="P24" s="90" t="n">
        <x:v>34709929.31</x:v>
      </x:c>
      <x:c r="Q24" s="90" t="n">
        <x:v>1114610.17</x:v>
      </x:c>
      <x:c r="R24" s="90" t="n">
        <x:v>-910.39</x:v>
      </x:c>
      <x:c r="S24" s="90" t="n">
        <x:v>0</x:v>
      </x:c>
      <x:c r="T24" s="90" t="n">
        <x:v>0.13</x:v>
      </x:c>
      <x:c r="U24" s="90">
        <x:v>0</x:v>
      </x:c>
      <x:c r="V24" s="90">
        <x:v>0</x:v>
      </x:c>
      <x:c r="W24" s="90">
        <x:v>0</x:v>
      </x:c>
      <x:c r="X24" s="90">
        <x:v>0</x:v>
      </x:c>
      <x:c r="Y24" s="90">
        <x:v>0</x:v>
      </x:c>
      <x:c r="Z24" s="90" t="n">
        <x:v>-107.06</x:v>
      </x:c>
    </x:row>
    <x:row r="25" spans="2:26" ht="12.75" customHeight="1" x14ac:dyDescent="0.25">
      <x:c r="A25"/>
      <x:c r="B25"/>
      <x:c r="C25"/>
      <x:c r="D25"/>
      <x:c r="E25" s="89" t="inlineStr">
        <x:is>
          <x:t>Vlr Servicio</x:t>
        </x:is>
      </x:c>
      <x:c r="F25" s="90" t="n">
        <x:v>533963464.75</x:v>
      </x:c>
      <x:c r="G25" s="90" t="n">
        <x:v>84240997.33</x:v>
      </x:c>
      <x:c r="H25" s="90" t="n">
        <x:v>47757391.7</x:v>
      </x:c>
      <x:c r="I25" s="90" t="n">
        <x:v>25132510.24</x:v>
      </x:c>
      <x:c r="J25" s="90" t="n">
        <x:v>41404004.22</x:v>
      </x:c>
      <x:c r="K25" s="90" t="n">
        <x:v>1121828.41</x:v>
      </x:c>
      <x:c r="L25" s="90" t="n">
        <x:v>20785144</x:v>
      </x:c>
      <x:c r="M25" s="90" t="n">
        <x:v>9808677.13</x:v>
      </x:c>
      <x:c r="N25" s="90" t="n">
        <x:v>12792123</x:v>
      </x:c>
      <x:c r="O25" s="90" t="n">
        <x:v>60185506.18</x:v>
      </x:c>
      <x:c r="P25" s="90" t="n">
        <x:v>228905204.69</x:v>
      </x:c>
      <x:c r="Q25" s="90" t="n">
        <x:v>1830367.32</x:v>
      </x:c>
      <x:c r="R25" s="90" t="n">
        <x:v>-289.47</x:v>
      </x:c>
      <x:c r="S25" s="90" t="n">
        <x:v>0</x:v>
      </x:c>
      <x:c r="T25" s="90" t="n">
        <x:v>0</x:v>
      </x:c>
      <x:c r="U25" s="90">
        <x:v>0</x:v>
      </x:c>
      <x:c r="V25" s="90">
        <x:v>0</x:v>
      </x:c>
      <x:c r="W25" s="90">
        <x:v>0</x:v>
      </x:c>
      <x:c r="X25" s="90">
        <x:v>0</x:v>
      </x:c>
      <x:c r="Y25" s="90">
        <x:v>0</x:v>
      </x:c>
      <x:c r="Z25" s="90" t="n">
        <x:v>0</x:v>
      </x:c>
    </x:row>
    <x:row r="26" spans="2:26" ht="12.75" customHeight="1" x14ac:dyDescent="0.25">
      <x:c r="A26"/>
      <x:c r="B26"/>
      <x:c r="C26"/>
      <x:c r="D26"/>
      <x:c r="E26" s="89" t="inlineStr">
        <x:is>
          <x:t>Vlr Intereses</x:t>
        </x:is>
      </x:c>
      <x:c r="F26" s="90" t="n">
        <x:v>1648345.42</x:v>
      </x:c>
      <x:c r="G26" s="90" t="n">
        <x:v>174887.74</x:v>
      </x:c>
      <x:c r="H26" s="90" t="n">
        <x:v>87267.15</x:v>
      </x:c>
      <x:c r="I26" s="90" t="n">
        <x:v>44237.05</x:v>
      </x:c>
      <x:c r="J26" s="90" t="n">
        <x:v>278588.77</x:v>
      </x:c>
      <x:c r="K26" s="90" t="n">
        <x:v>9930.26</x:v>
      </x:c>
      <x:c r="L26" s="90" t="n">
        <x:v>13403.82</x:v>
      </x:c>
      <x:c r="M26" s="90" t="n">
        <x:v>86925</x:v>
      </x:c>
      <x:c r="N26" s="90" t="n">
        <x:v>89458.52</x:v>
      </x:c>
      <x:c r="O26" s="90" t="n">
        <x:v>385189.1</x:v>
      </x:c>
      <x:c r="P26" s="90" t="n">
        <x:v>462280.45</x:v>
      </x:c>
      <x:c r="Q26" s="90" t="n">
        <x:v>16184.13</x:v>
      </x:c>
      <x:c r="R26" s="90" t="n">
        <x:v>-6.73</x:v>
      </x:c>
      <x:c r="S26" s="90" t="n">
        <x:v>0.08</x:v>
      </x:c>
      <x:c r="T26" s="90" t="n">
        <x:v>0.08</x:v>
      </x:c>
      <x:c r="U26" s="90">
        <x:v>0</x:v>
      </x:c>
      <x:c r="V26" s="90">
        <x:v>0</x:v>
      </x:c>
      <x:c r="W26" s="90">
        <x:v>0</x:v>
      </x:c>
      <x:c r="X26" s="90">
        <x:v>0</x:v>
      </x:c>
      <x:c r="Y26" s="90">
        <x:v>0</x:v>
      </x:c>
      <x:c r="Z26" s="90" t="n">
        <x:v>0</x:v>
      </x:c>
    </x:row>
    <x:row r="27" spans="2:26" ht="12.75" customHeight="1" x14ac:dyDescent="0.25">
      <x:c r="A27"/>
      <x:c r="B27"/>
      <x:c r="C27"/>
      <x:c r="D27" s="89" t="inlineStr">
        <x:is>
          <x:t>T</x:t>
        </x:is>
      </x:c>
      <x:c r="E27" s="89" t="inlineStr">
        <x:is>
          <x:t>Total</x:t>
        </x:is>
      </x:c>
      <x:c r="F27" s="90" t="n">
        <x:v>535611810.17</x:v>
      </x:c>
      <x:c r="G27" s="90" t="n">
        <x:v>84415885.07</x:v>
      </x:c>
      <x:c r="H27" s="90" t="n">
        <x:v>47844658.85</x:v>
      </x:c>
      <x:c r="I27" s="90" t="n">
        <x:v>25176747.29</x:v>
      </x:c>
      <x:c r="J27" s="90" t="n">
        <x:v>41682592.99</x:v>
      </x:c>
      <x:c r="K27" s="90" t="n">
        <x:v>1131758.67</x:v>
      </x:c>
      <x:c r="L27" s="90" t="n">
        <x:v>20798547.82</x:v>
      </x:c>
      <x:c r="M27" s="90" t="n">
        <x:v>9895602.13</x:v>
      </x:c>
      <x:c r="N27" s="90" t="n">
        <x:v>12881581.52</x:v>
      </x:c>
      <x:c r="O27" s="90" t="n">
        <x:v>60570695.28</x:v>
      </x:c>
      <x:c r="P27" s="90" t="n">
        <x:v>229367485.14</x:v>
      </x:c>
      <x:c r="Q27" s="90" t="n">
        <x:v>1846551.45</x:v>
      </x:c>
      <x:c r="R27" s="90" t="n">
        <x:v>-296.2</x:v>
      </x:c>
      <x:c r="S27" s="90" t="n">
        <x:v>0.08</x:v>
      </x:c>
      <x:c r="T27" s="90" t="n">
        <x:v>0.08</x:v>
      </x:c>
      <x:c r="U27" s="90">
        <x:v>0</x:v>
      </x:c>
      <x:c r="V27" s="90">
        <x:v>0</x:v>
      </x:c>
      <x:c r="W27" s="90">
        <x:v>0</x:v>
      </x:c>
      <x:c r="X27" s="90">
        <x:v>0</x:v>
      </x:c>
      <x:c r="Y27" s="90">
        <x:v>0</x:v>
      </x:c>
      <x:c r="Z27" s="90" t="n">
        <x:v>0</x:v>
      </x:c>
    </x:row>
    <x:row r="28" spans="2:26" ht="12.75" customHeight="1" x14ac:dyDescent="0.25">
      <x:c r="A28"/>
      <x:c r="B28"/>
      <x:c r="C28" s="89" t="inlineStr">
        <x:is>
          <x:t>OCCIDENTE</x:t>
        </x:is>
      </x:c>
      <x:c r="D28" s="89" t="inlineStr">
        <x:is>
          <x:t>Total</x:t>
        </x:is>
      </x:c>
      <x:c r="E28"/>
      <x:c r="F28" s="90" t="n">
        <x:v>684286720.04</x:v>
      </x:c>
      <x:c r="G28" s="90" t="n">
        <x:v>99308016.79</x:v>
      </x:c>
      <x:c r="H28" s="90" t="n">
        <x:v>56108953.21</x:v>
      </x:c>
      <x:c r="I28" s="90" t="n">
        <x:v>29525417.98</x:v>
      </x:c>
      <x:c r="J28" s="90" t="n">
        <x:v>63407516.35</x:v>
      </x:c>
      <x:c r="K28" s="90" t="n">
        <x:v>2019803.81</x:v>
      </x:c>
      <x:c r="L28" s="90" t="n">
        <x:v>20999130.03</x:v>
      </x:c>
      <x:c r="M28" s="90" t="n">
        <x:v>17682800.46</x:v>
      </x:c>
      <x:c r="N28" s="90" t="n">
        <x:v>21472689.06</x:v>
      </x:c>
      <x:c r="O28" s="90" t="n">
        <x:v>100639073.5</x:v>
      </x:c>
      <x:c r="P28" s="90" t="n">
        <x:v>269828137.69</x:v>
      </x:c>
      <x:c r="Q28" s="90" t="n">
        <x:v>3296590.04</x:v>
      </x:c>
      <x:c r="R28" s="90" t="n">
        <x:v>-1302.14</x:v>
      </x:c>
      <x:c r="S28" s="90" t="n">
        <x:v>0.08</x:v>
      </x:c>
      <x:c r="T28" s="90" t="n">
        <x:v>0.24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 t="n">
        <x:v>-107.06</x:v>
      </x:c>
    </x:row>
    <x:row r="29" spans="2:26" ht="12.75" customHeight="1" x14ac:dyDescent="0.25">
      <x:c r="A29"/>
      <x:c r="B29" s="89" t="inlineStr">
        <x:is>
          <x:t>Mes</x:t>
        </x:is>
      </x:c>
      <x:c r="C29" s="89" t="inlineStr">
        <x:is>
          <x:t>Total</x:t>
        </x:is>
      </x:c>
      <x:c r="D29"/>
      <x:c r="E29"/>
      <x:c r="F29" s="90" t="n">
        <x:v>17977519904.88</x:v>
      </x:c>
      <x:c r="G29" s="90" t="n">
        <x:v>975168944.06</x:v>
      </x:c>
      <x:c r="H29" s="90" t="n">
        <x:v>549965165.94</x:v>
      </x:c>
      <x:c r="I29" s="90" t="n">
        <x:v>289277609.39</x:v>
      </x:c>
      <x:c r="J29" s="90" t="n">
        <x:v>4184903167.23</x:v>
      </x:c>
      <x:c r="K29" s="90" t="n">
        <x:v>156472079.13</x:v>
      </x:c>
      <x:c r="L29" s="90" t="n">
        <x:v>37024818.56</x:v>
      </x:c>
      <x:c r="M29" s="90" t="n">
        <x:v>1375601472.71</x:v>
      </x:c>
      <x:c r="N29" s="90" t="n">
        <x:v>1309296008.22</x:v>
      </x:c>
      <x:c r="O29" s="90" t="n">
        <x:v>6195691212.48</x:v>
      </x:c>
      <x:c r="P29" s="90" t="n">
        <x:v>2648687987.61</x:v>
      </x:c>
      <x:c r="Q29" s="90" t="n">
        <x:v>255429137.12</x:v>
      </x:c>
      <x:c r="R29" s="90" t="n">
        <x:v>2108.08</x:v>
      </x:c>
      <x:c r="S29" s="90" t="n">
        <x:v>0.08</x:v>
      </x:c>
      <x:c r="T29" s="90" t="n">
        <x:v>301.33</x:v>
      </x:c>
      <x:c r="U29" s="90">
        <x:v>0</x:v>
      </x:c>
      <x:c r="V29" s="90">
        <x:v>0</x:v>
      </x:c>
      <x:c r="W29" s="90">
        <x:v>0</x:v>
      </x:c>
      <x:c r="X29" s="90">
        <x:v>0</x:v>
      </x:c>
      <x:c r="Y29" s="90">
        <x:v>0</x:v>
      </x:c>
      <x:c r="Z29" s="90" t="n">
        <x:v>-107.06</x:v>
      </x:c>
    </x:row>
    <x:row r="30" spans="2:26" ht="12.75" customHeight="1" x14ac:dyDescent="0.25">
      <x:c r="A30" t="inlineStr">
        <x:is>
          <x:t>Componente</x:t>
        </x:is>
      </x:c>
      <x:c r="B30" t="inlineStr">
        <x:is>
          <x:t>Total</x:t>
        </x:is>
      </x:c>
      <x:c r="C30" s="89"/>
      <x:c r="D30" s="89"/>
      <x:c r="E30"/>
      <x:c r="F30" s="90" t="n">
        <x:v>17977562274.3</x:v>
      </x:c>
      <x:c r="G30" s="90" t="n">
        <x:v>975171186.52</x:v>
      </x:c>
      <x:c r="H30" s="90" t="n">
        <x:v>549966432.03</x:v>
      </x:c>
      <x:c r="I30" s="90" t="n">
        <x:v>289278273.92</x:v>
      </x:c>
      <x:c r="J30" s="90" t="n">
        <x:v>4184913193.24</x:v>
      </x:c>
      <x:c r="K30" s="90" t="n">
        <x:v>156472451.44</x:v>
      </x:c>
      <x:c r="L30" s="90" t="n">
        <x:v>37024818.56</x:v>
      </x:c>
      <x:c r="M30" s="90" t="n">
        <x:v>1375604738.59</x:v>
      </x:c>
      <x:c r="N30" s="90" t="n">
        <x:v>1309299117.32</x:v>
      </x:c>
      <x:c r="O30" s="90" t="n">
        <x:v>6195705935.09</x:v>
      </x:c>
      <x:c r="P30" s="90" t="n">
        <x:v>2648694085.36</x:v>
      </x:c>
      <x:c r="Q30" s="90" t="n">
        <x:v>255429744.57</x:v>
      </x:c>
      <x:c r="R30" s="90" t="n">
        <x:v>2103.31</x:v>
      </x:c>
      <x:c r="S30" s="90" t="n">
        <x:v>0.08</x:v>
      </x:c>
      <x:c r="T30" s="90" t="n">
        <x:v>301.33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 t="n">
        <x:v>-107.06</x:v>
      </x:c>
    </x:row>
    <x:row r="31" spans="2:26" s="94" customFormat="1" ht="12.75" customHeight="1" x14ac:dyDescent="0.25">
      <x:c r="A31"/>
      <x:c r="B31"/>
      <x:c r="C31" s="101"/>
      <x:c r="D31" s="101"/>
      <x:c r="E31" t="inlineStr">
        <x:is>
          <x:t>Subsidio(-)/Contribucion(+)</x:t>
        </x:is>
      </x:c>
      <x:c r="F31" s="93" t="n">
        <x:v>21200.58</x:v>
      </x:c>
      <x:c r="G31" s="93" t="n">
        <x:v>1121.23</x:v>
      </x:c>
      <x:c r="H31" s="93" t="n">
        <x:v>633.05</x:v>
      </x:c>
      <x:c r="I31" s="93" t="n">
        <x:v>332.27</x:v>
      </x:c>
      <x:c r="J31" s="93" t="n">
        <x:v>5013.01</x:v>
      </x:c>
      <x:c r="K31" s="93" t="n">
        <x:v>186.15</x:v>
      </x:c>
      <x:c r="L31" s="93" t="n">
        <x:v>0</x:v>
      </x:c>
      <x:c r="M31" s="93" t="n">
        <x:v>1632.95</x:v>
      </x:c>
      <x:c r="N31" s="93" t="n">
        <x:v>1554.55</x:v>
      </x:c>
      <x:c r="O31" s="93" t="n">
        <x:v>7361.31</x:v>
      </x:c>
      <x:c r="P31" s="93" t="n">
        <x:v>3062.34</x:v>
      </x:c>
      <x:c r="Q31" s="93" t="n">
        <x:v>303.72</x:v>
      </x:c>
      <x:c r="R31" s="93" t="n">
        <x:v>0</x:v>
      </x:c>
      <x:c r="S31" s="93" t="n">
        <x:v>0</x:v>
      </x:c>
      <x:c r="T31" s="93" t="n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 t="n">
        <x:v>0</x:v>
      </x:c>
    </x:row>
    <x:row r="32" spans="2:26" s="226" customFormat="1" ht="12.75" customHeight="1" x14ac:dyDescent="0.25">
      <x:c r="A32"/>
      <x:c r="B32" s="98"/>
      <x:c r="C32" s="98"/>
      <x:c r="D32" t="inlineStr">
        <x:is>
          <x:t>E</x:t>
        </x:is>
      </x:c>
      <x:c r="E32" t="inlineStr">
        <x:is>
          <x:t>Total</x:t>
        </x:is>
      </x:c>
      <x:c r="F32" s="100" t="n">
        <x:v>21200.58</x:v>
      </x:c>
      <x:c r="G32" s="100" t="n">
        <x:v>1121.23</x:v>
      </x:c>
      <x:c r="H32" s="100" t="n">
        <x:v>633.05</x:v>
      </x:c>
      <x:c r="I32" s="100" t="n">
        <x:v>332.27</x:v>
      </x:c>
      <x:c r="J32" s="100" t="n">
        <x:v>5013.01</x:v>
      </x:c>
      <x:c r="K32" s="100" t="n">
        <x:v>186.15</x:v>
      </x:c>
      <x:c r="L32" s="100" t="n">
        <x:v>0</x:v>
      </x:c>
      <x:c r="M32" s="100" t="n">
        <x:v>1632.95</x:v>
      </x:c>
      <x:c r="N32" s="100" t="n">
        <x:v>1554.55</x:v>
      </x:c>
      <x:c r="O32" s="100" t="n">
        <x:v>7361.31</x:v>
      </x:c>
      <x:c r="P32" s="100" t="n">
        <x:v>3062.34</x:v>
      </x:c>
      <x:c r="Q32" s="100" t="n">
        <x:v>303.72</x:v>
      </x:c>
      <x:c r="R32" s="100" t="n">
        <x:v>0</x:v>
      </x:c>
      <x:c r="S32" s="100" t="n">
        <x:v>0</x:v>
      </x:c>
      <x:c r="T32" s="100" t="n">
        <x:v>0</x:v>
      </x:c>
      <x:c r="U32" s="100">
        <x:v>0</x:v>
      </x:c>
      <x:c r="V32" s="100">
        <x:v>0</x:v>
      </x:c>
      <x:c r="W32" s="100">
        <x:v>0</x:v>
      </x:c>
      <x:c r="X32" s="100">
        <x:v>0</x:v>
      </x:c>
      <x:c r="Y32" s="100">
        <x:v>0</x:v>
      </x:c>
      <x:c r="Z32" s="100" t="n">
        <x:v>0</x:v>
      </x:c>
    </x:row>
    <x:row r="33" spans="1:26" ht="12.65" customHeight="1" x14ac:dyDescent="0.25">
      <x:c r="A33"/>
      <x:c r="B33"/>
      <x:c r="C33" t="inlineStr">
        <x:is>
          <x:t>ENEL</x:t>
        </x:is>
      </x:c>
      <x:c r="D33" t="inlineStr">
        <x:is>
          <x:t>Total</x:t>
        </x:is>
      </x:c>
      <x:c r="E33" s="89"/>
      <x:c r="F33" s="89" t="n">
        <x:v>21200.58</x:v>
      </x:c>
      <x:c r="G33" s="90" t="n">
        <x:v>1121.23</x:v>
      </x:c>
      <x:c r="H33" s="90" t="n">
        <x:v>633.05</x:v>
      </x:c>
      <x:c r="I33" s="90" t="n">
        <x:v>332.27</x:v>
      </x:c>
      <x:c r="J33" s="90" t="n">
        <x:v>5013.01</x:v>
      </x:c>
      <x:c r="K33" s="90" t="n">
        <x:v>186.15</x:v>
      </x:c>
      <x:c r="L33" s="90" t="n">
        <x:v>0</x:v>
      </x:c>
      <x:c r="M33" s="90" t="n">
        <x:v>1632.95</x:v>
      </x:c>
      <x:c r="N33" s="90" t="n">
        <x:v>1554.55</x:v>
      </x:c>
      <x:c r="O33" s="90" t="n">
        <x:v>7361.31</x:v>
      </x:c>
      <x:c r="P33" s="90" t="n">
        <x:v>3062.34</x:v>
      </x:c>
      <x:c r="Q33" s="90" t="n">
        <x:v>303.72</x:v>
      </x:c>
      <x:c r="R33" s="90" t="n">
        <x:v>0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65" customHeight="1" x14ac:dyDescent="0.25">
      <x:c r="A34"/>
      <x:c r="B34" t="inlineStr">
        <x:is>
          <x:t>Aplicacion nuevos x reversion</x:t>
        </x:is>
      </x:c>
      <x:c r="C34" t="inlineStr">
        <x:is>
          <x:t>Total</x:t>
        </x:is>
      </x:c>
      <x:c r="D34"/>
      <x:c r="E34" s="89"/>
      <x:c r="F34" s="89" t="n">
        <x:v>21200.58</x:v>
      </x:c>
      <x:c r="G34" s="90" t="n">
        <x:v>1121.23</x:v>
      </x:c>
      <x:c r="H34" s="90" t="n">
        <x:v>633.05</x:v>
      </x:c>
      <x:c r="I34" s="90" t="n">
        <x:v>332.27</x:v>
      </x:c>
      <x:c r="J34" s="90" t="n">
        <x:v>5013.01</x:v>
      </x:c>
      <x:c r="K34" s="90" t="n">
        <x:v>186.15</x:v>
      </x:c>
      <x:c r="L34" s="90" t="n">
        <x:v>0</x:v>
      </x:c>
      <x:c r="M34" s="90" t="n">
        <x:v>1632.95</x:v>
      </x:c>
      <x:c r="N34" s="90" t="n">
        <x:v>1554.55</x:v>
      </x:c>
      <x:c r="O34" s="90" t="n">
        <x:v>7361.31</x:v>
      </x:c>
      <x:c r="P34" s="90" t="n">
        <x:v>3062.34</x:v>
      </x:c>
      <x:c r="Q34" s="90" t="n">
        <x:v>303.72</x:v>
      </x:c>
      <x:c r="R34" s="90" t="n">
        <x:v>0</x:v>
      </x:c>
      <x:c r="S34" s="90" t="n">
        <x:v>0</x:v>
      </x:c>
      <x:c r="T34" s="90" t="n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0</x:v>
      </x:c>
    </x:row>
    <x:row r="35" spans="1:26" ht="12.65" customHeight="1" x14ac:dyDescent="0.25">
      <x:c r="A35"/>
      <x:c r="B35"/>
      <x:c r="C35"/>
      <x:c r="D35"/>
      <x:c r="E35" s="89" t="inlineStr">
        <x:is>
          <x:t>Subsidio(-)/Contribucion(+)</x:t>
        </x:is>
      </x:c>
      <x:c r="F35" s="89" t="n">
        <x:v>151894229.16</x:v>
      </x:c>
      <x:c r="G35" s="90" t="n">
        <x:v>90683812.03</x:v>
      </x:c>
      <x:c r="H35" s="90" t="n">
        <x:v>51049001.82</x:v>
      </x:c>
      <x:c r="I35" s="90" t="n">
        <x:v>26794377.77</x:v>
      </x:c>
      <x:c r="J35" s="90" t="n">
        <x:v>-86416492.86</x:v>
      </x:c>
      <x:c r="K35" s="90" t="n">
        <x:v>-3024948.55</x:v>
      </x:c>
      <x:c r="L35" s="90" t="n">
        <x:v>0</x:v>
      </x:c>
      <x:c r="M35" s="90" t="n">
        <x:v>-27764105.78</x:v>
      </x:c>
      <x:c r="N35" s="90" t="n">
        <x:v>-25271107.74</x:v>
      </x:c>
      <x:c r="O35" s="90" t="n">
        <x:v>-120395616.61</x:v>
      </x:c>
      <x:c r="P35" s="90" t="n">
        <x:v>251159209.43</x:v>
      </x:c>
      <x:c r="Q35" s="90" t="n">
        <x:v>-4919900.35</x:v>
      </x:c>
      <x:c r="R35" s="90" t="n">
        <x:v>0</x:v>
      </x:c>
      <x:c r="S35" s="90" t="n">
        <x:v>0</x:v>
      </x:c>
      <x:c r="T35" s="90" t="n">
        <x:v>0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0</x:v>
      </x:c>
    </x:row>
    <x:row r="36" spans="1:26" s="286" customFormat="1" ht="12.75" customHeight="1" x14ac:dyDescent="0.25">
      <x:c r="A36"/>
      <x:c r="B36"/>
      <x:c r="C36" s="286"/>
      <x:c r="D36" s="286" t="inlineStr">
        <x:is>
          <x:t>E</x:t>
        </x:is>
      </x:c>
      <x:c r="E36" s="229" t="inlineStr">
        <x:is>
          <x:t>Total</x:t>
        </x:is>
      </x:c>
      <x:c r="F36" s="229" t="n">
        <x:v>151894229.16</x:v>
      </x:c>
      <x:c r="G36" s="230" t="n">
        <x:v>90683812.03</x:v>
      </x:c>
      <x:c r="H36" s="230" t="n">
        <x:v>51049001.82</x:v>
      </x:c>
      <x:c r="I36" s="230" t="n">
        <x:v>26794377.77</x:v>
      </x:c>
      <x:c r="J36" s="230" t="n">
        <x:v>-86416492.86</x:v>
      </x:c>
      <x:c r="K36" s="230" t="n">
        <x:v>-3024948.55</x:v>
      </x:c>
      <x:c r="L36" s="230" t="n">
        <x:v>0</x:v>
      </x:c>
      <x:c r="M36" s="230" t="n">
        <x:v>-27764105.78</x:v>
      </x:c>
      <x:c r="N36" s="230" t="n">
        <x:v>-25271107.74</x:v>
      </x:c>
      <x:c r="O36" s="230" t="n">
        <x:v>-120395616.61</x:v>
      </x:c>
      <x:c r="P36" s="230" t="n">
        <x:v>251159209.43</x:v>
      </x:c>
      <x:c r="Q36" s="230" t="n">
        <x:v>-4919900.35</x:v>
      </x:c>
      <x:c r="R36" s="230" t="n">
        <x:v>0</x:v>
      </x:c>
      <x:c r="S36" s="230" t="n">
        <x:v>0</x:v>
      </x:c>
      <x:c r="T36" s="230" t="n">
        <x:v>0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0</x:v>
      </x:c>
    </x:row>
    <x:row r="37" spans="1:26" s="378" customFormat="1" ht="12.65" customHeight="1" x14ac:dyDescent="0.25">
      <x:c r="A37"/>
      <x:c r="B37" s="378"/>
      <x:c r="C37" s="378" t="inlineStr">
        <x:is>
          <x:t>ENEL</x:t>
        </x:is>
      </x:c>
      <x:c r="D37" t="inlineStr">
        <x:is>
          <x:t>Total</x:t>
        </x:is>
      </x:c>
      <x:c r="E37" s="376"/>
      <x:c r="F37" s="376" t="n">
        <x:v>151894229.16</x:v>
      </x:c>
      <x:c r="G37" s="377" t="n">
        <x:v>90683812.03</x:v>
      </x:c>
      <x:c r="H37" s="377" t="n">
        <x:v>51049001.82</x:v>
      </x:c>
      <x:c r="I37" s="377" t="n">
        <x:v>26794377.77</x:v>
      </x:c>
      <x:c r="J37" s="377" t="n">
        <x:v>-86416492.86</x:v>
      </x:c>
      <x:c r="K37" s="377" t="n">
        <x:v>-3024948.55</x:v>
      </x:c>
      <x:c r="L37" s="377" t="n">
        <x:v>0</x:v>
      </x:c>
      <x:c r="M37" s="377" t="n">
        <x:v>-27764105.78</x:v>
      </x:c>
      <x:c r="N37" s="377" t="n">
        <x:v>-25271107.74</x:v>
      </x:c>
      <x:c r="O37" s="377" t="n">
        <x:v>-120395616.61</x:v>
      </x:c>
      <x:c r="P37" s="377" t="n">
        <x:v>251159209.43</x:v>
      </x:c>
      <x:c r="Q37" s="377" t="n">
        <x:v>-4919900.35</x:v>
      </x:c>
      <x:c r="R37" s="377" t="n">
        <x:v>0</x:v>
      </x:c>
      <x:c r="S37" s="377" t="n">
        <x:v>0</x:v>
      </x:c>
      <x:c r="T37" s="377" t="n">
        <x:v>0</x:v>
      </x:c>
      <x:c r="U37" s="377">
        <x:v>0</x:v>
      </x:c>
      <x:c r="V37" s="377">
        <x:v>0</x:v>
      </x:c>
      <x:c r="W37" s="377">
        <x:v>0</x:v>
      </x:c>
      <x:c r="X37" s="377">
        <x:v>0</x:v>
      </x:c>
      <x:c r="Y37" s="377">
        <x:v>0</x:v>
      </x:c>
      <x:c r="Z37" s="377" t="n">
        <x:v>0</x:v>
      </x:c>
    </x:row>
    <x:row r="38" spans="1:26" ht="12.75" customHeight="1" x14ac:dyDescent="0.25">
      <x:c r="A38"/>
      <x:c r="B38"/>
      <x:c r="C38"/>
      <x:c r="D38"/>
      <x:c r="E38" s="89" t="inlineStr">
        <x:is>
          <x:t>Subsidio(-)/Contribucion(+)</x:t>
        </x:is>
      </x:c>
      <x:c r="F38" s="384" t="n">
        <x:v>2021483.03</x:v>
      </x:c>
      <x:c r="G38" s="90" t="n">
        <x:v>707748.14</x:v>
      </x:c>
      <x:c r="H38" s="90" t="n">
        <x:v>403617.61</x:v>
      </x:c>
      <x:c r="I38" s="90" t="n">
        <x:v>212434.65</x:v>
      </x:c>
      <x:c r="J38" s="90" t="n">
        <x:v>-402532.63</x:v>
      </x:c>
      <x:c r="K38" s="90" t="n">
        <x:v>-15766.67</x:v>
      </x:c>
      <x:c r="L38" s="90" t="n">
        <x:v>0</x:v>
      </x:c>
      <x:c r="M38" s="90" t="n">
        <x:v>-141242.42</x:v>
      </x:c>
      <x:c r="N38" s="90" t="n">
        <x:v>-116984.96</x:v>
      </x:c>
      <x:c r="O38" s="90" t="n">
        <x:v>-532807.93</x:v>
      </x:c>
      <x:c r="P38" s="90" t="n">
        <x:v>1932740.99</x:v>
      </x:c>
      <x:c r="Q38" s="90" t="n">
        <x:v>-25723.75</x:v>
      </x:c>
      <x:c r="R38" s="90" t="n">
        <x:v>0</x:v>
      </x:c>
      <x:c r="S38" s="90" t="n">
        <x:v>0</x:v>
      </x:c>
      <x:c r="T38" s="90" t="n">
        <x:v>0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25">
      <x:c r="A39"/>
      <x:c r="B39"/>
      <x:c r="C39"/>
      <x:c r="D39" t="inlineStr">
        <x:is>
          <x:t>H</x:t>
        </x:is>
      </x:c>
      <x:c r="E39" s="89" t="inlineStr">
        <x:is>
          <x:t>Total</x:t>
        </x:is>
      </x:c>
      <x:c r="F39" s="384" t="n">
        <x:v>2021483.03</x:v>
      </x:c>
      <x:c r="G39" s="90" t="n">
        <x:v>707748.14</x:v>
      </x:c>
      <x:c r="H39" s="90" t="n">
        <x:v>403617.61</x:v>
      </x:c>
      <x:c r="I39" s="90" t="n">
        <x:v>212434.65</x:v>
      </x:c>
      <x:c r="J39" s="90" t="n">
        <x:v>-402532.63</x:v>
      </x:c>
      <x:c r="K39" s="90" t="n">
        <x:v>-15766.67</x:v>
      </x:c>
      <x:c r="L39" s="90" t="n">
        <x:v>0</x:v>
      </x:c>
      <x:c r="M39" s="90" t="n">
        <x:v>-141242.42</x:v>
      </x:c>
      <x:c r="N39" s="90" t="n">
        <x:v>-116984.96</x:v>
      </x:c>
      <x:c r="O39" s="90" t="n">
        <x:v>-532807.93</x:v>
      </x:c>
      <x:c r="P39" s="90" t="n">
        <x:v>1932740.99</x:v>
      </x:c>
      <x:c r="Q39" s="90" t="n">
        <x:v>-25723.75</x:v>
      </x:c>
      <x:c r="R39" s="90" t="n">
        <x:v>0</x:v>
      </x:c>
      <x:c r="S39" s="90" t="n">
        <x:v>0</x:v>
      </x:c>
      <x:c r="T39" s="90" t="n">
        <x:v>0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s="286" customFormat="1" ht="12.75" customHeight="1" x14ac:dyDescent="0.25">
      <x:c r="A40"/>
      <x:c r="B40"/>
      <x:c r="C40" s="286"/>
      <x:c r="D40" s="286"/>
      <x:c r="E40" s="229" t="inlineStr">
        <x:is>
          <x:t>Subsidio(-)/Contribucion(+)</x:t>
        </x:is>
      </x:c>
      <x:c r="F40" s="229" t="n">
        <x:v>13967365.52</x:v>
      </x:c>
      <x:c r="G40" s="230" t="n">
        <x:v>2999538.79</x:v>
      </x:c>
      <x:c r="H40" s="230" t="n">
        <x:v>1727763.65</x:v>
      </x:c>
      <x:c r="I40" s="230" t="n">
        <x:v>908877.93</x:v>
      </x:c>
      <x:c r="J40" s="230" t="n">
        <x:v>-376035.93</x:v>
      </x:c>
      <x:c r="K40" s="230" t="n">
        <x:v>-21939.23</x:v>
      </x:c>
      <x:c r="L40" s="230" t="n">
        <x:v>0</x:v>
      </x:c>
      <x:c r="M40" s="230" t="n">
        <x:v>-193832.61</x:v>
      </x:c>
      <x:c r="N40" s="230" t="n">
        <x:v>102993.61</x:v>
      </x:c>
      <x:c r="O40" s="230" t="n">
        <x:v>642642.72</x:v>
      </x:c>
      <x:c r="P40" s="230" t="n">
        <x:v>8213151.12</x:v>
      </x:c>
      <x:c r="Q40" s="230" t="n">
        <x:v>-35794.53</x:v>
      </x:c>
      <x:c r="R40" s="230" t="n">
        <x:v>0</x:v>
      </x:c>
      <x:c r="S40" s="230" t="n">
        <x:v>0</x:v>
      </x:c>
      <x:c r="T40" s="230" t="n">
        <x:v>0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0</x:v>
      </x:c>
    </x:row>
    <x:row r="41" spans="1:26" ht="12.75" customHeight="1" x14ac:dyDescent="0.25">
      <x:c r="A41"/>
      <x:c r="B41"/>
      <x:c r="C41"/>
      <x:c r="D41" s="89" t="inlineStr">
        <x:is>
          <x:t>O</x:t>
        </x:is>
      </x:c>
      <x:c r="E41" s="89" t="inlineStr">
        <x:is>
          <x:t>Total</x:t>
        </x:is>
      </x:c>
      <x:c r="F41" s="90" t="n">
        <x:v>13967365.52</x:v>
      </x:c>
      <x:c r="G41" s="90" t="n">
        <x:v>2999538.79</x:v>
      </x:c>
      <x:c r="H41" s="90" t="n">
        <x:v>1727763.65</x:v>
      </x:c>
      <x:c r="I41" s="90" t="n">
        <x:v>908877.93</x:v>
      </x:c>
      <x:c r="J41" s="90" t="n">
        <x:v>-376035.93</x:v>
      </x:c>
      <x:c r="K41" s="90" t="n">
        <x:v>-21939.23</x:v>
      </x:c>
      <x:c r="L41" s="90" t="n">
        <x:v>0</x:v>
      </x:c>
      <x:c r="M41" s="90" t="n">
        <x:v>-193832.61</x:v>
      </x:c>
      <x:c r="N41" s="90" t="n">
        <x:v>102993.61</x:v>
      </x:c>
      <x:c r="O41" s="90" t="n">
        <x:v>642642.72</x:v>
      </x:c>
      <x:c r="P41" s="90" t="n">
        <x:v>8213151.12</x:v>
      </x:c>
      <x:c r="Q41" s="90" t="n">
        <x:v>-35794.53</x:v>
      </x:c>
      <x:c r="R41" s="90" t="n">
        <x:v>0</x:v>
      </x:c>
      <x:c r="S41" s="90" t="n">
        <x:v>0</x:v>
      </x:c>
      <x:c r="T41" s="90" t="n">
        <x:v>0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25">
      <x:c r="A42"/>
      <x:c r="B42"/>
      <x:c r="C42"/>
      <x:c r="D42"/>
      <x:c r="E42" s="89" t="inlineStr">
        <x:is>
          <x:t>Subsidio(-)/Contribucion(+)</x:t>
        </x:is>
      </x:c>
      <x:c r="F42" s="90" t="n">
        <x:v>190301952.83</x:v>
      </x:c>
      <x:c r="G42" s="90" t="n">
        <x:v>34107615.44</x:v>
      </x:c>
      <x:c r="H42" s="90" t="n">
        <x:v>19171703.53</x:v>
      </x:c>
      <x:c r="I42" s="90" t="n">
        <x:v>10096437.05</x:v>
      </x:c>
      <x:c r="J42" s="90" t="n">
        <x:v>10987895.11</x:v>
      </x:c>
      <x:c r="K42" s="90" t="n">
        <x:v>313087.53</x:v>
      </x:c>
      <x:c r="L42" s="90" t="n">
        <x:v>0</x:v>
      </x:c>
      <x:c r="M42" s="90" t="n">
        <x:v>2737745.54</x:v>
      </x:c>
      <x:c r="N42" s="90" t="n">
        <x:v>3379843.01</x:v>
      </x:c>
      <x:c r="O42" s="90" t="n">
        <x:v>15862576.49</x:v>
      </x:c>
      <x:c r="P42" s="90" t="n">
        <x:v>93134787.32</x:v>
      </x:c>
      <x:c r="Q42" s="90" t="n">
        <x:v>510261.81</x:v>
      </x:c>
      <x:c r="R42" s="90" t="n">
        <x:v>0</x:v>
      </x:c>
      <x:c r="S42" s="90" t="n">
        <x:v>0</x:v>
      </x:c>
      <x:c r="T42" s="90" t="n">
        <x:v>0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25">
      <x:c r="A43"/>
      <x:c r="B43"/>
      <x:c r="C43"/>
      <x:c r="D43" s="89" t="inlineStr">
        <x:is>
          <x:t>T</x:t>
        </x:is>
      </x:c>
      <x:c r="E43" s="89" t="inlineStr">
        <x:is>
          <x:t>Total</x:t>
        </x:is>
      </x:c>
      <x:c r="F43" s="90" t="n">
        <x:v>190301952.83</x:v>
      </x:c>
      <x:c r="G43" s="90" t="n">
        <x:v>34107615.44</x:v>
      </x:c>
      <x:c r="H43" s="90" t="n">
        <x:v>19171703.53</x:v>
      </x:c>
      <x:c r="I43" s="90" t="n">
        <x:v>10096437.05</x:v>
      </x:c>
      <x:c r="J43" s="90" t="n">
        <x:v>10987895.11</x:v>
      </x:c>
      <x:c r="K43" s="90" t="n">
        <x:v>313087.53</x:v>
      </x:c>
      <x:c r="L43" s="90" t="n">
        <x:v>0</x:v>
      </x:c>
      <x:c r="M43" s="90" t="n">
        <x:v>2737745.54</x:v>
      </x:c>
      <x:c r="N43" s="90" t="n">
        <x:v>3379843.01</x:v>
      </x:c>
      <x:c r="O43" s="90" t="n">
        <x:v>15862576.49</x:v>
      </x:c>
      <x:c r="P43" s="90" t="n">
        <x:v>93134787.32</x:v>
      </x:c>
      <x:c r="Q43" s="90" t="n">
        <x:v>510261.81</x:v>
      </x:c>
      <x:c r="R43" s="90" t="n">
        <x:v>0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25">
      <x:c r="A44"/>
      <x:c r="B44"/>
      <x:c r="C44" t="inlineStr">
        <x:is>
          <x:t>OCCIDENTE</x:t>
        </x:is>
      </x:c>
      <x:c r="D44" t="inlineStr">
        <x:is>
          <x:t>Total</x:t>
        </x:is>
      </x:c>
      <x:c r="E44" s="89"/>
      <x:c r="F44" s="90" t="n">
        <x:v>206290801.38</x:v>
      </x:c>
      <x:c r="G44" s="90" t="n">
        <x:v>37814902.37</x:v>
      </x:c>
      <x:c r="H44" s="90" t="n">
        <x:v>21303084.79</x:v>
      </x:c>
      <x:c r="I44" s="90" t="n">
        <x:v>11217749.63</x:v>
      </x:c>
      <x:c r="J44" s="90" t="n">
        <x:v>10209326.55</x:v>
      </x:c>
      <x:c r="K44" s="90" t="n">
        <x:v>275381.63</x:v>
      </x:c>
      <x:c r="L44" s="90" t="n">
        <x:v>0</x:v>
      </x:c>
      <x:c r="M44" s="90" t="n">
        <x:v>2402670.51</x:v>
      </x:c>
      <x:c r="N44" s="90" t="n">
        <x:v>3365851.66</x:v>
      </x:c>
      <x:c r="O44" s="90" t="n">
        <x:v>15972411.28</x:v>
      </x:c>
      <x:c r="P44" s="90" t="n">
        <x:v>103280679.43</x:v>
      </x:c>
      <x:c r="Q44" s="90" t="n">
        <x:v>448743.53</x:v>
      </x:c>
      <x:c r="R44" s="90" t="n">
        <x:v>0</x:v>
      </x:c>
      <x:c r="S44" s="90" t="n">
        <x:v>0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25">
      <x:c r="A45"/>
      <x:c r="B45" t="inlineStr">
        <x:is>
          <x:t>Mes</x:t>
        </x:is>
      </x:c>
      <x:c r="C45" t="inlineStr">
        <x:is>
          <x:t>Total</x:t>
        </x:is>
      </x:c>
      <x:c r="D45" s="89"/>
      <x:c r="E45" s="89"/>
      <x:c r="F45" s="90" t="n">
        <x:v>358185030.54</x:v>
      </x:c>
      <x:c r="G45" s="90" t="n">
        <x:v>128498714.4</x:v>
      </x:c>
      <x:c r="H45" s="90" t="n">
        <x:v>72352086.61</x:v>
      </x:c>
      <x:c r="I45" s="90" t="n">
        <x:v>38012127.4</x:v>
      </x:c>
      <x:c r="J45" s="90" t="n">
        <x:v>-76207166.31</x:v>
      </x:c>
      <x:c r="K45" s="90" t="n">
        <x:v>-2749566.92</x:v>
      </x:c>
      <x:c r="L45" s="90" t="n">
        <x:v>0</x:v>
      </x:c>
      <x:c r="M45" s="90" t="n">
        <x:v>-25361435.27</x:v>
      </x:c>
      <x:c r="N45" s="90" t="n">
        <x:v>-21905256.08</x:v>
      </x:c>
      <x:c r="O45" s="90" t="n">
        <x:v>-104423205.33</x:v>
      </x:c>
      <x:c r="P45" s="90" t="n">
        <x:v>354439888.86</x:v>
      </x:c>
      <x:c r="Q45" s="90" t="n">
        <x:v>-4471156.82</x:v>
      </x:c>
      <x:c r="R45" s="90" t="n">
        <x:v>0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ht="12.75" customHeight="1" x14ac:dyDescent="0.25">
      <x:c r="A46" t="inlineStr">
        <x:is>
          <x:t>Subs/Cont</x:t>
        </x:is>
      </x:c>
      <x:c r="B46" t="inlineStr">
        <x:is>
          <x:t>Total</x:t>
        </x:is>
      </x:c>
      <x:c r="C46" s="89"/>
      <x:c r="D46" s="89"/>
      <x:c r="E46"/>
      <x:c r="F46" s="90" t="n">
        <x:v>358206231.12</x:v>
      </x:c>
      <x:c r="G46" s="90" t="n">
        <x:v>128499835.63</x:v>
      </x:c>
      <x:c r="H46" s="90" t="n">
        <x:v>72352719.66</x:v>
      </x:c>
      <x:c r="I46" s="90" t="n">
        <x:v>38012459.67</x:v>
      </x:c>
      <x:c r="J46" s="90" t="n">
        <x:v>-76202153.3</x:v>
      </x:c>
      <x:c r="K46" s="90" t="n">
        <x:v>-2749380.77</x:v>
      </x:c>
      <x:c r="L46" s="90" t="n">
        <x:v>0</x:v>
      </x:c>
      <x:c r="M46" s="90" t="n">
        <x:v>-25359802.32</x:v>
      </x:c>
      <x:c r="N46" s="90" t="n">
        <x:v>-21903701.53</x:v>
      </x:c>
      <x:c r="O46" s="90" t="n">
        <x:v>-104415844.02</x:v>
      </x:c>
      <x:c r="P46" s="90" t="n">
        <x:v>354442951.2</x:v>
      </x:c>
      <x:c r="Q46" s="90" t="n">
        <x:v>-4470853.1</x:v>
      </x:c>
      <x:c r="R46" s="90" t="n">
        <x:v>0</x:v>
      </x:c>
      <x:c r="S46" s="90" t="n">
        <x:v>0</x:v>
      </x:c>
      <x:c r="T46" s="90" t="n">
        <x:v>0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1:42" ht="12.75" customHeight="1" x14ac:dyDescent="0.25">
      <x:c r="A47" s="89" t="inlineStr">
        <x:is>
          <x:t>Total</x:t>
        </x:is>
      </x:c>
      <x:c r="B47"/>
      <x:c r="C47"/>
      <x:c r="D47"/>
      <x:c r="E47"/>
      <x:c r="F47" s="90" t="n">
        <x:v>18335759381.52</x:v>
      </x:c>
      <x:c r="G47" s="90" t="n">
        <x:v>1103670397.07</x:v>
      </x:c>
      <x:c r="H47" s="90" t="n">
        <x:v>622318886.13</x:v>
      </x:c>
      <x:c r="I47" s="90" t="n">
        <x:v>327290617.64</x:v>
      </x:c>
      <x:c r="J47" s="90" t="n">
        <x:v>4108709439.02</x:v>
      </x:c>
      <x:c r="K47" s="90" t="n">
        <x:v>153722967.21</x:v>
      </x:c>
      <x:c r="L47" s="90" t="n">
        <x:v>37024818.56</x:v>
      </x:c>
      <x:c r="M47" s="90" t="n">
        <x:v>1350244028.85</x:v>
      </x:c>
      <x:c r="N47" s="90" t="n">
        <x:v>1287394656.38</x:v>
      </x:c>
      <x:c r="O47" s="90" t="n">
        <x:v>6091287059.73</x:v>
      </x:c>
      <x:c r="P47" s="90" t="n">
        <x:v>3003135490.59</x:v>
      </x:c>
      <x:c r="Q47" s="90" t="n">
        <x:v>250958722.68</x:v>
      </x:c>
      <x:c r="R47" s="90" t="n">
        <x:v>2103.31</x:v>
      </x:c>
      <x:c r="S47" s="90" t="n">
        <x:v>0.08</x:v>
      </x:c>
      <x:c r="T47" t="n">
        <x:v>301.33</x:v>
      </x:c>
      <x:c r="U47">
        <x:v>0</x:v>
      </x:c>
      <x:c r="V47">
        <x:v>0</x:v>
      </x:c>
      <x:c r="W47">
        <x:v>0</x:v>
      </x:c>
      <x:c r="X47" s="90">
        <x:v>0</x:v>
      </x:c>
      <x:c r="Y47" s="90">
        <x:v>0</x:v>
      </x:c>
      <x:c r="Z47" t="n">
        <x:v>-107.06</x:v>
      </x:c>
    </x:row>
    <x:row r="48" spans="1:42" ht="12.75" customHeight="1" x14ac:dyDescent="0.25">
      <x:c r="A48" s="89"/>
      <x:c r="D48" s="143"/>
      <x:c r="E48" s="137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  <x:c r="X48" s="90"/>
      <x:c r="Y48" s="90"/>
    </x:row>
    <x:row r="49" spans="1:42" ht="12.75" customHeight="1" x14ac:dyDescent="0.25">
      <x:c r="A49" s="89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42" ht="12.75" customHeight="1" x14ac:dyDescent="0.25">
      <x:c r="C50" s="774" t="s">
        <x:v>2</x:v>
      </x:c>
      <x:c r="D50" s="771" t="s">
        <x:v>132</x:v>
      </x:c>
      <x:c r="E50" s="98" t="s">
        <x:v>70</x:v>
      </x:c>
      <x:c r="F50" s="100">
        <x:f>F32+F47+F12-L12-L32</x:f>
        <x:v>17339793559.860001</x:v>
      </x:c>
      <x:c r="G50" s="100">
        <x:f t="shared" ref="G50:AP50" si="0">G32+G12</x:f>
        <x:v>898223141.86000001</x:v>
      </x:c>
      <x:c r="H50" s="100">
        <x:f t="shared" si="0"/>
        <x:v>506560790.43000001</x:v>
      </x:c>
      <x:c r="I50" s="100">
        <x:f t="shared" si="0"/>
        <x:v>266134388.70000002</x:v>
      </x:c>
      <x:c r="J50" s="100">
        <x:f t="shared" si="0"/>
        <x:v>3794558031.4300003</x:v>
      </x:c>
      <x:c r="K50" s="100">
        <x:f t="shared" si="0"/>
        <x:v>133542703.31</x:v>
      </x:c>
      <x:c r="L50" s="100">
        <x:f t="shared" si="0"/>
        <x:v>25277316.260000002</x:v>
      </x:c>
      <x:c r="M50" s="100">
        <x:f t="shared" si="0"/>
        <x:v>1174928495.1000001</x:v>
      </x:c>
      <x:c r="N50" s="100">
        <x:f t="shared" si="0"/>
        <x:v>1130888113.8599999</x:v>
      </x:c>
      <x:c r="O50" s="100">
        <x:f t="shared" si="0"/>
        <x:v>5352175528.7699995</x:v>
      </x:c>
      <x:c r="P50" s="100">
        <x:f t="shared" si="0"/>
        <x:v>2435749635.8000002</x:v>
      </x:c>
      <x:c r="Q50" s="100">
        <x:f t="shared" si="0"/>
        <x:v>217904578.31</x:v>
      </x:c>
      <x:c r="R50" s="100">
        <x:f t="shared" si="0"/>
        <x:v>-17545.2</x:v>
      </x:c>
      <x:c r="S50" s="100">
        <x:f t="shared" si="0"/>
        <x:v>-2114.83</x:v>
      </x:c>
      <x:c r="T50" s="100">
        <x:f t="shared" si="0"/>
        <x:v>522.25</x:v>
      </x:c>
      <x:c r="U50" s="100">
        <x:f t="shared" si="0"/>
        <x:v>0</x:v>
      </x:c>
      <x:c r="V50" s="100">
        <x:f t="shared" si="0"/>
        <x:v>0</x:v>
      </x:c>
      <x:c r="W50" s="100">
        <x:f t="shared" si="0"/>
        <x:v>0</x:v>
      </x:c>
      <x:c r="X50" s="100">
        <x:f t="shared" si="0"/>
        <x:v>0</x:v>
      </x:c>
      <x:c r="Y50" s="100">
        <x:f t="shared" si="0"/>
        <x:v>0</x:v>
      </x:c>
      <x:c r="Z50" s="100">
        <x:f t="shared" si="0"/>
        <x:v>-0.03</x:v>
      </x:c>
      <x:c r="AA50" s="100">
        <x:f t="shared" si="0"/>
        <x:v>0</x:v>
      </x:c>
      <x:c r="AB50" s="100">
        <x:f t="shared" si="0"/>
        <x:v>0</x:v>
      </x:c>
      <x:c r="AC50" s="100">
        <x:f t="shared" si="0"/>
        <x:v>0</x:v>
      </x:c>
      <x:c r="AD50" s="100">
        <x:f t="shared" si="0"/>
        <x:v>0</x:v>
      </x:c>
      <x:c r="AE50" s="100">
        <x:f t="shared" si="0"/>
        <x:v>0</x:v>
      </x:c>
      <x:c r="AF50" s="100">
        <x:f t="shared" si="0"/>
        <x:v>0</x:v>
      </x:c>
      <x:c r="AG50" s="100">
        <x:f t="shared" si="0"/>
        <x:v>0</x:v>
      </x:c>
      <x:c r="AH50" s="100">
        <x:f t="shared" si="0"/>
        <x:v>0</x:v>
      </x:c>
      <x:c r="AI50" s="100">
        <x:f t="shared" si="0"/>
        <x:v>0</x:v>
      </x:c>
      <x:c r="AJ50" s="100">
        <x:f t="shared" si="0"/>
        <x:v>0</x:v>
      </x:c>
      <x:c r="AK50" s="100">
        <x:f t="shared" si="0"/>
        <x:v>0</x:v>
      </x:c>
      <x:c r="AL50" s="100">
        <x:f t="shared" si="0"/>
        <x:v>0</x:v>
      </x:c>
      <x:c r="AM50" s="100">
        <x:f t="shared" si="0"/>
        <x:v>0</x:v>
      </x:c>
      <x:c r="AN50" s="100">
        <x:f t="shared" si="0"/>
        <x:v>0</x:v>
      </x:c>
      <x:c r="AO50" s="100">
        <x:f t="shared" si="0"/>
        <x:v>0</x:v>
      </x:c>
      <x:c r="AP50" s="100">
        <x:f t="shared" si="0"/>
        <x:v>0</x:v>
      </x:c>
    </x:row>
    <x:row r="51" spans="1:42" ht="12.75" customHeight="1" x14ac:dyDescent="0.25">
      <x:c r="C51" s="774"/>
      <x:c r="D51" s="771"/>
      <x:c r="E51" s="98" t="s">
        <x:v>73</x:v>
      </x:c>
      <x:c r="F51" s="100">
        <x:f>F47</x:f>
        <x:v>1429147290.0999999</x:v>
      </x:c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42" ht="12.75" customHeight="1" x14ac:dyDescent="0.25">
      <x:c r="C52" s="774"/>
      <x:c r="D52" s="771" t="s">
        <x:v>133</x:v>
      </x:c>
      <x:c r="E52" s="233" t="s">
        <x:v>70</x:v>
      </x:c>
      <x:c r="F52" s="234">
        <x:f>F37+F17-L17</x:f>
        <x:v>49580</x:v>
      </x:c>
      <x:c r="G52" s="234">
        <x:f>G17</x:f>
        <x:v>2007.44</x:v>
      </x:c>
      <x:c r="H52" s="234">
        <x:f t="shared" ref="H52:AP52" si="1">H17</x:f>
        <x:v>1133.3800000000001</x:v>
      </x:c>
      <x:c r="I52" s="234">
        <x:f t="shared" si="1"/>
        <x:v>594.88</x:v>
      </x:c>
      <x:c r="J52" s="234">
        <x:f t="shared" si="1"/>
        <x:v>0</x:v>
      </x:c>
      <x:c r="K52" s="234">
        <x:f t="shared" si="1"/>
        <x:v>0</x:v>
      </x:c>
      <x:c r="L52" s="234">
        <x:f t="shared" si="1"/>
        <x:v>0</x:v>
      </x:c>
      <x:c r="M52" s="234">
        <x:f t="shared" si="1"/>
        <x:v>0</x:v>
      </x:c>
      <x:c r="N52" s="234">
        <x:f t="shared" si="1"/>
        <x:v>0</x:v>
      </x:c>
      <x:c r="O52" s="234">
        <x:f t="shared" si="1"/>
        <x:v>0</x:v>
      </x:c>
      <x:c r="P52" s="234">
        <x:f t="shared" si="1"/>
        <x:v>5482.6</x:v>
      </x:c>
      <x:c r="Q52" s="234">
        <x:f t="shared" si="1"/>
        <x:v>0</x:v>
      </x:c>
      <x:c r="R52" s="234">
        <x:f t="shared" si="1"/>
        <x:v>-2.61</x:v>
      </x:c>
      <x:c r="S52" s="234">
        <x:f t="shared" si="1"/>
        <x:v>0</x:v>
      </x:c>
      <x:c r="T52" s="234">
        <x:f t="shared" si="1"/>
        <x:v>0</x:v>
      </x:c>
      <x:c r="U52" s="234">
        <x:f t="shared" si="1"/>
        <x:v>0</x:v>
      </x:c>
      <x:c r="V52" s="234">
        <x:f t="shared" si="1"/>
        <x:v>0</x:v>
      </x:c>
      <x:c r="W52" s="234">
        <x:f t="shared" si="1"/>
        <x:v>0</x:v>
      </x:c>
      <x:c r="X52" s="234">
        <x:f t="shared" si="1"/>
        <x:v>0</x:v>
      </x:c>
      <x:c r="Y52" s="234">
        <x:f t="shared" si="1"/>
        <x:v>0</x:v>
      </x:c>
      <x:c r="Z52" s="234">
        <x:f t="shared" si="1"/>
        <x:v>0</x:v>
      </x:c>
      <x:c r="AA52" s="234">
        <x:f t="shared" si="1"/>
        <x:v>0</x:v>
      </x:c>
      <x:c r="AB52" s="234">
        <x:f t="shared" si="1"/>
        <x:v>0</x:v>
      </x:c>
      <x:c r="AC52" s="234">
        <x:f t="shared" si="1"/>
        <x:v>0</x:v>
      </x:c>
      <x:c r="AD52" s="234">
        <x:f t="shared" si="1"/>
        <x:v>0</x:v>
      </x:c>
      <x:c r="AE52" s="234">
        <x:f t="shared" si="1"/>
        <x:v>0</x:v>
      </x:c>
      <x:c r="AF52" s="234">
        <x:f t="shared" si="1"/>
        <x:v>0</x:v>
      </x:c>
      <x:c r="AG52" s="234">
        <x:f t="shared" si="1"/>
        <x:v>0</x:v>
      </x:c>
      <x:c r="AH52" s="234">
        <x:f t="shared" si="1"/>
        <x:v>0</x:v>
      </x:c>
      <x:c r="AI52" s="234">
        <x:f t="shared" si="1"/>
        <x:v>0</x:v>
      </x:c>
      <x:c r="AJ52" s="234">
        <x:f t="shared" si="1"/>
        <x:v>0</x:v>
      </x:c>
      <x:c r="AK52" s="234">
        <x:f t="shared" si="1"/>
        <x:v>0</x:v>
      </x:c>
      <x:c r="AL52" s="234">
        <x:f t="shared" si="1"/>
        <x:v>0</x:v>
      </x:c>
      <x:c r="AM52" s="234">
        <x:f t="shared" si="1"/>
        <x:v>0</x:v>
      </x:c>
      <x:c r="AN52" s="234">
        <x:f t="shared" si="1"/>
        <x:v>0</x:v>
      </x:c>
      <x:c r="AO52" s="234">
        <x:f t="shared" si="1"/>
        <x:v>0</x:v>
      </x:c>
      <x:c r="AP52" s="234">
        <x:f t="shared" si="1"/>
        <x:v>0</x:v>
      </x:c>
    </x:row>
    <x:row r="53" spans="1:42" ht="12.75" customHeight="1" x14ac:dyDescent="0.25">
      <x:c r="C53" s="774"/>
      <x:c r="D53" s="771"/>
      <x:c r="E53" s="233" t="s">
        <x:v>73</x:v>
      </x:c>
      <x:c r="F53" s="234">
        <x:f>F37</x:f>
        <x:v>40364.31</x:v>
      </x:c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</x:row>
    <x:row r="54" spans="1:42" ht="12.75" customHeight="1" x14ac:dyDescent="0.3">
      <x:c r="A54" s="89"/>
      <x:c r="C54" s="97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42" ht="12.75" customHeight="1" x14ac:dyDescent="0.25">
      <x:c r="C55" s="774" t="s">
        <x:v>160</x:v>
      </x:c>
      <x:c r="D55" s="771" t="s">
        <x:v>132</x:v>
      </x:c>
      <x:c r="E55" s="223" t="s">
        <x:v>70</x:v>
      </x:c>
      <x:c r="F55" s="225">
        <x:v>0</x:v>
      </x:c>
      <x:c r="G55" s="225">
        <x:v>0</x:v>
      </x:c>
      <x:c r="H55" s="225">
        <x:v>0</x:v>
      </x:c>
      <x:c r="I55" s="225">
        <x:v>0</x:v>
      </x:c>
      <x:c r="J55" s="225">
        <x:v>0</x:v>
      </x:c>
      <x:c r="K55" s="225">
        <x:v>0</x:v>
      </x:c>
      <x:c r="L55" s="225">
        <x:v>0</x:v>
      </x:c>
      <x:c r="M55" s="225">
        <x:v>0</x:v>
      </x:c>
      <x:c r="N55" s="225">
        <x:v>0</x:v>
      </x:c>
      <x:c r="O55" s="225">
        <x:v>0</x:v>
      </x:c>
      <x:c r="P55" s="225">
        <x:v>0</x:v>
      </x:c>
      <x:c r="Q55" s="225">
        <x:v>0</x:v>
      </x:c>
      <x:c r="R55" s="225">
        <x:v>0</x:v>
      </x:c>
      <x:c r="S55" s="225">
        <x:v>0</x:v>
      </x:c>
      <x:c r="T55" s="225">
        <x:v>0</x:v>
      </x:c>
      <x:c r="U55" s="225">
        <x:v>0</x:v>
      </x:c>
      <x:c r="V55" s="225">
        <x:v>0</x:v>
      </x:c>
      <x:c r="W55" s="225">
        <x:v>0</x:v>
      </x:c>
      <x:c r="X55" s="225">
        <x:v>0</x:v>
      </x:c>
      <x:c r="Y55" s="225">
        <x:v>0</x:v>
      </x:c>
      <x:c r="Z55" s="225">
        <x:v>0</x:v>
      </x:c>
      <x:c r="AA55" s="225">
        <x:v>0</x:v>
      </x:c>
      <x:c r="AB55" s="225">
        <x:v>0</x:v>
      </x:c>
      <x:c r="AC55" s="225">
        <x:v>0</x:v>
      </x:c>
      <x:c r="AD55" s="225">
        <x:v>0</x:v>
      </x:c>
      <x:c r="AE55" s="225">
        <x:v>0</x:v>
      </x:c>
      <x:c r="AF55" s="225">
        <x:v>0</x:v>
      </x:c>
      <x:c r="AG55" s="225">
        <x:v>0</x:v>
      </x:c>
      <x:c r="AH55" s="225">
        <x:v>0</x:v>
      </x:c>
      <x:c r="AI55" s="225">
        <x:v>0</x:v>
      </x:c>
      <x:c r="AJ55" s="225">
        <x:v>0</x:v>
      </x:c>
      <x:c r="AK55" s="225">
        <x:v>0</x:v>
      </x:c>
      <x:c r="AL55" s="225">
        <x:v>0</x:v>
      </x:c>
      <x:c r="AM55" s="225">
        <x:v>0</x:v>
      </x:c>
      <x:c r="AN55" s="225">
        <x:v>0</x:v>
      </x:c>
      <x:c r="AO55" s="225">
        <x:v>0</x:v>
      </x:c>
      <x:c r="AP55" s="225">
        <x:v>0</x:v>
      </x:c>
    </x:row>
    <x:row r="56" spans="1:42" ht="12.75" customHeight="1" x14ac:dyDescent="0.25">
      <x:c r="C56" s="774"/>
      <x:c r="D56" s="771"/>
      <x:c r="E56" s="223" t="s">
        <x:v>73</x:v>
      </x:c>
      <x:c r="F56" s="225">
        <x:v>0</x:v>
      </x:c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</x:row>
    <x:row r="57" spans="1:42" ht="12.75" customHeight="1" x14ac:dyDescent="0.25">
      <x:c r="C57" s="774"/>
      <x:c r="D57" s="771" t="s">
        <x:v>133</x:v>
      </x:c>
      <x:c r="E57" s="227" t="s">
        <x:v>70</x:v>
      </x:c>
      <x:c r="F57" s="228">
        <x:v>0</x:v>
      </x:c>
      <x:c r="G57" s="228">
        <x:v>0</x:v>
      </x:c>
      <x:c r="H57" s="228">
        <x:v>0</x:v>
      </x:c>
      <x:c r="I57" s="228">
        <x:v>0</x:v>
      </x:c>
      <x:c r="J57" s="228">
        <x:v>0</x:v>
      </x:c>
      <x:c r="K57" s="228">
        <x:v>0</x:v>
      </x:c>
      <x:c r="L57" s="228">
        <x:v>0</x:v>
      </x:c>
      <x:c r="M57" s="228">
        <x:v>0</x:v>
      </x:c>
      <x:c r="N57" s="228">
        <x:v>0</x:v>
      </x:c>
      <x:c r="O57" s="228">
        <x:v>0</x:v>
      </x:c>
      <x:c r="P57" s="228">
        <x:v>0</x:v>
      </x:c>
      <x:c r="Q57" s="228">
        <x:v>0</x:v>
      </x:c>
      <x:c r="R57" s="228">
        <x:v>0</x:v>
      </x:c>
      <x:c r="S57" s="228">
        <x:v>0</x:v>
      </x:c>
      <x:c r="T57" s="228">
        <x:v>0</x:v>
      </x:c>
      <x:c r="U57" s="228">
        <x:v>0</x:v>
      </x:c>
      <x:c r="V57" s="228">
        <x:v>0</x:v>
      </x:c>
      <x:c r="W57" s="228">
        <x:v>0</x:v>
      </x:c>
      <x:c r="X57" s="228">
        <x:v>0</x:v>
      </x:c>
      <x:c r="Y57" s="228">
        <x:v>0</x:v>
      </x:c>
      <x:c r="Z57" s="228">
        <x:v>0</x:v>
      </x:c>
      <x:c r="AA57" s="228">
        <x:v>0</x:v>
      </x:c>
      <x:c r="AB57" s="228">
        <x:v>0</x:v>
      </x:c>
      <x:c r="AC57" s="228">
        <x:v>0</x:v>
      </x:c>
      <x:c r="AD57" s="228">
        <x:v>0</x:v>
      </x:c>
      <x:c r="AE57" s="228">
        <x:v>0</x:v>
      </x:c>
      <x:c r="AF57" s="228">
        <x:v>0</x:v>
      </x:c>
      <x:c r="AG57" s="228">
        <x:v>0</x:v>
      </x:c>
      <x:c r="AH57" s="228">
        <x:v>0</x:v>
      </x:c>
      <x:c r="AI57" s="228">
        <x:v>0</x:v>
      </x:c>
      <x:c r="AJ57" s="228">
        <x:v>0</x:v>
      </x:c>
      <x:c r="AK57" s="228">
        <x:v>0</x:v>
      </x:c>
      <x:c r="AL57" s="228">
        <x:v>0</x:v>
      </x:c>
      <x:c r="AM57" s="228">
        <x:v>0</x:v>
      </x:c>
      <x:c r="AN57" s="228">
        <x:v>0</x:v>
      </x:c>
      <x:c r="AO57" s="228">
        <x:v>0</x:v>
      </x:c>
      <x:c r="AP57" s="228">
        <x:v>0</x:v>
      </x:c>
    </x:row>
    <x:row r="58" spans="1:42" ht="12.75" customHeight="1" x14ac:dyDescent="0.25">
      <x:c r="C58" s="774"/>
      <x:c r="D58" s="771"/>
      <x:c r="E58" s="227" t="s">
        <x:v>73</x:v>
      </x:c>
      <x:c r="F58" s="228">
        <x:v>0</x:v>
      </x:c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</x:row>
    <x:row r="59" spans="1:42" ht="12.75" customHeight="1" x14ac:dyDescent="0.3">
      <x:c r="A59" s="89"/>
      <x:c r="C59" s="97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42" ht="12.75" customHeight="1" x14ac:dyDescent="0.25">
      <x:c r="C60" s="774" t="s">
        <x:v>155</x:v>
      </x:c>
      <x:c r="D60" s="771" t="s">
        <x:v>132</x:v>
      </x:c>
      <x:c r="E60" s="221" t="s">
        <x:v>70</x:v>
      </x:c>
      <x:c r="F60" s="222">
        <x:f>F40+F21+F8-L8-L21</x:f>
        <x:v>16560599150.5</x:v>
      </x:c>
      <x:c r="G60" s="222">
        <x:f>G21+G8</x:f>
        <x:v>801645029.27999997</x:v>
      </x:c>
      <x:c r="H60" s="222">
        <x:f t="shared" ref="H60:AP60" si="2">H21+H8</x:f>
        <x:v>452328892.93000001</x:v>
      </x:c>
      <x:c r="I60" s="222">
        <x:f t="shared" si="2"/>
        <x:v>237653152.88</x:v>
      </x:c>
      <x:c r="J60" s="222">
        <x:f t="shared" si="2"/>
        <x:v>3743398457.3299999</x:v>
      </x:c>
      <x:c r="K60" s="222">
        <x:f t="shared" si="2"/>
        <x:v>131909206.38000001</x:v>
      </x:c>
      <x:c r="L60" s="222">
        <x:f t="shared" si="2"/>
        <x:v>16516492.25</x:v>
      </x:c>
      <x:c r="M60" s="222">
        <x:f t="shared" si="2"/>
        <x:v>1160554403.1900001</x:v>
      </x:c>
      <x:c r="N60" s="222">
        <x:f t="shared" si="2"/>
        <x:v>1113470084.8499999</x:v>
      </x:c>
      <x:c r="O60" s="222">
        <x:f t="shared" si="2"/>
        <x:v>5271166494.5799999</x:v>
      </x:c>
      <x:c r="P60" s="222">
        <x:f t="shared" si="2"/>
        <x:v>2172128352.0600004</x:v>
      </x:c>
      <x:c r="Q60" s="222">
        <x:f t="shared" si="2"/>
        <x:v>215238429.09999999</x:v>
      </x:c>
      <x:c r="R60" s="222">
        <x:f t="shared" si="2"/>
        <x:v>-16764.259999999998</x:v>
      </x:c>
      <x:c r="S60" s="222">
        <x:f t="shared" si="2"/>
        <x:v>0</x:v>
      </x:c>
      <x:c r="T60" s="222">
        <x:f t="shared" si="2"/>
        <x:v>521.79999999999995</x:v>
      </x:c>
      <x:c r="U60" s="222">
        <x:f t="shared" si="2"/>
        <x:v>0</x:v>
      </x:c>
      <x:c r="V60" s="222">
        <x:f t="shared" si="2"/>
        <x:v>0</x:v>
      </x:c>
      <x:c r="W60" s="222">
        <x:f t="shared" si="2"/>
        <x:v>0</x:v>
      </x:c>
      <x:c r="X60" s="222">
        <x:f t="shared" si="2"/>
        <x:v>0</x:v>
      </x:c>
      <x:c r="Y60" s="222">
        <x:f t="shared" si="2"/>
        <x:v>0</x:v>
      </x:c>
      <x:c r="Z60" s="222">
        <x:f t="shared" si="2"/>
        <x:v>-0.03</x:v>
      </x:c>
      <x:c r="AA60" s="222">
        <x:f t="shared" si="2"/>
        <x:v>0</x:v>
      </x:c>
      <x:c r="AB60" s="222">
        <x:f t="shared" si="2"/>
        <x:v>0</x:v>
      </x:c>
      <x:c r="AC60" s="222">
        <x:f t="shared" si="2"/>
        <x:v>0</x:v>
      </x:c>
      <x:c r="AD60" s="222">
        <x:f t="shared" si="2"/>
        <x:v>0</x:v>
      </x:c>
      <x:c r="AE60" s="222">
        <x:f t="shared" si="2"/>
        <x:v>0</x:v>
      </x:c>
      <x:c r="AF60" s="222">
        <x:f t="shared" si="2"/>
        <x:v>0</x:v>
      </x:c>
      <x:c r="AG60" s="222">
        <x:f t="shared" si="2"/>
        <x:v>0</x:v>
      </x:c>
      <x:c r="AH60" s="222">
        <x:f t="shared" si="2"/>
        <x:v>0</x:v>
      </x:c>
      <x:c r="AI60" s="222">
        <x:f t="shared" si="2"/>
        <x:v>0</x:v>
      </x:c>
      <x:c r="AJ60" s="222">
        <x:f t="shared" si="2"/>
        <x:v>0</x:v>
      </x:c>
      <x:c r="AK60" s="222">
        <x:f t="shared" si="2"/>
        <x:v>0</x:v>
      </x:c>
      <x:c r="AL60" s="222">
        <x:f t="shared" si="2"/>
        <x:v>0</x:v>
      </x:c>
      <x:c r="AM60" s="222">
        <x:f t="shared" si="2"/>
        <x:v>0</x:v>
      </x:c>
      <x:c r="AN60" s="222">
        <x:f t="shared" si="2"/>
        <x:v>0</x:v>
      </x:c>
      <x:c r="AO60" s="222">
        <x:f t="shared" si="2"/>
        <x:v>0</x:v>
      </x:c>
      <x:c r="AP60" s="222">
        <x:f t="shared" si="2"/>
        <x:v>0</x:v>
      </x:c>
    </x:row>
    <x:row r="61" spans="1:42" ht="12.75" customHeight="1" x14ac:dyDescent="0.25">
      <x:c r="C61" s="774"/>
      <x:c r="D61" s="771"/>
      <x:c r="E61" s="221" t="s">
        <x:v>73</x:v>
      </x:c>
      <x:c r="F61" s="222">
        <x:f>F40</x:f>
        <x:v>1261122890.4100001</x:v>
      </x:c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42" ht="12.75" customHeight="1" x14ac:dyDescent="0.25">
      <x:c r="B62" s="150"/>
      <x:c r="C62" s="774"/>
      <x:c r="D62" s="771" t="s">
        <x:v>133</x:v>
      </x:c>
      <x:c r="E62" s="229" t="s">
        <x:v>70</x:v>
      </x:c>
      <x:c r="F62" s="230">
        <x:f>F36+F16-L16</x:f>
        <x:v>49580</x:v>
      </x:c>
      <x:c r="G62" s="230">
        <x:f>G16</x:f>
        <x:v>2007.44</x:v>
      </x:c>
      <x:c r="H62" s="230">
        <x:f t="shared" ref="H62:AP62" si="3">H16</x:f>
        <x:v>1133.3800000000001</x:v>
      </x:c>
      <x:c r="I62" s="230">
        <x:f t="shared" si="3"/>
        <x:v>594.88</x:v>
      </x:c>
      <x:c r="J62" s="230">
        <x:f t="shared" si="3"/>
        <x:v>0</x:v>
      </x:c>
      <x:c r="K62" s="230">
        <x:f t="shared" si="3"/>
        <x:v>0</x:v>
      </x:c>
      <x:c r="L62" s="230">
        <x:f t="shared" si="3"/>
        <x:v>0</x:v>
      </x:c>
      <x:c r="M62" s="230">
        <x:f t="shared" si="3"/>
        <x:v>0</x:v>
      </x:c>
      <x:c r="N62" s="230">
        <x:f t="shared" si="3"/>
        <x:v>0</x:v>
      </x:c>
      <x:c r="O62" s="230">
        <x:f t="shared" si="3"/>
        <x:v>0</x:v>
      </x:c>
      <x:c r="P62" s="230">
        <x:f t="shared" si="3"/>
        <x:v>5482.6</x:v>
      </x:c>
      <x:c r="Q62" s="230">
        <x:f t="shared" si="3"/>
        <x:v>0</x:v>
      </x:c>
      <x:c r="R62" s="230">
        <x:f t="shared" si="3"/>
        <x:v>-2.61</x:v>
      </x:c>
      <x:c r="S62" s="230">
        <x:f t="shared" si="3"/>
        <x:v>0</x:v>
      </x:c>
      <x:c r="T62" s="230">
        <x:f t="shared" si="3"/>
        <x:v>0</x:v>
      </x:c>
      <x:c r="U62" s="230">
        <x:f t="shared" si="3"/>
        <x:v>0</x:v>
      </x:c>
      <x:c r="V62" s="230">
        <x:f t="shared" si="3"/>
        <x:v>0</x:v>
      </x:c>
      <x:c r="W62" s="230">
        <x:f t="shared" si="3"/>
        <x:v>0</x:v>
      </x:c>
      <x:c r="X62" s="230">
        <x:f t="shared" si="3"/>
        <x:v>0</x:v>
      </x:c>
      <x:c r="Y62" s="230">
        <x:f t="shared" si="3"/>
        <x:v>0</x:v>
      </x:c>
      <x:c r="Z62" s="230">
        <x:f t="shared" si="3"/>
        <x:v>0</x:v>
      </x:c>
      <x:c r="AA62" s="230">
        <x:f t="shared" si="3"/>
        <x:v>0</x:v>
      </x:c>
      <x:c r="AB62" s="230">
        <x:f t="shared" si="3"/>
        <x:v>0</x:v>
      </x:c>
      <x:c r="AC62" s="230">
        <x:f t="shared" si="3"/>
        <x:v>0</x:v>
      </x:c>
      <x:c r="AD62" s="230">
        <x:f t="shared" si="3"/>
        <x:v>0</x:v>
      </x:c>
      <x:c r="AE62" s="230">
        <x:f t="shared" si="3"/>
        <x:v>0</x:v>
      </x:c>
      <x:c r="AF62" s="230">
        <x:f t="shared" si="3"/>
        <x:v>0</x:v>
      </x:c>
      <x:c r="AG62" s="230">
        <x:f t="shared" si="3"/>
        <x:v>0</x:v>
      </x:c>
      <x:c r="AH62" s="230">
        <x:f t="shared" si="3"/>
        <x:v>0</x:v>
      </x:c>
      <x:c r="AI62" s="230">
        <x:f t="shared" si="3"/>
        <x:v>0</x:v>
      </x:c>
      <x:c r="AJ62" s="230">
        <x:f t="shared" si="3"/>
        <x:v>0</x:v>
      </x:c>
      <x:c r="AK62" s="230">
        <x:f t="shared" si="3"/>
        <x:v>0</x:v>
      </x:c>
      <x:c r="AL62" s="230">
        <x:f t="shared" si="3"/>
        <x:v>0</x:v>
      </x:c>
      <x:c r="AM62" s="230">
        <x:f t="shared" si="3"/>
        <x:v>0</x:v>
      </x:c>
      <x:c r="AN62" s="230">
        <x:f t="shared" si="3"/>
        <x:v>0</x:v>
      </x:c>
      <x:c r="AO62" s="230">
        <x:f t="shared" si="3"/>
        <x:v>0</x:v>
      </x:c>
      <x:c r="AP62" s="230">
        <x:f t="shared" si="3"/>
        <x:v>0</x:v>
      </x:c>
    </x:row>
    <x:row r="63" spans="1:42" ht="12.75" customHeight="1" x14ac:dyDescent="0.25">
      <x:c r="B63" s="150"/>
      <x:c r="C63" s="774"/>
      <x:c r="D63" s="771"/>
      <x:c r="E63" s="229" t="s">
        <x:v>73</x:v>
      </x:c>
      <x:c r="F63" s="230">
        <x:f>F36</x:f>
        <x:v>40364.31</x:v>
      </x:c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42" ht="12.75" customHeight="1" x14ac:dyDescent="0.3">
      <x:c r="A64" s="89"/>
      <x:c r="C64" s="97"/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42" ht="12.75" customHeight="1" x14ac:dyDescent="0.25">
      <x:c r="C65" s="772" t="s">
        <x:v>328</x:v>
      </x:c>
      <x:c r="D65" s="771" t="s">
        <x:v>132</x:v>
      </x:c>
      <x:c r="E65" s="373" t="s">
        <x:v>70</x:v>
      </x:c>
      <x:c r="F65" s="374">
        <x:v>0</x:v>
      </x:c>
      <x:c r="G65" s="374">
        <x:v>0</x:v>
      </x:c>
      <x:c r="H65" s="374">
        <x:v>0</x:v>
      </x:c>
      <x:c r="I65" s="374">
        <x:v>0</x:v>
      </x:c>
      <x:c r="J65" s="374">
        <x:v>0</x:v>
      </x:c>
      <x:c r="K65" s="374">
        <x:v>0</x:v>
      </x:c>
      <x:c r="L65" s="374">
        <x:v>0</x:v>
      </x:c>
      <x:c r="M65" s="374">
        <x:v>0</x:v>
      </x:c>
      <x:c r="N65" s="374">
        <x:v>0</x:v>
      </x:c>
      <x:c r="O65" s="374">
        <x:v>0</x:v>
      </x:c>
      <x:c r="P65" s="374">
        <x:v>0</x:v>
      </x:c>
      <x:c r="Q65" s="374">
        <x:v>0</x:v>
      </x:c>
      <x:c r="R65" s="374">
        <x:v>0</x:v>
      </x:c>
      <x:c r="S65" s="374">
        <x:v>0</x:v>
      </x:c>
      <x:c r="T65" s="374">
        <x:v>0</x:v>
      </x:c>
      <x:c r="U65" s="374">
        <x:v>0</x:v>
      </x:c>
      <x:c r="V65" s="374">
        <x:v>0</x:v>
      </x:c>
      <x:c r="W65" s="374">
        <x:v>0</x:v>
      </x:c>
      <x:c r="X65" s="374">
        <x:v>0</x:v>
      </x:c>
      <x:c r="Y65" s="374">
        <x:v>0</x:v>
      </x:c>
      <x:c r="Z65" s="374">
        <x:v>0</x:v>
      </x:c>
      <x:c r="AA65" s="374">
        <x:v>0</x:v>
      </x:c>
      <x:c r="AB65" s="374">
        <x:v>0</x:v>
      </x:c>
      <x:c r="AC65" s="374">
        <x:v>0</x:v>
      </x:c>
      <x:c r="AD65" s="374">
        <x:v>0</x:v>
      </x:c>
      <x:c r="AE65" s="374">
        <x:v>0</x:v>
      </x:c>
      <x:c r="AF65" s="374">
        <x:v>0</x:v>
      </x:c>
      <x:c r="AG65" s="374">
        <x:v>0</x:v>
      </x:c>
      <x:c r="AH65" s="374">
        <x:v>0</x:v>
      </x:c>
      <x:c r="AI65" s="374">
        <x:v>0</x:v>
      </x:c>
      <x:c r="AJ65" s="374">
        <x:v>0</x:v>
      </x:c>
      <x:c r="AK65" s="374">
        <x:v>0</x:v>
      </x:c>
      <x:c r="AL65" s="374">
        <x:v>0</x:v>
      </x:c>
      <x:c r="AM65" s="374">
        <x:v>0</x:v>
      </x:c>
      <x:c r="AN65" s="374">
        <x:v>0</x:v>
      </x:c>
      <x:c r="AO65" s="374">
        <x:v>0</x:v>
      </x:c>
    </x:row>
    <x:row r="66" spans="1:42" ht="12.75" customHeight="1" x14ac:dyDescent="0.25">
      <x:c r="C66" s="772"/>
      <x:c r="D66" s="771"/>
      <x:c r="E66" s="373" t="s">
        <x:v>73</x:v>
      </x:c>
      <x:c r="F66" s="374">
        <x:v>0</x:v>
      </x:c>
      <x:c r="G66" s="90"/>
      <x:c r="H66" s="90"/>
      <x:c r="I66" s="90"/>
      <x:c r="J66" s="90"/>
      <x:c r="K66" s="90"/>
      <x:c r="L66" s="90"/>
      <x:c r="M66" s="90"/>
      <x:c r="N66" s="90"/>
      <x:c r="O66" s="90"/>
      <x:c r="P66" s="90"/>
      <x:c r="Q66" s="90"/>
      <x:c r="R66" s="90"/>
      <x:c r="S66" s="90"/>
    </x:row>
    <x:row r="67" spans="1:42" ht="12.75" customHeight="1" x14ac:dyDescent="0.25">
      <x:c r="C67" s="772"/>
      <x:c r="D67" s="771" t="s">
        <x:v>133</x:v>
      </x:c>
      <x:c r="E67" s="242" t="s">
        <x:v>70</x:v>
      </x:c>
      <x:c r="F67" s="243">
        <x:v>0</x:v>
      </x:c>
      <x:c r="G67" s="243">
        <x:v>0</x:v>
      </x:c>
      <x:c r="H67" s="243">
        <x:v>0</x:v>
      </x:c>
      <x:c r="I67" s="243">
        <x:v>0</x:v>
      </x:c>
      <x:c r="J67" s="243">
        <x:v>0</x:v>
      </x:c>
      <x:c r="K67" s="243">
        <x:v>0</x:v>
      </x:c>
      <x:c r="L67" s="243">
        <x:v>0</x:v>
      </x:c>
      <x:c r="M67" s="243">
        <x:v>0</x:v>
      </x:c>
      <x:c r="N67" s="243">
        <x:v>0</x:v>
      </x:c>
      <x:c r="O67" s="243">
        <x:v>0</x:v>
      </x:c>
      <x:c r="P67" s="243">
        <x:v>0</x:v>
      </x:c>
      <x:c r="Q67" s="243">
        <x:v>0</x:v>
      </x:c>
      <x:c r="R67" s="243">
        <x:v>0</x:v>
      </x:c>
      <x:c r="S67" s="243">
        <x:v>0</x:v>
      </x:c>
      <x:c r="T67" s="243">
        <x:v>0</x:v>
      </x:c>
      <x:c r="U67" s="243">
        <x:v>0</x:v>
      </x:c>
      <x:c r="V67" s="243">
        <x:v>0</x:v>
      </x:c>
      <x:c r="W67" s="243">
        <x:v>0</x:v>
      </x:c>
      <x:c r="X67" s="243">
        <x:v>0</x:v>
      </x:c>
      <x:c r="Y67" s="243">
        <x:v>0</x:v>
      </x:c>
      <x:c r="Z67" s="243">
        <x:v>0</x:v>
      </x:c>
      <x:c r="AA67" s="243">
        <x:v>0</x:v>
      </x:c>
      <x:c r="AB67" s="243">
        <x:v>0</x:v>
      </x:c>
      <x:c r="AC67" s="243">
        <x:v>0</x:v>
      </x:c>
      <x:c r="AD67" s="243">
        <x:v>0</x:v>
      </x:c>
      <x:c r="AE67" s="243">
        <x:v>0</x:v>
      </x:c>
      <x:c r="AF67" s="243">
        <x:v>0</x:v>
      </x:c>
      <x:c r="AG67" s="243">
        <x:v>0</x:v>
      </x:c>
      <x:c r="AH67" s="243">
        <x:v>0</x:v>
      </x:c>
      <x:c r="AI67" s="243">
        <x:v>0</x:v>
      </x:c>
      <x:c r="AJ67" s="243">
        <x:v>0</x:v>
      </x:c>
      <x:c r="AK67" s="243">
        <x:v>0</x:v>
      </x:c>
      <x:c r="AL67" s="243">
        <x:v>0</x:v>
      </x:c>
      <x:c r="AM67" s="243">
        <x:v>0</x:v>
      </x:c>
      <x:c r="AN67" s="243">
        <x:v>0</x:v>
      </x:c>
      <x:c r="AO67" s="243">
        <x:v>0</x:v>
      </x:c>
    </x:row>
    <x:row r="68" spans="1:42" ht="12.75" customHeight="1" x14ac:dyDescent="0.25">
      <x:c r="C68" s="772"/>
      <x:c r="D68" s="771"/>
      <x:c r="E68" s="242" t="s">
        <x:v>73</x:v>
      </x:c>
      <x:c r="F68" s="243">
        <x:v>0</x:v>
      </x:c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</x:row>
    <x:row r="69" spans="1:42" ht="12.75" customHeight="1" x14ac:dyDescent="0.3">
      <x:c r="A69" s="89"/>
      <x:c r="C69" s="97"/>
      <x:c r="F69" s="90"/>
      <x:c r="G69" s="90"/>
      <x:c r="H69" s="90"/>
      <x:c r="I69" s="90"/>
      <x:c r="J69" s="90"/>
      <x:c r="K69" s="90"/>
      <x:c r="L69" s="90"/>
      <x:c r="M69" s="90"/>
      <x:c r="N69" s="90"/>
      <x:c r="O69" s="90"/>
      <x:c r="P69" s="90"/>
      <x:c r="Q69" s="90"/>
      <x:c r="R69" s="90"/>
      <x:c r="S69" s="90"/>
    </x:row>
    <x:row r="70" spans="1:42" ht="12.75" customHeight="1" x14ac:dyDescent="0.25">
      <x:c r="C70" s="774" t="s">
        <x:v>119</x:v>
      </x:c>
      <x:c r="D70" s="771" t="s">
        <x:v>132</x:v>
      </x:c>
      <x:c r="E70" s="101" t="s">
        <x:v>70</x:v>
      </x:c>
      <x:c r="F70" s="93">
        <x:f>F47+F31+F11-L11-L31</x:f>
        <x:v>779194409.36000013</x:v>
      </x:c>
      <x:c r="G70" s="93">
        <x:f t="shared" ref="G70:AP70" si="4">G31+G11</x:f>
        <x:v>96578112.579999998</x:v>
      </x:c>
      <x:c r="H70" s="93">
        <x:f t="shared" si="4"/>
        <x:v>54231897.5</x:v>
      </x:c>
      <x:c r="I70" s="93">
        <x:f t="shared" si="4"/>
        <x:v>28481235.82</x:v>
      </x:c>
      <x:c r="J70" s="93">
        <x:f t="shared" si="4"/>
        <x:v>51159574.100000001</x:v>
      </x:c>
      <x:c r="K70" s="93">
        <x:f t="shared" si="4"/>
        <x:v>1633496.93</x:v>
      </x:c>
      <x:c r="L70" s="93">
        <x:f t="shared" si="4"/>
        <x:v>8760824.0099999998</x:v>
      </x:c>
      <x:c r="M70" s="93">
        <x:f t="shared" si="4"/>
        <x:v>14374091.91</x:v>
      </x:c>
      <x:c r="N70" s="93">
        <x:f t="shared" si="4"/>
        <x:v>17418029.010000002</x:v>
      </x:c>
      <x:c r="O70" s="93">
        <x:f t="shared" si="4"/>
        <x:v>81009034.189999998</x:v>
      </x:c>
      <x:c r="P70" s="93">
        <x:f t="shared" si="4"/>
        <x:v>263621283.74000001</x:v>
      </x:c>
      <x:c r="Q70" s="93">
        <x:f t="shared" si="4"/>
        <x:v>2666149.21</x:v>
      </x:c>
      <x:c r="R70" s="93">
        <x:f t="shared" si="4"/>
        <x:v>-780.94</x:v>
      </x:c>
      <x:c r="S70" s="93">
        <x:f t="shared" si="4"/>
        <x:v>-2114.83</x:v>
      </x:c>
      <x:c r="T70" s="93">
        <x:f t="shared" si="4"/>
        <x:v>0.45</x:v>
      </x:c>
      <x:c r="U70" s="93">
        <x:f t="shared" si="4"/>
        <x:v>0</x:v>
      </x:c>
      <x:c r="V70" s="93">
        <x:f t="shared" si="4"/>
        <x:v>0</x:v>
      </x:c>
      <x:c r="W70" s="93">
        <x:f t="shared" si="4"/>
        <x:v>0</x:v>
      </x:c>
      <x:c r="X70" s="93">
        <x:f t="shared" si="4"/>
        <x:v>0</x:v>
      </x:c>
      <x:c r="Y70" s="93">
        <x:f t="shared" si="4"/>
        <x:v>0</x:v>
      </x:c>
      <x:c r="Z70" s="93">
        <x:f t="shared" si="4"/>
        <x:v>0</x:v>
      </x:c>
      <x:c r="AA70" s="93">
        <x:f t="shared" si="4"/>
        <x:v>0</x:v>
      </x:c>
      <x:c r="AB70" s="93">
        <x:f t="shared" si="4"/>
        <x:v>0</x:v>
      </x:c>
      <x:c r="AC70" s="93">
        <x:f t="shared" si="4"/>
        <x:v>0</x:v>
      </x:c>
      <x:c r="AD70" s="93">
        <x:f t="shared" si="4"/>
        <x:v>0</x:v>
      </x:c>
      <x:c r="AE70" s="93">
        <x:f t="shared" si="4"/>
        <x:v>0</x:v>
      </x:c>
      <x:c r="AF70" s="93">
        <x:f t="shared" si="4"/>
        <x:v>0</x:v>
      </x:c>
      <x:c r="AG70" s="93">
        <x:f t="shared" si="4"/>
        <x:v>0</x:v>
      </x:c>
      <x:c r="AH70" s="93">
        <x:f t="shared" si="4"/>
        <x:v>0</x:v>
      </x:c>
      <x:c r="AI70" s="93">
        <x:f t="shared" si="4"/>
        <x:v>0</x:v>
      </x:c>
      <x:c r="AJ70" s="93">
        <x:f t="shared" si="4"/>
        <x:v>0</x:v>
      </x:c>
      <x:c r="AK70" s="93">
        <x:f t="shared" si="4"/>
        <x:v>0</x:v>
      </x:c>
      <x:c r="AL70" s="93">
        <x:f t="shared" si="4"/>
        <x:v>0</x:v>
      </x:c>
      <x:c r="AM70" s="93">
        <x:f t="shared" si="4"/>
        <x:v>0</x:v>
      </x:c>
      <x:c r="AN70" s="93">
        <x:f t="shared" si="4"/>
        <x:v>0</x:v>
      </x:c>
      <x:c r="AO70" s="93">
        <x:f t="shared" si="4"/>
        <x:v>0</x:v>
      </x:c>
      <x:c r="AP70" s="93">
        <x:f t="shared" si="4"/>
        <x:v>0</x:v>
      </x:c>
    </x:row>
    <x:row r="71" spans="1:42" ht="12.75" customHeight="1" x14ac:dyDescent="0.25">
      <x:c r="C71" s="774"/>
      <x:c r="D71" s="771"/>
      <x:c r="E71" s="101" t="s">
        <x:v>73</x:v>
      </x:c>
      <x:c r="F71" s="93">
        <x:f>F47</x:f>
        <x:v>168024399.69</x:v>
      </x:c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42" ht="12.75" customHeight="1" x14ac:dyDescent="0.25">
      <x:c r="C72" s="774"/>
      <x:c r="D72" s="771" t="s">
        <x:v>133</x:v>
      </x:c>
      <x:c r="E72" s="235" t="s">
        <x:v>70</x:v>
      </x:c>
      <x:c r="F72" s="236">
        <x:v>0</x:v>
      </x:c>
      <x:c r="G72" s="236">
        <x:v>0</x:v>
      </x:c>
      <x:c r="H72" s="236">
        <x:v>0</x:v>
      </x:c>
      <x:c r="I72" s="236">
        <x:v>0</x:v>
      </x:c>
      <x:c r="J72" s="236">
        <x:v>0</x:v>
      </x:c>
      <x:c r="K72" s="236">
        <x:v>0</x:v>
      </x:c>
      <x:c r="L72" s="236">
        <x:v>0</x:v>
      </x:c>
      <x:c r="M72" s="236">
        <x:v>0</x:v>
      </x:c>
      <x:c r="N72" s="236">
        <x:v>0</x:v>
      </x:c>
      <x:c r="O72" s="236">
        <x:v>0</x:v>
      </x:c>
      <x:c r="P72" s="236">
        <x:v>0</x:v>
      </x:c>
      <x:c r="Q72" s="236">
        <x:v>0</x:v>
      </x:c>
      <x:c r="R72" s="236">
        <x:v>0</x:v>
      </x:c>
      <x:c r="S72" s="236">
        <x:v>0</x:v>
      </x:c>
      <x:c r="T72" s="236">
        <x:v>0</x:v>
      </x:c>
      <x:c r="U72" s="236">
        <x:v>0</x:v>
      </x:c>
      <x:c r="V72" s="236">
        <x:v>0</x:v>
      </x:c>
      <x:c r="W72" s="236">
        <x:v>0</x:v>
      </x:c>
      <x:c r="X72" s="236">
        <x:v>0</x:v>
      </x:c>
      <x:c r="Y72" s="236">
        <x:v>0</x:v>
      </x:c>
      <x:c r="Z72" s="236">
        <x:v>0</x:v>
      </x:c>
      <x:c r="AA72" s="236">
        <x:v>0</x:v>
      </x:c>
      <x:c r="AB72" s="236">
        <x:v>0</x:v>
      </x:c>
      <x:c r="AC72" s="236">
        <x:v>0</x:v>
      </x:c>
      <x:c r="AD72" s="236">
        <x:v>0</x:v>
      </x:c>
      <x:c r="AE72" s="236">
        <x:v>0</x:v>
      </x:c>
      <x:c r="AF72" s="236">
        <x:v>0</x:v>
      </x:c>
      <x:c r="AG72" s="236">
        <x:v>0</x:v>
      </x:c>
      <x:c r="AH72" s="236">
        <x:v>0</x:v>
      </x:c>
      <x:c r="AI72" s="236">
        <x:v>0</x:v>
      </x:c>
      <x:c r="AJ72" s="236">
        <x:v>0</x:v>
      </x:c>
      <x:c r="AK72" s="236">
        <x:v>0</x:v>
      </x:c>
      <x:c r="AL72" s="236">
        <x:v>0</x:v>
      </x:c>
      <x:c r="AM72" s="236">
        <x:v>0</x:v>
      </x:c>
      <x:c r="AN72" s="236">
        <x:v>0</x:v>
      </x:c>
      <x:c r="AO72" s="236">
        <x:v>0</x:v>
      </x:c>
      <x:c r="AP72" s="236">
        <x:v>0</x:v>
      </x:c>
    </x:row>
    <x:row r="73" spans="1:42" ht="12.75" customHeight="1" x14ac:dyDescent="0.25">
      <x:c r="C73" s="774"/>
      <x:c r="D73" s="771"/>
      <x:c r="E73" s="235" t="s">
        <x:v>73</x:v>
      </x:c>
      <x:c r="F73" s="236">
        <x:v>0</x:v>
      </x:c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42" ht="12.75" customHeight="1" x14ac:dyDescent="0.3">
      <x:c r="A74" s="89"/>
      <x:c r="C74" s="97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5">
      <x:c r="C75" s="773" t="s">
        <x:v>161</x:v>
      </x:c>
      <x:c r="D75" s="771" t="s">
        <x:v>132</x:v>
      </x:c>
      <x:c r="E75" s="231" t="s">
        <x:v>70</x:v>
      </x:c>
      <x:c r="F75" s="232">
        <x:v>0</x:v>
      </x:c>
      <x:c r="G75" s="232">
        <x:v>0</x:v>
      </x:c>
      <x:c r="H75" s="232">
        <x:v>0</x:v>
      </x:c>
      <x:c r="I75" s="232">
        <x:v>0</x:v>
      </x:c>
      <x:c r="J75" s="232">
        <x:v>0</x:v>
      </x:c>
      <x:c r="K75" s="232">
        <x:v>0</x:v>
      </x:c>
      <x:c r="L75" s="232">
        <x:v>0</x:v>
      </x:c>
      <x:c r="M75" s="232">
        <x:v>0</x:v>
      </x:c>
      <x:c r="N75" s="232">
        <x:v>0</x:v>
      </x:c>
      <x:c r="O75" s="232">
        <x:v>0</x:v>
      </x:c>
      <x:c r="P75" s="232">
        <x:v>0</x:v>
      </x:c>
      <x:c r="Q75" s="232">
        <x:v>0</x:v>
      </x:c>
      <x:c r="R75" s="232">
        <x:v>0</x:v>
      </x:c>
      <x:c r="S75" s="232">
        <x:v>0</x:v>
      </x:c>
      <x:c r="T75" s="232">
        <x:v>0</x:v>
      </x:c>
      <x:c r="U75" s="232">
        <x:v>0</x:v>
      </x:c>
      <x:c r="V75" s="232">
        <x:v>0</x:v>
      </x:c>
      <x:c r="W75" s="232">
        <x:v>0</x:v>
      </x:c>
      <x:c r="X75" s="232">
        <x:v>0</x:v>
      </x:c>
      <x:c r="Y75" s="232">
        <x:v>0</x:v>
      </x:c>
      <x:c r="Z75" s="232">
        <x:v>0</x:v>
      </x:c>
      <x:c r="AA75" s="232">
        <x:v>0</x:v>
      </x:c>
      <x:c r="AB75" s="232">
        <x:v>0</x:v>
      </x:c>
      <x:c r="AC75" s="232">
        <x:v>0</x:v>
      </x:c>
      <x:c r="AD75" s="232">
        <x:v>0</x:v>
      </x:c>
      <x:c r="AE75" s="232">
        <x:v>0</x:v>
      </x:c>
      <x:c r="AF75" s="232">
        <x:v>0</x:v>
      </x:c>
      <x:c r="AG75" s="232">
        <x:v>0</x:v>
      </x:c>
      <x:c r="AH75" s="232">
        <x:v>0</x:v>
      </x:c>
      <x:c r="AI75" s="232">
        <x:v>0</x:v>
      </x:c>
      <x:c r="AJ75" s="232">
        <x:v>0</x:v>
      </x:c>
      <x:c r="AK75" s="232">
        <x:v>0</x:v>
      </x:c>
      <x:c r="AL75" s="232">
        <x:v>0</x:v>
      </x:c>
      <x:c r="AM75" s="232">
        <x:v>0</x:v>
      </x:c>
      <x:c r="AN75" s="232">
        <x:v>0</x:v>
      </x:c>
      <x:c r="AO75" s="232">
        <x:v>0</x:v>
      </x:c>
      <x:c r="AP75" s="232">
        <x:v>0</x:v>
      </x:c>
    </x:row>
    <x:row r="76" spans="1:42" ht="12.75" customHeight="1" x14ac:dyDescent="0.25">
      <x:c r="C76" s="773"/>
      <x:c r="D76" s="771"/>
      <x:c r="E76" s="231" t="s">
        <x:v>73</x:v>
      </x:c>
      <x:c r="F76" s="232"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5">
      <x:c r="C77" s="773"/>
      <x:c r="D77" s="771" t="s">
        <x:v>133</x:v>
      </x:c>
      <x:c r="E77" s="148" t="s">
        <x:v>70</x:v>
      </x:c>
      <x:c r="F77" s="149">
        <x:v>0</x:v>
      </x:c>
      <x:c r="G77" s="149">
        <x:v>0</x:v>
      </x:c>
      <x:c r="H77" s="149">
        <x:v>0</x:v>
      </x:c>
      <x:c r="I77" s="149">
        <x:v>0</x:v>
      </x:c>
      <x:c r="J77" s="149">
        <x:v>0</x:v>
      </x:c>
      <x:c r="K77" s="149">
        <x:v>0</x:v>
      </x:c>
      <x:c r="L77" s="149">
        <x:v>0</x:v>
      </x:c>
      <x:c r="M77" s="149">
        <x:v>0</x:v>
      </x:c>
      <x:c r="N77" s="149">
        <x:v>0</x:v>
      </x:c>
      <x:c r="O77" s="149">
        <x:v>0</x:v>
      </x:c>
      <x:c r="P77" s="149">
        <x:v>0</x:v>
      </x:c>
      <x:c r="Q77" s="149">
        <x:v>0</x:v>
      </x:c>
      <x:c r="R77" s="149">
        <x:v>0</x:v>
      </x:c>
      <x:c r="S77" s="149">
        <x:v>0</x:v>
      </x:c>
      <x:c r="T77" s="149">
        <x:v>0</x:v>
      </x:c>
      <x:c r="U77" s="149">
        <x:v>0</x:v>
      </x:c>
      <x:c r="V77" s="149">
        <x:v>0</x:v>
      </x:c>
      <x:c r="W77" s="149">
        <x:v>0</x:v>
      </x:c>
      <x:c r="X77" s="149">
        <x:v>0</x:v>
      </x:c>
      <x:c r="Y77" s="149">
        <x:v>0</x:v>
      </x:c>
      <x:c r="Z77" s="149">
        <x:v>0</x:v>
      </x:c>
      <x:c r="AA77" s="149">
        <x:v>0</x:v>
      </x:c>
      <x:c r="AB77" s="149">
        <x:v>0</x:v>
      </x:c>
      <x:c r="AC77" s="149">
        <x:v>0</x:v>
      </x:c>
      <x:c r="AD77" s="149">
        <x:v>0</x:v>
      </x:c>
      <x:c r="AE77" s="149">
        <x:v>0</x:v>
      </x:c>
      <x:c r="AF77" s="149">
        <x:v>0</x:v>
      </x:c>
      <x:c r="AG77" s="149">
        <x:v>0</x:v>
      </x:c>
      <x:c r="AH77" s="149">
        <x:v>0</x:v>
      </x:c>
      <x:c r="AI77" s="149">
        <x:v>0</x:v>
      </x:c>
      <x:c r="AJ77" s="149">
        <x:v>0</x:v>
      </x:c>
      <x:c r="AK77" s="149">
        <x:v>0</x:v>
      </x:c>
      <x:c r="AL77" s="149">
        <x:v>0</x:v>
      </x:c>
      <x:c r="AM77" s="149">
        <x:v>0</x:v>
      </x:c>
      <x:c r="AN77" s="149">
        <x:v>0</x:v>
      </x:c>
      <x:c r="AO77" s="149">
        <x:v>0</x:v>
      </x:c>
      <x:c r="AP77" s="149">
        <x:v>0</x:v>
      </x:c>
    </x:row>
    <x:row r="78" spans="1:42" ht="12.75" customHeight="1" x14ac:dyDescent="0.25">
      <x:c r="C78" s="773"/>
      <x:c r="D78" s="771"/>
      <x:c r="E78" s="148" t="s">
        <x:v>73</x:v>
      </x:c>
      <x:c r="F78" s="149"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5">
      <x:c r="C79" s="388"/>
      <x:c r="D79" s="220"/>
      <x:c r="E79" s="89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</x:row>
    <x:row r="80" spans="1:42" ht="12.75" customHeight="1" x14ac:dyDescent="0.25">
      <x:c r="D80" s="458" t="s">
        <x:v>186</x:v>
      </x:c>
      <x:c r="E80" s="459" t="s">
        <x:v>70</x:v>
      </x:c>
      <x:c r="F80" s="460">
        <x:f t="shared" ref="F80:AP80" si="5">F13</x:f>
        <x:v>-11217.37</x:v>
      </x:c>
      <x:c r="G80" s="460">
        <x:f t="shared" si="5"/>
        <x:v>-766.38</x:v>
      </x:c>
      <x:c r="H80" s="460">
        <x:f t="shared" si="5"/>
        <x:v>-325.58999999999997</x:v>
      </x:c>
      <x:c r="I80" s="460">
        <x:f t="shared" si="5"/>
        <x:v>-142.16999999999999</x:v>
      </x:c>
      <x:c r="J80" s="460">
        <x:f t="shared" si="5"/>
        <x:v>-1970.37</x:v>
      </x:c>
      <x:c r="K80" s="460">
        <x:f t="shared" si="5"/>
        <x:v>-127.32</x:v>
      </x:c>
      <x:c r="L80" s="460">
        <x:f t="shared" si="5"/>
        <x:v>0</x:v>
      </x:c>
      <x:c r="M80" s="460">
        <x:f t="shared" si="5"/>
        <x:v>-1116.82</x:v>
      </x:c>
      <x:c r="N80" s="460">
        <x:f t="shared" si="5"/>
        <x:v>-934.67</x:v>
      </x:c>
      <x:c r="O80" s="460">
        <x:f t="shared" si="5"/>
        <x:v>-3730.88</x:v>
      </x:c>
      <x:c r="P80" s="460">
        <x:f t="shared" si="5"/>
        <x:v>-1895.43</x:v>
      </x:c>
      <x:c r="Q80" s="460">
        <x:f t="shared" si="5"/>
        <x:v>-207.74</x:v>
      </x:c>
      <x:c r="R80" s="460">
        <x:f t="shared" si="5"/>
        <x:v>0</x:v>
      </x:c>
      <x:c r="S80" s="460">
        <x:f t="shared" si="5"/>
        <x:v>0</x:v>
      </x:c>
      <x:c r="T80" s="460">
        <x:f t="shared" si="5"/>
        <x:v>0</x:v>
      </x:c>
      <x:c r="U80" s="460">
        <x:f t="shared" si="5"/>
        <x:v>0</x:v>
      </x:c>
      <x:c r="V80" s="460">
        <x:f t="shared" si="5"/>
        <x:v>0</x:v>
      </x:c>
      <x:c r="W80" s="460">
        <x:f t="shared" si="5"/>
        <x:v>0</x:v>
      </x:c>
      <x:c r="X80" s="460">
        <x:f t="shared" si="5"/>
        <x:v>0</x:v>
      </x:c>
      <x:c r="Y80" s="460">
        <x:f t="shared" si="5"/>
        <x:v>0</x:v>
      </x:c>
      <x:c r="Z80" s="460">
        <x:f t="shared" si="5"/>
        <x:v>0</x:v>
      </x:c>
      <x:c r="AA80" s="460">
        <x:f t="shared" si="5"/>
        <x:v>0</x:v>
      </x:c>
      <x:c r="AB80" s="460">
        <x:f t="shared" si="5"/>
        <x:v>0</x:v>
      </x:c>
      <x:c r="AC80" s="460">
        <x:f t="shared" si="5"/>
        <x:v>0</x:v>
      </x:c>
      <x:c r="AD80" s="460">
        <x:f t="shared" si="5"/>
        <x:v>0</x:v>
      </x:c>
      <x:c r="AE80" s="460">
        <x:f t="shared" si="5"/>
        <x:v>0</x:v>
      </x:c>
      <x:c r="AF80" s="460">
        <x:f t="shared" si="5"/>
        <x:v>0</x:v>
      </x:c>
      <x:c r="AG80" s="460">
        <x:f t="shared" si="5"/>
        <x:v>0</x:v>
      </x:c>
      <x:c r="AH80" s="460">
        <x:f t="shared" si="5"/>
        <x:v>0</x:v>
      </x:c>
      <x:c r="AI80" s="460">
        <x:f t="shared" si="5"/>
        <x:v>0</x:v>
      </x:c>
      <x:c r="AJ80" s="460">
        <x:f t="shared" si="5"/>
        <x:v>0</x:v>
      </x:c>
      <x:c r="AK80" s="460">
        <x:f t="shared" si="5"/>
        <x:v>0</x:v>
      </x:c>
      <x:c r="AL80" s="460">
        <x:f t="shared" si="5"/>
        <x:v>0</x:v>
      </x:c>
      <x:c r="AM80" s="460">
        <x:f t="shared" si="5"/>
        <x:v>0</x:v>
      </x:c>
      <x:c r="AN80" s="460">
        <x:f t="shared" si="5"/>
        <x:v>0</x:v>
      </x:c>
      <x:c r="AO80" s="460">
        <x:f t="shared" si="5"/>
        <x:v>0</x:v>
      </x:c>
      <x:c r="AP80" s="460">
        <x:f t="shared" si="5"/>
        <x:v>0</x:v>
      </x:c>
    </x:row>
    <x:row r="81" spans="1:42" ht="12.75" customHeight="1" x14ac:dyDescent="0.25">
      <x:c r="C81" s="388"/>
      <x:c r="D81" s="220"/>
      <x:c r="E81" s="89"/>
      <x:c r="F81" s="90"/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</x:row>
    <x:row r="82" spans="1:42" s="238" customFormat="1" ht="12.75" customHeight="1" x14ac:dyDescent="0.25">
      <x:c r="B82" s="239"/>
      <x:c r="C82" s="239"/>
      <x:c r="E82" s="240"/>
      <x:c r="F82" s="240"/>
      <x:c r="G82" s="240"/>
      <x:c r="H82" s="240"/>
      <x:c r="I82" s="240"/>
      <x:c r="J82" s="240"/>
      <x:c r="K82" s="240"/>
      <x:c r="L82" s="240"/>
      <x:c r="M82" s="240"/>
      <x:c r="N82" s="240"/>
      <x:c r="O82" s="240"/>
      <x:c r="P82" s="240"/>
      <x:c r="Q82" s="240"/>
      <x:c r="R82" s="240"/>
    </x:row>
    <x:row r="83" spans="1:42" ht="12" customHeight="1" x14ac:dyDescent="0.3">
      <x:c r="A83" s="89"/>
      <x:c r="B83" s="97" t="s">
        <x:v>75</x:v>
      </x:c>
      <x:c r="E83" s="90"/>
      <x:c r="F83" s="90"/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5">
      <x:c r="F84" s="89" t="s">
        <x:v>70</x:v>
      </x:c>
      <x:c r="G84" s="89" t="s">
        <x:v>64</x:v>
      </x:c>
      <x:c r="H84" s="89" t="s">
        <x:v>65</x:v>
      </x:c>
      <x:c r="I84" s="218" t="s">
        <x:v>164</x:v>
      </x:c>
      <x:c r="J84" s="89" t="s">
        <x:v>69</x:v>
      </x:c>
      <x:c r="K84" s="89" t="s">
        <x:v>68</x:v>
      </x:c>
      <x:c r="L84" s="89" t="s">
        <x:v>71</x:v>
      </x:c>
      <x:c r="M84" s="89" t="s">
        <x:v>66</x:v>
      </x:c>
      <x:c r="N84" s="89" t="s">
        <x:v>63</x:v>
      </x:c>
      <x:c r="O84" s="89" t="s">
        <x:v>61</x:v>
      </x:c>
      <x:c r="P84" s="89" t="s">
        <x:v>62</x:v>
      </x:c>
      <x:c r="Q84" s="89" t="s">
        <x:v>67</x:v>
      </x:c>
      <x:c r="R84" s="89" t="s">
        <x:v>77</x:v>
      </x:c>
      <x:c r="S84" s="89" t="s">
        <x:v>80</x:v>
      </x:c>
      <x:c r="T84" s="89" t="s">
        <x:v>135</x:v>
      </x:c>
      <x:c r="U84" s="89" t="s">
        <x:v>223</x:v>
      </x:c>
      <x:c r="V84" s="89" t="s">
        <x:v>224</x:v>
      </x:c>
      <x:c r="W84" s="89" t="s">
        <x:v>173</x:v>
      </x:c>
      <x:c r="X84" t="s">
        <x:v>167</x:v>
      </x:c>
      <x:c r="Y84" s="89" t="s">
        <x:v>135</x:v>
      </x:c>
      <x:c r="Z84" s="89" t="s">
        <x:v>167</x:v>
      </x:c>
    </x:row>
    <x:row r="85" spans="1:42" ht="12.75" customHeight="1" x14ac:dyDescent="0.25">
      <x:c r="A85"/>
      <x:c r="B85"/>
      <x:c r="C85"/>
      <x:c r="D85"/>
      <x:c r="E85" t="inlineStr">
        <x:is>
          <x:t>Vlr Servicio</x:t>
        </x:is>
      </x:c>
      <x:c r="F85" s="384" t="n">
        <x:v>-1414859.14</x:v>
      </x:c>
      <x:c r="G85" s="89" t="n">
        <x:v>-123592.91</x:v>
      </x:c>
      <x:c r="H85" s="89" t="n">
        <x:v>-52505.96</x:v>
      </x:c>
      <x:c r="I85" s="665" t="n">
        <x:v>-22930.17</x:v>
      </x:c>
      <x:c r="J85" s="89" t="n">
        <x:v>-283718.29</x:v>
      </x:c>
      <x:c r="K85" s="89" t="n">
        <x:v>-11813.11</x:v>
      </x:c>
      <x:c r="L85" s="89" t="n">
        <x:v>0</x:v>
      </x:c>
      <x:c r="M85" s="89" t="n">
        <x:v>-103626.9</x:v>
      </x:c>
      <x:c r="N85" s="89" t="n">
        <x:v>-129894.77</x:v>
      </x:c>
      <x:c r="O85" s="89" t="n">
        <x:v>-436317.84</x:v>
      </x:c>
      <x:c r="P85" s="89" t="n">
        <x:v>-231183.82</x:v>
      </x:c>
      <x:c r="Q85" s="89" t="n">
        <x:v>-19275.37</x:v>
      </x:c>
      <x:c r="R85" s="89" t="n">
        <x:v>0</x:v>
      </x:c>
      <x:c r="S85" s="89" t="n">
        <x:v>0</x:v>
      </x:c>
      <x:c r="T85" s="89" t="n">
        <x:v>0</x:v>
      </x:c>
      <x:c r="U85" s="89">
        <x:v>0</x:v>
      </x:c>
      <x:c r="V85" s="89">
        <x:v>0</x:v>
      </x:c>
      <x:c r="W85" s="89">
        <x:v>0</x:v>
      </x:c>
      <x:c r="X85">
        <x:v>0</x:v>
      </x:c>
      <x:c r="Y85" s="89">
        <x:v>0</x:v>
      </x:c>
      <x:c r="Z85" s="89" t="n">
        <x:v>0</x:v>
      </x:c>
    </x:row>
    <x:row r="86" spans="1:42" ht="12.75" customHeight="1" x14ac:dyDescent="0.25">
      <x:c r="A86"/>
      <x:c r="B86"/>
      <x:c r="C86"/>
      <x:c r="D86" t="inlineStr">
        <x:is>
          <x:t>E</x:t>
        </x:is>
      </x:c>
      <x:c r="E86" t="inlineStr">
        <x:is>
          <x:t>Total</x:t>
        </x:is>
      </x:c>
      <x:c r="F86" s="384" t="n">
        <x:v>-1414859.14</x:v>
      </x:c>
      <x:c r="G86" s="89" t="n">
        <x:v>-123592.91</x:v>
      </x:c>
      <x:c r="H86" s="89" t="n">
        <x:v>-52505.96</x:v>
      </x:c>
      <x:c r="I86" s="665" t="n">
        <x:v>-22930.17</x:v>
      </x:c>
      <x:c r="J86" s="89" t="n">
        <x:v>-283718.29</x:v>
      </x:c>
      <x:c r="K86" s="89" t="n">
        <x:v>-11813.11</x:v>
      </x:c>
      <x:c r="L86" s="89" t="n">
        <x:v>0</x:v>
      </x:c>
      <x:c r="M86" s="89" t="n">
        <x:v>-103626.9</x:v>
      </x:c>
      <x:c r="N86" s="89" t="n">
        <x:v>-129894.77</x:v>
      </x:c>
      <x:c r="O86" s="89" t="n">
        <x:v>-436317.84</x:v>
      </x:c>
      <x:c r="P86" s="89" t="n">
        <x:v>-231183.82</x:v>
      </x:c>
      <x:c r="Q86" s="89" t="n">
        <x:v>-19275.37</x:v>
      </x:c>
      <x:c r="R86" s="89" t="n">
        <x:v>0</x:v>
      </x:c>
      <x:c r="S86" s="89" t="n">
        <x:v>0</x:v>
      </x:c>
      <x:c r="T86" s="89" t="n">
        <x:v>0</x:v>
      </x:c>
      <x:c r="U86" s="89">
        <x:v>0</x:v>
      </x:c>
      <x:c r="V86" s="89">
        <x:v>0</x:v>
      </x:c>
      <x:c r="W86" s="89">
        <x:v>0</x:v>
      </x:c>
      <x:c r="X86">
        <x:v>0</x:v>
      </x:c>
      <x:c r="Y86" s="89">
        <x:v>0</x:v>
      </x:c>
      <x:c r="Z86" s="89" t="n">
        <x:v>0</x:v>
      </x:c>
    </x:row>
    <x:row r="87" spans="1:42" s="657" customFormat="1" ht="12.75" customHeight="1" x14ac:dyDescent="0.25">
      <x:c r="A87"/>
      <x:c r="B87"/>
      <x:c r="C87" s="657" t="inlineStr">
        <x:is>
          <x:t>ENEL</x:t>
        </x:is>
      </x:c>
      <x:c r="D87" s="657" t="inlineStr">
        <x:is>
          <x:t>Total</x:t>
        </x:is>
      </x:c>
      <x:c r="E87"/>
      <x:c r="F87" s="737" t="n">
        <x:v>-1414859.14</x:v>
      </x:c>
      <x:c r="G87" s="658" t="n">
        <x:v>-123592.91</x:v>
      </x:c>
      <x:c r="H87" s="658" t="n">
        <x:v>-52505.96</x:v>
      </x:c>
      <x:c r="I87" s="738" t="n">
        <x:v>-22930.17</x:v>
      </x:c>
      <x:c r="J87" s="658" t="n">
        <x:v>-283718.29</x:v>
      </x:c>
      <x:c r="K87" s="658" t="n">
        <x:v>-11813.11</x:v>
      </x:c>
      <x:c r="L87" s="658" t="n">
        <x:v>0</x:v>
      </x:c>
      <x:c r="M87" s="658" t="n">
        <x:v>-103626.9</x:v>
      </x:c>
      <x:c r="N87" s="658" t="n">
        <x:v>-129894.77</x:v>
      </x:c>
      <x:c r="O87" s="658" t="n">
        <x:v>-436317.84</x:v>
      </x:c>
      <x:c r="P87" s="658" t="n">
        <x:v>-231183.82</x:v>
      </x:c>
      <x:c r="Q87" s="658" t="n">
        <x:v>-19275.37</x:v>
      </x:c>
      <x:c r="R87" s="658" t="n">
        <x:v>0</x:v>
      </x:c>
      <x:c r="S87" s="658" t="n">
        <x:v>0</x:v>
      </x:c>
      <x:c r="T87" s="658" t="n">
        <x:v>0</x:v>
      </x:c>
      <x:c r="U87" s="658">
        <x:v>0</x:v>
      </x:c>
      <x:c r="V87" s="658">
        <x:v>0</x:v>
      </x:c>
      <x:c r="W87" s="658">
        <x:v>0</x:v>
      </x:c>
      <x:c r="X87" s="657">
        <x:v>0</x:v>
      </x:c>
      <x:c r="Y87" s="658">
        <x:v>0</x:v>
      </x:c>
      <x:c r="Z87" s="658" t="n">
        <x:v>0</x:v>
      </x:c>
    </x:row>
    <x:row r="88" spans="1:42" ht="12.75" customHeight="1" x14ac:dyDescent="0.25">
      <x:c r="A88"/>
      <x:c r="B88"/>
      <x:c r="C88"/>
      <x:c r="D88"/>
      <x:c r="E88" s="89" t="inlineStr">
        <x:is>
          <x:t>Vlr Servicio</x:t>
        </x:is>
      </x:c>
      <x:c r="F88" s="90" t="n">
        <x:v>-20998.87</x:v>
      </x:c>
      <x:c r="G88" s="90" t="n">
        <x:v>-1840.53</x:v>
      </x:c>
      <x:c r="H88" s="90" t="n">
        <x:v>-781.92</x:v>
      </x:c>
      <x:c r="I88" s="90" t="n">
        <x:v>-341.46</x:v>
      </x:c>
      <x:c r="J88" s="90" t="n">
        <x:v>-4232.84</x:v>
      </x:c>
      <x:c r="K88" s="90" t="n">
        <x:v>-174.41</x:v>
      </x:c>
      <x:c r="L88" s="90" t="n">
        <x:v>0</x:v>
      </x:c>
      <x:c r="M88" s="90" t="n">
        <x:v>-1529.91</x:v>
      </x:c>
      <x:c r="N88" s="90" t="n">
        <x:v>-1917.75</x:v>
      </x:c>
      <x:c r="O88" s="90" t="n">
        <x:v>-6441.6</x:v>
      </x:c>
      <x:c r="P88" s="90" t="n">
        <x:v>-3453.9</x:v>
      </x:c>
      <x:c r="Q88" s="90" t="n">
        <x:v>-284.55</x:v>
      </x:c>
      <x:c r="R88" s="90" t="n">
        <x:v>0</x:v>
      </x:c>
      <x:c r="S88" s="90" t="n">
        <x:v>0</x:v>
      </x:c>
      <x:c r="T88" s="90" t="n">
        <x:v>0</x:v>
      </x:c>
      <x:c r="U88" s="90">
        <x:v>0</x:v>
      </x:c>
      <x:c r="V88" s="90">
        <x:v>0</x:v>
      </x:c>
      <x:c r="W88" s="90">
        <x:v>0</x:v>
      </x:c>
      <x:c r="X88">
        <x:v>0</x:v>
      </x:c>
      <x:c r="Y88">
        <x:v>0</x:v>
      </x:c>
      <x:c r="Z88" t="n">
        <x:v>0</x:v>
      </x:c>
    </x:row>
    <x:row r="89" spans="1:42" ht="12.75" customHeight="1" x14ac:dyDescent="0.25">
      <x:c r="A89"/>
      <x:c r="B89"/>
      <x:c r="C89"/>
      <x:c r="D89" t="inlineStr">
        <x:is>
          <x:t>H</x:t>
        </x:is>
      </x:c>
      <x:c r="E89" s="89" t="inlineStr">
        <x:is>
          <x:t>Total</x:t>
        </x:is>
      </x:c>
      <x:c r="F89" s="371" t="n">
        <x:v>-20998.87</x:v>
      </x:c>
      <x:c r="G89" s="90" t="n">
        <x:v>-1840.53</x:v>
      </x:c>
      <x:c r="H89" s="90" t="n">
        <x:v>-781.92</x:v>
      </x:c>
      <x:c r="I89" s="90" t="n">
        <x:v>-341.46</x:v>
      </x:c>
      <x:c r="J89" s="90" t="n">
        <x:v>-4232.84</x:v>
      </x:c>
      <x:c r="K89" s="90" t="n">
        <x:v>-174.41</x:v>
      </x:c>
      <x:c r="L89" s="90" t="n">
        <x:v>0</x:v>
      </x:c>
      <x:c r="M89" s="90" t="n">
        <x:v>-1529.91</x:v>
      </x:c>
      <x:c r="N89" s="90" t="n">
        <x:v>-1917.75</x:v>
      </x:c>
      <x:c r="O89" s="90" t="n">
        <x:v>-6441.6</x:v>
      </x:c>
      <x:c r="P89" s="90" t="n">
        <x:v>-3453.9</x:v>
      </x:c>
      <x:c r="Q89" s="90" t="n">
        <x:v>-284.55</x:v>
      </x:c>
      <x:c r="R89" s="90" t="n">
        <x:v>0</x:v>
      </x:c>
      <x:c r="S89" s="90" t="n">
        <x:v>0</x:v>
      </x:c>
      <x:c r="T89" s="90" t="n">
        <x:v>0</x:v>
      </x:c>
      <x:c r="U89" s="90">
        <x:v>0</x:v>
      </x:c>
      <x:c r="V89" s="90">
        <x:v>0</x:v>
      </x:c>
      <x:c r="W89" s="90">
        <x:v>0</x:v>
      </x:c>
      <x:c r="X89">
        <x:v>0</x:v>
      </x:c>
      <x:c r="Y89">
        <x:v>0</x:v>
      </x:c>
      <x:c r="Z89" t="n">
        <x:v>0</x:v>
      </x:c>
    </x:row>
    <x:row r="90" spans="1:42" s="94" customFormat="1" ht="12.75" customHeight="1" x14ac:dyDescent="0.25">
      <x:c r="A90"/>
      <x:c r="B90"/>
      <x:c r="C90" s="94"/>
      <x:c r="D90" s="94"/>
      <x:c r="E90" s="101" t="inlineStr">
        <x:is>
          <x:t>Vlr Servicio</x:t>
        </x:is>
      </x:c>
      <x:c r="F90" s="93" t="n">
        <x:v>-7651.97</x:v>
      </x:c>
      <x:c r="G90" s="93" t="n">
        <x:v>-673.86</x:v>
      </x:c>
      <x:c r="H90" s="93" t="n">
        <x:v>-286.26</x:v>
      </x:c>
      <x:c r="I90" s="93" t="n">
        <x:v>-125.04</x:v>
      </x:c>
      <x:c r="J90" s="93" t="n">
        <x:v>-1539.21</x:v>
      </x:c>
      <x:c r="K90" s="93" t="n">
        <x:v>-63.42</x:v>
      </x:c>
      <x:c r="L90" s="93" t="n">
        <x:v>0</x:v>
      </x:c>
      <x:c r="M90" s="93" t="n">
        <x:v>-556.33</x:v>
      </x:c>
      <x:c r="N90" s="93" t="n">
        <x:v>-697.38</x:v>
      </x:c>
      <x:c r="O90" s="93" t="n">
        <x:v>-2342.4</x:v>
      </x:c>
      <x:c r="P90" s="93" t="n">
        <x:v>-1264.56</x:v>
      </x:c>
      <x:c r="Q90" s="93" t="n">
        <x:v>-103.51</x:v>
      </x:c>
      <x:c r="R90" s="93" t="n">
        <x:v>0</x:v>
      </x:c>
      <x:c r="S90" s="93" t="n">
        <x:v>0</x:v>
      </x:c>
      <x:c r="T90" s="93" t="n">
        <x:v>0</x:v>
      </x:c>
      <x:c r="U90" s="93">
        <x:v>0</x:v>
      </x:c>
      <x:c r="V90" s="93">
        <x:v>0</x:v>
      </x:c>
      <x:c r="W90" s="93">
        <x:v>0</x:v>
      </x:c>
      <x:c r="X90" s="94">
        <x:v>0</x:v>
      </x:c>
      <x:c r="Y90" s="94">
        <x:v>0</x:v>
      </x:c>
      <x:c r="Z90" s="94" t="n">
        <x:v>0</x:v>
      </x:c>
    </x:row>
    <x:row r="91" spans="1:42" ht="12.75" customHeight="1" x14ac:dyDescent="0.25">
      <x:c r="A91"/>
      <x:c r="B91" s="89"/>
      <x:c r="C91" s="89"/>
      <x:c r="D91" t="inlineStr">
        <x:is>
          <x:t>O</x:t>
        </x:is>
      </x:c>
      <x:c r="E91" t="inlineStr">
        <x:is>
          <x:t>Total</x:t>
        </x:is>
      </x:c>
      <x:c r="F91" s="90" t="n">
        <x:v>-7651.97</x:v>
      </x:c>
      <x:c r="G91" s="90" t="n">
        <x:v>-673.86</x:v>
      </x:c>
      <x:c r="H91" s="90" t="n">
        <x:v>-286.26</x:v>
      </x:c>
      <x:c r="I91" s="90" t="n">
        <x:v>-125.04</x:v>
      </x:c>
      <x:c r="J91" s="90" t="n">
        <x:v>-1539.21</x:v>
      </x:c>
      <x:c r="K91" s="90" t="n">
        <x:v>-63.42</x:v>
      </x:c>
      <x:c r="L91" s="90" t="n">
        <x:v>0</x:v>
      </x:c>
      <x:c r="M91" s="90" t="n">
        <x:v>-556.33</x:v>
      </x:c>
      <x:c r="N91" s="90" t="n">
        <x:v>-697.38</x:v>
      </x:c>
      <x:c r="O91" s="90" t="n">
        <x:v>-2342.4</x:v>
      </x:c>
      <x:c r="P91" s="90" t="n">
        <x:v>-1264.56</x:v>
      </x:c>
      <x:c r="Q91" s="90" t="n">
        <x:v>-103.51</x:v>
      </x:c>
      <x:c r="R91" s="90" t="n">
        <x:v>0</x:v>
      </x:c>
      <x:c r="S91" s="90" t="n">
        <x:v>0</x:v>
      </x:c>
      <x:c r="T91" t="n">
        <x:v>0</x:v>
      </x:c>
      <x:c r="U91">
        <x:v>0</x:v>
      </x:c>
      <x:c r="V91">
        <x:v>0</x:v>
      </x:c>
      <x:c r="W91">
        <x:v>0</x:v>
      </x:c>
      <x:c r="X91">
        <x:v>0</x:v>
      </x:c>
      <x:c r="Y91" s="90">
        <x:v>0</x:v>
      </x:c>
      <x:c r="Z91" t="n">
        <x:v>0</x:v>
      </x:c>
    </x:row>
    <x:row r="92" spans="1:42" s="458" customFormat="1" x14ac:dyDescent="0.25">
      <x:c r="A92" s="458"/>
      <x:c r="B92" s="459"/>
      <x:c r="C92" s="459" t="inlineStr">
        <x:is>
          <x:t>OCCIDENTE</x:t>
        </x:is>
      </x:c>
      <x:c r="D92" t="inlineStr">
        <x:is>
          <x:t>Total</x:t>
        </x:is>
      </x:c>
      <x:c r="E92"/>
      <x:c r="F92" s="460" t="n">
        <x:v>-28650.84</x:v>
      </x:c>
      <x:c r="G92" s="460" t="n">
        <x:v>-2514.39</x:v>
      </x:c>
      <x:c r="H92" s="460" t="n">
        <x:v>-1068.18</x:v>
      </x:c>
      <x:c r="I92" s="460" t="n">
        <x:v>-466.5</x:v>
      </x:c>
      <x:c r="J92" s="460" t="n">
        <x:v>-5772.05</x:v>
      </x:c>
      <x:c r="K92" s="460" t="n">
        <x:v>-237.83</x:v>
      </x:c>
      <x:c r="L92" s="460" t="n">
        <x:v>0</x:v>
      </x:c>
      <x:c r="M92" s="460" t="n">
        <x:v>-2086.24</x:v>
      </x:c>
      <x:c r="N92" s="460" t="n">
        <x:v>-2615.13</x:v>
      </x:c>
      <x:c r="O92" s="460" t="n">
        <x:v>-8784</x:v>
      </x:c>
      <x:c r="P92" s="460" t="n">
        <x:v>-4718.46</x:v>
      </x:c>
      <x:c r="Q92" s="460" t="n">
        <x:v>-388.06</x:v>
      </x:c>
      <x:c r="R92" s="460" t="n">
        <x:v>0</x:v>
      </x:c>
      <x:c r="S92" s="460" t="n">
        <x:v>0</x:v>
      </x:c>
      <x:c r="T92" s="460" t="n">
        <x:v>0</x:v>
      </x:c>
      <x:c r="U92" s="460">
        <x:v>0</x:v>
      </x:c>
      <x:c r="V92" s="460">
        <x:v>0</x:v>
      </x:c>
      <x:c r="W92" s="460">
        <x:v>0</x:v>
      </x:c>
      <x:c r="X92" s="460">
        <x:v>0</x:v>
      </x:c>
      <x:c r="Y92" s="460">
        <x:v>0</x:v>
      </x:c>
      <x:c r="Z92" s="460" t="n">
        <x:v>0</x:v>
      </x:c>
    </x:row>
    <x:row r="93" spans="1:42" ht="12.75" customHeight="1" x14ac:dyDescent="0.25">
      <x:c r="A93"/>
      <x:c r="B93" t="inlineStr">
        <x:is>
          <x:t>Mes</x:t>
        </x:is>
      </x:c>
      <x:c r="C93" t="inlineStr">
        <x:is>
          <x:t>Total</x:t>
        </x:is>
      </x:c>
      <x:c r="D93"/>
      <x:c r="E93" s="89"/>
      <x:c r="F93" s="371" t="n">
        <x:v>-1443509.98</x:v>
      </x:c>
      <x:c r="G93" s="90" t="n">
        <x:v>-126107.3</x:v>
      </x:c>
      <x:c r="H93" s="90" t="n">
        <x:v>-53574.14</x:v>
      </x:c>
      <x:c r="I93" s="90" t="n">
        <x:v>-23396.67</x:v>
      </x:c>
      <x:c r="J93" s="90" t="n">
        <x:v>-289490.34</x:v>
      </x:c>
      <x:c r="K93" s="90" t="n">
        <x:v>-12050.94</x:v>
      </x:c>
      <x:c r="L93" s="90" t="n">
        <x:v>0</x:v>
      </x:c>
      <x:c r="M93" s="90" t="n">
        <x:v>-105713.14</x:v>
      </x:c>
      <x:c r="N93" s="90" t="n">
        <x:v>-132509.9</x:v>
      </x:c>
      <x:c r="O93" s="90" t="n">
        <x:v>-445101.84</x:v>
      </x:c>
      <x:c r="P93" s="90" t="n">
        <x:v>-235902.28</x:v>
      </x:c>
      <x:c r="Q93" s="90" t="n">
        <x:v>-19663.43</x:v>
      </x:c>
      <x:c r="R93" s="90" t="n">
        <x:v>0</x:v>
      </x:c>
      <x:c r="S93" s="90" t="n">
        <x:v>0</x:v>
      </x:c>
      <x:c r="T93" s="90" t="n">
        <x:v>0</x:v>
      </x:c>
      <x:c r="U93" s="90">
        <x:v>0</x:v>
      </x:c>
      <x:c r="V93" s="90">
        <x:v>0</x:v>
      </x:c>
      <x:c r="W93" s="90">
        <x:v>0</x:v>
      </x:c>
      <x:c r="X93">
        <x:v>0</x:v>
      </x:c>
      <x:c r="Y93">
        <x:v>0</x:v>
      </x:c>
      <x:c r="Z93" t="n">
        <x:v>0</x:v>
      </x:c>
    </x:row>
    <x:row r="94" spans="2:26" ht="12.75" customHeight="1" x14ac:dyDescent="0.25">
      <x:c r="A94" t="inlineStr">
        <x:is>
          <x:t>AFaseo</x:t>
        </x:is>
      </x:c>
      <x:c r="B94" t="inlineStr">
        <x:is>
          <x:t>Total</x:t>
        </x:is>
      </x:c>
      <x:c r="C94"/>
      <x:c r="D94"/>
      <x:c r="E94" s="89"/>
      <x:c r="F94" s="371" t="n">
        <x:v>-1443509.98</x:v>
      </x:c>
      <x:c r="G94" s="90" t="n">
        <x:v>-126107.3</x:v>
      </x:c>
      <x:c r="H94" s="90" t="n">
        <x:v>-53574.14</x:v>
      </x:c>
      <x:c r="I94" s="90" t="n">
        <x:v>-23396.67</x:v>
      </x:c>
      <x:c r="J94" s="90" t="n">
        <x:v>-289490.34</x:v>
      </x:c>
      <x:c r="K94" s="90" t="n">
        <x:v>-12050.94</x:v>
      </x:c>
      <x:c r="L94" s="90" t="n">
        <x:v>0</x:v>
      </x:c>
      <x:c r="M94" s="90" t="n">
        <x:v>-105713.14</x:v>
      </x:c>
      <x:c r="N94" s="90" t="n">
        <x:v>-132509.9</x:v>
      </x:c>
      <x:c r="O94" s="90" t="n">
        <x:v>-445101.84</x:v>
      </x:c>
      <x:c r="P94" s="90" t="n">
        <x:v>-235902.28</x:v>
      </x:c>
      <x:c r="Q94" s="90" t="n">
        <x:v>-19663.43</x:v>
      </x:c>
      <x:c r="R94" s="90" t="n">
        <x:v>0</x:v>
      </x:c>
      <x:c r="S94" s="90" t="n">
        <x:v>0</x:v>
      </x:c>
      <x:c r="T94" s="90" t="n">
        <x:v>0</x:v>
      </x:c>
      <x:c r="U94" s="90">
        <x:v>0</x:v>
      </x:c>
      <x:c r="V94" s="90">
        <x:v>0</x:v>
      </x:c>
      <x:c r="W94" s="90">
        <x:v>0</x:v>
      </x:c>
      <x:c r="X94">
        <x:v>0</x:v>
      </x:c>
      <x:c r="Y94">
        <x:v>0</x:v>
      </x:c>
      <x:c r="Z94" t="n">
        <x:v>0</x:v>
      </x:c>
    </x:row>
    <x:row r="95" spans="2:26" ht="12.75" customHeight="1" x14ac:dyDescent="0.25">
      <x:c r="A95"/>
      <x:c r="B95"/>
      <x:c r="C95"/>
      <x:c r="D95"/>
      <x:c r="E95" s="89" t="inlineStr">
        <x:is>
          <x:t>Vlr Servicio</x:t>
        </x:is>
      </x:c>
      <x:c r="F95" s="371" t="n">
        <x:v>131543.19</x:v>
      </x:c>
      <x:c r="G95" s="90" t="n">
        <x:v>13093.19</x:v>
      </x:c>
      <x:c r="H95" s="90" t="n">
        <x:v>7370.27</x:v>
      </x:c>
      <x:c r="I95" s="90" t="n">
        <x:v>4474.7</x:v>
      </x:c>
      <x:c r="J95" s="90" t="n">
        <x:v>25771.56</x:v>
      </x:c>
      <x:c r="K95" s="90" t="n">
        <x:v>925.74</x:v>
      </x:c>
      <x:c r="L95" s="90" t="n">
        <x:v>0</x:v>
      </x:c>
      <x:c r="M95" s="90" t="n">
        <x:v>8109.96</x:v>
      </x:c>
      <x:c r="N95" s="90" t="n">
        <x:v>7930.91</x:v>
      </x:c>
      <x:c r="O95" s="90" t="n">
        <x:v>37461.59</x:v>
      </x:c>
      <x:c r="P95" s="90" t="n">
        <x:v>24418.29</x:v>
      </x:c>
      <x:c r="Q95" s="90" t="n">
        <x:v>1987.26</x:v>
      </x:c>
      <x:c r="R95" s="90" t="n">
        <x:v>-0.28</x:v>
      </x:c>
      <x:c r="S95" s="90" t="n">
        <x:v>0</x:v>
      </x:c>
      <x:c r="T95" s="90" t="n">
        <x:v>0</x:v>
      </x:c>
      <x:c r="U95" s="90">
        <x:v>0</x:v>
      </x:c>
      <x:c r="V95" s="90">
        <x:v>0</x:v>
      </x:c>
      <x:c r="W95" s="90">
        <x:v>0</x:v>
      </x:c>
      <x:c r="X95">
        <x:v>0</x:v>
      </x:c>
      <x:c r="Y95">
        <x:v>0</x:v>
      </x:c>
      <x:c r="Z95" t="n">
        <x:v>0</x:v>
      </x:c>
    </x:row>
    <x:row r="96" spans="2:26" s="657" customFormat="1" ht="12.75" customHeight="1" x14ac:dyDescent="0.25">
      <x:c r="A96"/>
      <x:c r="B96"/>
      <x:c r="C96" s="657"/>
      <x:c r="D96" s="657" t="inlineStr">
        <x:is>
          <x:t>E</x:t>
        </x:is>
      </x:c>
      <x:c r="E96" t="inlineStr">
        <x:is>
          <x:t>Total</x:t>
        </x:is>
      </x:c>
      <x:c r="F96" s="737" t="n">
        <x:v>131543.19</x:v>
      </x:c>
      <x:c r="G96" s="658" t="n">
        <x:v>13093.19</x:v>
      </x:c>
      <x:c r="H96" s="658" t="n">
        <x:v>7370.27</x:v>
      </x:c>
      <x:c r="I96" s="738" t="n">
        <x:v>4474.7</x:v>
      </x:c>
      <x:c r="J96" s="658" t="n">
        <x:v>25771.56</x:v>
      </x:c>
      <x:c r="K96" s="658" t="n">
        <x:v>925.74</x:v>
      </x:c>
      <x:c r="L96" s="658" t="n">
        <x:v>0</x:v>
      </x:c>
      <x:c r="M96" s="658" t="n">
        <x:v>8109.96</x:v>
      </x:c>
      <x:c r="N96" s="658" t="n">
        <x:v>7930.91</x:v>
      </x:c>
      <x:c r="O96" s="658" t="n">
        <x:v>37461.59</x:v>
      </x:c>
      <x:c r="P96" s="658" t="n">
        <x:v>24418.29</x:v>
      </x:c>
      <x:c r="Q96" s="658" t="n">
        <x:v>1987.26</x:v>
      </x:c>
      <x:c r="R96" s="658" t="n">
        <x:v>-0.28</x:v>
      </x:c>
      <x:c r="S96" s="658" t="n">
        <x:v>0</x:v>
      </x:c>
      <x:c r="T96" s="658" t="n">
        <x:v>0</x:v>
      </x:c>
      <x:c r="U96" s="658">
        <x:v>0</x:v>
      </x:c>
      <x:c r="V96" s="658">
        <x:v>0</x:v>
      </x:c>
      <x:c r="W96" s="658">
        <x:v>0</x:v>
      </x:c>
      <x:c r="X96" s="657">
        <x:v>0</x:v>
      </x:c>
      <x:c r="Y96" s="658">
        <x:v>0</x:v>
      </x:c>
      <x:c r="Z96" s="658" t="n">
        <x:v>0</x:v>
      </x:c>
    </x:row>
    <x:row r="97" spans="2:26" ht="12.75" customHeight="1" x14ac:dyDescent="0.25">
      <x:c r="A97"/>
      <x:c r="B97"/>
      <x:c r="C97" t="inlineStr">
        <x:is>
          <x:t>ENEL</x:t>
        </x:is>
      </x:c>
      <x:c r="D97" t="inlineStr">
        <x:is>
          <x:t>Total</x:t>
        </x:is>
      </x:c>
      <x:c r="E97" s="89"/>
      <x:c r="F97" s="371" t="n">
        <x:v>131543.19</x:v>
      </x:c>
      <x:c r="G97" s="90" t="n">
        <x:v>13093.19</x:v>
      </x:c>
      <x:c r="H97" s="90" t="n">
        <x:v>7370.27</x:v>
      </x:c>
      <x:c r="I97" s="90" t="n">
        <x:v>4474.7</x:v>
      </x:c>
      <x:c r="J97" s="90" t="n">
        <x:v>25771.56</x:v>
      </x:c>
      <x:c r="K97" s="90" t="n">
        <x:v>925.74</x:v>
      </x:c>
      <x:c r="L97" s="90" t="n">
        <x:v>0</x:v>
      </x:c>
      <x:c r="M97" s="90" t="n">
        <x:v>8109.96</x:v>
      </x:c>
      <x:c r="N97" s="90" t="n">
        <x:v>7930.91</x:v>
      </x:c>
      <x:c r="O97" s="90" t="n">
        <x:v>37461.59</x:v>
      </x:c>
      <x:c r="P97" s="90" t="n">
        <x:v>24418.29</x:v>
      </x:c>
      <x:c r="Q97" s="90" t="n">
        <x:v>1987.26</x:v>
      </x:c>
      <x:c r="R97" s="90" t="n">
        <x:v>-0.28</x:v>
      </x:c>
      <x:c r="S97" s="90" t="n">
        <x:v>0</x:v>
      </x:c>
      <x:c r="T97" s="90" t="n">
        <x:v>0</x:v>
      </x:c>
      <x:c r="U97" s="90">
        <x:v>0</x:v>
      </x:c>
      <x:c r="V97" s="90">
        <x:v>0</x:v>
      </x:c>
      <x:c r="W97" s="90">
        <x:v>0</x:v>
      </x:c>
      <x:c r="X97">
        <x:v>0</x:v>
      </x:c>
      <x:c r="Y97">
        <x:v>0</x:v>
      </x:c>
      <x:c r="Z97" t="n">
        <x:v>0</x:v>
      </x:c>
    </x:row>
    <x:row r="98" spans="2:26" ht="12.75" customHeight="1" x14ac:dyDescent="0.25">
      <x:c r="A98"/>
      <x:c r="B98"/>
      <x:c r="C98"/>
      <x:c r="D98"/>
      <x:c r="E98" s="89" t="inlineStr">
        <x:is>
          <x:t>Vlr Servicio</x:t>
        </x:is>
      </x:c>
      <x:c r="F98" s="371" t="n">
        <x:v>24890</x:v>
      </x:c>
      <x:c r="G98" s="90" t="n">
        <x:v>0</x:v>
      </x:c>
      <x:c r="H98" s="90" t="n">
        <x:v>0</x:v>
      </x:c>
      <x:c r="I98" s="90" t="n">
        <x:v>567.09</x:v>
      </x:c>
      <x:c r="J98" s="90" t="n">
        <x:v>5122.93</x:v>
      </x:c>
      <x:c r="K98" s="90" t="n">
        <x:v>373.45</x:v>
      </x:c>
      <x:c r="L98" s="90" t="n">
        <x:v>0</x:v>
      </x:c>
      <x:c r="M98" s="90" t="n">
        <x:v>0</x:v>
      </x:c>
      <x:c r="N98" s="90" t="n">
        <x:v>3176.37</x:v>
      </x:c>
      <x:c r="O98" s="90" t="n">
        <x:v>15040.85</x:v>
      </x:c>
      <x:c r="P98" s="90" t="n">
        <x:v>0</x:v>
      </x:c>
      <x:c r="Q98" s="90" t="n">
        <x:v>609.31</x:v>
      </x:c>
      <x:c r="R98" s="90" t="n">
        <x:v>0</x:v>
      </x:c>
      <x:c r="S98" s="90" t="n">
        <x:v>0</x:v>
      </x:c>
      <x:c r="T98" s="90" t="n">
        <x:v>0</x:v>
      </x:c>
      <x:c r="U98" s="90">
        <x:v>0</x:v>
      </x:c>
      <x:c r="V98" s="90">
        <x:v>0</x:v>
      </x:c>
      <x:c r="W98" s="90">
        <x:v>0</x:v>
      </x:c>
      <x:c r="X98">
        <x:v>0</x:v>
      </x:c>
      <x:c r="Y98">
        <x:v>0</x:v>
      </x:c>
      <x:c r="Z98" t="n">
        <x:v>0</x:v>
      </x:c>
    </x:row>
    <x:row r="99" spans="2:26" ht="12.75" customHeight="1" x14ac:dyDescent="0.25">
      <x:c r="A99"/>
      <x:c r="B99"/>
      <x:c r="C99"/>
      <x:c r="D99" t="inlineStr">
        <x:is>
          <x:t>O</x:t>
        </x:is>
      </x:c>
      <x:c r="E99" s="89" t="inlineStr">
        <x:is>
          <x:t>Total</x:t>
        </x:is>
      </x:c>
      <x:c r="F99" s="371" t="n">
        <x:v>24890</x:v>
      </x:c>
      <x:c r="G99" s="90" t="n">
        <x:v>0</x:v>
      </x:c>
      <x:c r="H99" s="90" t="n">
        <x:v>0</x:v>
      </x:c>
      <x:c r="I99" s="90" t="n">
        <x:v>567.09</x:v>
      </x:c>
      <x:c r="J99" s="90" t="n">
        <x:v>5122.93</x:v>
      </x:c>
      <x:c r="K99" s="90" t="n">
        <x:v>373.45</x:v>
      </x:c>
      <x:c r="L99" s="90" t="n">
        <x:v>0</x:v>
      </x:c>
      <x:c r="M99" s="90" t="n">
        <x:v>0</x:v>
      </x:c>
      <x:c r="N99" s="90" t="n">
        <x:v>3176.37</x:v>
      </x:c>
      <x:c r="O99" s="90" t="n">
        <x:v>15040.85</x:v>
      </x:c>
      <x:c r="P99" s="90" t="n">
        <x:v>0</x:v>
      </x:c>
      <x:c r="Q99" s="90" t="n">
        <x:v>609.31</x:v>
      </x:c>
      <x:c r="R99" s="90" t="n">
        <x:v>0</x:v>
      </x:c>
      <x:c r="S99" s="90" t="n">
        <x:v>0</x:v>
      </x:c>
      <x:c r="T99" s="90" t="n">
        <x:v>0</x:v>
      </x:c>
      <x:c r="U99" s="90">
        <x:v>0</x:v>
      </x:c>
      <x:c r="V99" s="90">
        <x:v>0</x:v>
      </x:c>
      <x:c r="W99" s="90">
        <x:v>0</x:v>
      </x:c>
      <x:c r="X99">
        <x:v>0</x:v>
      </x:c>
      <x:c r="Y99">
        <x:v>0</x:v>
      </x:c>
      <x:c r="Z99" t="n">
        <x:v>0</x:v>
      </x:c>
    </x:row>
    <x:row r="100" spans="2:26" ht="12.75" customHeight="1" x14ac:dyDescent="0.25">
      <x:c r="A100"/>
      <x:c r="B100"/>
      <x:c r="C100" t="inlineStr">
        <x:is>
          <x:t>OCCIDENTE</x:t>
        </x:is>
      </x:c>
      <x:c r="D100" t="inlineStr">
        <x:is>
          <x:t>Total</x:t>
        </x:is>
      </x:c>
      <x:c r="E100" s="89"/>
      <x:c r="F100" s="371" t="n">
        <x:v>24890</x:v>
      </x:c>
      <x:c r="G100" s="90" t="n">
        <x:v>0</x:v>
      </x:c>
      <x:c r="H100" s="90" t="n">
        <x:v>0</x:v>
      </x:c>
      <x:c r="I100" s="90" t="n">
        <x:v>567.09</x:v>
      </x:c>
      <x:c r="J100" s="90" t="n">
        <x:v>5122.93</x:v>
      </x:c>
      <x:c r="K100" s="90" t="n">
        <x:v>373.45</x:v>
      </x:c>
      <x:c r="L100" s="90" t="n">
        <x:v>0</x:v>
      </x:c>
      <x:c r="M100" s="90" t="n">
        <x:v>0</x:v>
      </x:c>
      <x:c r="N100" s="90" t="n">
        <x:v>3176.37</x:v>
      </x:c>
      <x:c r="O100" s="90" t="n">
        <x:v>15040.85</x:v>
      </x:c>
      <x:c r="P100" s="90" t="n">
        <x:v>0</x:v>
      </x:c>
      <x:c r="Q100" s="90" t="n">
        <x:v>609.31</x:v>
      </x:c>
      <x:c r="R100" s="90" t="n">
        <x:v>0</x:v>
      </x:c>
      <x:c r="S100" s="90" t="n">
        <x:v>0</x:v>
      </x:c>
      <x:c r="T100" s="90" t="n">
        <x:v>0</x:v>
      </x:c>
      <x:c r="U100" s="90">
        <x:v>0</x:v>
      </x:c>
      <x:c r="V100" s="90">
        <x:v>0</x:v>
      </x:c>
      <x:c r="W100" s="90">
        <x:v>0</x:v>
      </x:c>
      <x:c r="X100">
        <x:v>0</x:v>
      </x:c>
      <x:c r="Y100">
        <x:v>0</x:v>
      </x:c>
      <x:c r="Z100" t="n">
        <x:v>0</x:v>
      </x:c>
    </x:row>
    <x:row r="101" spans="2:26" ht="12.75" customHeight="1" x14ac:dyDescent="0.25">
      <x:c r="A101"/>
      <x:c r="B101" t="inlineStr">
        <x:is>
          <x:t>Aplicacion nuevos x reversion</x:t>
        </x:is>
      </x:c>
      <x:c r="C101" t="inlineStr">
        <x:is>
          <x:t>Total</x:t>
        </x:is>
      </x:c>
      <x:c r="D101"/>
      <x:c r="E101" s="89"/>
      <x:c r="F101" s="371" t="n">
        <x:v>156433.19</x:v>
      </x:c>
      <x:c r="G101" s="90" t="n">
        <x:v>13093.19</x:v>
      </x:c>
      <x:c r="H101" s="90" t="n">
        <x:v>7370.27</x:v>
      </x:c>
      <x:c r="I101" s="90" t="n">
        <x:v>5041.79</x:v>
      </x:c>
      <x:c r="J101" s="90" t="n">
        <x:v>30894.49</x:v>
      </x:c>
      <x:c r="K101" s="90" t="n">
        <x:v>1299.19</x:v>
      </x:c>
      <x:c r="L101" s="90" t="n">
        <x:v>0</x:v>
      </x:c>
      <x:c r="M101" s="90" t="n">
        <x:v>8109.96</x:v>
      </x:c>
      <x:c r="N101" s="90" t="n">
        <x:v>11107.28</x:v>
      </x:c>
      <x:c r="O101" s="90" t="n">
        <x:v>52502.44</x:v>
      </x:c>
      <x:c r="P101" s="90" t="n">
        <x:v>24418.29</x:v>
      </x:c>
      <x:c r="Q101" s="90" t="n">
        <x:v>2596.57</x:v>
      </x:c>
      <x:c r="R101" s="90" t="n">
        <x:v>-0.28</x:v>
      </x:c>
      <x:c r="S101" s="90" t="n">
        <x:v>0</x:v>
      </x:c>
      <x:c r="T101" s="90" t="n">
        <x:v>0</x:v>
      </x:c>
      <x:c r="U101" s="90">
        <x:v>0</x:v>
      </x:c>
      <x:c r="V101" s="90">
        <x:v>0</x:v>
      </x:c>
      <x:c r="W101" s="90">
        <x:v>0</x:v>
      </x:c>
      <x:c r="X101">
        <x:v>0</x:v>
      </x:c>
      <x:c r="Y101">
        <x:v>0</x:v>
      </x:c>
      <x:c r="Z101" t="n">
        <x:v>0</x:v>
      </x:c>
    </x:row>
    <x:row r="102" spans="2:26" ht="12.75" customHeight="1" x14ac:dyDescent="0.25">
      <x:c r="A102"/>
      <x:c r="B102"/>
      <x:c r="C102"/>
      <x:c r="D102"/>
      <x:c r="E102" s="89" t="inlineStr">
        <x:is>
          <x:t>Vlr Servicio</x:t>
        </x:is>
      </x:c>
      <x:c r="F102" s="371" t="n">
        <x:v>24730940551.65</x:v>
      </x:c>
      <x:c r="G102" s="90" t="n">
        <x:v>1364112524.55</x:v>
      </x:c>
      <x:c r="H102" s="90" t="n">
        <x:v>761399187.9</x:v>
      </x:c>
      <x:c r="I102" s="90" t="n">
        <x:v>397562128.76</x:v>
      </x:c>
      <x:c r="J102" s="90" t="n">
        <x:v>6435626473.28</x:v>
      </x:c>
      <x:c r="K102" s="90" t="n">
        <x:v>215578294.58</x:v>
      </x:c>
      <x:c r="L102" s="90" t="n">
        <x:v>22415640.24</x:v>
      </x:c>
      <x:c r="M102" s="90" t="n">
        <x:v>1891782279.45</x:v>
      </x:c>
      <x:c r="N102" s="90" t="n">
        <x:v>1858318899.56</x:v>
      </x:c>
      <x:c r="O102" s="90" t="n">
        <x:v>8749864976.92</x:v>
      </x:c>
      <x:c r="P102" s="90" t="n">
        <x:v>2682322153.3</x:v>
      </x:c>
      <x:c r="Q102" s="90" t="n">
        <x:v>352178299.36</x:v>
      </x:c>
      <x:c r="R102" s="90" t="n">
        <x:v>-220306.25</x:v>
      </x:c>
      <x:c r="S102" s="90" t="n">
        <x:v>0</x:v>
      </x:c>
      <x:c r="T102" s="90" t="n">
        <x:v>0</x:v>
      </x:c>
      <x:c r="U102" s="90">
        <x:v>0</x:v>
      </x:c>
      <x:c r="V102" s="90">
        <x:v>0</x:v>
      </x:c>
      <x:c r="W102" s="90">
        <x:v>0</x:v>
      </x:c>
      <x:c r="X102">
        <x:v>0</x:v>
      </x:c>
      <x:c r="Y102">
        <x:v>0</x:v>
      </x:c>
      <x:c r="Z102" t="n">
        <x:v>0</x:v>
      </x:c>
    </x:row>
    <x:row r="103" spans="2:26" s="94" customFormat="1" ht="12.75" customHeight="1" x14ac:dyDescent="0.25">
      <x:c r="A103"/>
      <x:c r="B103"/>
      <x:c r="C103" s="94"/>
      <x:c r="D103" s="94"/>
      <x:c r="E103" s="101" t="inlineStr">
        <x:is>
          <x:t>Vlr Intereses</x:t>
        </x:is>
      </x:c>
      <x:c r="F103" s="93" t="n">
        <x:v>105078851.29</x:v>
      </x:c>
      <x:c r="G103" s="93" t="n">
        <x:v>12373207.9</x:v>
      </x:c>
      <x:c r="H103" s="93" t="n">
        <x:v>5822118.44</x:v>
      </x:c>
      <x:c r="I103" s="93" t="n">
        <x:v>2557314.43</x:v>
      </x:c>
      <x:c r="J103" s="93" t="n">
        <x:v>19359151.93</x:v>
      </x:c>
      <x:c r="K103" s="93" t="n">
        <x:v>689674.86</x:v>
      </x:c>
      <x:c r="L103" s="93" t="n">
        <x:v>17502.71</x:v>
      </x:c>
      <x:c r="M103" s="93" t="n">
        <x:v>6029529.77</x:v>
      </x:c>
      <x:c r="N103" s="93" t="n">
        <x:v>7139477.92</x:v>
      </x:c>
      <x:c r="O103" s="93" t="n">
        <x:v>25859857.55</x:v>
      </x:c>
      <x:c r="P103" s="93" t="n">
        <x:v>24102912.74</x:v>
      </x:c>
      <x:c r="Q103" s="93" t="n">
        <x:v>1125547.59</x:v>
      </x:c>
      <x:c r="R103" s="93" t="n">
        <x:v>2527.3</x:v>
      </x:c>
      <x:c r="S103" s="93" t="n">
        <x:v>50.73</x:v>
      </x:c>
      <x:c r="T103" s="93" t="n">
        <x:v>0.9</x:v>
      </x:c>
      <x:c r="U103" s="93">
        <x:v>0</x:v>
      </x:c>
      <x:c r="V103" s="93">
        <x:v>0</x:v>
      </x:c>
      <x:c r="W103" s="93">
        <x:v>0</x:v>
      </x:c>
      <x:c r="X103" s="94">
        <x:v>0</x:v>
      </x:c>
      <x:c r="Y103" s="94">
        <x:v>0</x:v>
      </x:c>
      <x:c r="Z103" s="94" t="n">
        <x:v>-23.48</x:v>
      </x:c>
    </x:row>
    <x:row r="104" spans="2:26" s="378" customFormat="1" ht="12.75" customHeight="1" x14ac:dyDescent="0.25">
      <x:c r="A104"/>
      <x:c r="B104" s="378"/>
      <x:c r="C104" s="378"/>
      <x:c r="D104" t="inlineStr">
        <x:is>
          <x:t>E</x:t>
        </x:is>
      </x:c>
      <x:c r="E104" s="376" t="inlineStr">
        <x:is>
          <x:t>Total</x:t>
        </x:is>
      </x:c>
      <x:c r="F104" s="711" t="n">
        <x:v>24836019402.94</x:v>
      </x:c>
      <x:c r="G104" s="377" t="n">
        <x:v>1376485732.45</x:v>
      </x:c>
      <x:c r="H104" s="377" t="n">
        <x:v>767221306.34</x:v>
      </x:c>
      <x:c r="I104" s="377" t="n">
        <x:v>400119443.19</x:v>
      </x:c>
      <x:c r="J104" s="377" t="n">
        <x:v>6454985625.21</x:v>
      </x:c>
      <x:c r="K104" s="377" t="n">
        <x:v>216267969.44</x:v>
      </x:c>
      <x:c r="L104" s="377" t="n">
        <x:v>22433142.95</x:v>
      </x:c>
      <x:c r="M104" s="377" t="n">
        <x:v>1897811809.22</x:v>
      </x:c>
      <x:c r="N104" s="377" t="n">
        <x:v>1865458377.48</x:v>
      </x:c>
      <x:c r="O104" s="377" t="n">
        <x:v>8775724834.47</x:v>
      </x:c>
      <x:c r="P104" s="377" t="n">
        <x:v>2706425066.04</x:v>
      </x:c>
      <x:c r="Q104" s="377" t="n">
        <x:v>353303846.95</x:v>
      </x:c>
      <x:c r="R104" s="377" t="n">
        <x:v>-217778.95</x:v>
      </x:c>
      <x:c r="S104" s="377" t="n">
        <x:v>50.73</x:v>
      </x:c>
      <x:c r="T104" s="377" t="n">
        <x:v>0.9</x:v>
      </x:c>
      <x:c r="U104" s="377">
        <x:v>0</x:v>
      </x:c>
      <x:c r="V104" s="377">
        <x:v>0</x:v>
      </x:c>
      <x:c r="W104" s="377">
        <x:v>0</x:v>
      </x:c>
      <x:c r="X104" s="378">
        <x:v>0</x:v>
      </x:c>
      <x:c r="Y104" s="378">
        <x:v>0</x:v>
      </x:c>
      <x:c r="Z104" s="378" t="n">
        <x:v>-23.48</x:v>
      </x:c>
    </x:row>
    <x:row r="105" spans="2:26" ht="12.75" customHeight="1" x14ac:dyDescent="0.25">
      <x:c r="A105"/>
      <x:c r="B105"/>
      <x:c r="C105" t="inlineStr">
        <x:is>
          <x:t>ENEL</x:t>
        </x:is>
      </x:c>
      <x:c r="D105" t="inlineStr">
        <x:is>
          <x:t>Total</x:t>
        </x:is>
      </x:c>
      <x:c r="E105" s="89"/>
      <x:c r="F105" s="371" t="n">
        <x:v>24836019402.94</x:v>
      </x:c>
      <x:c r="G105" s="90" t="n">
        <x:v>1376485732.45</x:v>
      </x:c>
      <x:c r="H105" s="90" t="n">
        <x:v>767221306.34</x:v>
      </x:c>
      <x:c r="I105" s="90" t="n">
        <x:v>400119443.19</x:v>
      </x:c>
      <x:c r="J105" s="90" t="n">
        <x:v>6454985625.21</x:v>
      </x:c>
      <x:c r="K105" s="90" t="n">
        <x:v>216267969.44</x:v>
      </x:c>
      <x:c r="L105" s="90" t="n">
        <x:v>22433142.95</x:v>
      </x:c>
      <x:c r="M105" s="90" t="n">
        <x:v>1897811809.22</x:v>
      </x:c>
      <x:c r="N105" s="90" t="n">
        <x:v>1865458377.48</x:v>
      </x:c>
      <x:c r="O105" s="90" t="n">
        <x:v>8775724834.47</x:v>
      </x:c>
      <x:c r="P105" s="90" t="n">
        <x:v>2706425066.04</x:v>
      </x:c>
      <x:c r="Q105" s="90" t="n">
        <x:v>353303846.95</x:v>
      </x:c>
      <x:c r="R105" s="90" t="n">
        <x:v>-217778.95</x:v>
      </x:c>
      <x:c r="S105" s="90" t="n">
        <x:v>50.73</x:v>
      </x:c>
      <x:c r="T105" s="90" t="n">
        <x:v>0.9</x:v>
      </x:c>
      <x:c r="U105" s="90">
        <x:v>0</x:v>
      </x:c>
      <x:c r="V105" s="90">
        <x:v>0</x:v>
      </x:c>
      <x:c r="W105" s="90">
        <x:v>0</x:v>
      </x:c>
      <x:c r="X105">
        <x:v>0</x:v>
      </x:c>
      <x:c r="Y105">
        <x:v>0</x:v>
      </x:c>
      <x:c r="Z105" t="n">
        <x:v>-23.48</x:v>
      </x:c>
    </x:row>
    <x:row r="106" spans="2:26" ht="12.75" customHeight="1" x14ac:dyDescent="0.25">
      <x:c r="A106"/>
      <x:c r="B106"/>
      <x:c r="C106"/>
      <x:c r="D106"/>
      <x:c r="E106" s="89" t="inlineStr">
        <x:is>
          <x:t>Vlr Servicio</x:t>
        </x:is>
      </x:c>
      <x:c r="F106" s="90" t="n">
        <x:v>1148755.91</x:v>
      </x:c>
      <x:c r="G106" s="90" t="n">
        <x:v>103833.95</x:v>
      </x:c>
      <x:c r="H106" s="90" t="n">
        <x:v>50131.96</x:v>
      </x:c>
      <x:c r="I106" s="90" t="n">
        <x:v>27876.21</x:v>
      </x:c>
      <x:c r="J106" s="90" t="n">
        <x:v>257690.34</x:v>
      </x:c>
      <x:c r="K106" s="90" t="n">
        <x:v>6913.63</x:v>
      </x:c>
      <x:c r="L106" s="90" t="n">
        <x:v>0</x:v>
      </x:c>
      <x:c r="M106" s="90" t="n">
        <x:v>60980.16</x:v>
      </x:c>
      <x:c r="N106" s="90" t="n">
        <x:v>74702.16</x:v>
      </x:c>
      <x:c r="O106" s="90" t="n">
        <x:v>347093.13</x:v>
      </x:c>
      <x:c r="P106" s="90" t="n">
        <x:v>208245.74</x:v>
      </x:c>
      <x:c r="Q106" s="90" t="n">
        <x:v>11280.3</x:v>
      </x:c>
      <x:c r="R106" s="90" t="n">
        <x:v>8.33</x:v>
      </x:c>
      <x:c r="S106" s="90" t="n">
        <x:v>0</x:v>
      </x:c>
      <x:c r="T106" s="90" t="n">
        <x:v>0</x:v>
      </x:c>
      <x:c r="U106" s="90">
        <x:v>0</x:v>
      </x:c>
      <x:c r="V106" s="90">
        <x:v>0</x:v>
      </x:c>
      <x:c r="W106" s="90">
        <x:v>0</x:v>
      </x:c>
      <x:c r="X106">
        <x:v>0</x:v>
      </x:c>
      <x:c r="Y106">
        <x:v>0</x:v>
      </x:c>
      <x:c r="Z106" t="n">
        <x:v>0</x:v>
      </x:c>
    </x:row>
    <x:row r="107" spans="2:26" ht="12.75" customHeight="1" x14ac:dyDescent="0.25">
      <x:c r="A107"/>
      <x:c r="B107"/>
      <x:c r="C107"/>
      <x:c r="D107"/>
      <x:c r="E107" s="89" t="inlineStr">
        <x:is>
          <x:t>Vlr Intereses</x:t>
        </x:is>
      </x:c>
      <x:c r="F107" s="90" t="n">
        <x:v>199642.47</x:v>
      </x:c>
      <x:c r="G107" s="90" t="n">
        <x:v>21039.28</x:v>
      </x:c>
      <x:c r="H107" s="90" t="n">
        <x:v>9401.54</x:v>
      </x:c>
      <x:c r="I107" s="90" t="n">
        <x:v>5415.39</x:v>
      </x:c>
      <x:c r="J107" s="90" t="n">
        <x:v>44862.35</x:v>
      </x:c>
      <x:c r="K107" s="90" t="n">
        <x:v>1038.88</x:v>
      </x:c>
      <x:c r="L107" s="90" t="n">
        <x:v>0</x:v>
      </x:c>
      <x:c r="M107" s="90" t="n">
        <x:v>9113.04</x:v>
      </x:c>
      <x:c r="N107" s="90" t="n">
        <x:v>11405.09</x:v>
      </x:c>
      <x:c r="O107" s="90" t="n">
        <x:v>53456.23</x:v>
      </x:c>
      <x:c r="P107" s="90" t="n">
        <x:v>42215.06</x:v>
      </x:c>
      <x:c r="Q107" s="90" t="n">
        <x:v>1695.12</x:v>
      </x:c>
      <x:c r="R107" s="90" t="n">
        <x:v>0.49</x:v>
      </x:c>
      <x:c r="S107" s="90" t="n">
        <x:v>0</x:v>
      </x:c>
      <x:c r="T107" s="90" t="n">
        <x:v>0</x:v>
      </x:c>
      <x:c r="U107" s="90">
        <x:v>0</x:v>
      </x:c>
      <x:c r="V107" s="90">
        <x:v>0</x:v>
      </x:c>
      <x:c r="W107" s="90">
        <x:v>0</x:v>
      </x:c>
      <x:c r="X107">
        <x:v>0</x:v>
      </x:c>
      <x:c r="Y107">
        <x:v>0</x:v>
      </x:c>
      <x:c r="Z107" t="n">
        <x:v>0</x:v>
      </x:c>
    </x:row>
    <x:row r="108" spans="2:26" s="657" customFormat="1" ht="12.75" customHeight="1" x14ac:dyDescent="0.25">
      <x:c r="A108"/>
      <x:c r="B108"/>
      <x:c r="C108" s="657"/>
      <x:c r="D108" s="658" t="inlineStr">
        <x:is>
          <x:t>1</x:t>
        </x:is>
      </x:c>
      <x:c r="E108" s="658" t="inlineStr">
        <x:is>
          <x:t>Total</x:t>
        </x:is>
      </x:c>
      <x:c r="F108" s="659" t="n">
        <x:v>1348398.38</x:v>
      </x:c>
      <x:c r="G108" s="659" t="n">
        <x:v>124873.23</x:v>
      </x:c>
      <x:c r="H108" s="659" t="n">
        <x:v>59533.5</x:v>
      </x:c>
      <x:c r="I108" s="659" t="n">
        <x:v>33291.6</x:v>
      </x:c>
      <x:c r="J108" s="659" t="n">
        <x:v>302552.69</x:v>
      </x:c>
      <x:c r="K108" s="659" t="n">
        <x:v>7952.51</x:v>
      </x:c>
      <x:c r="L108" s="659" t="n">
        <x:v>0</x:v>
      </x:c>
      <x:c r="M108" s="659" t="n">
        <x:v>70093.2</x:v>
      </x:c>
      <x:c r="N108" s="659" t="n">
        <x:v>86107.25</x:v>
      </x:c>
      <x:c r="O108" s="659" t="n">
        <x:v>400549.36</x:v>
      </x:c>
      <x:c r="P108" s="659" t="n">
        <x:v>250460.8</x:v>
      </x:c>
      <x:c r="Q108" s="659" t="n">
        <x:v>12975.42</x:v>
      </x:c>
      <x:c r="R108" s="659" t="n">
        <x:v>8.82</x:v>
      </x:c>
      <x:c r="S108" s="659" t="n">
        <x:v>0</x:v>
      </x:c>
      <x:c r="T108" s="659" t="n">
        <x:v>0</x:v>
      </x:c>
      <x:c r="U108" s="659">
        <x:v>0</x:v>
      </x:c>
      <x:c r="V108" s="659">
        <x:v>0</x:v>
      </x:c>
      <x:c r="W108" s="659">
        <x:v>0</x:v>
      </x:c>
      <x:c r="X108" s="657">
        <x:v>0</x:v>
      </x:c>
      <x:c r="Y108" s="657">
        <x:v>0</x:v>
      </x:c>
      <x:c r="Z108" s="657" t="n">
        <x:v>0</x:v>
      </x:c>
    </x:row>
    <x:row r="109" spans="2:26" ht="12.75" customHeight="1" x14ac:dyDescent="0.25">
      <x:c r="A109"/>
      <x:c r="B109"/>
      <x:c r="C109"/>
      <x:c r="D109" s="89"/>
      <x:c r="E109" s="89" t="inlineStr">
        <x:is>
          <x:t>Vlr Servicio</x:t>
        </x:is>
      </x:c>
      <x:c r="F109" s="371" t="n">
        <x:v>230376.22</x:v>
      </x:c>
      <x:c r="G109" s="90" t="n">
        <x:v>18333.27</x:v>
      </x:c>
      <x:c r="H109" s="90" t="n">
        <x:v>9782.29</x:v>
      </x:c>
      <x:c r="I109" s="90" t="n">
        <x:v>5319.95</x:v>
      </x:c>
      <x:c r="J109" s="90" t="n">
        <x:v>54717.31</x:v>
      </x:c>
      <x:c r="K109" s="90" t="n">
        <x:v>1624.1</x:v>
      </x:c>
      <x:c r="L109" s="90" t="n">
        <x:v>0</x:v>
      </x:c>
      <x:c r="M109" s="90" t="n">
        <x:v>14246.4</x:v>
      </x:c>
      <x:c r="N109" s="90" t="n">
        <x:v>15524.85</x:v>
      </x:c>
      <x:c r="O109" s="90" t="n">
        <x:v>70821.65</x:v>
      </x:c>
      <x:c r="P109" s="90" t="n">
        <x:v>37360.92</x:v>
      </x:c>
      <x:c r="Q109" s="90" t="n">
        <x:v>2649.83</x:v>
      </x:c>
      <x:c r="R109" s="90" t="n">
        <x:v>-4.35</x:v>
      </x:c>
      <x:c r="S109" s="90" t="n">
        <x:v>0</x:v>
      </x:c>
      <x:c r="T109" s="90" t="n">
        <x:v>0</x:v>
      </x:c>
      <x:c r="U109" s="90">
        <x:v>0</x:v>
      </x:c>
      <x:c r="V109" s="90">
        <x:v>0</x:v>
      </x:c>
      <x:c r="W109" s="90">
        <x:v>0</x:v>
      </x:c>
      <x:c r="X109">
        <x:v>0</x:v>
      </x:c>
      <x:c r="Y109">
        <x:v>0</x:v>
      </x:c>
      <x:c r="Z109" t="n">
        <x:v>0</x:v>
      </x:c>
    </x:row>
    <x:row r="110" spans="3:26" ht="12.75" customHeight="1" x14ac:dyDescent="0.25">
      <x:c r="A110"/>
      <x:c r="B110"/>
      <x:c r="C110"/>
      <x:c r="D110" s="89" t="inlineStr">
        <x:is>
          <x:t>2</x:t>
        </x:is>
      </x:c>
      <x:c r="E110" s="89" t="inlineStr">
        <x:is>
          <x:t>Total</x:t>
        </x:is>
      </x:c>
      <x:c r="F110" s="371" t="n">
        <x:v>230376.22</x:v>
      </x:c>
      <x:c r="G110" s="90" t="n">
        <x:v>18333.27</x:v>
      </x:c>
      <x:c r="H110" s="90" t="n">
        <x:v>9782.29</x:v>
      </x:c>
      <x:c r="I110" s="90" t="n">
        <x:v>5319.95</x:v>
      </x:c>
      <x:c r="J110" s="90" t="n">
        <x:v>54717.31</x:v>
      </x:c>
      <x:c r="K110" s="90" t="n">
        <x:v>1624.1</x:v>
      </x:c>
      <x:c r="L110" s="90" t="n">
        <x:v>0</x:v>
      </x:c>
      <x:c r="M110" s="90" t="n">
        <x:v>14246.4</x:v>
      </x:c>
      <x:c r="N110" s="90" t="n">
        <x:v>15524.85</x:v>
      </x:c>
      <x:c r="O110" s="90" t="n">
        <x:v>70821.65</x:v>
      </x:c>
      <x:c r="P110" s="90" t="n">
        <x:v>37360.92</x:v>
      </x:c>
      <x:c r="Q110" s="90" t="n">
        <x:v>2649.83</x:v>
      </x:c>
      <x:c r="R110" s="90" t="n">
        <x:v>-4.35</x:v>
      </x:c>
      <x:c r="S110" s="90" t="n">
        <x:v>0</x:v>
      </x:c>
      <x:c r="T110" s="90" t="n">
        <x:v>0</x:v>
      </x:c>
      <x:c r="U110" s="90">
        <x:v>0</x:v>
      </x:c>
      <x:c r="V110" s="90">
        <x:v>0</x:v>
      </x:c>
      <x:c r="W110" s="90">
        <x:v>0</x:v>
      </x:c>
      <x:c r="X110">
        <x:v>0</x:v>
      </x:c>
      <x:c r="Y110">
        <x:v>0</x:v>
      </x:c>
      <x:c r="Z110" t="n">
        <x:v>0</x:v>
      </x:c>
    </x:row>
    <x:row r="111" spans="3:26" ht="12.75" customHeight="1" x14ac:dyDescent="0.25">
      <x:c r="A111"/>
      <x:c r="B111"/>
      <x:c r="C111"/>
      <x:c r="D111" s="89"/>
      <x:c r="E111" s="89" t="inlineStr">
        <x:is>
          <x:t>Vlr Servicio</x:t>
        </x:is>
      </x:c>
      <x:c r="F111" s="371" t="n">
        <x:v>9689217.18</x:v>
      </x:c>
      <x:c r="G111" s="90" t="n">
        <x:v>518533.02</x:v>
      </x:c>
      <x:c r="H111" s="90" t="n">
        <x:v>287577.53</x:v>
      </x:c>
      <x:c r="I111" s="90" t="n">
        <x:v>156432.14</x:v>
      </x:c>
      <x:c r="J111" s="90" t="n">
        <x:v>2441050.67</x:v>
      </x:c>
      <x:c r="K111" s="90" t="n">
        <x:v>82298.98</x:v>
      </x:c>
      <x:c r="L111" s="90" t="n">
        <x:v>0</x:v>
      </x:c>
      <x:c r="M111" s="90" t="n">
        <x:v>728609.23</x:v>
      </x:c>
      <x:c r="N111" s="90" t="n">
        <x:v>748449.81</x:v>
      </x:c>
      <x:c r="O111" s="90" t="n">
        <x:v>3562346.91</x:v>
      </x:c>
      <x:c r="P111" s="90" t="n">
        <x:v>1027130.59</x:v>
      </x:c>
      <x:c r="Q111" s="90" t="n">
        <x:v>136840.93</x:v>
      </x:c>
      <x:c r="R111" s="90" t="n">
        <x:v>-52.63</x:v>
      </x:c>
      <x:c r="S111" s="90" t="n">
        <x:v>0</x:v>
      </x:c>
      <x:c r="T111" s="90" t="n">
        <x:v>0</x:v>
      </x:c>
      <x:c r="U111" s="90">
        <x:v>0</x:v>
      </x:c>
      <x:c r="V111" s="90">
        <x:v>0</x:v>
      </x:c>
      <x:c r="W111" s="90">
        <x:v>0</x:v>
      </x:c>
      <x:c r="X111">
        <x:v>0</x:v>
      </x:c>
      <x:c r="Y111">
        <x:v>0</x:v>
      </x:c>
      <x:c r="Z111" t="n">
        <x:v>0</x:v>
      </x:c>
    </x:row>
    <x:row r="112" spans="3:26" ht="12.75" customHeight="1" x14ac:dyDescent="0.25">
      <x:c r="A112"/>
      <x:c r="B112"/>
      <x:c r="C112"/>
      <x:c r="D112" s="89"/>
      <x:c r="E112" s="89" t="inlineStr">
        <x:is>
          <x:t>Vlr Intereses</x:t>
        </x:is>
      </x:c>
      <x:c r="F112" s="90" t="n">
        <x:v>217045.55</x:v>
      </x:c>
      <x:c r="G112" s="90" t="n">
        <x:v>12559.35</x:v>
      </x:c>
      <x:c r="H112" s="90" t="n">
        <x:v>6390.48</x:v>
      </x:c>
      <x:c r="I112" s="90" t="n">
        <x:v>3379.76</x:v>
      </x:c>
      <x:c r="J112" s="90" t="n">
        <x:v>55867.7</x:v>
      </x:c>
      <x:c r="K112" s="90" t="n">
        <x:v>1678.84</x:v>
      </x:c>
      <x:c r="L112" s="90" t="n">
        <x:v>0</x:v>
      </x:c>
      <x:c r="M112" s="90" t="n">
        <x:v>14715.14</x:v>
      </x:c>
      <x:c r="N112" s="90" t="n">
        <x:v>18428.22</x:v>
      </x:c>
      <x:c r="O112" s="90" t="n">
        <x:v>76574.75</x:v>
      </x:c>
      <x:c r="P112" s="90" t="n">
        <x:v>24706.8</x:v>
      </x:c>
      <x:c r="Q112" s="90" t="n">
        <x:v>2744.21</x:v>
      </x:c>
      <x:c r="R112" s="90" t="n">
        <x:v>0.42</x:v>
      </x:c>
      <x:c r="S112" s="90" t="n">
        <x:v>0</x:v>
      </x:c>
      <x:c r="T112" s="90" t="n">
        <x:v>0</x:v>
      </x:c>
      <x:c r="U112" s="90">
        <x:v>0</x:v>
      </x:c>
      <x:c r="V112" s="90">
        <x:v>0</x:v>
      </x:c>
      <x:c r="W112" s="90">
        <x:v>0</x:v>
      </x:c>
      <x:c r="X112">
        <x:v>0</x:v>
      </x:c>
      <x:c r="Y112">
        <x:v>0</x:v>
      </x:c>
      <x:c r="Z112" t="n">
        <x:v>-0.12</x:v>
      </x:c>
    </x:row>
    <x:row r="113" spans="3:26" ht="12.75" customHeight="1" x14ac:dyDescent="0.25">
      <x:c r="A113"/>
      <x:c r="B113"/>
      <x:c r="C113"/>
      <x:c r="D113" s="89" t="inlineStr">
        <x:is>
          <x:t>5</x:t>
        </x:is>
      </x:c>
      <x:c r="E113" s="89" t="inlineStr">
        <x:is>
          <x:t>Total</x:t>
        </x:is>
      </x:c>
      <x:c r="F113" s="90" t="n">
        <x:v>9906262.73</x:v>
      </x:c>
      <x:c r="G113" s="90" t="n">
        <x:v>531092.37</x:v>
      </x:c>
      <x:c r="H113" s="90" t="n">
        <x:v>293968.01</x:v>
      </x:c>
      <x:c r="I113" s="90" t="n">
        <x:v>159811.9</x:v>
      </x:c>
      <x:c r="J113" s="90" t="n">
        <x:v>2496918.37</x:v>
      </x:c>
      <x:c r="K113" s="90" t="n">
        <x:v>83977.82</x:v>
      </x:c>
      <x:c r="L113" s="90" t="n">
        <x:v>0</x:v>
      </x:c>
      <x:c r="M113" s="90" t="n">
        <x:v>743324.37</x:v>
      </x:c>
      <x:c r="N113" s="90" t="n">
        <x:v>766878.03</x:v>
      </x:c>
      <x:c r="O113" s="90" t="n">
        <x:v>3638921.66</x:v>
      </x:c>
      <x:c r="P113" s="90" t="n">
        <x:v>1051837.39</x:v>
      </x:c>
      <x:c r="Q113" s="90" t="n">
        <x:v>139585.14</x:v>
      </x:c>
      <x:c r="R113" s="90" t="n">
        <x:v>-52.21</x:v>
      </x:c>
      <x:c r="S113" s="90" t="n">
        <x:v>0</x:v>
      </x:c>
      <x:c r="T113" s="90" t="n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 t="n">
        <x:v>-0.12</x:v>
      </x:c>
    </x:row>
    <x:row r="114" spans="3:26" ht="12.75" customHeight="1" x14ac:dyDescent="0.25">
      <x:c r="A114"/>
      <x:c r="B114"/>
      <x:c r="C114" t="inlineStr">
        <x:is>
          <x:t>NUEVO ESQUEMA</x:t>
        </x:is>
      </x:c>
      <x:c r="D114" t="inlineStr">
        <x:is>
          <x:t>Total</x:t>
        </x:is>
      </x:c>
      <x:c r="E114" s="89"/>
      <x:c r="F114" s="90" t="n">
        <x:v>11485037.33</x:v>
      </x:c>
      <x:c r="G114" s="90" t="n">
        <x:v>674298.87</x:v>
      </x:c>
      <x:c r="H114" s="90" t="n">
        <x:v>363283.8</x:v>
      </x:c>
      <x:c r="I114" s="90" t="n">
        <x:v>198423.45</x:v>
      </x:c>
      <x:c r="J114" s="90" t="n">
        <x:v>2854188.37</x:v>
      </x:c>
      <x:c r="K114" s="90" t="n">
        <x:v>93554.43</x:v>
      </x:c>
      <x:c r="L114" s="90" t="n">
        <x:v>0</x:v>
      </x:c>
      <x:c r="M114" s="90" t="n">
        <x:v>827663.97</x:v>
      </x:c>
      <x:c r="N114" s="90" t="n">
        <x:v>868510.13</x:v>
      </x:c>
      <x:c r="O114" s="90" t="n">
        <x:v>4110292.67</x:v>
      </x:c>
      <x:c r="P114" s="90" t="n">
        <x:v>1339659.11</x:v>
      </x:c>
      <x:c r="Q114" s="90" t="n">
        <x:v>155210.39</x:v>
      </x:c>
      <x:c r="R114" s="90" t="n">
        <x:v>-47.74</x:v>
      </x:c>
      <x:c r="S114" s="90" t="n">
        <x:v>0</x:v>
      </x:c>
      <x:c r="T114" s="90" t="n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 t="n">
        <x:v>-0.12</x:v>
      </x:c>
    </x:row>
    <x:row r="115" spans="3:26" ht="12.75" customHeight="1" x14ac:dyDescent="0.25">
      <x:c r="A115"/>
      <x:c r="B115"/>
      <x:c r="C115"/>
      <x:c r="D115" s="89"/>
      <x:c r="E115" s="89" t="inlineStr">
        <x:is>
          <x:t>Vlr Servicio</x:t>
        </x:is>
      </x:c>
      <x:c r="F115" s="90" t="n">
        <x:v>849867693.02</x:v>
      </x:c>
      <x:c r="G115" s="90" t="n">
        <x:v>54948681.76</x:v>
      </x:c>
      <x:c r="H115" s="90" t="n">
        <x:v>30927411.8</x:v>
      </x:c>
      <x:c r="I115" s="90" t="n">
        <x:v>16373301.78</x:v>
      </x:c>
      <x:c r="J115" s="90" t="n">
        <x:v>204630030.11</x:v>
      </x:c>
      <x:c r="K115" s="90" t="n">
        <x:v>5205045.6</x:v>
      </x:c>
      <x:c r="L115" s="90" t="n">
        <x:v>673000</x:v>
      </x:c>
      <x:c r="M115" s="90" t="n">
        <x:v>45746296.7</x:v>
      </x:c>
      <x:c r="N115" s="90" t="n">
        <x:v>64731342.15</x:v>
      </x:c>
      <x:c r="O115" s="90" t="n">
        <x:v>309036244.22</x:v>
      </x:c>
      <x:c r="P115" s="90" t="n">
        <x:v>109057152.4</x:v>
      </x:c>
      <x:c r="Q115" s="90" t="n">
        <x:v>8539363</x:v>
      </x:c>
      <x:c r="R115" s="90" t="n">
        <x:v>-176.5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3:26" ht="12.75" customHeight="1" x14ac:dyDescent="0.25">
      <x:c r="A116"/>
      <x:c r="B116"/>
      <x:c r="C116"/>
      <x:c r="D116"/>
      <x:c r="E116" s="89" t="inlineStr">
        <x:is>
          <x:t>Vlr Intereses</x:t>
        </x:is>
      </x:c>
      <x:c r="F116" s="90" t="n">
        <x:v>8247331.17</x:v>
      </x:c>
      <x:c r="G116" s="90" t="n">
        <x:v>759088.58</x:v>
      </x:c>
      <x:c r="H116" s="90" t="n">
        <x:v>410996.96</x:v>
      </x:c>
      <x:c r="I116" s="90" t="n">
        <x:v>215618.58</x:v>
      </x:c>
      <x:c r="J116" s="90" t="n">
        <x:v>1740497.9</x:v>
      </x:c>
      <x:c r="K116" s="90" t="n">
        <x:v>46283.83</x:v>
      </x:c>
      <x:c r="L116" s="90" t="n">
        <x:v>1155.91</x:v>
      </x:c>
      <x:c r="M116" s="90" t="n">
        <x:v>406506.42</x:v>
      </x:c>
      <x:c r="N116" s="90" t="n">
        <x:v>562874.1</x:v>
      </x:c>
      <x:c r="O116" s="90" t="n">
        <x:v>2504417.54</x:v>
      </x:c>
      <x:c r="P116" s="90" t="n">
        <x:v>1524265.47</x:v>
      </x:c>
      <x:c r="Q116" s="90" t="n">
        <x:v>75637.47</x:v>
      </x:c>
      <x:c r="R116" s="90" t="n">
        <x:v>-19.6</x:v>
      </x:c>
      <x:c r="S116" s="90" t="n">
        <x:v>8.07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-0.06</x:v>
      </x:c>
    </x:row>
    <x:row r="117" spans="3:26" ht="12.75" customHeight="1" x14ac:dyDescent="0.25">
      <x:c r="A117"/>
      <x:c r="B117"/>
      <x:c r="C117"/>
      <x:c r="D117" t="inlineStr">
        <x:is>
          <x:t>H</x:t>
        </x:is>
      </x:c>
      <x:c r="E117" s="89" t="inlineStr">
        <x:is>
          <x:t>Total</x:t>
        </x:is>
      </x:c>
      <x:c r="F117" s="90" t="n">
        <x:v>858115024.19</x:v>
      </x:c>
      <x:c r="G117" s="90" t="n">
        <x:v>55707770.34</x:v>
      </x:c>
      <x:c r="H117" s="90" t="n">
        <x:v>31338408.76</x:v>
      </x:c>
      <x:c r="I117" s="90" t="n">
        <x:v>16588920.36</x:v>
      </x:c>
      <x:c r="J117" s="90" t="n">
        <x:v>206370528.01</x:v>
      </x:c>
      <x:c r="K117" s="90" t="n">
        <x:v>5251329.43</x:v>
      </x:c>
      <x:c r="L117" s="90" t="n">
        <x:v>674155.91</x:v>
      </x:c>
      <x:c r="M117" s="90" t="n">
        <x:v>46152803.12</x:v>
      </x:c>
      <x:c r="N117" s="90" t="n">
        <x:v>65294216.25</x:v>
      </x:c>
      <x:c r="O117" s="90" t="n">
        <x:v>311540661.76</x:v>
      </x:c>
      <x:c r="P117" s="90" t="n">
        <x:v>110581417.87</x:v>
      </x:c>
      <x:c r="Q117" s="90" t="n">
        <x:v>8615000.47</x:v>
      </x:c>
      <x:c r="R117" s="90" t="n">
        <x:v>-196.1</x:v>
      </x:c>
      <x:c r="S117" s="90" t="n">
        <x:v>8.07</x:v>
      </x:c>
      <x:c r="T117" s="90" t="n">
        <x:v>0</x:v>
      </x:c>
      <x:c r="U117" s="90">
        <x:v>0</x:v>
      </x:c>
      <x:c r="V117" s="90">
        <x:v>0</x:v>
      </x:c>
      <x:c r="W117" s="90">
        <x:v>0</x:v>
      </x:c>
      <x:c r="X117">
        <x:v>0</x:v>
      </x:c>
      <x:c r="Y117">
        <x:v>0</x:v>
      </x:c>
      <x:c r="Z117" t="n">
        <x:v>-0.06</x:v>
      </x:c>
    </x:row>
    <x:row r="118" spans="3:26" s="224" customFormat="1" ht="12.75" customHeight="1" x14ac:dyDescent="0.25">
      <x:c r="A118"/>
      <x:c r="B118"/>
      <x:c r="C118" s="223"/>
      <x:c r="D118" s="223"/>
      <x:c r="E118" t="inlineStr">
        <x:is>
          <x:t>Vlr Servicio</x:t>
        </x:is>
      </x:c>
      <x:c r="F118" s="225" t="n">
        <x:v>295886562.18</x:v>
      </x:c>
      <x:c r="G118" s="225" t="n">
        <x:v>29517675.83</x:v>
      </x:c>
      <x:c r="H118" s="225" t="n">
        <x:v>16386777.96</x:v>
      </x:c>
      <x:c r="I118" s="225" t="n">
        <x:v>8578454.35</x:v>
      </x:c>
      <x:c r="J118" s="225" t="n">
        <x:v>51586339.86</x:v>
      </x:c>
      <x:c r="K118" s="225" t="n">
        <x:v>1513601.47</x:v>
      </x:c>
      <x:c r="L118" s="225" t="n">
        <x:v>19313383.56</x:v>
      </x:c>
      <x:c r="M118" s="225" t="n">
        <x:v>13264846.22</x:v>
      </x:c>
      <x:c r="N118" s="225" t="n">
        <x:v>16618333.75</x:v>
      </x:c>
      <x:c r="O118" s="225" t="n">
        <x:v>77934436.87</x:v>
      </x:c>
      <x:c r="P118" s="225" t="n">
        <x:v>58698285.34</x:v>
      </x:c>
      <x:c r="Q118" s="225" t="n">
        <x:v>2474833.44</x:v>
      </x:c>
      <x:c r="R118" s="225" t="n">
        <x:v>-406.47</x:v>
      </x:c>
      <x:c r="S118" s="225" t="n">
        <x:v>0</x:v>
      </x:c>
      <x:c r="T118" s="225" t="n">
        <x:v>0</x:v>
      </x:c>
      <x:c r="U118" s="225">
        <x:v>0</x:v>
      </x:c>
      <x:c r="V118" s="225">
        <x:v>0</x:v>
      </x:c>
      <x:c r="W118" s="225">
        <x:v>0</x:v>
      </x:c>
      <x:c r="X118" s="224">
        <x:v>0</x:v>
      </x:c>
      <x:c r="Y118" s="224">
        <x:v>0</x:v>
      </x:c>
      <x:c r="Z118" s="224" t="n">
        <x:v>0</x:v>
      </x:c>
    </x:row>
    <x:row r="119" spans="3:26" ht="12.75" customHeight="1" x14ac:dyDescent="0.25">
      <x:c r="A119"/>
      <x:c r="B119"/>
      <x:c r="C119" s="89"/>
      <x:c r="D119" s="89"/>
      <x:c r="E119" t="inlineStr">
        <x:is>
          <x:t>Vlr Intereses</x:t>
        </x:is>
      </x:c>
      <x:c r="F119" s="90" t="n">
        <x:v>11325633.79</x:v>
      </x:c>
      <x:c r="G119" s="90" t="n">
        <x:v>1576014.18</x:v>
      </x:c>
      <x:c r="H119" s="90" t="n">
        <x:v>801745.8</x:v>
      </x:c>
      <x:c r="I119" s="90" t="n">
        <x:v>381190.53</x:v>
      </x:c>
      <x:c r="J119" s="90" t="n">
        <x:v>1442587.85</x:v>
      </x:c>
      <x:c r="K119" s="90" t="n">
        <x:v>48878.89</x:v>
      </x:c>
      <x:c r="L119" s="90" t="n">
        <x:v>910795.42</x:v>
      </x:c>
      <x:c r="M119" s="90" t="n">
        <x:v>429267.26</x:v>
      </x:c>
      <x:c r="N119" s="90" t="n">
        <x:v>538325.67</x:v>
      </x:c>
      <x:c r="O119" s="90" t="n">
        <x:v>2011275.27</x:v>
      </x:c>
      <x:c r="P119" s="90" t="n">
        <x:v>3105732.13</x:v>
      </x:c>
      <x:c r="Q119" s="90" t="n">
        <x:v>79805.54</x:v>
      </x:c>
      <x:c r="R119" s="90" t="n">
        <x:v>11.95</x:v>
      </x:c>
      <x:c r="S119" s="90" t="n">
        <x:v>3.62</x:v>
      </x:c>
      <x:c r="T119" s="90" t="n">
        <x:v>0.11</x:v>
      </x:c>
      <x:c r="U119" s="90">
        <x:v>0</x:v>
      </x:c>
      <x:c r="V119" s="90">
        <x:v>0</x:v>
      </x:c>
      <x:c r="W119" s="90">
        <x:v>0</x:v>
      </x:c>
      <x:c r="X119">
        <x:v>0</x:v>
      </x:c>
      <x:c r="Y119">
        <x:v>0</x:v>
      </x:c>
      <x:c r="Z119" t="n">
        <x:v>-0.43</x:v>
      </x:c>
    </x:row>
    <x:row r="120" spans="3:26" ht="12.75" customHeight="1" x14ac:dyDescent="0.25">
      <x:c r="A120"/>
      <x:c r="B120"/>
      <x:c r="C120" s="89"/>
      <x:c r="D120" s="89" t="inlineStr">
        <x:is>
          <x:t>O</x:t>
        </x:is>
      </x:c>
      <x:c r="E120" t="inlineStr">
        <x:is>
          <x:t>Total</x:t>
        </x:is>
      </x:c>
      <x:c r="F120" s="90" t="n">
        <x:v>307212195.97</x:v>
      </x:c>
      <x:c r="G120" s="90" t="n">
        <x:v>31093690.01</x:v>
      </x:c>
      <x:c r="H120" s="90" t="n">
        <x:v>17188523.76</x:v>
      </x:c>
      <x:c r="I120" s="90" t="n">
        <x:v>8959644.88</x:v>
      </x:c>
      <x:c r="J120" s="90" t="n">
        <x:v>53028927.71</x:v>
      </x:c>
      <x:c r="K120" s="90" t="n">
        <x:v>1562480.36</x:v>
      </x:c>
      <x:c r="L120" s="90" t="n">
        <x:v>20224178.98</x:v>
      </x:c>
      <x:c r="M120" s="90" t="n">
        <x:v>13694113.48</x:v>
      </x:c>
      <x:c r="N120" s="90" t="n">
        <x:v>17156659.42</x:v>
      </x:c>
      <x:c r="O120" s="90" t="n">
        <x:v>79945712.14</x:v>
      </x:c>
      <x:c r="P120" s="90" t="n">
        <x:v>61804017.47</x:v>
      </x:c>
      <x:c r="Q120" s="90" t="n">
        <x:v>2554638.98</x:v>
      </x:c>
      <x:c r="R120" s="90" t="n">
        <x:v>-394.52</x:v>
      </x:c>
      <x:c r="S120" s="90" t="n">
        <x:v>3.62</x:v>
      </x:c>
      <x:c r="T120" s="90" t="n">
        <x:v>0.11</x:v>
      </x:c>
      <x:c r="U120" s="90">
        <x:v>0</x:v>
      </x:c>
      <x:c r="V120" s="90">
        <x:v>0</x:v>
      </x:c>
      <x:c r="W120" s="90">
        <x:v>0</x:v>
      </x:c>
      <x:c r="X120">
        <x:v>0</x:v>
      </x:c>
      <x:c r="Y120">
        <x:v>0</x:v>
      </x:c>
      <x:c r="Z120" t="n">
        <x:v>-0.43</x:v>
      </x:c>
    </x:row>
    <x:row r="121" spans="3:26" ht="12.75" customHeight="1" x14ac:dyDescent="0.25">
      <x:c r="A121"/>
      <x:c r="B121"/>
      <x:c r="C121"/>
      <x:c r="D121"/>
      <x:c r="E121" s="89" t="inlineStr">
        <x:is>
          <x:t>Vlr Servicio</x:t>
        </x:is>
      </x:c>
      <x:c r="F121" s="90" t="n">
        <x:v>956486354.97</x:v>
      </x:c>
      <x:c r="G121" s="90" t="n">
        <x:v>178908073.68</x:v>
      </x:c>
      <x:c r="H121" s="90" t="n">
        <x:v>100746040.57</x:v>
      </x:c>
      <x:c r="I121" s="90" t="n">
        <x:v>53063769.32</x:v>
      </x:c>
      <x:c r="J121" s="90" t="n">
        <x:v>83199922.83</x:v>
      </x:c>
      <x:c r="K121" s="90" t="n">
        <x:v>2112137.6</x:v>
      </x:c>
      <x:c r="L121" s="90" t="n">
        <x:v>22121500</x:v>
      </x:c>
      <x:c r="M121" s="90" t="n">
        <x:v>18518451.05</x:v>
      </x:c>
      <x:c r="N121" s="90" t="n">
        <x:v>26067922.52</x:v>
      </x:c>
      <x:c r="O121" s="90" t="n">
        <x:v>126629527.24</x:v>
      </x:c>
      <x:c r="P121" s="90" t="n">
        <x:v>341652099.43</x:v>
      </x:c>
      <x:c r="Q121" s="90" t="n">
        <x:v>3468045</x:v>
      </x:c>
      <x:c r="R121" s="90" t="n">
        <x:v>-1134.27</x:v>
      </x:c>
      <x:c r="S121" s="90" t="n">
        <x:v>0</x:v>
      </x:c>
      <x:c r="T121" s="90" t="n">
        <x:v>0</x:v>
      </x:c>
      <x:c r="U121" s="90">
        <x:v>0</x:v>
      </x:c>
      <x:c r="V121" s="90">
        <x:v>0</x:v>
      </x:c>
      <x:c r="W121" s="90">
        <x:v>0</x:v>
      </x:c>
      <x:c r="X121">
        <x:v>0</x:v>
      </x:c>
      <x:c r="Y121">
        <x:v>0</x:v>
      </x:c>
      <x:c r="Z121" t="n">
        <x:v>0</x:v>
      </x:c>
    </x:row>
    <x:row r="122" spans="3:26" ht="12.75" customHeight="1" x14ac:dyDescent="0.25">
      <x:c r="A122"/>
      <x:c r="B122"/>
      <x:c r="C122"/>
      <x:c r="D122"/>
      <x:c r="E122" s="89" t="inlineStr">
        <x:is>
          <x:t>Vlr Intereses</x:t>
        </x:is>
      </x:c>
      <x:c r="F122" s="90" t="n">
        <x:v>22524838.24</x:v>
      </x:c>
      <x:c r="G122" s="90" t="n">
        <x:v>4952770.15</x:v>
      </x:c>
      <x:c r="H122" s="90" t="n">
        <x:v>2755528.01</x:v>
      </x:c>
      <x:c r="I122" s="90" t="n">
        <x:v>1468280.39</x:v>
      </x:c>
      <x:c r="J122" s="90" t="n">
        <x:v>1122794.42</x:v>
      </x:c>
      <x:c r="K122" s="90" t="n">
        <x:v>28207.59</x:v>
      </x:c>
      <x:c r="L122" s="90" t="n">
        <x:v>222526.16</x:v>
      </x:c>
      <x:c r="M122" s="90" t="n">
        <x:v>246960.98</x:v>
      </x:c>
      <x:c r="N122" s="90" t="n">
        <x:v>346793.07</x:v>
      </x:c>
      <x:c r="O122" s="90" t="n">
        <x:v>1614571.03</x:v>
      </x:c>
      <x:c r="P122" s="90" t="n">
        <x:v>9720305.77</x:v>
      </x:c>
      <x:c r="Q122" s="90" t="n">
        <x:v>46107.8</x:v>
      </x:c>
      <x:c r="R122" s="90" t="n">
        <x:v>-7.11</x:v>
      </x:c>
      <x:c r="S122" s="90" t="n">
        <x:v>0.24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-0.26</x:v>
      </x:c>
    </x:row>
    <x:row r="123" spans="3:26" ht="12.75" customHeight="1" x14ac:dyDescent="0.25">
      <x:c r="A123"/>
      <x:c r="B123"/>
      <x:c r="C123"/>
      <x:c r="D123" s="89" t="inlineStr">
        <x:is>
          <x:t>T</x:t>
        </x:is>
      </x:c>
      <x:c r="E123" s="89" t="inlineStr">
        <x:is>
          <x:t>Total</x:t>
        </x:is>
      </x:c>
      <x:c r="F123" s="90" t="n">
        <x:v>979011193.21</x:v>
      </x:c>
      <x:c r="G123" s="90" t="n">
        <x:v>183860843.83</x:v>
      </x:c>
      <x:c r="H123" s="90" t="n">
        <x:v>103501568.58</x:v>
      </x:c>
      <x:c r="I123" s="90" t="n">
        <x:v>54532049.71</x:v>
      </x:c>
      <x:c r="J123" s="90" t="n">
        <x:v>84322717.25</x:v>
      </x:c>
      <x:c r="K123" s="90" t="n">
        <x:v>2140345.19</x:v>
      </x:c>
      <x:c r="L123" s="90" t="n">
        <x:v>22344026.16</x:v>
      </x:c>
      <x:c r="M123" s="90" t="n">
        <x:v>18765412.03</x:v>
      </x:c>
      <x:c r="N123" s="90" t="n">
        <x:v>26414715.59</x:v>
      </x:c>
      <x:c r="O123" s="90" t="n">
        <x:v>128244098.27</x:v>
      </x:c>
      <x:c r="P123" s="90" t="n">
        <x:v>351372405.2</x:v>
      </x:c>
      <x:c r="Q123" s="90" t="n">
        <x:v>3514152.8</x:v>
      </x:c>
      <x:c r="R123" s="90" t="n">
        <x:v>-1141.38</x:v>
      </x:c>
      <x:c r="S123" s="90" t="n">
        <x:v>0.24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-0.26</x:v>
      </x:c>
    </x:row>
    <x:row r="124" spans="3:26" ht="12.75" customHeight="1" x14ac:dyDescent="0.25">
      <x:c r="A124"/>
      <x:c r="B124"/>
      <x:c r="C124" t="inlineStr">
        <x:is>
          <x:t>OCCIDENTE</x:t>
        </x:is>
      </x:c>
      <x:c r="D124" t="inlineStr">
        <x:is>
          <x:t>Total</x:t>
        </x:is>
      </x:c>
      <x:c r="E124" s="89"/>
      <x:c r="F124" s="90" t="n">
        <x:v>2144338413.37</x:v>
      </x:c>
      <x:c r="G124" s="90" t="n">
        <x:v>270662304.18</x:v>
      </x:c>
      <x:c r="H124" s="90" t="n">
        <x:v>152028501.1</x:v>
      </x:c>
      <x:c r="I124" s="90" t="n">
        <x:v>80080614.95</x:v>
      </x:c>
      <x:c r="J124" s="90" t="n">
        <x:v>343722172.97</x:v>
      </x:c>
      <x:c r="K124" s="90" t="n">
        <x:v>8954154.98</x:v>
      </x:c>
      <x:c r="L124" s="90" t="n">
        <x:v>43242361.05</x:v>
      </x:c>
      <x:c r="M124" s="90" t="n">
        <x:v>78612328.63</x:v>
      </x:c>
      <x:c r="N124" s="90" t="n">
        <x:v>108865591.26</x:v>
      </x:c>
      <x:c r="O124" s="90" t="n">
        <x:v>519730472.17</x:v>
      </x:c>
      <x:c r="P124" s="90" t="n">
        <x:v>523757840.54</x:v>
      </x:c>
      <x:c r="Q124" s="90" t="n">
        <x:v>14683792.25</x:v>
      </x:c>
      <x:c r="R124" s="90" t="n">
        <x:v>-1732</x:v>
      </x:c>
      <x:c r="S124" s="90" t="n">
        <x:v>11.93</x:v>
      </x:c>
      <x:c r="T124" s="90" t="n">
        <x:v>0.11</x:v>
      </x:c>
      <x:c r="U124" s="90">
        <x:v>0</x:v>
      </x:c>
      <x:c r="V124" s="90">
        <x:v>0</x:v>
      </x:c>
      <x:c r="W124" s="90">
        <x:v>0</x:v>
      </x:c>
      <x:c r="X124">
        <x:v>0</x:v>
      </x:c>
      <x:c r="Y124">
        <x:v>0</x:v>
      </x:c>
      <x:c r="Z124" t="n">
        <x:v>-0.75</x:v>
      </x:c>
    </x:row>
    <x:row r="125" spans="3:26" ht="12.75" customHeight="1" x14ac:dyDescent="0.25">
      <x:c r="A125"/>
      <x:c r="B125" t="inlineStr">
        <x:is>
          <x:t>Mes</x:t>
        </x:is>
      </x:c>
      <x:c r="C125" t="inlineStr">
        <x:is>
          <x:t>Total</x:t>
        </x:is>
      </x:c>
      <x:c r="D125"/>
      <x:c r="E125" s="89"/>
      <x:c r="F125" s="90" t="n">
        <x:v>26991842853.64</x:v>
      </x:c>
      <x:c r="G125" s="90" t="n">
        <x:v>1647822335.5</x:v>
      </x:c>
      <x:c r="H125" s="90" t="n">
        <x:v>919613091.24</x:v>
      </x:c>
      <x:c r="I125" s="90" t="n">
        <x:v>480398481.59</x:v>
      </x:c>
      <x:c r="J125" s="90" t="n">
        <x:v>6801561986.55</x:v>
      </x:c>
      <x:c r="K125" s="90" t="n">
        <x:v>225315678.85</x:v>
      </x:c>
      <x:c r="L125" s="90" t="n">
        <x:v>65675504</x:v>
      </x:c>
      <x:c r="M125" s="90" t="n">
        <x:v>1977251801.82</x:v>
      </x:c>
      <x:c r="N125" s="90" t="n">
        <x:v>1975192478.87</x:v>
      </x:c>
      <x:c r="O125" s="90" t="n">
        <x:v>9299565599.31</x:v>
      </x:c>
      <x:c r="P125" s="90" t="n">
        <x:v>3231522565.69</x:v>
      </x:c>
      <x:c r="Q125" s="90" t="n">
        <x:v>368142849.59</x:v>
      </x:c>
      <x:c r="R125" s="90" t="n">
        <x:v>-219558.69</x:v>
      </x:c>
      <x:c r="S125" s="90" t="n">
        <x:v>62.66</x:v>
      </x:c>
      <x:c r="T125" s="90" t="n">
        <x:v>1.01</x:v>
      </x:c>
      <x:c r="U125" s="90">
        <x:v>0</x:v>
      </x:c>
      <x:c r="V125" s="90">
        <x:v>0</x:v>
      </x:c>
      <x:c r="W125" s="90">
        <x:v>0</x:v>
      </x:c>
      <x:c r="X125">
        <x:v>0</x:v>
      </x:c>
      <x:c r="Y125">
        <x:v>0</x:v>
      </x:c>
      <x:c r="Z125" t="n">
        <x:v>-24.35</x:v>
      </x:c>
    </x:row>
    <x:row r="126" spans="1:26" ht="12.75" customHeight="1" x14ac:dyDescent="0.25">
      <x:c r="A126" t="inlineStr">
        <x:is>
          <x:t>Componente</x:t>
        </x:is>
      </x:c>
      <x:c r="B126" t="inlineStr">
        <x:is>
          <x:t>Total</x:t>
        </x:is>
      </x:c>
      <x:c r="C126"/>
      <x:c r="D126" s="89"/>
      <x:c r="E126" s="89"/>
      <x:c r="F126" s="90" t="n">
        <x:v>26991999286.83</x:v>
      </x:c>
      <x:c r="G126" s="90" t="n">
        <x:v>1647835428.69</x:v>
      </x:c>
      <x:c r="H126" s="90" t="n">
        <x:v>919620461.51</x:v>
      </x:c>
      <x:c r="I126" s="90" t="n">
        <x:v>480403523.38</x:v>
      </x:c>
      <x:c r="J126" s="90" t="n">
        <x:v>6801592881.04</x:v>
      </x:c>
      <x:c r="K126" s="90" t="n">
        <x:v>225316978.04</x:v>
      </x:c>
      <x:c r="L126" s="90" t="n">
        <x:v>65675504</x:v>
      </x:c>
      <x:c r="M126" s="90" t="n">
        <x:v>1977259911.78</x:v>
      </x:c>
      <x:c r="N126" s="90" t="n">
        <x:v>1975203586.15</x:v>
      </x:c>
      <x:c r="O126" s="90" t="n">
        <x:v>9299618101.75</x:v>
      </x:c>
      <x:c r="P126" s="90" t="n">
        <x:v>3231546983.98</x:v>
      </x:c>
      <x:c r="Q126" s="90" t="n">
        <x:v>368145446.16</x:v>
      </x:c>
      <x:c r="R126" s="90" t="n">
        <x:v>-219558.97</x:v>
      </x:c>
      <x:c r="S126" s="90" t="n">
        <x:v>62.66</x:v>
      </x:c>
      <x:c r="T126" s="90" t="n">
        <x:v>1.01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 t="n">
        <x:v>-24.35</x:v>
      </x:c>
    </x:row>
    <x:row r="127" spans="1:26" ht="12.75" customHeight="1" x14ac:dyDescent="0.25">
      <x:c r="A127"/>
      <x:c r="B127"/>
      <x:c r="C127"/>
      <x:c r="D127"/>
      <x:c r="E127" s="89" t="inlineStr">
        <x:is>
          <x:t>Subsidio(-)/Contribucion(+)</x:t>
        </x:is>
      </x:c>
      <x:c r="F127" s="90" t="n">
        <x:v>65196.81</x:v>
      </x:c>
      <x:c r="G127" s="90" t="n">
        <x:v>6546.6</x:v>
      </x:c>
      <x:c r="H127" s="90" t="n">
        <x:v>3685.14</x:v>
      </x:c>
      <x:c r="I127" s="90" t="n">
        <x:v>1939.87</x:v>
      </x:c>
      <x:c r="J127" s="90" t="n">
        <x:v>12877.56</x:v>
      </x:c>
      <x:c r="K127" s="90" t="n">
        <x:v>462.28</x:v>
      </x:c>
      <x:c r="L127" s="90" t="n">
        <x:v>0</x:v>
      </x:c>
      <x:c r="M127" s="90" t="n">
        <x:v>4054.99</x:v>
      </x:c>
      <x:c r="N127" s="90" t="n">
        <x:v>3960.35</x:v>
      </x:c>
      <x:c r="O127" s="90" t="n">
        <x:v>18706.63</x:v>
      </x:c>
      <x:c r="P127" s="90" t="n">
        <x:v>12209.15</x:v>
      </x:c>
      <x:c r="Q127" s="90" t="n">
        <x:v>754.24</x:v>
      </x:c>
      <x:c r="R127" s="90" t="n">
        <x:v>0</x:v>
      </x:c>
      <x:c r="S127" s="90" t="n">
        <x:v>0</x:v>
      </x:c>
      <x:c r="T127" s="90" t="n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 t="n">
        <x:v>0</x:v>
      </x:c>
    </x:row>
    <x:row r="128" spans="1:26" s="94" customFormat="1" ht="12.75" customHeight="1" x14ac:dyDescent="0.25">
      <x:c r="A128"/>
      <x:c r="B128"/>
      <x:c r="C128" s="94"/>
      <x:c r="D128" s="94" t="inlineStr">
        <x:is>
          <x:t>E</x:t>
        </x:is>
      </x:c>
      <x:c r="E128" s="101" t="inlineStr">
        <x:is>
          <x:t>Total</x:t>
        </x:is>
      </x:c>
      <x:c r="F128" s="93" t="n">
        <x:v>65196.81</x:v>
      </x:c>
      <x:c r="G128" s="93" t="n">
        <x:v>6546.6</x:v>
      </x:c>
      <x:c r="H128" s="93" t="n">
        <x:v>3685.14</x:v>
      </x:c>
      <x:c r="I128" s="93" t="n">
        <x:v>1939.87</x:v>
      </x:c>
      <x:c r="J128" s="93" t="n">
        <x:v>12877.56</x:v>
      </x:c>
      <x:c r="K128" s="93" t="n">
        <x:v>462.28</x:v>
      </x:c>
      <x:c r="L128" s="93" t="n">
        <x:v>0</x:v>
      </x:c>
      <x:c r="M128" s="93" t="n">
        <x:v>4054.99</x:v>
      </x:c>
      <x:c r="N128" s="93" t="n">
        <x:v>3960.35</x:v>
      </x:c>
      <x:c r="O128" s="93" t="n">
        <x:v>18706.63</x:v>
      </x:c>
      <x:c r="P128" s="93" t="n">
        <x:v>12209.15</x:v>
      </x:c>
      <x:c r="Q128" s="93" t="n">
        <x:v>754.24</x:v>
      </x:c>
      <x:c r="R128" s="93" t="n">
        <x:v>0</x:v>
      </x:c>
      <x:c r="S128" s="93" t="n">
        <x:v>0</x:v>
      </x:c>
      <x:c r="T128" s="93" t="n">
        <x:v>0</x:v>
      </x:c>
      <x:c r="U128" s="93">
        <x:v>0</x:v>
      </x:c>
      <x:c r="V128" s="93">
        <x:v>0</x:v>
      </x:c>
      <x:c r="W128" s="93">
        <x:v>0</x:v>
      </x:c>
      <x:c r="X128" s="94">
        <x:v>0</x:v>
      </x:c>
      <x:c r="Y128" s="94">
        <x:v>0</x:v>
      </x:c>
      <x:c r="Z128" s="94" t="n">
        <x:v>0</x:v>
      </x:c>
    </x:row>
    <x:row r="129" spans="1:26" s="226" customFormat="1" ht="12.75" customHeight="1" x14ac:dyDescent="0.25">
      <x:c r="A129"/>
      <x:c r="B129" s="98"/>
      <x:c r="C129" s="98" t="inlineStr">
        <x:is>
          <x:t>ENEL</x:t>
        </x:is>
      </x:c>
      <x:c r="D129" t="inlineStr">
        <x:is>
          <x:t>Total</x:t>
        </x:is>
      </x:c>
      <x:c r="E129"/>
      <x:c r="F129" s="100" t="n">
        <x:v>65196.81</x:v>
      </x:c>
      <x:c r="G129" s="100" t="n">
        <x:v>6546.6</x:v>
      </x:c>
      <x:c r="H129" s="100" t="n">
        <x:v>3685.14</x:v>
      </x:c>
      <x:c r="I129" s="100" t="n">
        <x:v>1939.87</x:v>
      </x:c>
      <x:c r="J129" s="100" t="n">
        <x:v>12877.56</x:v>
      </x:c>
      <x:c r="K129" s="100" t="n">
        <x:v>462.28</x:v>
      </x:c>
      <x:c r="L129" s="100" t="n">
        <x:v>0</x:v>
      </x:c>
      <x:c r="M129" s="100" t="n">
        <x:v>4054.99</x:v>
      </x:c>
      <x:c r="N129" s="100" t="n">
        <x:v>3960.35</x:v>
      </x:c>
      <x:c r="O129" s="100" t="n">
        <x:v>18706.63</x:v>
      </x:c>
      <x:c r="P129" s="100" t="n">
        <x:v>12209.15</x:v>
      </x:c>
      <x:c r="Q129" s="100" t="n">
        <x:v>754.24</x:v>
      </x:c>
      <x:c r="R129" s="100" t="n">
        <x:v>0</x:v>
      </x:c>
      <x:c r="S129" s="100" t="n">
        <x:v>0</x:v>
      </x:c>
      <x:c r="T129" s="100" t="n">
        <x:v>0</x:v>
      </x:c>
      <x:c r="U129" s="100">
        <x:v>0</x:v>
      </x:c>
      <x:c r="V129" s="100">
        <x:v>0</x:v>
      </x:c>
      <x:c r="W129" s="100">
        <x:v>0</x:v>
      </x:c>
      <x:c r="X129" s="226">
        <x:v>0</x:v>
      </x:c>
      <x:c r="Y129" s="226">
        <x:v>0</x:v>
      </x:c>
      <x:c r="Z129" s="226" t="n">
        <x:v>0</x:v>
      </x:c>
    </x:row>
    <x:row r="130" spans="1:26" ht="12.75" customHeight="1" x14ac:dyDescent="0.25">
      <x:c r="A130"/>
      <x:c r="B130" s="89" t="inlineStr">
        <x:is>
          <x:t>Aplicacion nuevos x reversion</x:t>
        </x:is>
      </x:c>
      <x:c r="C130" s="89" t="inlineStr">
        <x:is>
          <x:t>Total</x:t>
        </x:is>
      </x:c>
      <x:c r="D130"/>
      <x:c r="E130"/>
      <x:c r="F130" s="90" t="n">
        <x:v>65196.81</x:v>
      </x:c>
      <x:c r="G130" s="90" t="n">
        <x:v>6546.6</x:v>
      </x:c>
      <x:c r="H130" s="90" t="n">
        <x:v>3685.14</x:v>
      </x:c>
      <x:c r="I130" s="90" t="n">
        <x:v>1939.87</x:v>
      </x:c>
      <x:c r="J130" s="90" t="n">
        <x:v>12877.56</x:v>
      </x:c>
      <x:c r="K130" s="90" t="n">
        <x:v>462.28</x:v>
      </x:c>
      <x:c r="L130" s="90" t="n">
        <x:v>0</x:v>
      </x:c>
      <x:c r="M130" s="90" t="n">
        <x:v>4054.99</x:v>
      </x:c>
      <x:c r="N130" s="90" t="n">
        <x:v>3960.35</x:v>
      </x:c>
      <x:c r="O130" s="90" t="n">
        <x:v>18706.63</x:v>
      </x:c>
      <x:c r="P130" s="90" t="n">
        <x:v>12209.15</x:v>
      </x:c>
      <x:c r="Q130" s="90" t="n">
        <x:v>754.24</x:v>
      </x:c>
      <x:c r="R130" s="90" t="n">
        <x:v>0</x:v>
      </x:c>
      <x:c r="S130" s="90" t="n">
        <x:v>0</x:v>
      </x:c>
      <x:c r="T130" s="90" t="n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 t="n">
        <x:v>0</x:v>
      </x:c>
    </x:row>
    <x:row r="131" spans="1:26" ht="12.75" customHeight="1" x14ac:dyDescent="0.25">
      <x:c r="A131"/>
      <x:c r="B131" s="89"/>
      <x:c r="C131" s="89"/>
      <x:c r="D131"/>
      <x:c r="E131" t="inlineStr">
        <x:is>
          <x:t>Subsidio(-)/Contribucion(+)</x:t>
        </x:is>
      </x:c>
      <x:c r="F131" s="90" t="n">
        <x:v>-5574513313.02</x:v>
      </x:c>
      <x:c r="G131" s="90" t="n">
        <x:v>-142587049.96</x:v>
      </x:c>
      <x:c r="H131" s="90" t="n">
        <x:v>-77260837.58</x:v>
      </x:c>
      <x:c r="I131" s="90" t="n">
        <x:v>-40078326.58</x:v>
      </x:c>
      <x:c r="J131" s="90" t="n">
        <x:v>-1659794200.48</x:v>
      </x:c>
      <x:c r="K131" s="90" t="n">
        <x:v>-55669891.31</x:v>
      </x:c>
      <x:c r="L131" s="90" t="n">
        <x:v>0</x:v>
      </x:c>
      <x:c r="M131" s="90" t="n">
        <x:v>-488402705.69</x:v>
      </x:c>
      <x:c r="N131" s="90" t="n">
        <x:v>-486403545.59</x:v>
      </x:c>
      <x:c r="O131" s="90" t="n">
        <x:v>-2258121879.65</x:v>
      </x:c>
      <x:c r="P131" s="90" t="n">
        <x:v>-275363801.76</x:v>
      </x:c>
      <x:c r="Q131" s="90" t="n">
        <x:v>-90831074.42</x:v>
      </x:c>
      <x:c r="R131" s="90" t="n">
        <x:v>0</x:v>
      </x:c>
      <x:c r="S131" s="90" t="n">
        <x:v>0</x:v>
      </x:c>
      <x:c r="T131" s="90" t="n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 t="n">
        <x:v>0</x:v>
      </x:c>
    </x:row>
    <x:row r="132" spans="1:26" ht="12.75" customHeight="1" x14ac:dyDescent="0.25">
      <x:c r="A132"/>
      <x:c r="B132" s="89"/>
      <x:c r="C132" s="89"/>
      <x:c r="D132" t="inlineStr">
        <x:is>
          <x:t>E</x:t>
        </x:is>
      </x:c>
      <x:c r="E132" t="inlineStr">
        <x:is>
          <x:t>Total</x:t>
        </x:is>
      </x:c>
      <x:c r="F132" s="90" t="n">
        <x:v>-5574513313.02</x:v>
      </x:c>
      <x:c r="G132" s="90" t="n">
        <x:v>-142587049.96</x:v>
      </x:c>
      <x:c r="H132" s="90" t="n">
        <x:v>-77260837.58</x:v>
      </x:c>
      <x:c r="I132" s="90" t="n">
        <x:v>-40078326.58</x:v>
      </x:c>
      <x:c r="J132" s="90" t="n">
        <x:v>-1659794200.48</x:v>
      </x:c>
      <x:c r="K132" s="90" t="n">
        <x:v>-55669891.31</x:v>
      </x:c>
      <x:c r="L132" s="90" t="n">
        <x:v>0</x:v>
      </x:c>
      <x:c r="M132" s="90" t="n">
        <x:v>-488402705.69</x:v>
      </x:c>
      <x:c r="N132" s="90" t="n">
        <x:v>-486403545.59</x:v>
      </x:c>
      <x:c r="O132" s="90" t="n">
        <x:v>-2258121879.65</x:v>
      </x:c>
      <x:c r="P132" s="90" t="n">
        <x:v>-275363801.76</x:v>
      </x:c>
      <x:c r="Q132" s="90" t="n">
        <x:v>-90831074.42</x:v>
      </x:c>
      <x:c r="R132" s="90" t="n">
        <x:v>0</x:v>
      </x:c>
      <x:c r="S132" s="90" t="n">
        <x:v>0</x:v>
      </x:c>
      <x:c r="T132" s="90" t="n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 t="n">
        <x:v>0</x:v>
      </x:c>
    </x:row>
    <x:row r="133" spans="1:26" s="657" customFormat="1" ht="12.75" customHeight="1" x14ac:dyDescent="0.25">
      <x:c r="A133"/>
      <x:c r="B133"/>
      <x:c r="C133" s="657" t="inlineStr">
        <x:is>
          <x:t>ENEL</x:t>
        </x:is>
      </x:c>
      <x:c r="D133" s="658" t="inlineStr">
        <x:is>
          <x:t>Total</x:t>
        </x:is>
      </x:c>
      <x:c r="E133" s="658"/>
      <x:c r="F133" s="659" t="n">
        <x:v>-5574513313.02</x:v>
      </x:c>
      <x:c r="G133" s="659" t="n">
        <x:v>-142587049.96</x:v>
      </x:c>
      <x:c r="H133" s="659" t="n">
        <x:v>-77260837.58</x:v>
      </x:c>
      <x:c r="I133" s="659" t="n">
        <x:v>-40078326.58</x:v>
      </x:c>
      <x:c r="J133" s="659" t="n">
        <x:v>-1659794200.48</x:v>
      </x:c>
      <x:c r="K133" s="659" t="n">
        <x:v>-55669891.31</x:v>
      </x:c>
      <x:c r="L133" s="659" t="n">
        <x:v>0</x:v>
      </x:c>
      <x:c r="M133" s="659" t="n">
        <x:v>-488402705.69</x:v>
      </x:c>
      <x:c r="N133" s="659" t="n">
        <x:v>-486403545.59</x:v>
      </x:c>
      <x:c r="O133" s="659" t="n">
        <x:v>-2258121879.65</x:v>
      </x:c>
      <x:c r="P133" s="659" t="n">
        <x:v>-275363801.76</x:v>
      </x:c>
      <x:c r="Q133" s="659" t="n">
        <x:v>-90831074.42</x:v>
      </x:c>
      <x:c r="R133" s="659" t="n">
        <x:v>0</x:v>
      </x:c>
      <x:c r="S133" s="659" t="n">
        <x:v>0</x:v>
      </x:c>
      <x:c r="T133" s="659" t="n">
        <x:v>0</x:v>
      </x:c>
      <x:c r="U133" s="659">
        <x:v>0</x:v>
      </x:c>
      <x:c r="V133" s="659">
        <x:v>0</x:v>
      </x:c>
      <x:c r="W133" s="659">
        <x:v>0</x:v>
      </x:c>
      <x:c r="X133" s="657">
        <x:v>0</x:v>
      </x:c>
      <x:c r="Y133" s="657">
        <x:v>0</x:v>
      </x:c>
      <x:c r="Z133" s="657" t="n">
        <x:v>0</x:v>
      </x:c>
    </x:row>
    <x:row r="134" spans="1:26" ht="12.75" customHeight="1" x14ac:dyDescent="0.25">
      <x:c r="A134"/>
      <x:c r="B134" s="89"/>
      <x:c r="C134" s="89"/>
      <x:c r="D134"/>
      <x:c r="E134" t="inlineStr">
        <x:is>
          <x:t>Subsidio(-)/Contribucion(+)</x:t>
        </x:is>
      </x:c>
      <x:c r="F134" s="90" t="n">
        <x:v>364711.62</x:v>
      </x:c>
      <x:c r="G134" s="90" t="n">
        <x:v>42523.37</x:v>
      </x:c>
      <x:c r="H134" s="90" t="n">
        <x:v>19399.8</x:v>
      </x:c>
      <x:c r="I134" s="90" t="n">
        <x:v>11145.84</x:v>
      </x:c>
      <x:c r="J134" s="90" t="n">
        <x:v>76488.73</x:v>
      </x:c>
      <x:c r="K134" s="90" t="n">
        <x:v>1644.02</x:v>
      </x:c>
      <x:c r="L134" s="90" t="n">
        <x:v>0</x:v>
      </x:c>
      <x:c r="M134" s="90" t="n">
        <x:v>14420.95</x:v>
      </x:c>
      <x:c r="N134" s="90" t="n">
        <x:v>19608.24</x:v>
      </x:c>
      <x:c r="O134" s="90" t="n">
        <x:v>91459.93</x:v>
      </x:c>
      <x:c r="P134" s="90" t="n">
        <x:v>85338.37</x:v>
      </x:c>
      <x:c r="Q134" s="90" t="n">
        <x:v>2682.37</x:v>
      </x:c>
      <x:c r="R134" s="90" t="n">
        <x:v>0</x:v>
      </x:c>
      <x:c r="S134" s="90" t="n">
        <x:v>0</x:v>
      </x:c>
      <x:c r="T134" s="90" t="n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 t="n">
        <x:v>0</x:v>
      </x:c>
    </x:row>
    <x:row r="135" spans="1:26" ht="12.75" customHeight="1" x14ac:dyDescent="0.25">
      <x:c r="A135"/>
      <x:c r="B135" s="89"/>
      <x:c r="C135" s="89"/>
      <x:c r="D135" t="inlineStr">
        <x:is>
          <x:t>1</x:t>
        </x:is>
      </x:c>
      <x:c r="E135" t="inlineStr">
        <x:is>
          <x:t>Total</x:t>
        </x:is>
      </x:c>
      <x:c r="F135" s="90" t="n">
        <x:v>364711.62</x:v>
      </x:c>
      <x:c r="G135" s="90" t="n">
        <x:v>42523.37</x:v>
      </x:c>
      <x:c r="H135" s="90" t="n">
        <x:v>19399.8</x:v>
      </x:c>
      <x:c r="I135" s="90" t="n">
        <x:v>11145.84</x:v>
      </x:c>
      <x:c r="J135" s="90" t="n">
        <x:v>76488.73</x:v>
      </x:c>
      <x:c r="K135" s="90" t="n">
        <x:v>1644.02</x:v>
      </x:c>
      <x:c r="L135" s="90" t="n">
        <x:v>0</x:v>
      </x:c>
      <x:c r="M135" s="90" t="n">
        <x:v>14420.95</x:v>
      </x:c>
      <x:c r="N135" s="90" t="n">
        <x:v>19608.24</x:v>
      </x:c>
      <x:c r="O135" s="90" t="n">
        <x:v>91459.93</x:v>
      </x:c>
      <x:c r="P135" s="90" t="n">
        <x:v>85338.37</x:v>
      </x:c>
      <x:c r="Q135" s="90" t="n">
        <x:v>2682.37</x:v>
      </x:c>
      <x:c r="R135" s="90" t="n">
        <x:v>0</x:v>
      </x:c>
      <x:c r="S135" s="90" t="n">
        <x:v>0</x:v>
      </x:c>
      <x:c r="T135" s="90" t="n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 t="n">
        <x:v>0</x:v>
      </x:c>
    </x:row>
    <x:row r="136" spans="1:26" ht="12.75" customHeight="1" x14ac:dyDescent="0.25">
      <x:c r="A136"/>
      <x:c r="B136" s="89"/>
      <x:c r="C136" s="89"/>
      <x:c r="D136"/>
      <x:c r="E136" t="inlineStr">
        <x:is>
          <x:t>Subsidio(-)/Contribucion(+)</x:t>
        </x:is>
      </x:c>
      <x:c r="F136" s="90" t="n">
        <x:v>-12716.22</x:v>
      </x:c>
      <x:c r="G136" s="90" t="n">
        <x:v>-696.42</x:v>
      </x:c>
      <x:c r="H136" s="90" t="n">
        <x:v>-320.42</x:v>
      </x:c>
      <x:c r="I136" s="90" t="n">
        <x:v>-174.1</x:v>
      </x:c>
      <x:c r="J136" s="90" t="n">
        <x:v>-3726.43</x:v>
      </x:c>
      <x:c r="K136" s="90" t="n">
        <x:v>-89.68</x:v>
      </x:c>
      <x:c r="L136" s="90" t="n">
        <x:v>0</x:v>
      </x:c>
      <x:c r="M136" s="90" t="n">
        <x:v>-786.79</x:v>
      </x:c>
      <x:c r="N136" s="90" t="n">
        <x:v>-977.8</x:v>
      </x:c>
      <x:c r="O136" s="90" t="n">
        <x:v>-4383.22</x:v>
      </x:c>
      <x:c r="P136" s="90" t="n">
        <x:v>-1415.01</x:v>
      </x:c>
      <x:c r="Q136" s="90" t="n">
        <x:v>-146.35</x:v>
      </x:c>
      <x:c r="R136" s="90" t="n">
        <x:v>0</x:v>
      </x:c>
      <x:c r="S136" s="90" t="n">
        <x:v>0</x:v>
      </x:c>
      <x:c r="T136" s="90" t="n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 t="n">
        <x:v>0</x:v>
      </x:c>
    </x:row>
    <x:row r="137" spans="1:26" ht="12.75" customHeight="1" x14ac:dyDescent="0.25">
      <x:c r="A137"/>
      <x:c r="B137" s="89"/>
      <x:c r="C137" s="89"/>
      <x:c r="D137" t="inlineStr">
        <x:is>
          <x:t>2</x:t>
        </x:is>
      </x:c>
      <x:c r="E137" t="inlineStr">
        <x:is>
          <x:t>Total</x:t>
        </x:is>
      </x:c>
      <x:c r="F137" s="90" t="n">
        <x:v>-12716.22</x:v>
      </x:c>
      <x:c r="G137" s="90" t="n">
        <x:v>-696.42</x:v>
      </x:c>
      <x:c r="H137" s="90" t="n">
        <x:v>-320.42</x:v>
      </x:c>
      <x:c r="I137" s="90" t="n">
        <x:v>-174.1</x:v>
      </x:c>
      <x:c r="J137" s="90" t="n">
        <x:v>-3726.43</x:v>
      </x:c>
      <x:c r="K137" s="90" t="n">
        <x:v>-89.68</x:v>
      </x:c>
      <x:c r="L137" s="90" t="n">
        <x:v>0</x:v>
      </x:c>
      <x:c r="M137" s="90" t="n">
        <x:v>-786.79</x:v>
      </x:c>
      <x:c r="N137" s="90" t="n">
        <x:v>-977.8</x:v>
      </x:c>
      <x:c r="O137" s="90" t="n">
        <x:v>-4383.22</x:v>
      </x:c>
      <x:c r="P137" s="90" t="n">
        <x:v>-1415.01</x:v>
      </x:c>
      <x:c r="Q137" s="90" t="n">
        <x:v>-146.35</x:v>
      </x:c>
      <x:c r="R137" s="90" t="n">
        <x:v>0</x:v>
      </x:c>
      <x:c r="S137" s="90" t="n">
        <x:v>0</x:v>
      </x:c>
      <x:c r="T137" s="90" t="n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 t="n">
        <x:v>0</x:v>
      </x:c>
    </x:row>
    <x:row r="138" spans="1:26" s="94" customFormat="1" ht="12.75" customHeight="1" x14ac:dyDescent="0.25">
      <x:c r="A138"/>
      <x:c r="B138"/>
      <x:c r="C138" s="94"/>
      <x:c r="D138" s="94"/>
      <x:c r="E138" s="101" t="inlineStr">
        <x:is>
          <x:t>Subsidio(-)/Contribucion(+)</x:t>
        </x:is>
      </x:c>
      <x:c r="F138" s="93" t="n">
        <x:v>-2486822.73</x:v>
      </x:c>
      <x:c r="G138" s="93" t="n">
        <x:v>-85228.71</x:v>
      </x:c>
      <x:c r="H138" s="93" t="n">
        <x:v>-47226.25</x:v>
      </x:c>
      <x:c r="I138" s="93" t="n">
        <x:v>-25296.05</x:v>
      </x:c>
      <x:c r="J138" s="93" t="n">
        <x:v>-681872.95</x:v>
      </x:c>
      <x:c r="K138" s="93" t="n">
        <x:v>-24041.32</x:v>
      </x:c>
      <x:c r="L138" s="93" t="n">
        <x:v>0</x:v>
      </x:c>
      <x:c r="M138" s="93" t="n">
        <x:v>-210886.27</x:v>
      </x:c>
      <x:c r="N138" s="93" t="n">
        <x:v>-212027.1</x:v>
      </x:c>
      <x:c r="O138" s="93" t="n">
        <x:v>-999338.13</x:v>
      </x:c>
      <x:c r="P138" s="93" t="n">
        <x:v>-161680.99</x:v>
      </x:c>
      <x:c r="Q138" s="93" t="n">
        <x:v>-39224.96</x:v>
      </x:c>
      <x:c r="R138" s="93" t="n">
        <x:v>0</x:v>
      </x:c>
      <x:c r="S138" s="93" t="n">
        <x:v>0</x:v>
      </x:c>
      <x:c r="T138" s="93" t="n">
        <x:v>0</x:v>
      </x:c>
      <x:c r="U138" s="93">
        <x:v>0</x:v>
      </x:c>
      <x:c r="V138" s="93">
        <x:v>0</x:v>
      </x:c>
      <x:c r="W138" s="93">
        <x:v>0</x:v>
      </x:c>
      <x:c r="X138" s="94">
        <x:v>0</x:v>
      </x:c>
      <x:c r="Y138" s="94">
        <x:v>0</x:v>
      </x:c>
      <x:c r="Z138" s="94" t="n">
        <x:v>0</x:v>
      </x:c>
    </x:row>
    <x:row r="139" spans="1:26" s="378" customFormat="1" ht="12.75" customHeight="1" x14ac:dyDescent="0.25">
      <x:c r="A139"/>
      <x:c r="B139" s="378"/>
      <x:c r="C139" s="378"/>
      <x:c r="D139" t="inlineStr">
        <x:is>
          <x:t>5</x:t>
        </x:is>
      </x:c>
      <x:c r="E139" s="376" t="inlineStr">
        <x:is>
          <x:t>Total</x:t>
        </x:is>
      </x:c>
      <x:c r="F139" s="711" t="n">
        <x:v>-2486822.73</x:v>
      </x:c>
      <x:c r="G139" s="377" t="n">
        <x:v>-85228.71</x:v>
      </x:c>
      <x:c r="H139" s="377" t="n">
        <x:v>-47226.25</x:v>
      </x:c>
      <x:c r="I139" s="377" t="n">
        <x:v>-25296.05</x:v>
      </x:c>
      <x:c r="J139" s="377" t="n">
        <x:v>-681872.95</x:v>
      </x:c>
      <x:c r="K139" s="377" t="n">
        <x:v>-24041.32</x:v>
      </x:c>
      <x:c r="L139" s="377" t="n">
        <x:v>0</x:v>
      </x:c>
      <x:c r="M139" s="377" t="n">
        <x:v>-210886.27</x:v>
      </x:c>
      <x:c r="N139" s="377" t="n">
        <x:v>-212027.1</x:v>
      </x:c>
      <x:c r="O139" s="377" t="n">
        <x:v>-999338.13</x:v>
      </x:c>
      <x:c r="P139" s="377" t="n">
        <x:v>-161680.99</x:v>
      </x:c>
      <x:c r="Q139" s="377" t="n">
        <x:v>-39224.96</x:v>
      </x:c>
      <x:c r="R139" s="377" t="n">
        <x:v>0</x:v>
      </x:c>
      <x:c r="S139" s="377" t="n">
        <x:v>0</x:v>
      </x:c>
      <x:c r="T139" s="377" t="n">
        <x:v>0</x:v>
      </x:c>
      <x:c r="U139" s="377">
        <x:v>0</x:v>
      </x:c>
      <x:c r="V139" s="377">
        <x:v>0</x:v>
      </x:c>
      <x:c r="W139" s="377">
        <x:v>0</x:v>
      </x:c>
      <x:c r="X139" s="378">
        <x:v>0</x:v>
      </x:c>
      <x:c r="Y139" s="378">
        <x:v>0</x:v>
      </x:c>
      <x:c r="Z139" s="378" t="n">
        <x:v>0</x:v>
      </x:c>
    </x:row>
    <x:row r="140" spans="1:26" ht="12.75" customHeight="1" x14ac:dyDescent="0.25">
      <x:c r="A140"/>
      <x:c r="B140"/>
      <x:c r="C140" t="inlineStr">
        <x:is>
          <x:t>NUEVO ESQUEMA</x:t>
        </x:is>
      </x:c>
      <x:c r="D140" t="inlineStr">
        <x:is>
          <x:t>Total</x:t>
        </x:is>
      </x:c>
      <x:c r="E140" s="89"/>
      <x:c r="F140" s="90" t="n">
        <x:v>-2134827.33</x:v>
      </x:c>
      <x:c r="G140" s="90" t="n">
        <x:v>-43401.76</x:v>
      </x:c>
      <x:c r="H140" s="90" t="n">
        <x:v>-28146.87</x:v>
      </x:c>
      <x:c r="I140" s="90" t="n">
        <x:v>-14324.31</x:v>
      </x:c>
      <x:c r="J140" s="90" t="n">
        <x:v>-609110.65</x:v>
      </x:c>
      <x:c r="K140" s="90" t="n">
        <x:v>-22486.98</x:v>
      </x:c>
      <x:c r="L140" s="90" t="n">
        <x:v>0</x:v>
      </x:c>
      <x:c r="M140" s="90" t="n">
        <x:v>-197252.11</x:v>
      </x:c>
      <x:c r="N140" s="90" t="n">
        <x:v>-193396.66</x:v>
      </x:c>
      <x:c r="O140" s="90" t="n">
        <x:v>-912261.42</x:v>
      </x:c>
      <x:c r="P140" s="90" t="n">
        <x:v>-77757.63</x:v>
      </x:c>
      <x:c r="Q140" s="90" t="n">
        <x:v>-36688.94</x:v>
      </x:c>
      <x:c r="R140" s="90" t="n">
        <x:v>0</x:v>
      </x:c>
      <x:c r="S140" s="90" t="n">
        <x:v>0</x:v>
      </x:c>
      <x:c r="T140" s="90" t="n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 t="n">
        <x:v>0</x:v>
      </x:c>
    </x:row>
    <x:row r="141" spans="1:26" ht="12.75" customHeight="1" x14ac:dyDescent="0.25">
      <x:c r="A141"/>
      <x:c r="B141"/>
      <x:c r="C141"/>
      <x:c r="D141" s="89"/>
      <x:c r="E141" s="89" t="inlineStr">
        <x:is>
          <x:t>Subsidio(-)/Contribucion(+)</x:t>
        </x:is>
      </x:c>
      <x:c r="F141" s="90" t="n">
        <x:v>-88320395.32</x:v>
      </x:c>
      <x:c r="G141" s="90" t="n">
        <x:v>2427279.77</x:v>
      </x:c>
      <x:c r="H141" s="90" t="n">
        <x:v>1456596.47</x:v>
      </x:c>
      <x:c r="I141" s="90" t="n">
        <x:v>802018.26</x:v>
      </x:c>
      <x:c r="J141" s="90" t="n">
        <x:v>-32051889.67</x:v>
      </x:c>
      <x:c r="K141" s="90" t="n">
        <x:v>-806848.78</x:v>
      </x:c>
      <x:c r="L141" s="90" t="n">
        <x:v>0</x:v>
      </x:c>
      <x:c r="M141" s="90" t="n">
        <x:v>-7090187.22</x:v>
      </x:c>
      <x:c r="N141" s="90" t="n">
        <x:v>-9935609.32</x:v>
      </x:c>
      <x:c r="O141" s="90" t="n">
        <x:v>-46910576.28</x:v>
      </x:c>
      <x:c r="P141" s="90" t="n">
        <x:v>5106300</x:v>
      </x:c>
      <x:c r="Q141" s="90" t="n">
        <x:v>-1317478.55</x:v>
      </x:c>
      <x:c r="R141" s="90" t="n">
        <x:v>0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2:26" s="657" customFormat="1" ht="12.75" customHeight="1" x14ac:dyDescent="0.25">
      <x:c r="A142"/>
      <x:c r="B142"/>
      <x:c r="C142" s="657"/>
      <x:c r="D142" s="658" t="inlineStr">
        <x:is>
          <x:t>H</x:t>
        </x:is>
      </x:c>
      <x:c r="E142" s="658" t="inlineStr">
        <x:is>
          <x:t>Total</x:t>
        </x:is>
      </x:c>
      <x:c r="F142" s="739" t="n">
        <x:v>-88320395.32</x:v>
      </x:c>
      <x:c r="G142" s="659" t="n">
        <x:v>2427279.77</x:v>
      </x:c>
      <x:c r="H142" s="659" t="n">
        <x:v>1456596.47</x:v>
      </x:c>
      <x:c r="I142" s="659" t="n">
        <x:v>802018.26</x:v>
      </x:c>
      <x:c r="J142" s="659" t="n">
        <x:v>-32051889.67</x:v>
      </x:c>
      <x:c r="K142" s="659" t="n">
        <x:v>-806848.78</x:v>
      </x:c>
      <x:c r="L142" s="659" t="n">
        <x:v>0</x:v>
      </x:c>
      <x:c r="M142" s="659" t="n">
        <x:v>-7090187.22</x:v>
      </x:c>
      <x:c r="N142" s="659" t="n">
        <x:v>-9935609.32</x:v>
      </x:c>
      <x:c r="O142" s="659" t="n">
        <x:v>-46910576.28</x:v>
      </x:c>
      <x:c r="P142" s="659" t="n">
        <x:v>5106300</x:v>
      </x:c>
      <x:c r="Q142" s="659" t="n">
        <x:v>-1317478.55</x:v>
      </x:c>
      <x:c r="R142" s="659" t="n">
        <x:v>0</x:v>
      </x:c>
      <x:c r="S142" s="659" t="n">
        <x:v>0</x:v>
      </x:c>
      <x:c r="T142" s="659" t="n">
        <x:v>0</x:v>
      </x:c>
      <x:c r="U142" s="659">
        <x:v>0</x:v>
      </x:c>
      <x:c r="V142" s="659">
        <x:v>0</x:v>
      </x:c>
      <x:c r="W142" s="659">
        <x:v>0</x:v>
      </x:c>
      <x:c r="X142" s="657">
        <x:v>0</x:v>
      </x:c>
      <x:c r="Y142" s="657">
        <x:v>0</x:v>
      </x:c>
      <x:c r="Z142" s="657" t="n">
        <x:v>0</x:v>
      </x:c>
    </x:row>
    <x:row r="143" spans="2:26" ht="12.75" customHeight="1" x14ac:dyDescent="0.25">
      <x:c r="A143"/>
      <x:c r="B143"/>
      <x:c r="C143"/>
      <x:c r="D143" s="89"/>
      <x:c r="E143" s="89" t="inlineStr">
        <x:is>
          <x:t>Subsidio(-)/Contribucion(+)</x:t>
        </x:is>
      </x:c>
      <x:c r="F143" s="371" t="n">
        <x:v>33440247</x:v>
      </x:c>
      <x:c r="G143" s="90" t="n">
        <x:v>11940858.26</x:v>
      </x:c>
      <x:c r="H143" s="90" t="n">
        <x:v>6716518.69</x:v>
      </x:c>
      <x:c r="I143" s="90" t="n">
        <x:v>3546778.51</x:v>
      </x:c>
      <x:c r="J143" s="90" t="n">
        <x:v>-4143518.02</x:v>
      </x:c>
      <x:c r="K143" s="90" t="n">
        <x:v>-120856.49</x:v>
      </x:c>
      <x:c r="L143" s="90" t="n">
        <x:v>0</x:v>
      </x:c>
      <x:c r="M143" s="90" t="n">
        <x:v>-1063481.62</x:v>
      </x:c>
      <x:c r="N143" s="90" t="n">
        <x:v>-1252132.37</x:v>
      </x:c>
      <x:c r="O143" s="90" t="n">
        <x:v>-5903053.44</x:v>
      </x:c>
      <x:c r="P143" s="90" t="n">
        <x:v>23916725.73</x:v>
      </x:c>
      <x:c r="Q143" s="90" t="n">
        <x:v>-197592.25</x:v>
      </x:c>
      <x:c r="R143" s="90" t="n">
        <x:v>0</x:v>
      </x:c>
      <x:c r="S143" s="90" t="n">
        <x:v>0</x:v>
      </x:c>
      <x:c r="T143" s="90" t="n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 t="n">
        <x:v>0</x:v>
      </x:c>
    </x:row>
    <x:row r="144" spans="2:26" ht="12.75" customHeight="1" x14ac:dyDescent="0.25">
      <x:c r="A144"/>
      <x:c r="B144"/>
      <x:c r="C144"/>
      <x:c r="D144" s="89" t="inlineStr">
        <x:is>
          <x:t>O</x:t>
        </x:is>
      </x:c>
      <x:c r="E144" s="89" t="inlineStr">
        <x:is>
          <x:t>Total</x:t>
        </x:is>
      </x:c>
      <x:c r="F144" s="371" t="n">
        <x:v>33440247</x:v>
      </x:c>
      <x:c r="G144" s="90" t="n">
        <x:v>11940858.26</x:v>
      </x:c>
      <x:c r="H144" s="90" t="n">
        <x:v>6716518.69</x:v>
      </x:c>
      <x:c r="I144" s="90" t="n">
        <x:v>3546778.51</x:v>
      </x:c>
      <x:c r="J144" s="90" t="n">
        <x:v>-4143518.02</x:v>
      </x:c>
      <x:c r="K144" s="90" t="n">
        <x:v>-120856.49</x:v>
      </x:c>
      <x:c r="L144" s="90" t="n">
        <x:v>0</x:v>
      </x:c>
      <x:c r="M144" s="90" t="n">
        <x:v>-1063481.62</x:v>
      </x:c>
      <x:c r="N144" s="90" t="n">
        <x:v>-1252132.37</x:v>
      </x:c>
      <x:c r="O144" s="90" t="n">
        <x:v>-5903053.44</x:v>
      </x:c>
      <x:c r="P144" s="90" t="n">
        <x:v>23916725.73</x:v>
      </x:c>
      <x:c r="Q144" s="90" t="n">
        <x:v>-197592.25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2:26" ht="12.75" customHeight="1" x14ac:dyDescent="0.25">
      <x:c r="A145"/>
      <x:c r="B145"/>
      <x:c r="C145"/>
      <x:c r="D145" s="89"/>
      <x:c r="E145" s="89" t="inlineStr">
        <x:is>
          <x:t>Subsidio(-)/Contribucion(+)</x:t>
        </x:is>
      </x:c>
      <x:c r="F145" s="371" t="n">
        <x:v>171093180.79</x:v>
      </x:c>
      <x:c r="G145" s="90" t="n">
        <x:v>43534891.73</x:v>
      </x:c>
      <x:c r="H145" s="90" t="n">
        <x:v>24590894.77</x:v>
      </x:c>
      <x:c r="I145" s="90" t="n">
        <x:v>13001647.11</x:v>
      </x:c>
      <x:c r="J145" s="90" t="n">
        <x:v>1105193.25</x:v>
      </x:c>
      <x:c r="K145" s="90" t="n">
        <x:v>22819.35</x:v>
      </x:c>
      <x:c r="L145" s="90" t="n">
        <x:v>0</x:v>
      </x:c>
      <x:c r="M145" s="90" t="n">
        <x:v>199843.49</x:v>
      </x:c>
      <x:c r="N145" s="90" t="n">
        <x:v>289515.46</x:v>
      </x:c>
      <x:c r="O145" s="90" t="n">
        <x:v>1194847.71</x:v>
      </x:c>
      <x:c r="P145" s="90" t="n">
        <x:v>87116178.75</x:v>
      </x:c>
      <x:c r="Q145" s="90" t="n">
        <x:v>37349.17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2:26" ht="12.75" customHeight="1" x14ac:dyDescent="0.25">
      <x:c r="A146"/>
      <x:c r="B146"/>
      <x:c r="C146"/>
      <x:c r="D146" s="89" t="inlineStr">
        <x:is>
          <x:t>T</x:t>
        </x:is>
      </x:c>
      <x:c r="E146" s="89" t="inlineStr">
        <x:is>
          <x:t>Total</x:t>
        </x:is>
      </x:c>
      <x:c r="F146" s="371" t="n">
        <x:v>171093180.79</x:v>
      </x:c>
      <x:c r="G146" s="90" t="n">
        <x:v>43534891.73</x:v>
      </x:c>
      <x:c r="H146" s="90" t="n">
        <x:v>24590894.77</x:v>
      </x:c>
      <x:c r="I146" s="90" t="n">
        <x:v>13001647.11</x:v>
      </x:c>
      <x:c r="J146" s="90" t="n">
        <x:v>1105193.25</x:v>
      </x:c>
      <x:c r="K146" s="90" t="n">
        <x:v>22819.35</x:v>
      </x:c>
      <x:c r="L146" s="90" t="n">
        <x:v>0</x:v>
      </x:c>
      <x:c r="M146" s="90" t="n">
        <x:v>199843.49</x:v>
      </x:c>
      <x:c r="N146" s="90" t="n">
        <x:v>289515.46</x:v>
      </x:c>
      <x:c r="O146" s="90" t="n">
        <x:v>1194847.71</x:v>
      </x:c>
      <x:c r="P146" s="90" t="n">
        <x:v>87116178.75</x:v>
      </x:c>
      <x:c r="Q146" s="90" t="n">
        <x:v>37349.17</x:v>
      </x:c>
      <x:c r="R146" s="90" t="n">
        <x:v>0</x:v>
      </x:c>
      <x:c r="S146" s="90" t="n">
        <x:v>0</x:v>
      </x:c>
      <x:c r="T146" s="90" t="n">
        <x:v>0</x:v>
      </x:c>
      <x:c r="U146" s="90">
        <x:v>0</x:v>
      </x:c>
      <x:c r="V146" s="90">
        <x:v>0</x:v>
      </x:c>
      <x:c r="W146" s="90">
        <x:v>0</x:v>
      </x:c>
      <x:c r="X146">
        <x:v>0</x:v>
      </x:c>
      <x:c r="Y146">
        <x:v>0</x:v>
      </x:c>
      <x:c r="Z146" t="n">
        <x:v>0</x:v>
      </x:c>
    </x:row>
    <x:row r="147" spans="2:26" ht="12.75" customHeight="1" x14ac:dyDescent="0.25">
      <x:c r="A147"/>
      <x:c r="B147"/>
      <x:c r="C147" t="inlineStr">
        <x:is>
          <x:t>OCCIDENTE</x:t>
        </x:is>
      </x:c>
      <x:c r="D147" t="inlineStr">
        <x:is>
          <x:t>Total</x:t>
        </x:is>
      </x:c>
      <x:c r="E147" s="89"/>
      <x:c r="F147" s="90" t="n">
        <x:v>116213032.47</x:v>
      </x:c>
      <x:c r="G147" s="90" t="n">
        <x:v>57903029.76</x:v>
      </x:c>
      <x:c r="H147" s="90" t="n">
        <x:v>32764009.93</x:v>
      </x:c>
      <x:c r="I147" s="90" t="n">
        <x:v>17350443.88</x:v>
      </x:c>
      <x:c r="J147" s="90" t="n">
        <x:v>-35090214.44</x:v>
      </x:c>
      <x:c r="K147" s="90" t="n">
        <x:v>-904885.92</x:v>
      </x:c>
      <x:c r="L147" s="90" t="n">
        <x:v>0</x:v>
      </x:c>
      <x:c r="M147" s="90" t="n">
        <x:v>-7953825.35</x:v>
      </x:c>
      <x:c r="N147" s="90" t="n">
        <x:v>-10898226.23</x:v>
      </x:c>
      <x:c r="O147" s="90" t="n">
        <x:v>-51618782.01</x:v>
      </x:c>
      <x:c r="P147" s="90" t="n">
        <x:v>116139204.48</x:v>
      </x:c>
      <x:c r="Q147" s="90" t="n">
        <x:v>-1477721.63</x:v>
      </x:c>
      <x:c r="R147" s="90" t="n">
        <x:v>0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25">
      <x:c r="A148"/>
      <x:c r="B148" t="inlineStr">
        <x:is>
          <x:t>Mes</x:t>
        </x:is>
      </x:c>
      <x:c r="C148" t="inlineStr">
        <x:is>
          <x:t>Total</x:t>
        </x:is>
      </x:c>
      <x:c r="D148" s="89"/>
      <x:c r="E148" s="89"/>
      <x:c r="F148" s="90" t="n">
        <x:v>-5460435107.88</x:v>
      </x:c>
      <x:c r="G148" s="90" t="n">
        <x:v>-84727421.96</x:v>
      </x:c>
      <x:c r="H148" s="90" t="n">
        <x:v>-44524974.52</x:v>
      </x:c>
      <x:c r="I148" s="90" t="n">
        <x:v>-22742207.01</x:v>
      </x:c>
      <x:c r="J148" s="90" t="n">
        <x:v>-1695493525.57</x:v>
      </x:c>
      <x:c r="K148" s="90" t="n">
        <x:v>-56597264.21</x:v>
      </x:c>
      <x:c r="L148" s="90" t="n">
        <x:v>0</x:v>
      </x:c>
      <x:c r="M148" s="90" t="n">
        <x:v>-496553783.15</x:v>
      </x:c>
      <x:c r="N148" s="90" t="n">
        <x:v>-497495168.48</x:v>
      </x:c>
      <x:c r="O148" s="90" t="n">
        <x:v>-2310652923.08</x:v>
      </x:c>
      <x:c r="P148" s="90" t="n">
        <x:v>-159302354.91</x:v>
      </x:c>
      <x:c r="Q148" s="90" t="n">
        <x:v>-92345484.99</x:v>
      </x:c>
      <x:c r="R148" s="90" t="n">
        <x:v>0</x:v>
      </x:c>
      <x:c r="S148" s="90" t="n">
        <x:v>0</x:v>
      </x:c>
      <x:c r="T148" s="90" t="n">
        <x:v>0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0</x:v>
      </x:c>
    </x:row>
    <x:row r="149" spans="2:26" s="224" customFormat="1" ht="12.75" customHeight="1" x14ac:dyDescent="0.25">
      <x:c r="A149" t="inlineStr">
        <x:is>
          <x:t>Subs/Cont</x:t>
        </x:is>
      </x:c>
      <x:c r="B149" t="inlineStr">
        <x:is>
          <x:t>Total</x:t>
        </x:is>
      </x:c>
      <x:c r="C149" s="223"/>
      <x:c r="D149" s="223"/>
      <x:c r="E149"/>
      <x:c r="F149" s="225" t="n">
        <x:v>-5460369911.07</x:v>
      </x:c>
      <x:c r="G149" s="225" t="n">
        <x:v>-84720875.36</x:v>
      </x:c>
      <x:c r="H149" s="225" t="n">
        <x:v>-44521289.38</x:v>
      </x:c>
      <x:c r="I149" s="225" t="n">
        <x:v>-22740267.14</x:v>
      </x:c>
      <x:c r="J149" s="225" t="n">
        <x:v>-1695480648.01</x:v>
      </x:c>
      <x:c r="K149" s="225" t="n">
        <x:v>-56596801.93</x:v>
      </x:c>
      <x:c r="L149" s="225" t="n">
        <x:v>0</x:v>
      </x:c>
      <x:c r="M149" s="225" t="n">
        <x:v>-496549728.16</x:v>
      </x:c>
      <x:c r="N149" s="225" t="n">
        <x:v>-497491208.13</x:v>
      </x:c>
      <x:c r="O149" s="225" t="n">
        <x:v>-2310634216.45</x:v>
      </x:c>
      <x:c r="P149" s="225" t="n">
        <x:v>-159290145.76</x:v>
      </x:c>
      <x:c r="Q149" s="225" t="n">
        <x:v>-92344730.75</x:v>
      </x:c>
      <x:c r="R149" s="225" t="n">
        <x:v>0</x:v>
      </x:c>
      <x:c r="S149" s="225" t="n">
        <x:v>0</x:v>
      </x:c>
      <x:c r="T149" s="225" t="n">
        <x:v>0</x:v>
      </x:c>
      <x:c r="U149" s="225">
        <x:v>0</x:v>
      </x:c>
      <x:c r="V149" s="225">
        <x:v>0</x:v>
      </x:c>
      <x:c r="W149" s="225">
        <x:v>0</x:v>
      </x:c>
      <x:c r="X149" s="224">
        <x:v>0</x:v>
      </x:c>
      <x:c r="Y149" s="224">
        <x:v>0</x:v>
      </x:c>
      <x:c r="Z149" s="224" t="n">
        <x:v>0</x:v>
      </x:c>
    </x:row>
    <x:row r="150" spans="1:26" ht="12.75" customHeight="1" x14ac:dyDescent="0.25">
      <x:c r="A150" s="89" t="inlineStr">
        <x:is>
          <x:t>Total</x:t>
        </x:is>
      </x:c>
      <x:c r="B150"/>
      <x:c r="C150"/>
      <x:c r="D150"/>
      <x:c r="E150"/>
      <x:c r="F150" s="90" t="n">
        <x:v>21530185865.78</x:v>
      </x:c>
      <x:c r="G150" s="90" t="n">
        <x:v>1562988446.03</x:v>
      </x:c>
      <x:c r="H150" s="90" t="n">
        <x:v>875045597.99</x:v>
      </x:c>
      <x:c r="I150" s="90" t="n">
        <x:v>457639859.57</x:v>
      </x:c>
      <x:c r="J150" s="90" t="n">
        <x:v>5105822742.69</x:v>
      </x:c>
      <x:c r="K150" s="90" t="n">
        <x:v>168708125.17</x:v>
      </x:c>
      <x:c r="L150" s="90" t="n">
        <x:v>65675504</x:v>
      </x:c>
      <x:c r="M150" s="90" t="n">
        <x:v>1480604470.48</x:v>
      </x:c>
      <x:c r="N150" s="90" t="n">
        <x:v>1477579868.12</x:v>
      </x:c>
      <x:c r="O150" s="90" t="n">
        <x:v>6988538783.46</x:v>
      </x:c>
      <x:c r="P150" s="90" t="n">
        <x:v>3072020935.94</x:v>
      </x:c>
      <x:c r="Q150" s="90" t="n">
        <x:v>275781051.98</x:v>
      </x:c>
      <x:c r="R150" s="90" t="n">
        <x:v>-219558.97</x:v>
      </x:c>
      <x:c r="S150" s="90" t="n">
        <x:v>62.66</x:v>
      </x:c>
      <x:c r="T150" s="90" t="n">
        <x:v>1.01</x:v>
      </x:c>
      <x:c r="U150" s="90">
        <x:v>0</x:v>
      </x:c>
      <x:c r="V150" s="90">
        <x:v>0</x:v>
      </x:c>
      <x:c r="W150" s="90">
        <x:v>0</x:v>
      </x:c>
      <x:c r="X150">
        <x:v>0</x:v>
      </x:c>
      <x:c r="Y150">
        <x:v>0</x:v>
      </x:c>
      <x:c r="Z150" t="n">
        <x:v>-24.35</x:v>
      </x:c>
    </x:row>
    <x:row r="151" spans="1:26" ht="12.75" customHeight="1" x14ac:dyDescent="0.25">
      <x:c r="A151" s="89"/>
      <x:c r="D151" s="89"/>
      <x:c r="E151" s="89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26" ht="12.75" customHeight="1" x14ac:dyDescent="0.25">
      <x:c r="A152" s="89"/>
      <x:c r="C152" s="89"/>
      <x:c r="D152" s="89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26" ht="12.75" hidden="1" customHeight="1" x14ac:dyDescent="0.25">
      <x:c r="A153" s="89"/>
      <x:c r="E153" s="89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26" ht="12.75" hidden="1" customHeight="1" x14ac:dyDescent="0.25">
      <x:c r="A154" s="89"/>
      <x:c r="D154" s="89"/>
      <x:c r="E154" s="89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26" ht="12.75" hidden="1" customHeight="1" x14ac:dyDescent="0.25">
      <x:c r="A155" s="89"/>
      <x:c r="E155" s="89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26" ht="12.75" hidden="1" customHeight="1" x14ac:dyDescent="0.25">
      <x:c r="A156" s="89"/>
      <x:c r="D156" s="89"/>
      <x:c r="E156" s="89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26" ht="12.75" hidden="1" customHeight="1" x14ac:dyDescent="0.25">
      <x:c r="A157" s="89"/>
      <x:c r="E157" s="89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26" ht="12.75" hidden="1" customHeight="1" x14ac:dyDescent="0.25">
      <x:c r="A158" s="89"/>
      <x:c r="D158" s="89"/>
      <x:c r="E158" s="89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26" ht="12.75" hidden="1" customHeight="1" x14ac:dyDescent="0.25">
      <x:c r="A159" s="89"/>
      <x:c r="C159" s="89"/>
      <x:c r="D159" s="89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26" ht="12.75" hidden="1" customHeight="1" x14ac:dyDescent="0.25">
      <x:c r="A160" s="89"/>
      <x:c r="B160" s="89"/>
      <x:c r="C160" s="89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26" ht="12.75" hidden="1" customHeight="1" x14ac:dyDescent="0.25">
      <x:c r="A161" s="89"/>
      <x:c r="B161" s="89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26" ht="12.75" hidden="1" customHeight="1" x14ac:dyDescent="0.25">
      <x:c r="A162" s="89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26" ht="12.75" hidden="1" customHeight="1" x14ac:dyDescent="0.25">
      <x:c r="A163" s="89"/>
      <x:c r="B163" s="89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26" ht="12.75" hidden="1" customHeight="1" x14ac:dyDescent="0.25">
      <x:c r="A164" s="89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5">
      <x:c r="A165" s="89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5">
      <x:c r="A166" s="89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5">
      <x:c r="A167" s="89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5">
      <x:c r="A168" s="89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5">
      <x:c r="A169" s="89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5">
      <x:c r="A170" s="89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5">
      <x:c r="A171" s="89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5">
      <x:c r="A172" s="89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5">
      <x:c r="A173" s="89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5">
      <x:c r="A174" s="89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5">
      <x:c r="A175" s="89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5">
      <x:c r="A176" s="89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hidden="1" customHeight="1" x14ac:dyDescent="0.25">
      <x:c r="A177" s="89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hidden="1" customHeight="1" x14ac:dyDescent="0.25">
      <x:c r="A178" s="89"/>
      <x:c r="F178" s="90"/>
      <x:c r="G178" s="90"/>
      <x:c r="H178" s="90"/>
      <x:c r="I178" s="90"/>
      <x:c r="J178" s="90"/>
      <x:c r="K178" s="90"/>
      <x:c r="L178" s="90"/>
      <x:c r="M178" s="90"/>
      <x:c r="N178" s="90"/>
      <x:c r="O178" s="90"/>
      <x:c r="P178" s="90"/>
      <x:c r="Q178" s="90"/>
      <x:c r="R178" s="90"/>
      <x:c r="S178" s="90"/>
    </x:row>
    <x:row r="179" spans="1:19" ht="12.75" hidden="1" customHeight="1" x14ac:dyDescent="0.25">
      <x:c r="A179" s="89"/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  <x:c r="S179" s="90"/>
    </x:row>
    <x:row r="180" spans="1:19" ht="12.75" hidden="1" customHeight="1" x14ac:dyDescent="0.25">
      <x:c r="A180" s="89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  <x:c r="S180" s="90"/>
    </x:row>
    <x:row r="181" spans="1:42" ht="12.75" hidden="1" customHeight="1" x14ac:dyDescent="0.25">
      <x:c r="A181" s="89"/>
      <x:c r="F181" s="90"/>
      <x:c r="G181" s="90"/>
      <x:c r="H181" s="90"/>
      <x:c r="I181" s="90"/>
      <x:c r="J181" s="90"/>
      <x:c r="K181" s="90"/>
      <x:c r="L181" s="90"/>
      <x:c r="M181" s="90"/>
      <x:c r="N181" s="90"/>
      <x:c r="O181" s="90"/>
      <x:c r="P181" s="90"/>
      <x:c r="Q181" s="90"/>
      <x:c r="R181" s="90"/>
      <x:c r="S181" s="90"/>
    </x:row>
    <x:row r="182" spans="1:42" ht="12.75" hidden="1" customHeight="1" x14ac:dyDescent="0.25">
      <x:c r="A182" s="89"/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  <x:c r="S182" s="90"/>
    </x:row>
    <x:row r="183" spans="1:42" ht="12.75" hidden="1" customHeight="1" x14ac:dyDescent="0.25">
      <x:c r="A183" s="89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  <x:c r="S183" s="90"/>
    </x:row>
    <x:row r="184" spans="1:42" ht="12.75" hidden="1" customHeight="1" x14ac:dyDescent="0.25">
      <x:c r="A184" s="89"/>
      <x:c r="F184" s="90"/>
      <x:c r="G184" s="90"/>
      <x:c r="H184" s="90"/>
      <x:c r="I184" s="90"/>
      <x:c r="J184" s="90"/>
      <x:c r="K184" s="90"/>
      <x:c r="L184" s="90"/>
      <x:c r="M184" s="90"/>
      <x:c r="N184" s="90"/>
      <x:c r="O184" s="90"/>
      <x:c r="P184" s="90"/>
      <x:c r="Q184" s="90"/>
      <x:c r="R184" s="90"/>
      <x:c r="S184" s="90"/>
    </x:row>
    <x:row r="185" spans="1:42" ht="12.75" hidden="1" customHeight="1" x14ac:dyDescent="0.25">
      <x:c r="A185" s="89"/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  <x:c r="S185" s="90"/>
    </x:row>
    <x:row r="186" spans="1:42" ht="12.75" hidden="1" customHeight="1" x14ac:dyDescent="0.25">
      <x:c r="A186" s="89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  <x:c r="S186" s="90"/>
    </x:row>
    <x:row r="187" spans="1:42" ht="12.75" hidden="1" customHeight="1" x14ac:dyDescent="0.25">
      <x:c r="A187" s="89"/>
      <x:c r="F187" s="90"/>
      <x:c r="G187" s="90"/>
      <x:c r="H187" s="90"/>
      <x:c r="I187" s="90"/>
      <x:c r="J187" s="90"/>
      <x:c r="K187" s="90"/>
      <x:c r="L187" s="90"/>
      <x:c r="M187" s="90"/>
      <x:c r="N187" s="90"/>
      <x:c r="O187" s="90"/>
      <x:c r="P187" s="90"/>
      <x:c r="Q187" s="90"/>
      <x:c r="R187" s="90"/>
      <x:c r="S187" s="90"/>
    </x:row>
    <x:row r="188" spans="1:42" ht="12.75" hidden="1" customHeight="1" x14ac:dyDescent="0.25">
      <x:c r="A188" s="89"/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  <x:c r="S188" s="90"/>
    </x:row>
    <x:row r="189" spans="1:42" ht="12.75" hidden="1" customHeight="1" x14ac:dyDescent="0.25">
      <x:c r="A189" s="89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  <x:c r="S189" s="90"/>
    </x:row>
    <x:row r="190" spans="1:42" ht="12.75" hidden="1" customHeight="1" x14ac:dyDescent="0.25">
      <x:c r="A190" s="89"/>
      <x:c r="F190" s="90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  <x:c r="R190" s="90"/>
      <x:c r="S190" s="90"/>
    </x:row>
    <x:row r="191" spans="1:42" ht="12.75" hidden="1" customHeight="1" x14ac:dyDescent="0.25">
      <x:c r="A191" s="89"/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  <x:c r="S191" s="90"/>
    </x:row>
    <x:row r="192" spans="1:42" ht="12.75" customHeight="1" x14ac:dyDescent="0.25">
      <x:c r="A192" s="89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  <x:c r="S192" s="90"/>
    </x:row>
    <x:row r="193" spans="1:42" ht="12.75" customHeight="1" x14ac:dyDescent="0.25">
      <x:c r="A193" s="89"/>
      <x:c r="F193" s="90"/>
      <x:c r="G193" s="90"/>
      <x:c r="H193" s="90"/>
      <x:c r="I193" s="90"/>
      <x:c r="J193" s="90"/>
      <x:c r="K193" s="90"/>
      <x:c r="L193" s="90"/>
      <x:c r="M193" s="90"/>
      <x:c r="N193" s="90"/>
      <x:c r="O193" s="90"/>
      <x:c r="P193" s="90"/>
      <x:c r="Q193" s="90"/>
      <x:c r="R193" s="90"/>
      <x:c r="S193" s="90"/>
    </x:row>
    <x:row r="194" spans="1:42" ht="12.75" customHeight="1" x14ac:dyDescent="0.25">
      <x:c r="C194" s="774" t="s">
        <x:v>2</x:v>
      </x:c>
      <x:c r="D194" s="771" t="s">
        <x:v>132</x:v>
      </x:c>
      <x:c r="E194" s="98" t="s">
        <x:v>70</x:v>
      </x:c>
      <x:c r="F194" s="100">
        <x:f>F129+F150-L129+F91-L91</x:f>
        <x:v>20352268540.720001</x:v>
      </x:c>
      <x:c r="G194" s="100">
        <x:f>G129+G91</x:f>
        <x:v>1575127599.3299999</x:v>
      </x:c>
      <x:c r="H194" s="100">
        <x:f t="shared" ref="H194:AP194" si="6">H129+H91</x:f>
        <x:v>883344164.76999998</x:v>
      </x:c>
      <x:c r="I194" s="100">
        <x:f t="shared" si="6"/>
        <x:v>463657475.5</x:v>
      </x:c>
      <x:c r="J194" s="100">
        <x:f t="shared" si="6"/>
        <x:v>5770939754.4900007</x:v>
      </x:c>
      <x:c r="K194" s="100">
        <x:f t="shared" si="6"/>
        <x:v>221087801.44999999</x:v>
      </x:c>
      <x:c r="L194" s="100">
        <x:f t="shared" si="6"/>
        <x:v>53454221.280000001</x:v>
      </x:c>
      <x:c r="M194" s="100">
        <x:f t="shared" si="6"/>
        <x:v>1937636226.24</x:v>
      </x:c>
      <x:c r="N194" s="100">
        <x:f t="shared" si="6"/>
        <x:v>1932409015.4699998</x:v>
      </x:c>
      <x:c r="O194" s="100">
        <x:f t="shared" si="6"/>
        <x:v>9106102089.4900017</x:v>
      </x:c>
      <x:c r="P194" s="100">
        <x:f t="shared" si="6"/>
        <x:v>3106141657.3499999</x:v>
      </x:c>
      <x:c r="Q194" s="100">
        <x:f t="shared" si="6"/>
        <x:v>361264015.81999999</x:v>
      </x:c>
      <x:c r="R194" s="100">
        <x:f t="shared" si="6"/>
        <x:v>86691.03</x:v>
      </x:c>
      <x:c r="S194" s="100">
        <x:f t="shared" si="6"/>
        <x:v>-83.63</x:v>
      </x:c>
      <x:c r="T194" s="100">
        <x:f t="shared" si="6"/>
        <x:v>4.18</x:v>
      </x:c>
      <x:c r="U194" s="100">
        <x:f t="shared" si="6"/>
        <x:v>0</x:v>
      </x:c>
      <x:c r="V194" s="100">
        <x:f t="shared" si="6"/>
        <x:v>0</x:v>
      </x:c>
      <x:c r="W194" s="100">
        <x:f t="shared" si="6"/>
        <x:v>0</x:v>
      </x:c>
      <x:c r="X194" s="100">
        <x:f t="shared" si="6"/>
        <x:v>0</x:v>
      </x:c>
      <x:c r="Y194" s="100">
        <x:f t="shared" si="6"/>
        <x:v>0</x:v>
      </x:c>
      <x:c r="Z194" s="100">
        <x:f t="shared" si="6"/>
        <x:v>-43.76</x:v>
      </x:c>
      <x:c r="AA194" s="100">
        <x:f t="shared" si="6"/>
        <x:v>0</x:v>
      </x:c>
      <x:c r="AB194" s="100">
        <x:f t="shared" si="6"/>
        <x:v>0</x:v>
      </x:c>
      <x:c r="AC194" s="100">
        <x:f t="shared" si="6"/>
        <x:v>0</x:v>
      </x:c>
      <x:c r="AD194" s="100">
        <x:f t="shared" si="6"/>
        <x:v>0</x:v>
      </x:c>
      <x:c r="AE194" s="100">
        <x:f t="shared" si="6"/>
        <x:v>0</x:v>
      </x:c>
      <x:c r="AF194" s="100">
        <x:f t="shared" si="6"/>
        <x:v>0</x:v>
      </x:c>
      <x:c r="AG194" s="100">
        <x:f t="shared" si="6"/>
        <x:v>0</x:v>
      </x:c>
      <x:c r="AH194" s="100">
        <x:f t="shared" si="6"/>
        <x:v>0</x:v>
      </x:c>
      <x:c r="AI194" s="100">
        <x:f t="shared" si="6"/>
        <x:v>0</x:v>
      </x:c>
      <x:c r="AJ194" s="100">
        <x:f t="shared" si="6"/>
        <x:v>0</x:v>
      </x:c>
      <x:c r="AK194" s="100">
        <x:f t="shared" si="6"/>
        <x:v>0</x:v>
      </x:c>
      <x:c r="AL194" s="100">
        <x:f t="shared" si="6"/>
        <x:v>0</x:v>
      </x:c>
      <x:c r="AM194" s="100">
        <x:f t="shared" si="6"/>
        <x:v>0</x:v>
      </x:c>
      <x:c r="AN194" s="100">
        <x:f t="shared" si="6"/>
        <x:v>0</x:v>
      </x:c>
      <x:c r="AO194" s="100">
        <x:f t="shared" si="6"/>
        <x:v>0</x:v>
      </x:c>
      <x:c r="AP194" s="100">
        <x:f t="shared" si="6"/>
        <x:v>0</x:v>
      </x:c>
    </x:row>
    <x:row r="195" spans="1:42" ht="12.75" customHeight="1" x14ac:dyDescent="0.25">
      <x:c r="C195" s="774"/>
      <x:c r="D195" s="771"/>
      <x:c r="E195" s="98" t="s">
        <x:v>73</x:v>
      </x:c>
      <x:c r="F195" s="100">
        <x:f>F150</x:f>
        <x:v>-5005527827.0100002</x:v>
      </x:c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  <x:c r="R195" s="90"/>
      <x:c r="S195" s="90"/>
    </x:row>
    <x:row r="196" spans="1:42" ht="12.75" customHeight="1" x14ac:dyDescent="0.25">
      <x:c r="C196" s="774"/>
      <x:c r="D196" s="771" t="s">
        <x:v>133</x:v>
      </x:c>
      <x:c r="E196" s="233" t="s">
        <x:v>70</x:v>
      </x:c>
      <x:c r="F196" s="234">
        <x:f>F139+F104-L104</x:f>
        <x:v>56190070</x:v>
      </x:c>
      <x:c r="G196" s="234">
        <x:f>G104</x:f>
        <x:v>7708934.9000000004</x:v>
      </x:c>
      <x:c r="H196" s="234">
        <x:f t="shared" ref="H196:AP196" si="7">H104</x:f>
        <x:v>4358213.05</x:v>
      </x:c>
      <x:c r="I196" s="234">
        <x:f t="shared" si="7"/>
        <x:v>2310135.71</x:v>
      </x:c>
      <x:c r="J196" s="234">
        <x:f t="shared" si="7"/>
        <x:v>173927.38</x:v>
      </x:c>
      <x:c r="K196" s="234">
        <x:f t="shared" si="7"/>
        <x:v>5311.09</x:v>
      </x:c>
      <x:c r="L196" s="234">
        <x:f t="shared" si="7"/>
        <x:v>0</x:v>
      </x:c>
      <x:c r="M196" s="234">
        <x:f t="shared" si="7"/>
        <x:v>46588.43</x:v>
      </x:c>
      <x:c r="N196" s="234">
        <x:f t="shared" si="7"/>
        <x:v>53938.06</x:v>
      </x:c>
      <x:c r="O196" s="234">
        <x:f t="shared" si="7"/>
        <x:v>251431.52</x:v>
      </x:c>
      <x:c r="P196" s="234">
        <x:f t="shared" si="7"/>
        <x:v>15476286.449999999</x:v>
      </x:c>
      <x:c r="Q196" s="234">
        <x:f t="shared" si="7"/>
        <x:v>8665.4500000000007</x:v>
      </x:c>
      <x:c r="R196" s="234">
        <x:f t="shared" si="7"/>
        <x:v>-0.40999999999999898</x:v>
      </x:c>
      <x:c r="S196" s="234">
        <x:f t="shared" si="7"/>
        <x:v>0</x:v>
      </x:c>
      <x:c r="T196" s="234">
        <x:f t="shared" si="7"/>
        <x:v>0</x:v>
      </x:c>
      <x:c r="U196" s="234">
        <x:f t="shared" si="7"/>
        <x:v>0</x:v>
      </x:c>
      <x:c r="V196" s="234">
        <x:f t="shared" si="7"/>
        <x:v>0</x:v>
      </x:c>
      <x:c r="W196" s="234">
        <x:f t="shared" si="7"/>
        <x:v>0</x:v>
      </x:c>
      <x:c r="X196" s="234">
        <x:f t="shared" si="7"/>
        <x:v>0</x:v>
      </x:c>
      <x:c r="Y196" s="234">
        <x:f t="shared" si="7"/>
        <x:v>0</x:v>
      </x:c>
      <x:c r="Z196" s="234">
        <x:f t="shared" si="7"/>
        <x:v>0</x:v>
      </x:c>
      <x:c r="AA196" s="234">
        <x:f t="shared" si="7"/>
        <x:v>0</x:v>
      </x:c>
      <x:c r="AB196" s="234">
        <x:f t="shared" si="7"/>
        <x:v>0</x:v>
      </x:c>
      <x:c r="AC196" s="234">
        <x:f t="shared" si="7"/>
        <x:v>0</x:v>
      </x:c>
      <x:c r="AD196" s="234">
        <x:f t="shared" si="7"/>
        <x:v>0</x:v>
      </x:c>
      <x:c r="AE196" s="234">
        <x:f t="shared" si="7"/>
        <x:v>0</x:v>
      </x:c>
      <x:c r="AF196" s="234">
        <x:f t="shared" si="7"/>
        <x:v>0</x:v>
      </x:c>
      <x:c r="AG196" s="234">
        <x:f t="shared" si="7"/>
        <x:v>0</x:v>
      </x:c>
      <x:c r="AH196" s="234">
        <x:f t="shared" si="7"/>
        <x:v>0</x:v>
      </x:c>
      <x:c r="AI196" s="234">
        <x:f t="shared" si="7"/>
        <x:v>0</x:v>
      </x:c>
      <x:c r="AJ196" s="234">
        <x:f t="shared" si="7"/>
        <x:v>0</x:v>
      </x:c>
      <x:c r="AK196" s="234">
        <x:f t="shared" si="7"/>
        <x:v>0</x:v>
      </x:c>
      <x:c r="AL196" s="234">
        <x:f t="shared" si="7"/>
        <x:v>0</x:v>
      </x:c>
      <x:c r="AM196" s="234">
        <x:f t="shared" si="7"/>
        <x:v>0</x:v>
      </x:c>
      <x:c r="AN196" s="234">
        <x:f t="shared" si="7"/>
        <x:v>0</x:v>
      </x:c>
      <x:c r="AO196" s="234">
        <x:f t="shared" si="7"/>
        <x:v>0</x:v>
      </x:c>
      <x:c r="AP196" s="234">
        <x:f t="shared" si="7"/>
        <x:v>0</x:v>
      </x:c>
    </x:row>
    <x:row r="197" spans="1:42" ht="12.75" customHeight="1" x14ac:dyDescent="0.25">
      <x:c r="C197" s="774"/>
      <x:c r="D197" s="771"/>
      <x:c r="E197" s="233" t="s">
        <x:v>73</x:v>
      </x:c>
      <x:c r="F197" s="234">
        <x:f>F139</x:f>
        <x:v>25796638.370000001</x:v>
      </x:c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  <x:c r="R197" s="90"/>
    </x:row>
    <x:row r="198" spans="1:42" ht="12.75" customHeight="1" x14ac:dyDescent="0.3">
      <x:c r="A198" s="89"/>
      <x:c r="C198" s="97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  <x:c r="R198" s="90"/>
      <x:c r="S198" s="90"/>
    </x:row>
    <x:row r="199" spans="1:42" ht="12.75" customHeight="1" x14ac:dyDescent="0.25">
      <x:c r="C199" s="774" t="s">
        <x:v>160</x:v>
      </x:c>
      <x:c r="D199" s="771" t="s">
        <x:v>132</x:v>
      </x:c>
      <x:c r="E199" s="223" t="s">
        <x:v>70</x:v>
      </x:c>
      <x:c r="F199" s="225">
        <x:f>F149+F118-L118</x:f>
        <x:v>11411240</x:v>
      </x:c>
      <x:c r="G199" s="225">
        <x:f>G118</x:f>
        <x:v>846445.31</x:v>
      </x:c>
      <x:c r="H199" s="225">
        <x:f t="shared" ref="H199:AP199" si="8">H118</x:f>
        <x:v>456814.64</x:v>
      </x:c>
      <x:c r="I199" s="225">
        <x:f t="shared" si="8"/>
        <x:v>246633.46</x:v>
      </x:c>
      <x:c r="J199" s="225">
        <x:f t="shared" si="8"/>
        <x:v>3859157.96</x:v>
      </x:c>
      <x:c r="K199" s="225">
        <x:f t="shared" si="8"/>
        <x:v>125021.13</x:v>
      </x:c>
      <x:c r="L199" s="225">
        <x:f t="shared" si="8"/>
        <x:v>0</x:v>
      </x:c>
      <x:c r="M199" s="225">
        <x:f t="shared" si="8"/>
        <x:v>1101678.21</x:v>
      </x:c>
      <x:c r="N199" s="225">
        <x:f t="shared" si="8"/>
        <x:v>1198553.1100000001</x:v>
      </x:c>
      <x:c r="O199" s="225">
        <x:f t="shared" si="8"/>
        <x:v>5597648.7699999996</x:v>
      </x:c>
      <x:c r="P199" s="225">
        <x:f t="shared" si="8"/>
        <x:v>1666421.96</x:v>
      </x:c>
      <x:c r="Q199" s="225">
        <x:f t="shared" si="8"/>
        <x:v>204886.65</x:v>
      </x:c>
      <x:c r="R199" s="225">
        <x:f t="shared" si="8"/>
        <x:v>72.06</x:v>
      </x:c>
      <x:c r="S199" s="225">
        <x:f t="shared" si="8"/>
        <x:v>0</x:v>
      </x:c>
      <x:c r="T199" s="225">
        <x:f t="shared" si="8"/>
        <x:v>0</x:v>
      </x:c>
      <x:c r="U199" s="225">
        <x:f t="shared" si="8"/>
        <x:v>0</x:v>
      </x:c>
      <x:c r="V199" s="225">
        <x:f t="shared" si="8"/>
        <x:v>0</x:v>
      </x:c>
      <x:c r="W199" s="225">
        <x:f t="shared" si="8"/>
        <x:v>0</x:v>
      </x:c>
      <x:c r="X199" s="225">
        <x:f t="shared" si="8"/>
        <x:v>0</x:v>
      </x:c>
      <x:c r="Y199" s="225">
        <x:f t="shared" si="8"/>
        <x:v>0</x:v>
      </x:c>
      <x:c r="Z199" s="225">
        <x:f t="shared" si="8"/>
        <x:v>-7.0000000000000007E-2</x:v>
      </x:c>
      <x:c r="AA199" s="225">
        <x:f t="shared" si="8"/>
        <x:v>0</x:v>
      </x:c>
      <x:c r="AB199" s="225">
        <x:f t="shared" si="8"/>
        <x:v>0</x:v>
      </x:c>
      <x:c r="AC199" s="225">
        <x:f t="shared" si="8"/>
        <x:v>0</x:v>
      </x:c>
      <x:c r="AD199" s="225">
        <x:f t="shared" si="8"/>
        <x:v>0</x:v>
      </x:c>
      <x:c r="AE199" s="225">
        <x:f t="shared" si="8"/>
        <x:v>0</x:v>
      </x:c>
      <x:c r="AF199" s="225">
        <x:f t="shared" si="8"/>
        <x:v>0</x:v>
      </x:c>
      <x:c r="AG199" s="225">
        <x:f t="shared" si="8"/>
        <x:v>0</x:v>
      </x:c>
      <x:c r="AH199" s="225">
        <x:f t="shared" si="8"/>
        <x:v>0</x:v>
      </x:c>
      <x:c r="AI199" s="225">
        <x:f t="shared" si="8"/>
        <x:v>0</x:v>
      </x:c>
      <x:c r="AJ199" s="225">
        <x:f t="shared" si="8"/>
        <x:v>0</x:v>
      </x:c>
      <x:c r="AK199" s="225">
        <x:f t="shared" si="8"/>
        <x:v>0</x:v>
      </x:c>
      <x:c r="AL199" s="225">
        <x:f t="shared" si="8"/>
        <x:v>0</x:v>
      </x:c>
      <x:c r="AM199" s="225">
        <x:f t="shared" si="8"/>
        <x:v>0</x:v>
      </x:c>
      <x:c r="AN199" s="225">
        <x:f t="shared" si="8"/>
        <x:v>0</x:v>
      </x:c>
      <x:c r="AO199" s="225">
        <x:f t="shared" si="8"/>
        <x:v>0</x:v>
      </x:c>
      <x:c r="AP199" s="225">
        <x:f t="shared" si="8"/>
        <x:v>0</x:v>
      </x:c>
    </x:row>
    <x:row r="200" spans="1:42" ht="12.75" customHeight="1" x14ac:dyDescent="0.25">
      <x:c r="C200" s="774"/>
      <x:c r="D200" s="771"/>
      <x:c r="E200" s="223" t="s">
        <x:v>73</x:v>
      </x:c>
      <x:c r="F200" s="225">
        <x:f>F149</x:f>
        <x:v>-3892093.19</x:v>
      </x:c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  <x:c r="R200" s="90"/>
      <x:c r="S200" s="90"/>
    </x:row>
    <x:row r="201" spans="1:42" ht="12.75" customHeight="1" x14ac:dyDescent="0.25">
      <x:c r="C201" s="774"/>
      <x:c r="D201" s="771" t="s">
        <x:v>133</x:v>
      </x:c>
      <x:c r="E201" s="227" t="s">
        <x:v>70</x:v>
      </x:c>
      <x:c r="F201" s="228">
        <x:v>0</x:v>
      </x:c>
      <x:c r="G201" s="228">
        <x:v>0</x:v>
      </x:c>
      <x:c r="H201" s="228">
        <x:v>0</x:v>
      </x:c>
      <x:c r="I201" s="228">
        <x:v>0</x:v>
      </x:c>
      <x:c r="J201" s="228">
        <x:v>0</x:v>
      </x:c>
      <x:c r="K201" s="228">
        <x:v>0</x:v>
      </x:c>
      <x:c r="L201" s="228">
        <x:v>0</x:v>
      </x:c>
      <x:c r="M201" s="228">
        <x:v>0</x:v>
      </x:c>
      <x:c r="N201" s="228">
        <x:v>0</x:v>
      </x:c>
      <x:c r="O201" s="228">
        <x:v>0</x:v>
      </x:c>
      <x:c r="P201" s="228">
        <x:v>0</x:v>
      </x:c>
      <x:c r="Q201" s="228">
        <x:v>0</x:v>
      </x:c>
      <x:c r="R201" s="228">
        <x:v>0</x:v>
      </x:c>
      <x:c r="S201" s="228">
        <x:v>0</x:v>
      </x:c>
      <x:c r="T201" s="228">
        <x:v>0</x:v>
      </x:c>
      <x:c r="U201" s="228">
        <x:v>0</x:v>
      </x:c>
      <x:c r="V201" s="228">
        <x:v>0</x:v>
      </x:c>
      <x:c r="W201" s="228">
        <x:v>0</x:v>
      </x:c>
      <x:c r="X201" s="228">
        <x:v>0</x:v>
      </x:c>
      <x:c r="Y201" s="228">
        <x:v>0</x:v>
      </x:c>
      <x:c r="Z201" s="228">
        <x:v>0</x:v>
      </x:c>
      <x:c r="AA201" s="228">
        <x:v>0</x:v>
      </x:c>
      <x:c r="AB201" s="228">
        <x:v>0</x:v>
      </x:c>
      <x:c r="AC201" s="228">
        <x:v>0</x:v>
      </x:c>
      <x:c r="AD201" s="228">
        <x:v>0</x:v>
      </x:c>
      <x:c r="AE201" s="228">
        <x:v>0</x:v>
      </x:c>
      <x:c r="AF201" s="228">
        <x:v>0</x:v>
      </x:c>
      <x:c r="AG201" s="228">
        <x:v>0</x:v>
      </x:c>
      <x:c r="AH201" s="228">
        <x:v>0</x:v>
      </x:c>
      <x:c r="AI201" s="228">
        <x:v>0</x:v>
      </x:c>
      <x:c r="AJ201" s="228">
        <x:v>0</x:v>
      </x:c>
      <x:c r="AK201" s="228">
        <x:v>0</x:v>
      </x:c>
      <x:c r="AL201" s="228">
        <x:v>0</x:v>
      </x:c>
      <x:c r="AM201" s="228">
        <x:v>0</x:v>
      </x:c>
      <x:c r="AN201" s="228">
        <x:v>0</x:v>
      </x:c>
      <x:c r="AO201" s="228">
        <x:v>0</x:v>
      </x:c>
      <x:c r="AP201" s="228">
        <x:v>0</x:v>
      </x:c>
    </x:row>
    <x:row r="202" spans="1:42" ht="12.75" customHeight="1" x14ac:dyDescent="0.25">
      <x:c r="C202" s="774"/>
      <x:c r="D202" s="771"/>
      <x:c r="E202" s="227" t="s">
        <x:v>73</x:v>
      </x:c>
      <x:c r="F202" s="228">
        <x:v>0</x:v>
      </x:c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  <x:c r="R202" s="90"/>
    </x:row>
    <x:row r="203" spans="1:42" ht="12.75" customHeight="1" x14ac:dyDescent="0.3">
      <x:c r="A203" s="89"/>
      <x:c r="C203" s="97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  <x:c r="R203" s="90"/>
      <x:c r="S203" s="90"/>
    </x:row>
    <x:row r="204" spans="1:42" ht="12.75" customHeight="1" x14ac:dyDescent="0.25">
      <x:c r="C204" s="774" t="s">
        <x:v>155</x:v>
      </x:c>
      <x:c r="D204" s="771" t="s">
        <x:v>132</x:v>
      </x:c>
      <x:c r="E204" s="221" t="s">
        <x:v>70</x:v>
      </x:c>
      <x:c r="F204" s="222">
        <x:f>F142+F108+F87--L87-L108</x:f>
        <x:v>19023525223.110004</x:v>
      </x:c>
      <x:c r="G204" s="222">
        <x:f t="shared" ref="G204:AA204" si="9">G108+G87</x:f>
        <x:v>1400142290.9300001</x:v>
      </x:c>
      <x:c r="H204" s="222">
        <x:f t="shared" si="9"/>
        <x:v>785434828.66999996</x:v>
      </x:c>
      <x:c r="I204" s="222">
        <x:f t="shared" si="9"/>
        <x:v>411976719.89000005</x:v>
      </x:c>
      <x:c r="J204" s="222">
        <x:f t="shared" si="9"/>
        <x:v>5566978557.3000002</x:v>
      </x:c>
      <x:c r="K204" s="222">
        <x:f t="shared" si="9"/>
        <x:v>215502798.99000001</x:v>
      </x:c>
      <x:c r="L204" s="222">
        <x:f t="shared" si="9"/>
        <x:v>24273229.890000001</x:v>
      </x:c>
      <x:c r="M204" s="222">
        <x:f t="shared" si="9"/>
        <x:v>1888691595.8999999</x:v>
      </x:c>
      <x:c r="N204" s="222">
        <x:f t="shared" si="9"/>
        <x:v>1865131607.0600002</x:v>
      </x:c>
      <x:c r="O204" s="222">
        <x:f t="shared" si="9"/>
        <x:v>8796190172.9300003</x:v>
      </x:c>
      <x:c r="P204" s="222">
        <x:f t="shared" si="9"/>
        <x:v>2757907535.29</x:v>
      </x:c>
      <x:c r="Q204" s="222">
        <x:f t="shared" si="9"/>
        <x:v>352119526.00999999</x:v>
      </x:c>
      <x:c r="R204" s="222">
        <x:f t="shared" si="9"/>
        <x:v>89964.42</x:v>
      </x:c>
      <x:c r="S204" s="222">
        <x:f t="shared" si="9"/>
        <x:v>-70.86</x:v>
      </x:c>
      <x:c r="T204" s="222">
        <x:f t="shared" si="9"/>
        <x:v>4.1399999999999997</x:v>
      </x:c>
      <x:c r="U204" s="222">
        <x:f t="shared" si="9"/>
        <x:v>0</x:v>
      </x:c>
      <x:c r="V204" s="222">
        <x:f t="shared" si="9"/>
        <x:v>0</x:v>
      </x:c>
      <x:c r="W204" s="222">
        <x:f t="shared" si="9"/>
        <x:v>0</x:v>
      </x:c>
      <x:c r="X204" s="222">
        <x:f t="shared" si="9"/>
        <x:v>0</x:v>
      </x:c>
      <x:c r="Y204" s="222">
        <x:f t="shared" si="9"/>
        <x:v>0</x:v>
      </x:c>
      <x:c r="Z204" s="222">
        <x:f t="shared" si="9"/>
        <x:v>-42.89</x:v>
      </x:c>
      <x:c r="AA204" s="222">
        <x:f t="shared" si="9"/>
        <x:v>0</x:v>
      </x:c>
    </x:row>
    <x:row r="205" spans="1:42" ht="12.75" customHeight="1" x14ac:dyDescent="0.25">
      <x:c r="C205" s="774"/>
      <x:c r="D205" s="771"/>
      <x:c r="E205" s="221" t="s">
        <x:v>73</x:v>
      </x:c>
      <x:c r="F205" s="222">
        <x:f>F142</x:f>
        <x:v>-5016640264.6700001</x:v>
      </x:c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  <x:c r="R205" s="90"/>
      <x:c r="S205" s="90"/>
    </x:row>
    <x:row r="206" spans="1:42" ht="12.75" customHeight="1" x14ac:dyDescent="0.25">
      <x:c r="C206" s="774"/>
      <x:c r="D206" s="771" t="s">
        <x:v>133</x:v>
      </x:c>
      <x:c r="E206" s="229" t="s">
        <x:v>70</x:v>
      </x:c>
      <x:c r="F206" s="230">
        <x:f>F133+F96-L96</x:f>
        <x:v>56078860</x:v>
      </x:c>
      <x:c r="G206" s="230">
        <x:f>G96</x:f>
        <x:v>7696969.2400000002</x:v>
      </x:c>
      <x:c r="H206" s="230">
        <x:f t="shared" ref="H206:AA206" si="10">H96</x:f>
        <x:v>4351440.59</x:v>
      </x:c>
      <x:c r="I206" s="230">
        <x:f t="shared" si="10"/>
        <x:v>2306516.2999999998</x:v>
      </x:c>
      <x:c r="J206" s="230">
        <x:f t="shared" si="10"/>
        <x:v>107263.69</x:v>
      </x:c>
      <x:c r="K206" s="230">
        <x:f t="shared" si="10"/>
        <x:v>3376.45</x:v>
      </x:c>
      <x:c r="L206" s="230">
        <x:f t="shared" si="10"/>
        <x:v>0</x:v>
      </x:c>
      <x:c r="M206" s="230">
        <x:f t="shared" si="10"/>
        <x:v>29617.98</x:v>
      </x:c>
      <x:c r="N206" s="230">
        <x:f t="shared" si="10"/>
        <x:v>33795.33</x:v>
      </x:c>
      <x:c r="O206" s="230">
        <x:f t="shared" si="10"/>
        <x:v>157592.63</x:v>
      </x:c>
      <x:c r="P206" s="230">
        <x:f t="shared" si="10"/>
        <x:v>15452175.380000001</x:v>
      </x:c>
      <x:c r="Q206" s="230">
        <x:f t="shared" si="10"/>
        <x:v>5508.95</x:v>
      </x:c>
      <x:c r="R206" s="230">
        <x:f t="shared" si="10"/>
        <x:v>2.83</x:v>
      </x:c>
      <x:c r="S206" s="230">
        <x:f t="shared" si="10"/>
        <x:v>0</x:v>
      </x:c>
      <x:c r="T206" s="230">
        <x:f t="shared" si="10"/>
        <x:v>0</x:v>
      </x:c>
      <x:c r="U206" s="230">
        <x:f t="shared" si="10"/>
        <x:v>0</x:v>
      </x:c>
      <x:c r="V206" s="230">
        <x:f t="shared" si="10"/>
        <x:v>0</x:v>
      </x:c>
      <x:c r="W206" s="230">
        <x:f t="shared" si="10"/>
        <x:v>0</x:v>
      </x:c>
      <x:c r="X206" s="230">
        <x:f t="shared" si="10"/>
        <x:v>0</x:v>
      </x:c>
      <x:c r="Y206" s="230">
        <x:f t="shared" si="10"/>
        <x:v>0</x:v>
      </x:c>
      <x:c r="Z206" s="230">
        <x:f t="shared" si="10"/>
        <x:v>0</x:v>
      </x:c>
      <x:c r="AA206" s="230">
        <x:f t="shared" si="10"/>
        <x:v>0</x:v>
      </x:c>
    </x:row>
    <x:row r="207" spans="1:42" ht="12.75" customHeight="1" x14ac:dyDescent="0.25">
      <x:c r="C207" s="774"/>
      <x:c r="D207" s="771"/>
      <x:c r="E207" s="229" t="s">
        <x:v>73</x:v>
      </x:c>
      <x:c r="F207" s="230">
        <x:f>F133</x:f>
        <x:v>25934600.629999999</x:v>
      </x:c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  <x:c r="R207" s="90"/>
    </x:row>
    <x:row r="208" spans="1:42" ht="12.75" customHeight="1" x14ac:dyDescent="0.3">
      <x:c r="A208" s="89"/>
      <x:c r="C208" s="97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  <x:c r="R208" s="90"/>
      <x:c r="S208" s="90"/>
    </x:row>
    <x:row r="209" spans="1:42" ht="12.75" customHeight="1" x14ac:dyDescent="0.25">
      <x:c r="C209" s="772" t="s">
        <x:v>328</x:v>
      </x:c>
      <x:c r="D209" s="771" t="s">
        <x:v>132</x:v>
      </x:c>
      <x:c r="E209" s="373" t="s">
        <x:v>70</x:v>
      </x:c>
      <x:c r="F209" s="374">
        <x:v>0</x:v>
      </x:c>
      <x:c r="G209" s="374">
        <x:v>0</x:v>
      </x:c>
      <x:c r="H209" s="374">
        <x:v>0</x:v>
      </x:c>
      <x:c r="I209" s="374">
        <x:v>0</x:v>
      </x:c>
      <x:c r="J209" s="374">
        <x:v>0</x:v>
      </x:c>
      <x:c r="K209" s="374">
        <x:v>0</x:v>
      </x:c>
      <x:c r="L209" s="374">
        <x:v>0</x:v>
      </x:c>
      <x:c r="M209" s="374">
        <x:v>0</x:v>
      </x:c>
      <x:c r="N209" s="374">
        <x:v>0</x:v>
      </x:c>
      <x:c r="O209" s="374">
        <x:v>0</x:v>
      </x:c>
      <x:c r="P209" s="374">
        <x:v>0</x:v>
      </x:c>
      <x:c r="Q209" s="374">
        <x:v>0</x:v>
      </x:c>
      <x:c r="R209" s="374">
        <x:v>0</x:v>
      </x:c>
      <x:c r="S209" s="374">
        <x:v>0</x:v>
      </x:c>
      <x:c r="T209" s="374">
        <x:v>0</x:v>
      </x:c>
      <x:c r="U209" s="374">
        <x:v>0</x:v>
      </x:c>
      <x:c r="V209" s="374">
        <x:v>0</x:v>
      </x:c>
      <x:c r="W209" s="374">
        <x:v>0</x:v>
      </x:c>
      <x:c r="X209" s="374">
        <x:v>0</x:v>
      </x:c>
      <x:c r="Y209" s="374">
        <x:v>0</x:v>
      </x:c>
      <x:c r="Z209" s="374">
        <x:v>0</x:v>
      </x:c>
      <x:c r="AA209" s="374">
        <x:v>0</x:v>
      </x:c>
      <x:c r="AB209" s="374">
        <x:v>0</x:v>
      </x:c>
      <x:c r="AC209" s="374">
        <x:v>0</x:v>
      </x:c>
      <x:c r="AD209" s="374">
        <x:v>0</x:v>
      </x:c>
      <x:c r="AE209" s="374">
        <x:v>0</x:v>
      </x:c>
      <x:c r="AF209" s="374">
        <x:v>0</x:v>
      </x:c>
      <x:c r="AG209" s="374">
        <x:v>0</x:v>
      </x:c>
      <x:c r="AH209" s="374">
        <x:v>0</x:v>
      </x:c>
      <x:c r="AI209" s="374">
        <x:v>0</x:v>
      </x:c>
      <x:c r="AJ209" s="374">
        <x:v>0</x:v>
      </x:c>
      <x:c r="AK209" s="374">
        <x:v>0</x:v>
      </x:c>
      <x:c r="AL209" s="374">
        <x:v>0</x:v>
      </x:c>
      <x:c r="AM209" s="374">
        <x:v>0</x:v>
      </x:c>
      <x:c r="AN209" s="374">
        <x:v>0</x:v>
      </x:c>
      <x:c r="AO209" s="374">
        <x:v>0</x:v>
      </x:c>
    </x:row>
    <x:row r="210" spans="1:42" ht="12.75" customHeight="1" x14ac:dyDescent="0.25">
      <x:c r="C210" s="772"/>
      <x:c r="D210" s="771"/>
      <x:c r="E210" s="373" t="s">
        <x:v>73</x:v>
      </x:c>
      <x:c r="F210" s="374">
        <x:v>0</x:v>
      </x:c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  <x:c r="R210" s="90"/>
      <x:c r="S210" s="90"/>
    </x:row>
    <x:row r="211" spans="1:42" ht="12.75" customHeight="1" x14ac:dyDescent="0.25">
      <x:c r="C211" s="772"/>
      <x:c r="D211" s="771" t="s">
        <x:v>133</x:v>
      </x:c>
      <x:c r="E211" s="242" t="s">
        <x:v>70</x:v>
      </x:c>
      <x:c r="F211" s="243">
        <x:v>0</x:v>
      </x:c>
      <x:c r="G211" s="243">
        <x:v>0</x:v>
      </x:c>
      <x:c r="H211" s="243">
        <x:v>0</x:v>
      </x:c>
      <x:c r="I211" s="243">
        <x:v>0</x:v>
      </x:c>
      <x:c r="J211" s="243">
        <x:v>0</x:v>
      </x:c>
      <x:c r="K211" s="243">
        <x:v>0</x:v>
      </x:c>
      <x:c r="L211" s="243">
        <x:v>0</x:v>
      </x:c>
      <x:c r="M211" s="243">
        <x:v>0</x:v>
      </x:c>
      <x:c r="N211" s="243">
        <x:v>0</x:v>
      </x:c>
      <x:c r="O211" s="243">
        <x:v>0</x:v>
      </x:c>
      <x:c r="P211" s="243">
        <x:v>0</x:v>
      </x:c>
      <x:c r="Q211" s="243">
        <x:v>0</x:v>
      </x:c>
      <x:c r="R211" s="243">
        <x:v>0</x:v>
      </x:c>
      <x:c r="S211" s="243">
        <x:v>0</x:v>
      </x:c>
      <x:c r="T211" s="243">
        <x:v>0</x:v>
      </x:c>
      <x:c r="U211" s="243">
        <x:v>0</x:v>
      </x:c>
      <x:c r="V211" s="243">
        <x:v>0</x:v>
      </x:c>
      <x:c r="W211" s="243">
        <x:v>0</x:v>
      </x:c>
      <x:c r="X211" s="243">
        <x:v>0</x:v>
      </x:c>
      <x:c r="Y211" s="243">
        <x:v>0</x:v>
      </x:c>
      <x:c r="Z211" s="243">
        <x:v>0</x:v>
      </x:c>
      <x:c r="AA211" s="243">
        <x:v>0</x:v>
      </x:c>
      <x:c r="AB211" s="243">
        <x:v>0</x:v>
      </x:c>
      <x:c r="AC211" s="243">
        <x:v>0</x:v>
      </x:c>
      <x:c r="AD211" s="243">
        <x:v>0</x:v>
      </x:c>
      <x:c r="AE211" s="243">
        <x:v>0</x:v>
      </x:c>
      <x:c r="AF211" s="243">
        <x:v>0</x:v>
      </x:c>
      <x:c r="AG211" s="243">
        <x:v>0</x:v>
      </x:c>
      <x:c r="AH211" s="243">
        <x:v>0</x:v>
      </x:c>
      <x:c r="AI211" s="243">
        <x:v>0</x:v>
      </x:c>
      <x:c r="AJ211" s="243">
        <x:v>0</x:v>
      </x:c>
      <x:c r="AK211" s="243">
        <x:v>0</x:v>
      </x:c>
      <x:c r="AL211" s="243">
        <x:v>0</x:v>
      </x:c>
      <x:c r="AM211" s="243">
        <x:v>0</x:v>
      </x:c>
      <x:c r="AN211" s="243">
        <x:v>0</x:v>
      </x:c>
      <x:c r="AO211" s="243">
        <x:v>0</x:v>
      </x:c>
    </x:row>
    <x:row r="212" spans="1:42" ht="12.75" customHeight="1" x14ac:dyDescent="0.25">
      <x:c r="C212" s="772"/>
      <x:c r="D212" s="771"/>
      <x:c r="E212" s="242" t="s">
        <x:v>73</x:v>
      </x:c>
      <x:c r="F212" s="243">
        <x:v>0</x:v>
      </x:c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</x:row>
    <x:row r="213" spans="1:42" ht="12.75" customHeight="1" x14ac:dyDescent="0.3">
      <x:c r="A213" s="89"/>
      <x:c r="C213" s="97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42" ht="12.75" customHeight="1" x14ac:dyDescent="0.25">
      <x:c r="C214" s="774" t="s">
        <x:v>119</x:v>
      </x:c>
      <x:c r="D214" s="771" t="s">
        <x:v>132</x:v>
      </x:c>
      <x:c r="E214" s="101" t="s">
        <x:v>70</x:v>
      </x:c>
      <x:c r="F214" s="93">
        <x:f>F150+F128+F90-L90-L128</x:f>
        <x:v>1317332077.6099999</x:v>
      </x:c>
      <x:c r="G214" s="93">
        <x:f>G128+G90</x:f>
        <x:v>174138863.09</x:v>
      </x:c>
      <x:c r="H214" s="93">
        <x:f t="shared" ref="H214:AP214" si="11">H128+H90</x:f>
        <x:v>97452521.459999993</x:v>
      </x:c>
      <x:c r="I214" s="93">
        <x:f t="shared" si="11"/>
        <x:v>51434122.149999999</x:v>
      </x:c>
      <x:c r="J214" s="93">
        <x:f t="shared" si="11"/>
        <x:v>200102039.23000002</x:v>
      </x:c>
      <x:c r="K214" s="93">
        <x:f t="shared" si="11"/>
        <x:v>5459981.3300000001</x:v>
      </x:c>
      <x:c r="L214" s="93">
        <x:f t="shared" si="11"/>
        <x:v>29180991.390000001</x:v>
      </x:c>
      <x:c r="M214" s="93">
        <x:f t="shared" si="11"/>
        <x:v>47842952.129999995</x:v>
      </x:c>
      <x:c r="N214" s="93">
        <x:f t="shared" si="11"/>
        <x:v>66078855.299999997</x:v>
      </x:c>
      <x:c r="O214" s="93">
        <x:f t="shared" si="11"/>
        <x:v>304314267.79000002</x:v>
      </x:c>
      <x:c r="P214" s="93">
        <x:f t="shared" si="11"/>
        <x:v>346567700.09999996</x:v>
      </x:c>
      <x:c r="Q214" s="93">
        <x:f t="shared" si="11"/>
        <x:v>8939603.1600000001</x:v>
      </x:c>
      <x:c r="R214" s="93">
        <x:f t="shared" si="11"/>
        <x:v>-3345.45</x:v>
      </x:c>
      <x:c r="S214" s="93">
        <x:f t="shared" si="11"/>
        <x:v>-12.77</x:v>
      </x:c>
      <x:c r="T214" s="93">
        <x:f t="shared" si="11"/>
        <x:v>0.04</x:v>
      </x:c>
      <x:c r="U214" s="93">
        <x:f t="shared" si="11"/>
        <x:v>0</x:v>
      </x:c>
      <x:c r="V214" s="93">
        <x:f t="shared" si="11"/>
        <x:v>0</x:v>
      </x:c>
      <x:c r="W214" s="93">
        <x:f t="shared" si="11"/>
        <x:v>0</x:v>
      </x:c>
      <x:c r="X214" s="93">
        <x:f t="shared" si="11"/>
        <x:v>0</x:v>
      </x:c>
      <x:c r="Y214" s="93">
        <x:f t="shared" si="11"/>
        <x:v>0</x:v>
      </x:c>
      <x:c r="Z214" s="93">
        <x:f t="shared" si="11"/>
        <x:v>-0.8</x:v>
      </x:c>
      <x:c r="AA214" s="93">
        <x:f t="shared" si="11"/>
        <x:v>0</x:v>
      </x:c>
      <x:c r="AB214" s="93">
        <x:f t="shared" si="11"/>
        <x:v>0</x:v>
      </x:c>
      <x:c r="AC214" s="93">
        <x:f t="shared" si="11"/>
        <x:v>0</x:v>
      </x:c>
      <x:c r="AD214" s="93">
        <x:f t="shared" si="11"/>
        <x:v>0</x:v>
      </x:c>
      <x:c r="AE214" s="93">
        <x:f t="shared" si="11"/>
        <x:v>0</x:v>
      </x:c>
      <x:c r="AF214" s="93">
        <x:f t="shared" si="11"/>
        <x:v>0</x:v>
      </x:c>
      <x:c r="AG214" s="93">
        <x:f t="shared" si="11"/>
        <x:v>0</x:v>
      </x:c>
      <x:c r="AH214" s="93">
        <x:f t="shared" si="11"/>
        <x:v>0</x:v>
      </x:c>
      <x:c r="AI214" s="93">
        <x:f t="shared" si="11"/>
        <x:v>0</x:v>
      </x:c>
      <x:c r="AJ214" s="93">
        <x:f t="shared" si="11"/>
        <x:v>0</x:v>
      </x:c>
      <x:c r="AK214" s="93">
        <x:f t="shared" si="11"/>
        <x:v>0</x:v>
      </x:c>
      <x:c r="AL214" s="93">
        <x:f t="shared" si="11"/>
        <x:v>0</x:v>
      </x:c>
      <x:c r="AM214" s="93">
        <x:f t="shared" si="11"/>
        <x:v>0</x:v>
      </x:c>
      <x:c r="AN214" s="93">
        <x:f t="shared" si="11"/>
        <x:v>0</x:v>
      </x:c>
      <x:c r="AO214" s="93">
        <x:f t="shared" si="11"/>
        <x:v>0</x:v>
      </x:c>
      <x:c r="AP214" s="93">
        <x:f t="shared" si="11"/>
        <x:v>0</x:v>
      </x:c>
    </x:row>
    <x:row r="215" spans="1:42" ht="12.75" customHeight="1" x14ac:dyDescent="0.25">
      <x:c r="C215" s="774"/>
      <x:c r="D215" s="771"/>
      <x:c r="E215" s="101" t="s">
        <x:v>73</x:v>
      </x:c>
      <x:c r="F215" s="93">
        <x:f>F150</x:f>
        <x:v>15004530.85</x:v>
      </x:c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42" ht="12.75" customHeight="1" x14ac:dyDescent="0.25">
      <x:c r="C216" s="774"/>
      <x:c r="D216" s="771" t="s">
        <x:v>133</x:v>
      </x:c>
      <x:c r="E216" s="235" t="s">
        <x:v>70</x:v>
      </x:c>
      <x:c r="F216" s="236">
        <x:f>F138+F103-L103</x:f>
        <x:v>111210</x:v>
      </x:c>
      <x:c r="G216" s="236">
        <x:f>G103</x:f>
        <x:v>11965.66</x:v>
      </x:c>
      <x:c r="H216" s="236">
        <x:f t="shared" ref="H216:AP216" si="12">H103</x:f>
        <x:v>6772.46</x:v>
      </x:c>
      <x:c r="I216" s="236">
        <x:f t="shared" si="12"/>
        <x:v>3619.41</x:v>
      </x:c>
      <x:c r="J216" s="236">
        <x:f t="shared" si="12"/>
        <x:v>66663.69</x:v>
      </x:c>
      <x:c r="K216" s="236">
        <x:f t="shared" si="12"/>
        <x:v>1934.64</x:v>
      </x:c>
      <x:c r="L216" s="236">
        <x:f t="shared" si="12"/>
        <x:v>0</x:v>
      </x:c>
      <x:c r="M216" s="236">
        <x:f t="shared" si="12"/>
        <x:v>16970.45</x:v>
      </x:c>
      <x:c r="N216" s="236">
        <x:f t="shared" si="12"/>
        <x:v>20142.73</x:v>
      </x:c>
      <x:c r="O216" s="236">
        <x:f t="shared" si="12"/>
        <x:v>93838.89</x:v>
      </x:c>
      <x:c r="P216" s="236">
        <x:f t="shared" si="12"/>
        <x:v>24111.07</x:v>
      </x:c>
      <x:c r="Q216" s="236">
        <x:f t="shared" si="12"/>
        <x:v>3156.5</x:v>
      </x:c>
      <x:c r="R216" s="236">
        <x:f t="shared" si="12"/>
        <x:v>-3.24</x:v>
      </x:c>
      <x:c r="S216" s="236">
        <x:f t="shared" si="12"/>
        <x:v>0</x:v>
      </x:c>
      <x:c r="T216" s="236">
        <x:f t="shared" si="12"/>
        <x:v>0</x:v>
      </x:c>
      <x:c r="U216" s="236">
        <x:f t="shared" si="12"/>
        <x:v>0</x:v>
      </x:c>
      <x:c r="V216" s="236">
        <x:f t="shared" si="12"/>
        <x:v>0</x:v>
      </x:c>
      <x:c r="W216" s="236">
        <x:f t="shared" si="12"/>
        <x:v>0</x:v>
      </x:c>
      <x:c r="X216" s="236">
        <x:f t="shared" si="12"/>
        <x:v>0</x:v>
      </x:c>
      <x:c r="Y216" s="236">
        <x:f t="shared" si="12"/>
        <x:v>0</x:v>
      </x:c>
      <x:c r="Z216" s="236">
        <x:f t="shared" si="12"/>
        <x:v>0</x:v>
      </x:c>
      <x:c r="AA216" s="236">
        <x:f t="shared" si="12"/>
        <x:v>0</x:v>
      </x:c>
      <x:c r="AB216" s="236">
        <x:f t="shared" si="12"/>
        <x:v>0</x:v>
      </x:c>
      <x:c r="AC216" s="236">
        <x:f t="shared" si="12"/>
        <x:v>0</x:v>
      </x:c>
      <x:c r="AD216" s="236">
        <x:f t="shared" si="12"/>
        <x:v>0</x:v>
      </x:c>
      <x:c r="AE216" s="236">
        <x:f t="shared" si="12"/>
        <x:v>0</x:v>
      </x:c>
      <x:c r="AF216" s="236">
        <x:f t="shared" si="12"/>
        <x:v>0</x:v>
      </x:c>
      <x:c r="AG216" s="236">
        <x:f t="shared" si="12"/>
        <x:v>0</x:v>
      </x:c>
      <x:c r="AH216" s="236">
        <x:f t="shared" si="12"/>
        <x:v>0</x:v>
      </x:c>
      <x:c r="AI216" s="236">
        <x:f t="shared" si="12"/>
        <x:v>0</x:v>
      </x:c>
      <x:c r="AJ216" s="236">
        <x:f t="shared" si="12"/>
        <x:v>0</x:v>
      </x:c>
      <x:c r="AK216" s="236">
        <x:f t="shared" si="12"/>
        <x:v>0</x:v>
      </x:c>
      <x:c r="AL216" s="236">
        <x:f t="shared" si="12"/>
        <x:v>0</x:v>
      </x:c>
      <x:c r="AM216" s="236">
        <x:f t="shared" si="12"/>
        <x:v>0</x:v>
      </x:c>
      <x:c r="AN216" s="236">
        <x:f t="shared" si="12"/>
        <x:v>0</x:v>
      </x:c>
      <x:c r="AO216" s="236">
        <x:f t="shared" si="12"/>
        <x:v>0</x:v>
      </x:c>
      <x:c r="AP216" s="236">
        <x:f t="shared" si="12"/>
        <x:v>0</x:v>
      </x:c>
    </x:row>
    <x:row r="217" spans="1:42" ht="12.75" customHeight="1" x14ac:dyDescent="0.25">
      <x:c r="C217" s="774"/>
      <x:c r="D217" s="771"/>
      <x:c r="E217" s="235" t="s">
        <x:v>73</x:v>
      </x:c>
      <x:c r="F217" s="236">
        <x:f>F138</x:f>
        <x:v>-137962.26</x:v>
      </x:c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</x:row>
    <x:row r="218" spans="1:42" ht="12.75" customHeight="1" x14ac:dyDescent="0.3">
      <x:c r="A218" s="89"/>
      <x:c r="C218" s="97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42" ht="12.75" customHeight="1" x14ac:dyDescent="0.25">
      <x:c r="C219" s="773" t="s">
        <x:v>161</x:v>
      </x:c>
      <x:c r="D219" s="771" t="s">
        <x:v>132</x:v>
      </x:c>
      <x:c r="E219" s="231" t="s">
        <x:v>70</x:v>
      </x:c>
      <x:c r="F219" s="232">
        <x:v>0</x:v>
      </x:c>
      <x:c r="G219" s="232">
        <x:v>0</x:v>
      </x:c>
      <x:c r="H219" s="232">
        <x:v>0</x:v>
      </x:c>
      <x:c r="I219" s="232">
        <x:v>0</x:v>
      </x:c>
      <x:c r="J219" s="232">
        <x:v>0</x:v>
      </x:c>
      <x:c r="K219" s="232">
        <x:v>0</x:v>
      </x:c>
      <x:c r="L219" s="232">
        <x:v>0</x:v>
      </x:c>
      <x:c r="M219" s="232">
        <x:v>0</x:v>
      </x:c>
      <x:c r="N219" s="232">
        <x:v>0</x:v>
      </x:c>
      <x:c r="O219" s="232">
        <x:v>0</x:v>
      </x:c>
      <x:c r="P219" s="232">
        <x:v>0</x:v>
      </x:c>
      <x:c r="Q219" s="232">
        <x:v>0</x:v>
      </x:c>
      <x:c r="R219" s="232">
        <x:v>0</x:v>
      </x:c>
      <x:c r="S219" s="232">
        <x:v>0</x:v>
      </x:c>
      <x:c r="T219" s="232">
        <x:v>0</x:v>
      </x:c>
      <x:c r="U219" s="232">
        <x:v>0</x:v>
      </x:c>
      <x:c r="V219" s="232">
        <x:v>0</x:v>
      </x:c>
      <x:c r="W219" s="232">
        <x:v>0</x:v>
      </x:c>
      <x:c r="X219" s="232">
        <x:v>0</x:v>
      </x:c>
      <x:c r="Y219" s="232"/>
      <x:c r="Z219" s="232">
        <x:v>0</x:v>
      </x:c>
      <x:c r="AA219" s="232">
        <x:v>0</x:v>
      </x:c>
      <x:c r="AB219" s="232">
        <x:v>0</x:v>
      </x:c>
      <x:c r="AC219" s="232">
        <x:v>0</x:v>
      </x:c>
      <x:c r="AD219" s="232">
        <x:v>0</x:v>
      </x:c>
      <x:c r="AE219" s="232">
        <x:v>0</x:v>
      </x:c>
      <x:c r="AF219" s="232">
        <x:v>0</x:v>
      </x:c>
      <x:c r="AG219" s="232">
        <x:v>0</x:v>
      </x:c>
      <x:c r="AH219" s="232">
        <x:v>0</x:v>
      </x:c>
      <x:c r="AI219" s="232">
        <x:v>0</x:v>
      </x:c>
      <x:c r="AJ219" s="232">
        <x:v>0</x:v>
      </x:c>
      <x:c r="AK219" s="232">
        <x:v>0</x:v>
      </x:c>
      <x:c r="AL219" s="232">
        <x:v>0</x:v>
      </x:c>
      <x:c r="AM219" s="232">
        <x:v>0</x:v>
      </x:c>
      <x:c r="AN219" s="232">
        <x:v>0</x:v>
      </x:c>
      <x:c r="AO219" s="232">
        <x:v>0</x:v>
      </x:c>
      <x:c r="AP219" s="232">
        <x:v>0</x:v>
      </x:c>
    </x:row>
    <x:row r="220" spans="1:42" ht="12.75" customHeight="1" x14ac:dyDescent="0.25">
      <x:c r="C220" s="773"/>
      <x:c r="D220" s="771"/>
      <x:c r="E220" s="231" t="s">
        <x:v>73</x:v>
      </x:c>
      <x:c r="F220" s="232">
        <x:v>0</x:v>
      </x:c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42" ht="12.75" customHeight="1" x14ac:dyDescent="0.25">
      <x:c r="C221" s="773"/>
      <x:c r="E221" s="148" t="s">
        <x:v>70</x:v>
      </x:c>
      <x:c r="F221" s="149">
        <x:v>0</x:v>
      </x:c>
      <x:c r="G221" s="149">
        <x:v>0</x:v>
      </x:c>
      <x:c r="H221" s="149">
        <x:v>0</x:v>
      </x:c>
      <x:c r="I221" s="149">
        <x:v>0</x:v>
      </x:c>
      <x:c r="J221" s="149">
        <x:v>0</x:v>
      </x:c>
      <x:c r="K221" s="149">
        <x:v>0</x:v>
      </x:c>
      <x:c r="L221" s="149">
        <x:v>0</x:v>
      </x:c>
      <x:c r="M221" s="149">
        <x:v>0</x:v>
      </x:c>
      <x:c r="N221" s="149">
        <x:v>0</x:v>
      </x:c>
      <x:c r="O221" s="149">
        <x:v>0</x:v>
      </x:c>
      <x:c r="P221" s="149">
        <x:v>0</x:v>
      </x:c>
      <x:c r="Q221" s="149">
        <x:v>0</x:v>
      </x:c>
      <x:c r="R221" s="149">
        <x:v>0</x:v>
      </x:c>
      <x:c r="S221" s="149">
        <x:v>0</x:v>
      </x:c>
      <x:c r="T221" s="149">
        <x:v>0</x:v>
      </x:c>
      <x:c r="U221" s="149">
        <x:v>0</x:v>
      </x:c>
      <x:c r="V221" s="149">
        <x:v>0</x:v>
      </x:c>
      <x:c r="W221" s="149">
        <x:v>0</x:v>
      </x:c>
      <x:c r="X221" s="149">
        <x:v>0</x:v>
      </x:c>
      <x:c r="Y221" s="149">
        <x:v>0</x:v>
      </x:c>
      <x:c r="Z221" s="149">
        <x:v>0</x:v>
      </x:c>
      <x:c r="AA221" s="149">
        <x:v>0</x:v>
      </x:c>
    </x:row>
    <x:row r="222" spans="1:42" ht="12.75" customHeight="1" x14ac:dyDescent="0.25">
      <x:c r="C222" s="773"/>
      <x:c r="D222" s="220" t="s">
        <x:v>132</x:v>
      </x:c>
      <x:c r="E222" s="148" t="s">
        <x:v>73</x:v>
      </x:c>
      <x:c r="F222" s="149">
        <x:v>0</x:v>
      </x:c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</x:row>
    <x:row r="223" spans="1:42" ht="12.75" customHeight="1" x14ac:dyDescent="0.25">
      <x:c r="C223" s="388"/>
      <x:c r="D223" s="220"/>
      <x:c r="E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</x:row>
    <x:row r="224" spans="1:42" ht="12.75" customHeight="1" x14ac:dyDescent="0.25">
      <x:c r="D224" s="458" t="s">
        <x:v>186</x:v>
      </x:c>
      <x:c r="E224" s="459" t="s">
        <x:v>70</x:v>
      </x:c>
      <x:c r="F224" s="460">
        <x:f t="shared" ref="F224:AA224" si="13">F91</x:f>
        <x:v>-405906.75</x:v>
      </x:c>
      <x:c r="G224" s="460">
        <x:f t="shared" si="13"/>
        <x:v>-36253.24</x:v>
      </x:c>
      <x:c r="H224" s="460">
        <x:f t="shared" si="13"/>
        <x:v>-15401.35</x:v>
      </x:c>
      <x:c r="I224" s="460">
        <x:f t="shared" si="13"/>
        <x:v>-6725.8</x:v>
      </x:c>
      <x:c r="J224" s="460">
        <x:f t="shared" si="13"/>
        <x:v>-80022.36</x:v>
      </x:c>
      <x:c r="K224" s="460">
        <x:f t="shared" si="13"/>
        <x:v>-3364.46</x:v>
      </x:c>
      <x:c r="L224" s="460">
        <x:f t="shared" si="13"/>
        <x:v>0</x:v>
      </x:c>
      <x:c r="M224" s="460">
        <x:f t="shared" si="13"/>
        <x:v>-29514</x:v>
      </x:c>
      <x:c r="N224" s="460">
        <x:f t="shared" si="13"/>
        <x:v>-36987.9</x:v>
      </x:c>
      <x:c r="O224" s="460">
        <x:f t="shared" si="13"/>
        <x:v>-124266.63</x:v>
      </x:c>
      <x:c r="P224" s="460">
        <x:f t="shared" si="13"/>
        <x:v>-67881.399999999994</x:v>
      </x:c>
      <x:c r="Q224" s="460">
        <x:f t="shared" si="13"/>
        <x:v>-5489.61</x:v>
      </x:c>
      <x:c r="R224" s="460">
        <x:f t="shared" si="13"/>
        <x:v>0</x:v>
      </x:c>
      <x:c r="S224" s="460">
        <x:f t="shared" si="13"/>
        <x:v>0</x:v>
      </x:c>
      <x:c r="T224" s="460">
        <x:f t="shared" si="13"/>
        <x:v>0</x:v>
      </x:c>
      <x:c r="U224" s="460">
        <x:f t="shared" si="13"/>
        <x:v>0</x:v>
      </x:c>
      <x:c r="V224" s="460">
        <x:f t="shared" si="13"/>
        <x:v>0</x:v>
      </x:c>
      <x:c r="W224" s="460">
        <x:f t="shared" si="13"/>
        <x:v>0</x:v>
      </x:c>
      <x:c r="X224" s="460">
        <x:f t="shared" si="13"/>
        <x:v>0</x:v>
      </x:c>
      <x:c r="Y224" s="460">
        <x:f t="shared" si="13"/>
        <x:v>0</x:v>
      </x:c>
      <x:c r="Z224" s="460">
        <x:f t="shared" si="13"/>
        <x:v>0</x:v>
      </x:c>
      <x:c r="AA224" s="460">
        <x:f t="shared" si="13"/>
        <x:v>0</x:v>
      </x:c>
    </x:row>
    <x:row r="225" spans="1:42" ht="12.75" customHeight="1" x14ac:dyDescent="0.25">
      <x:c r="C225" s="388"/>
      <x:c r="D225" s="220"/>
      <x:c r="E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</x:row>
    <x:row r="226" spans="1:42" s="238" customFormat="1" ht="12.75" customHeight="1" x14ac:dyDescent="0.25">
      <x:c r="D226" s="239"/>
      <x:c r="E226" s="240"/>
      <x:c r="F226" s="240"/>
      <x:c r="G226" s="240"/>
      <x:c r="H226" s="240"/>
      <x:c r="I226" s="240"/>
      <x:c r="J226" s="240"/>
      <x:c r="K226" s="240"/>
      <x:c r="L226" s="240"/>
      <x:c r="M226" s="240"/>
      <x:c r="N226" s="240"/>
      <x:c r="O226" s="240"/>
      <x:c r="P226" s="240"/>
      <x:c r="Q226" s="240"/>
    </x:row>
    <x:row r="227" spans="1:42" ht="12.75" customHeight="1" x14ac:dyDescent="0.3">
      <x:c r="A227" s="89"/>
      <x:c r="B227" s="97" t="s">
        <x:v>76</x:v>
      </x:c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</x:row>
    <x:row r="228" spans="1:42" ht="12.65" customHeight="1" x14ac:dyDescent="0.25">
      <x:c r="F228" s="89" t="s">
        <x:v>70</x:v>
      </x:c>
      <x:c r="G228" s="89" t="s">
        <x:v>64</x:v>
      </x:c>
      <x:c r="H228" s="89" t="s">
        <x:v>65</x:v>
      </x:c>
      <x:c r="I228" s="218" t="s">
        <x:v>164</x:v>
      </x:c>
      <x:c r="J228" s="89" t="s">
        <x:v>69</x:v>
      </x:c>
      <x:c r="K228" s="89" t="s">
        <x:v>68</x:v>
      </x:c>
      <x:c r="L228" s="89" t="s">
        <x:v>71</x:v>
      </x:c>
      <x:c r="M228" s="89" t="s">
        <x:v>66</x:v>
      </x:c>
      <x:c r="N228" s="89" t="s">
        <x:v>63</x:v>
      </x:c>
      <x:c r="O228" s="89" t="s">
        <x:v>61</x:v>
      </x:c>
      <x:c r="P228" s="89" t="s">
        <x:v>62</x:v>
      </x:c>
      <x:c r="Q228" s="89" t="s">
        <x:v>67</x:v>
      </x:c>
      <x:c r="R228" s="89" t="s">
        <x:v>77</x:v>
      </x:c>
      <x:c r="S228" s="89" t="s">
        <x:v>80</x:v>
      </x:c>
      <x:c r="T228" s="89" t="s">
        <x:v>135</x:v>
      </x:c>
      <x:c r="U228" s="89" t="s">
        <x:v>173</x:v>
      </x:c>
      <x:c r="V228" s="89" t="s">
        <x:v>224</x:v>
      </x:c>
      <x:c r="W228" s="89" t="s">
        <x:v>173</x:v>
      </x:c>
      <x:c r="X228" t="s">
        <x:v>173</x:v>
      </x:c>
      <x:c r="Y228" s="89" t="s">
        <x:v>135</x:v>
      </x:c>
      <x:c r="Z228" t="s">
        <x:v>167</x:v>
      </x:c>
    </x:row>
    <x:row r="229" spans="1:26" ht="12.75" customHeight="1" x14ac:dyDescent="0.25">
      <x:c r="A229"/>
      <x:c r="B229"/>
      <x:c r="C229"/>
      <x:c r="D229"/>
      <x:c r="E229" s="89" t="inlineStr">
        <x:is>
          <x:t>Vlr Servicio</x:t>
        </x:is>
      </x:c>
      <x:c r="F229" s="371" t="n">
        <x:v>-3933.31</x:v>
      </x:c>
      <x:c r="G229" s="90" t="n">
        <x:v>-339.36</x:v>
      </x:c>
      <x:c r="H229" s="90" t="n">
        <x:v>-144.18</x:v>
      </x:c>
      <x:c r="I229" s="90" t="n">
        <x:v>-62.97</x:v>
      </x:c>
      <x:c r="J229" s="90" t="n">
        <x:v>-769.6</x:v>
      </x:c>
      <x:c r="K229" s="90" t="n">
        <x:v>-31.71</x:v>
      </x:c>
      <x:c r="L229" s="90" t="n">
        <x:v>0</x:v>
      </x:c>
      <x:c r="M229" s="90" t="n">
        <x:v>-278.13</x:v>
      </x:c>
      <x:c r="N229" s="90" t="n">
        <x:v>-348.6</x:v>
      </x:c>
      <x:c r="O229" s="90" t="n">
        <x:v>-1170.96</x:v>
      </x:c>
      <x:c r="P229" s="90" t="n">
        <x:v>-736.08</x:v>
      </x:c>
      <x:c r="Q229" s="90" t="n">
        <x:v>-51.72</x:v>
      </x:c>
      <x:c r="R229" s="90" t="n">
        <x:v>0</x:v>
      </x:c>
      <x:c r="S229" s="90" t="n">
        <x:v>0</x:v>
      </x:c>
      <x:c r="T229" t="n">
        <x:v>0</x:v>
      </x:c>
      <x:c r="U229">
        <x:v>0</x:v>
      </x:c>
      <x:c r="V229">
        <x:v>0</x:v>
      </x:c>
      <x:c r="W229">
        <x:v>0</x:v>
      </x:c>
      <x:c r="X229">
        <x:v>0</x:v>
      </x:c>
      <x:c r="Y229">
        <x:v>0</x:v>
      </x:c>
      <x:c r="Z229">
        <x:v>0</x:v>
      </x:c>
    </x:row>
    <x:row r="230" spans="1:26" ht="12.75" customHeight="1" x14ac:dyDescent="0.25">
      <x:c r="A230"/>
      <x:c r="B230"/>
      <x:c r="C230"/>
      <x:c r="D230" t="inlineStr">
        <x:is>
          <x:t>E</x:t>
        </x:is>
      </x:c>
      <x:c r="E230" s="89" t="inlineStr">
        <x:is>
          <x:t>Total</x:t>
        </x:is>
      </x:c>
      <x:c r="F230" s="371" t="n">
        <x:v>-3933.31</x:v>
      </x:c>
      <x:c r="G230" s="90" t="n">
        <x:v>-339.36</x:v>
      </x:c>
      <x:c r="H230" s="90" t="n">
        <x:v>-144.18</x:v>
      </x:c>
      <x:c r="I230" s="90" t="n">
        <x:v>-62.97</x:v>
      </x:c>
      <x:c r="J230" s="90" t="n">
        <x:v>-769.6</x:v>
      </x:c>
      <x:c r="K230" s="90" t="n">
        <x:v>-31.71</x:v>
      </x:c>
      <x:c r="L230" s="90" t="n">
        <x:v>0</x:v>
      </x:c>
      <x:c r="M230" s="90" t="n">
        <x:v>-278.13</x:v>
      </x:c>
      <x:c r="N230" s="90" t="n">
        <x:v>-348.6</x:v>
      </x:c>
      <x:c r="O230" s="90" t="n">
        <x:v>-1170.96</x:v>
      </x:c>
      <x:c r="P230" s="90" t="n">
        <x:v>-736.08</x:v>
      </x:c>
      <x:c r="Q230" s="90" t="n">
        <x:v>-51.72</x:v>
      </x:c>
      <x:c r="R230" s="90" t="n">
        <x:v>0</x:v>
      </x:c>
      <x:c r="S230" s="90" t="n">
        <x:v>0</x:v>
      </x:c>
      <x:c r="T230" t="n">
        <x:v>0</x:v>
      </x:c>
      <x:c r="U230">
        <x:v>0</x:v>
      </x:c>
      <x:c r="V230">
        <x:v>0</x:v>
      </x:c>
      <x:c r="W230">
        <x:v>0</x:v>
      </x:c>
      <x:c r="X230">
        <x:v>0</x:v>
      </x:c>
      <x:c r="Y230">
        <x:v>0</x:v>
      </x:c>
      <x:c r="Z230">
        <x:v>0</x:v>
      </x:c>
    </x:row>
    <x:row r="231" spans="1:26" s="94" customFormat="1" ht="12.75" customHeight="1" x14ac:dyDescent="0.25">
      <x:c r="A231"/>
      <x:c r="B231"/>
      <x:c r="C231" s="101" t="inlineStr">
        <x:is>
          <x:t>ENEL</x:t>
        </x:is>
      </x:c>
      <x:c r="D231" s="101" t="inlineStr">
        <x:is>
          <x:t>Total</x:t>
        </x:is>
      </x:c>
      <x:c r="E231"/>
      <x:c r="F231" s="93" t="n">
        <x:v>-3933.31</x:v>
      </x:c>
      <x:c r="G231" s="93" t="n">
        <x:v>-339.36</x:v>
      </x:c>
      <x:c r="H231" s="93" t="n">
        <x:v>-144.18</x:v>
      </x:c>
      <x:c r="I231" s="93" t="n">
        <x:v>-62.97</x:v>
      </x:c>
      <x:c r="J231" s="93" t="n">
        <x:v>-769.6</x:v>
      </x:c>
      <x:c r="K231" s="93" t="n">
        <x:v>-31.71</x:v>
      </x:c>
      <x:c r="L231" s="93" t="n">
        <x:v>0</x:v>
      </x:c>
      <x:c r="M231" s="93" t="n">
        <x:v>-278.13</x:v>
      </x:c>
      <x:c r="N231" s="93" t="n">
        <x:v>-348.6</x:v>
      </x:c>
      <x:c r="O231" s="93" t="n">
        <x:v>-1170.96</x:v>
      </x:c>
      <x:c r="P231" s="93" t="n">
        <x:v>-736.08</x:v>
      </x:c>
      <x:c r="Q231" s="93" t="n">
        <x:v>-51.72</x:v>
      </x:c>
      <x:c r="R231" s="93" t="n">
        <x:v>0</x:v>
      </x:c>
      <x:c r="S231" s="93" t="n">
        <x:v>0</x:v>
      </x:c>
      <x:c r="T231" s="94" t="n">
        <x:v>0</x:v>
      </x:c>
      <x:c r="U231" s="94">
        <x:v>0</x:v>
      </x:c>
      <x:c r="V231" s="94">
        <x:v>0</x:v>
      </x:c>
      <x:c r="W231" s="94">
        <x:v>0</x:v>
      </x:c>
      <x:c r="X231" s="94">
        <x:v>0</x:v>
      </x:c>
      <x:c r="Y231" s="94">
        <x:v>0</x:v>
      </x:c>
      <x:c r="Z231" s="94">
        <x:v>0</x:v>
      </x:c>
    </x:row>
    <x:row r="232" spans="1:26" ht="12.75" customHeight="1" x14ac:dyDescent="0.25">
      <x:c r="A232"/>
      <x:c r="B232"/>
      <x:c r="C232"/>
      <x:c r="D232"/>
      <x:c r="E232" s="89" t="inlineStr">
        <x:is>
          <x:t>Vlr Servicio</x:t>
        </x:is>
      </x:c>
      <x:c r="F232" s="371" t="n">
        <x:v>-522.8</x:v>
      </x:c>
      <x:c r="G232" s="90" t="n">
        <x:v>-45.25</x:v>
      </x:c>
      <x:c r="H232" s="90" t="n">
        <x:v>-19.22</x:v>
      </x:c>
      <x:c r="I232" s="90" t="n">
        <x:v>-8.39</x:v>
      </x:c>
      <x:c r="J232" s="90" t="n">
        <x:v>-100.86</x:v>
      </x:c>
      <x:c r="K232" s="90" t="n">
        <x:v>-4.23</x:v>
      </x:c>
      <x:c r="L232" s="90" t="n">
        <x:v>0</x:v>
      </x:c>
      <x:c r="M232" s="90" t="n">
        <x:v>-37.08</x:v>
      </x:c>
      <x:c r="N232" s="90" t="n">
        <x:v>-46.6</x:v>
      </x:c>
      <x:c r="O232" s="90" t="n">
        <x:v>-156.13</x:v>
      </x:c>
      <x:c r="P232" s="90" t="n">
        <x:v>-98.14</x:v>
      </x:c>
      <x:c r="Q232" s="90" t="n">
        <x:v>-6.9</x:v>
      </x:c>
      <x:c r="R232" s="90" t="n">
        <x:v>0</x:v>
      </x:c>
      <x:c r="S232" s="90" t="n">
        <x:v>0</x:v>
      </x:c>
      <x:c r="T232" t="n">
        <x:v>0</x:v>
      </x:c>
      <x:c r="U232">
        <x:v>0</x:v>
      </x:c>
      <x:c r="V232">
        <x:v>0</x:v>
      </x:c>
      <x:c r="W232">
        <x:v>0</x:v>
      </x:c>
      <x:c r="X232">
        <x:v>0</x:v>
      </x:c>
      <x:c r="Y232">
        <x:v>0</x:v>
      </x:c>
      <x:c r="Z232">
        <x:v>0</x:v>
      </x:c>
    </x:row>
    <x:row r="233" spans="1:26" s="458" customFormat="1" ht="12.75" customHeight="1" x14ac:dyDescent="0.25">
      <x:c r="A233" s="458"/>
      <x:c r="B233" s="458"/>
      <x:c r="C233"/>
      <x:c r="D233" t="inlineStr">
        <x:is>
          <x:t>O</x:t>
        </x:is>
      </x:c>
      <x:c r="E233" t="inlineStr">
        <x:is>
          <x:t>Total</x:t>
        </x:is>
      </x:c>
      <x:c r="F233" s="458" t="n">
        <x:v>-522.8</x:v>
      </x:c>
      <x:c r="G233" s="458" t="n">
        <x:v>-45.25</x:v>
      </x:c>
      <x:c r="H233" s="458" t="n">
        <x:v>-19.22</x:v>
      </x:c>
      <x:c r="I233" s="458" t="n">
        <x:v>-8.39</x:v>
      </x:c>
      <x:c r="J233" s="458" t="n">
        <x:v>-100.86</x:v>
      </x:c>
      <x:c r="K233" s="458" t="n">
        <x:v>-4.23</x:v>
      </x:c>
      <x:c r="L233" s="458" t="n">
        <x:v>0</x:v>
      </x:c>
      <x:c r="M233" s="458" t="n">
        <x:v>-37.08</x:v>
      </x:c>
      <x:c r="N233" s="458" t="n">
        <x:v>-46.6</x:v>
      </x:c>
      <x:c r="O233" s="458" t="n">
        <x:v>-156.13</x:v>
      </x:c>
      <x:c r="P233" s="458" t="n">
        <x:v>-98.14</x:v>
      </x:c>
      <x:c r="Q233" s="458" t="n">
        <x:v>-6.9</x:v>
      </x:c>
      <x:c r="R233" s="458" t="n">
        <x:v>0</x:v>
      </x:c>
      <x:c r="S233" s="458" t="n">
        <x:v>0</x:v>
      </x:c>
      <x:c r="T233" s="458" t="n">
        <x:v>0</x:v>
      </x:c>
      <x:c r="U233" s="458">
        <x:v>0</x:v>
      </x:c>
      <x:c r="V233" s="458">
        <x:v>0</x:v>
      </x:c>
      <x:c r="W233" s="458">
        <x:v>0</x:v>
      </x:c>
      <x:c r="X233" s="458">
        <x:v>0</x:v>
      </x:c>
      <x:c r="Y233" s="458">
        <x:v>0</x:v>
      </x:c>
      <x:c r="Z233" s="458">
        <x:v>0</x:v>
      </x:c>
    </x:row>
    <x:row r="234" spans="1:26" ht="12.75" customHeight="1" x14ac:dyDescent="0.25">
      <x:c r="A234"/>
      <x:c r="B234"/>
      <x:c r="C234" t="inlineStr">
        <x:is>
          <x:t>OCCIDENTE</x:t>
        </x:is>
      </x:c>
      <x:c r="D234" t="inlineStr">
        <x:is>
          <x:t>Total</x:t>
        </x:is>
      </x:c>
      <x:c r="E234" s="89"/>
      <x:c r="F234" s="371" t="n">
        <x:v>-522.8</x:v>
      </x:c>
      <x:c r="G234" s="90" t="n">
        <x:v>-45.25</x:v>
      </x:c>
      <x:c r="H234" s="90" t="n">
        <x:v>-19.22</x:v>
      </x:c>
      <x:c r="I234" s="90" t="n">
        <x:v>-8.39</x:v>
      </x:c>
      <x:c r="J234" s="90" t="n">
        <x:v>-100.86</x:v>
      </x:c>
      <x:c r="K234" s="90" t="n">
        <x:v>-4.23</x:v>
      </x:c>
      <x:c r="L234" s="90" t="n">
        <x:v>0</x:v>
      </x:c>
      <x:c r="M234" s="90" t="n">
        <x:v>-37.08</x:v>
      </x:c>
      <x:c r="N234" s="90" t="n">
        <x:v>-46.6</x:v>
      </x:c>
      <x:c r="O234" s="90" t="n">
        <x:v>-156.13</x:v>
      </x:c>
      <x:c r="P234" s="90" t="n">
        <x:v>-98.14</x:v>
      </x:c>
      <x:c r="Q234" s="90" t="n">
        <x:v>-6.9</x:v>
      </x:c>
      <x:c r="R234" s="90" t="n">
        <x:v>0</x:v>
      </x:c>
      <x:c r="S234" s="90" t="n">
        <x:v>0</x:v>
      </x:c>
      <x:c r="T234" t="n">
        <x:v>0</x:v>
      </x:c>
      <x:c r="U234">
        <x:v>0</x:v>
      </x:c>
      <x:c r="V234">
        <x:v>0</x:v>
      </x:c>
      <x:c r="W234">
        <x:v>0</x:v>
      </x:c>
      <x:c r="X234">
        <x:v>0</x:v>
      </x:c>
      <x:c r="Y234">
        <x:v>0</x:v>
      </x:c>
      <x:c r="Z234">
        <x:v>0</x:v>
      </x:c>
    </x:row>
    <x:row r="235" spans="1:26" ht="12.75" customHeight="1" x14ac:dyDescent="0.25">
      <x:c r="A235"/>
      <x:c r="B235" t="inlineStr">
        <x:is>
          <x:t>Mes</x:t>
        </x:is>
      </x:c>
      <x:c r="C235" t="inlineStr">
        <x:is>
          <x:t>Total</x:t>
        </x:is>
      </x:c>
      <x:c r="D235"/>
      <x:c r="E235" s="89"/>
      <x:c r="F235" s="371" t="n">
        <x:v>-4456.11</x:v>
      </x:c>
      <x:c r="G235" s="90" t="n">
        <x:v>-384.61</x:v>
      </x:c>
      <x:c r="H235" s="90" t="n">
        <x:v>-163.4</x:v>
      </x:c>
      <x:c r="I235" s="90" t="n">
        <x:v>-71.36</x:v>
      </x:c>
      <x:c r="J235" s="90" t="n">
        <x:v>-870.46</x:v>
      </x:c>
      <x:c r="K235" s="90" t="n">
        <x:v>-35.94</x:v>
      </x:c>
      <x:c r="L235" s="90" t="n">
        <x:v>0</x:v>
      </x:c>
      <x:c r="M235" s="90" t="n">
        <x:v>-315.21</x:v>
      </x:c>
      <x:c r="N235" s="90" t="n">
        <x:v>-395.2</x:v>
      </x:c>
      <x:c r="O235" s="90" t="n">
        <x:v>-1327.09</x:v>
      </x:c>
      <x:c r="P235" s="90" t="n">
        <x:v>-834.22</x:v>
      </x:c>
      <x:c r="Q235" s="90" t="n">
        <x:v>-58.62</x:v>
      </x:c>
      <x:c r="R235" s="90" t="n">
        <x:v>0</x:v>
      </x:c>
      <x:c r="S235" s="90" t="n">
        <x:v>0</x:v>
      </x:c>
      <x:c r="T235" t="n">
        <x:v>0</x:v>
      </x:c>
      <x:c r="U235">
        <x:v>0</x:v>
      </x:c>
      <x:c r="V235">
        <x:v>0</x:v>
      </x:c>
      <x:c r="W235">
        <x:v>0</x:v>
      </x:c>
      <x:c r="X235">
        <x:v>0</x:v>
      </x:c>
      <x:c r="Y235">
        <x:v>0</x:v>
      </x:c>
      <x:c r="Z235">
        <x:v>0</x:v>
      </x:c>
    </x:row>
    <x:row r="236" spans="1:26" ht="12.75" customHeight="1" x14ac:dyDescent="0.25">
      <x:c r="A236" t="inlineStr">
        <x:is>
          <x:t>AFaseo</x:t>
        </x:is>
      </x:c>
      <x:c r="B236" t="inlineStr">
        <x:is>
          <x:t>Total</x:t>
        </x:is>
      </x:c>
      <x:c r="C236"/>
      <x:c r="D236"/>
      <x:c r="E236" s="89"/>
      <x:c r="F236" s="371" t="n">
        <x:v>-4456.11</x:v>
      </x:c>
      <x:c r="G236" s="90" t="n">
        <x:v>-384.61</x:v>
      </x:c>
      <x:c r="H236" s="90" t="n">
        <x:v>-163.4</x:v>
      </x:c>
      <x:c r="I236" s="90" t="n">
        <x:v>-71.36</x:v>
      </x:c>
      <x:c r="J236" s="90" t="n">
        <x:v>-870.46</x:v>
      </x:c>
      <x:c r="K236" s="90" t="n">
        <x:v>-35.94</x:v>
      </x:c>
      <x:c r="L236" s="90" t="n">
        <x:v>0</x:v>
      </x:c>
      <x:c r="M236" s="90" t="n">
        <x:v>-315.21</x:v>
      </x:c>
      <x:c r="N236" s="90" t="n">
        <x:v>-395.2</x:v>
      </x:c>
      <x:c r="O236" s="90" t="n">
        <x:v>-1327.09</x:v>
      </x:c>
      <x:c r="P236" s="90" t="n">
        <x:v>-834.22</x:v>
      </x:c>
      <x:c r="Q236" s="90" t="n">
        <x:v>-58.62</x:v>
      </x:c>
      <x:c r="R236" s="90" t="n">
        <x:v>0</x:v>
      </x:c>
      <x:c r="S236" s="90" t="n">
        <x:v>0</x:v>
      </x:c>
      <x:c r="T236" t="n">
        <x:v>0</x:v>
      </x:c>
      <x:c r="U236">
        <x:v>0</x:v>
      </x:c>
      <x:c r="V236">
        <x:v>0</x:v>
      </x:c>
      <x:c r="W236">
        <x:v>0</x:v>
      </x:c>
      <x:c r="X236">
        <x:v>0</x:v>
      </x:c>
      <x:c r="Y236">
        <x:v>0</x:v>
      </x:c>
      <x:c r="Z236">
        <x:v>0</x:v>
      </x:c>
    </x:row>
    <x:row r="237" spans="1:26" s="286" customFormat="1" ht="12.75" customHeight="1" x14ac:dyDescent="0.25">
      <x:c r="A237"/>
      <x:c r="B237"/>
      <x:c r="C237" s="286"/>
      <x:c r="D237" s="286"/>
      <x:c r="E237" s="229" t="inlineStr">
        <x:is>
          <x:t>Vlr Servicio</x:t>
        </x:is>
      </x:c>
      <x:c r="F237" s="229" t="n">
        <x:v>16203110832.58</x:v>
      </x:c>
      <x:c r="G237" s="230" t="n">
        <x:v>976240418.41</x:v>
      </x:c>
      <x:c r="H237" s="230" t="n">
        <x:v>550553172.93</x:v>
      </x:c>
      <x:c r="I237" s="230" t="n">
        <x:v>289170374.95</x:v>
      </x:c>
      <x:c r="J237" s="230" t="n">
        <x:v>4498063138.45</x:v>
      </x:c>
      <x:c r="K237" s="230" t="n">
        <x:v>125574828.93</x:v>
      </x:c>
      <x:c r="L237" s="230" t="n">
        <x:v>20264217.38</x:v>
      </x:c>
      <x:c r="M237" s="230" t="n">
        <x:v>1101215665.17</x:v>
      </x:c>
      <x:c r="N237" s="230" t="n">
        <x:v>1069039105.44</x:v>
      </x:c>
      <x:c r="O237" s="230" t="n">
        <x:v>5055594780.91</x:v>
      </x:c>
      <x:c r="P237" s="230" t="n">
        <x:v>2312346459.71</x:v>
      </x:c>
      <x:c r="Q237" s="230" t="n">
        <x:v>204931459.27</x:v>
      </x:c>
      <x:c r="R237" s="230" t="n">
        <x:v>117211.03</x:v>
      </x:c>
      <x:c r="S237" s="230" t="n">
        <x:v>0</x:v>
      </x:c>
      <x:c r="T237" s="230" t="n">
        <x:v>0</x:v>
      </x:c>
      <x:c r="U237" s="230">
        <x:v>0</x:v>
      </x:c>
      <x:c r="V237" s="230">
        <x:v>0</x:v>
      </x:c>
      <x:c r="W237" s="230">
        <x:v>0</x:v>
      </x:c>
      <x:c r="X237" s="230">
        <x:v>0</x:v>
      </x:c>
      <x:c r="Y237" s="230">
        <x:v>0</x:v>
      </x:c>
      <x:c r="Z237" s="230">
        <x:v>0</x:v>
      </x:c>
    </x:row>
    <x:row r="238" spans="1:26" s="378" customFormat="1" ht="12.75" customHeight="1" x14ac:dyDescent="0.25">
      <x:c r="A238"/>
      <x:c r="B238" s="378"/>
      <x:c r="C238" s="378"/>
      <x:c r="D238"/>
      <x:c r="E238" s="376" t="inlineStr">
        <x:is>
          <x:t>Vlr Intereses</x:t>
        </x:is>
      </x:c>
      <x:c r="F238" s="711" t="n">
        <x:v>9783329.82</x:v>
      </x:c>
      <x:c r="G238" s="377" t="n">
        <x:v>938448.58</x:v>
      </x:c>
      <x:c r="H238" s="377" t="n">
        <x:v>503251.75</x:v>
      </x:c>
      <x:c r="I238" s="377" t="n">
        <x:v>261272.68</x:v>
      </x:c>
      <x:c r="J238" s="377" t="n">
        <x:v>1789165.82</x:v>
      </x:c>
      <x:c r="K238" s="377" t="n">
        <x:v>73394.29</x:v>
      </x:c>
      <x:c r="L238" s="377" t="n">
        <x:v>38943.3</x:v>
      </x:c>
      <x:c r="M238" s="377" t="n">
        <x:v>642167.4</x:v>
      </x:c>
      <x:c r="N238" s="377" t="n">
        <x:v>599838.02</x:v>
      </x:c>
      <x:c r="O238" s="377" t="n">
        <x:v>2640096.6</x:v>
      </x:c>
      <x:c r="P238" s="377" t="n">
        <x:v>2176435.05</x:v>
      </x:c>
      <x:c r="Q238" s="377" t="n">
        <x:v>119898.21</x:v>
      </x:c>
      <x:c r="R238" s="377" t="n">
        <x:v>417.5</x:v>
      </x:c>
      <x:c r="S238" s="377" t="n">
        <x:v>0</x:v>
      </x:c>
      <x:c r="T238" s="378" t="n">
        <x:v>0.62</x:v>
      </x:c>
      <x:c r="U238" s="378">
        <x:v>0</x:v>
      </x:c>
      <x:c r="V238" s="378">
        <x:v>0</x:v>
      </x:c>
      <x:c r="W238" s="378">
        <x:v>0</x:v>
      </x:c>
      <x:c r="X238" s="378">
        <x:v>0</x:v>
      </x:c>
      <x:c r="Y238" s="378">
        <x:v>0</x:v>
      </x:c>
      <x:c r="Z238" s="378">
        <x:v>0</x:v>
      </x:c>
    </x:row>
    <x:row r="239" spans="1:26" ht="12.75" customHeight="1" x14ac:dyDescent="0.25">
      <x:c r="A239"/>
      <x:c r="B239"/>
      <x:c r="C239"/>
      <x:c r="D239" t="inlineStr">
        <x:is>
          <x:t>E</x:t>
        </x:is>
      </x:c>
      <x:c r="E239" s="89" t="inlineStr">
        <x:is>
          <x:t>Total</x:t>
        </x:is>
      </x:c>
      <x:c r="F239" s="371" t="n">
        <x:v>16212894162.4</x:v>
      </x:c>
      <x:c r="G239" s="90" t="n">
        <x:v>977178866.99</x:v>
      </x:c>
      <x:c r="H239" s="90" t="n">
        <x:v>551056424.68</x:v>
      </x:c>
      <x:c r="I239" s="90" t="n">
        <x:v>289431647.63</x:v>
      </x:c>
      <x:c r="J239" s="90" t="n">
        <x:v>4499852304.27</x:v>
      </x:c>
      <x:c r="K239" s="90" t="n">
        <x:v>125648223.22</x:v>
      </x:c>
      <x:c r="L239" s="90" t="n">
        <x:v>20303160.68</x:v>
      </x:c>
      <x:c r="M239" s="90" t="n">
        <x:v>1101857832.57</x:v>
      </x:c>
      <x:c r="N239" s="90" t="n">
        <x:v>1069638943.46</x:v>
      </x:c>
      <x:c r="O239" s="90" t="n">
        <x:v>5058234877.51</x:v>
      </x:c>
      <x:c r="P239" s="90" t="n">
        <x:v>2314522894.76</x:v>
      </x:c>
      <x:c r="Q239" s="90" t="n">
        <x:v>205051357.48</x:v>
      </x:c>
      <x:c r="R239" s="90" t="n">
        <x:v>117628.53</x:v>
      </x:c>
      <x:c r="S239" s="90" t="n">
        <x:v>0</x:v>
      </x:c>
      <x:c r="T239" t="n">
        <x:v>0.62</x:v>
      </x:c>
      <x:c r="U239">
        <x:v>0</x:v>
      </x:c>
      <x:c r="V239">
        <x:v>0</x:v>
      </x:c>
      <x:c r="W239">
        <x:v>0</x:v>
      </x:c>
      <x:c r="X239">
        <x:v>0</x:v>
      </x:c>
      <x:c r="Y239">
        <x:v>0</x:v>
      </x:c>
      <x:c r="Z239">
        <x:v>0</x:v>
      </x:c>
    </x:row>
    <x:row r="240" spans="1:26" ht="12.75" customHeight="1" x14ac:dyDescent="0.25">
      <x:c r="A240"/>
      <x:c r="B240"/>
      <x:c r="C240" t="inlineStr">
        <x:is>
          <x:t>ENEL</x:t>
        </x:is>
      </x:c>
      <x:c r="D240" t="inlineStr">
        <x:is>
          <x:t>Total</x:t>
        </x:is>
      </x:c>
      <x:c r="E240" s="89"/>
      <x:c r="F240" s="371" t="n">
        <x:v>16212894162.4</x:v>
      </x:c>
      <x:c r="G240" s="90" t="n">
        <x:v>977178866.99</x:v>
      </x:c>
      <x:c r="H240" s="90" t="n">
        <x:v>551056424.68</x:v>
      </x:c>
      <x:c r="I240" s="90" t="n">
        <x:v>289431647.63</x:v>
      </x:c>
      <x:c r="J240" s="90" t="n">
        <x:v>4499852304.27</x:v>
      </x:c>
      <x:c r="K240" s="90" t="n">
        <x:v>125648223.22</x:v>
      </x:c>
      <x:c r="L240" s="90" t="n">
        <x:v>20303160.68</x:v>
      </x:c>
      <x:c r="M240" s="90" t="n">
        <x:v>1101857832.57</x:v>
      </x:c>
      <x:c r="N240" s="90" t="n">
        <x:v>1069638943.46</x:v>
      </x:c>
      <x:c r="O240" s="90" t="n">
        <x:v>5058234877.51</x:v>
      </x:c>
      <x:c r="P240" s="90" t="n">
        <x:v>2314522894.76</x:v>
      </x:c>
      <x:c r="Q240" s="90" t="n">
        <x:v>205051357.48</x:v>
      </x:c>
      <x:c r="R240" s="90" t="n">
        <x:v>117628.53</x:v>
      </x:c>
      <x:c r="S240" s="90" t="n">
        <x:v>0</x:v>
      </x:c>
      <x:c r="T240" t="n">
        <x:v>0.62</x:v>
      </x:c>
      <x:c r="U240">
        <x:v>0</x:v>
      </x:c>
      <x:c r="V240">
        <x:v>0</x:v>
      </x:c>
      <x:c r="W240">
        <x:v>0</x:v>
      </x:c>
      <x:c r="X240">
        <x:v>0</x:v>
      </x:c>
      <x:c r="Y240">
        <x:v>0</x:v>
      </x:c>
      <x:c r="Z240">
        <x:v>0</x:v>
      </x:c>
    </x:row>
    <x:row r="241" spans="1:26" ht="12.75" customHeight="1" x14ac:dyDescent="0.25">
      <x:c r="A241"/>
      <x:c r="B241"/>
      <x:c r="C241"/>
      <x:c r="D241"/>
      <x:c r="E241" s="89" t="inlineStr">
        <x:is>
          <x:t>Vlr Servicio</x:t>
        </x:is>
      </x:c>
      <x:c r="F241" s="90" t="n">
        <x:v>56129769.21</x:v>
      </x:c>
      <x:c r="G241" s="90" t="n">
        <x:v>3612186.16</x:v>
      </x:c>
      <x:c r="H241" s="90" t="n">
        <x:v>2006551.81</x:v>
      </x:c>
      <x:c r="I241" s="90" t="n">
        <x:v>1069933.73</x:v>
      </x:c>
      <x:c r="J241" s="90" t="n">
        <x:v>12679014.02</x:v>
      </x:c>
      <x:c r="K241" s="90" t="n">
        <x:v>341950.57</x:v>
      </x:c>
      <x:c r="L241" s="90" t="n">
        <x:v>588000</x:v>
      </x:c>
      <x:c r="M241" s="90" t="n">
        <x:v>3001602.03</x:v>
      </x:c>
      <x:c r="N241" s="90" t="n">
        <x:v>4189079.11</x:v>
      </x:c>
      <x:c r="O241" s="90" t="n">
        <x:v>19596388.46</x:v>
      </x:c>
      <x:c r="P241" s="90" t="n">
        <x:v>8488561.4</x:v>
      </x:c>
      <x:c r="Q241" s="90" t="n">
        <x:v>556673.94</x:v>
      </x:c>
      <x:c r="R241" s="90" t="n">
        <x:v>-172.02</x:v>
      </x:c>
      <x:c r="S241" s="90" t="n">
        <x:v>0</x:v>
      </x:c>
      <x:c r="T241" t="n">
        <x:v>0</x:v>
      </x:c>
      <x:c r="U241">
        <x:v>0</x:v>
      </x:c>
      <x:c r="V241">
        <x:v>0</x:v>
      </x:c>
      <x:c r="W241">
        <x:v>0</x:v>
      </x:c>
      <x:c r="X241">
        <x:v>0</x:v>
      </x:c>
      <x:c r="Y241">
        <x:v>0</x:v>
      </x:c>
      <x:c r="Z241">
        <x:v>0</x:v>
      </x:c>
    </x:row>
    <x:row r="242" spans="1:26" s="286" customFormat="1" ht="12.75" customHeight="1" x14ac:dyDescent="0.25">
      <x:c r="A242"/>
      <x:c r="B242"/>
      <x:c r="C242" s="286"/>
      <x:c r="D242" s="286"/>
      <x:c r="E242" s="229" t="inlineStr">
        <x:is>
          <x:t>Vlr Intereses</x:t>
        </x:is>
      </x:c>
      <x:c r="F242" s="229" t="n">
        <x:v>445748.01</x:v>
      </x:c>
      <x:c r="G242" s="230" t="n">
        <x:v>37881.32</x:v>
      </x:c>
      <x:c r="H242" s="230" t="n">
        <x:v>20288.39</x:v>
      </x:c>
      <x:c r="I242" s="230" t="n">
        <x:v>10854.44</x:v>
      </x:c>
      <x:c r="J242" s="230" t="n">
        <x:v>90241.99</x:v>
      </x:c>
      <x:c r="K242" s="230" t="n">
        <x:v>2624.2</x:v>
      </x:c>
      <x:c r="L242" s="230" t="n">
        <x:v>2977.24</x:v>
      </x:c>
      <x:c r="M242" s="230" t="n">
        <x:v>23003.13</x:v>
      </x:c>
      <x:c r="N242" s="230" t="n">
        <x:v>29336.29</x:v>
      </x:c>
      <x:c r="O242" s="230" t="n">
        <x:v>135738.24</x:v>
      </x:c>
      <x:c r="P242" s="230" t="n">
        <x:v>88525.02</x:v>
      </x:c>
      <x:c r="Q242" s="230" t="n">
        <x:v>4280.27</x:v>
      </x:c>
      <x:c r="R242" s="230" t="n">
        <x:v>-2.79</x:v>
      </x:c>
      <x:c r="S242" s="230" t="n">
        <x:v>0.27</x:v>
      </x:c>
      <x:c r="T242" s="230" t="n">
        <x:v>0</x:v>
      </x:c>
      <x:c r="U242" s="230">
        <x:v>0</x:v>
      </x:c>
      <x:c r="V242" s="230">
        <x:v>0</x:v>
      </x:c>
      <x:c r="W242" s="230">
        <x:v>0</x:v>
      </x:c>
      <x:c r="X242" s="230">
        <x:v>0</x:v>
      </x:c>
      <x:c r="Y242" s="230">
        <x:v>0</x:v>
      </x:c>
      <x:c r="Z242" s="230">
        <x:v>0</x:v>
      </x:c>
    </x:row>
    <x:row r="243" spans="1:26" ht="12.75" customHeight="1" x14ac:dyDescent="0.25">
      <x:c r="A243"/>
      <x:c r="B243"/>
      <x:c r="C243"/>
      <x:c r="D243" t="inlineStr">
        <x:is>
          <x:t>H</x:t>
        </x:is>
      </x:c>
      <x:c r="E243" s="89" t="inlineStr">
        <x:is>
          <x:t>Total</x:t>
        </x:is>
      </x:c>
      <x:c r="F243" s="90" t="n">
        <x:v>56575517.22</x:v>
      </x:c>
      <x:c r="G243" s="90" t="n">
        <x:v>3650067.48</x:v>
      </x:c>
      <x:c r="H243" s="90" t="n">
        <x:v>2026840.2</x:v>
      </x:c>
      <x:c r="I243" s="90" t="n">
        <x:v>1080788.17</x:v>
      </x:c>
      <x:c r="J243" s="90" t="n">
        <x:v>12769256.01</x:v>
      </x:c>
      <x:c r="K243" s="90" t="n">
        <x:v>344574.77</x:v>
      </x:c>
      <x:c r="L243" s="90" t="n">
        <x:v>590977.24</x:v>
      </x:c>
      <x:c r="M243" s="90" t="n">
        <x:v>3024605.16</x:v>
      </x:c>
      <x:c r="N243" s="90" t="n">
        <x:v>4218415.4</x:v>
      </x:c>
      <x:c r="O243" s="90" t="n">
        <x:v>19732126.7</x:v>
      </x:c>
      <x:c r="P243" s="90" t="n">
        <x:v>8577086.42</x:v>
      </x:c>
      <x:c r="Q243" s="90" t="n">
        <x:v>560954.21</x:v>
      </x:c>
      <x:c r="R243" s="90" t="n">
        <x:v>-174.81</x:v>
      </x:c>
      <x:c r="S243" s="90" t="n">
        <x:v>0.27</x:v>
      </x:c>
      <x:c r="T243" t="n">
        <x:v>0</x:v>
      </x:c>
      <x:c r="U243">
        <x:v>0</x:v>
      </x:c>
      <x:c r="V243">
        <x:v>0</x:v>
      </x:c>
      <x:c r="W243">
        <x:v>0</x:v>
      </x:c>
      <x:c r="X243">
        <x:v>0</x:v>
      </x:c>
      <x:c r="Y243">
        <x:v>0</x:v>
      </x:c>
      <x:c r="Z243">
        <x:v>0</x:v>
      </x:c>
    </x:row>
    <x:row r="244" spans="1:26" ht="12.75" customHeight="1" x14ac:dyDescent="0.25">
      <x:c r="A244"/>
      <x:c r="B244"/>
      <x:c r="C244"/>
      <x:c r="D244"/>
      <x:c r="E244" s="89" t="inlineStr">
        <x:is>
          <x:t>Vlr Servicio</x:t>
        </x:is>
      </x:c>
      <x:c r="F244" s="90" t="n">
        <x:v>69786246.86</x:v>
      </x:c>
      <x:c r="G244" s="90" t="n">
        <x:v>9968250.31</x:v>
      </x:c>
      <x:c r="H244" s="90" t="n">
        <x:v>5506519.31</x:v>
      </x:c>
      <x:c r="I244" s="90" t="n">
        <x:v>2876432.59</x:v>
      </x:c>
      <x:c r="J244" s="90" t="n">
        <x:v>7695333.31</x:v>
      </x:c>
      <x:c r="K244" s="90" t="n">
        <x:v>286308.78</x:v>
      </x:c>
      <x:c r="L244" s="90" t="n">
        <x:v>2185597.67</x:v>
      </x:c>
      <x:c r="M244" s="90" t="n">
        <x:v>2507089.44</x:v>
      </x:c>
      <x:c r="N244" s="90" t="n">
        <x:v>2734349.17</x:v>
      </x:c>
      <x:c r="O244" s="90" t="n">
        <x:v>12142713.65</x:v>
      </x:c>
      <x:c r="P244" s="90" t="n">
        <x:v>23417064.05</x:v>
      </x:c>
      <x:c r="Q244" s="90" t="n">
        <x:v>466943.72</x:v>
      </x:c>
      <x:c r="R244" s="90" t="n">
        <x:v>-355.14</x:v>
      </x:c>
      <x:c r="S244" s="90" t="n">
        <x:v>0</x:v>
      </x:c>
      <x:c r="T244" t="n">
        <x:v>0</x:v>
      </x:c>
      <x:c r="U244">
        <x:v>0</x:v>
      </x:c>
      <x:c r="V244">
        <x:v>0</x:v>
      </x:c>
      <x:c r="W244">
        <x:v>0</x:v>
      </x:c>
      <x:c r="X244">
        <x:v>0</x:v>
      </x:c>
      <x:c r="Y244">
        <x:v>0</x:v>
      </x:c>
      <x:c r="Z244">
        <x:v>0</x:v>
      </x:c>
    </x:row>
    <x:row r="245" spans="1:26" ht="12.75" customHeight="1" x14ac:dyDescent="0.25">
      <x:c r="A245"/>
      <x:c r="B245"/>
      <x:c r="C245"/>
      <x:c r="D245" s="89"/>
      <x:c r="E245" s="89" t="inlineStr">
        <x:is>
          <x:t>Vlr Intereses</x:t>
        </x:is>
      </x:c>
      <x:c r="F245" s="90" t="n">
        <x:v>-1435565.73</x:v>
      </x:c>
      <x:c r="G245" s="90" t="n">
        <x:v>389821.03</x:v>
      </x:c>
      <x:c r="H245" s="90" t="n">
        <x:v>170514.02</x:v>
      </x:c>
      <x:c r="I245" s="90" t="n">
        <x:v>70212.55</x:v>
      </x:c>
      <x:c r="J245" s="90" t="n">
        <x:v>245811.06</x:v>
      </x:c>
      <x:c r="K245" s="90" t="n">
        <x:v>14953.69</x:v>
      </x:c>
      <x:c r="L245" s="90" t="n">
        <x:v>70183.93</x:v>
      </x:c>
      <x:c r="M245" s="90" t="n">
        <x:v>131060.59</x:v>
      </x:c>
      <x:c r="N245" s="90" t="n">
        <x:v>106081.33</x:v>
      </x:c>
      <x:c r="O245" s="90" t="n">
        <x:v>396319.07</x:v>
      </x:c>
      <x:c r="P245" s="90" t="n">
        <x:v>906960.48</x:v>
      </x:c>
      <x:c r="Q245" s="90" t="n">
        <x:v>24396.8</x:v>
      </x:c>
      <x:c r="R245" s="90" t="n">
        <x:v>2.76</x:v>
      </x:c>
      <x:c r="S245" s="90" t="n">
        <x:v>-3961883.13</x:v>
      </x:c>
      <x:c r="T245" t="n">
        <x:v>0.09</x:v>
      </x:c>
      <x:c r="U245">
        <x:v>0</x:v>
      </x:c>
      <x:c r="V245">
        <x:v>0</x:v>
      </x:c>
      <x:c r="W245">
        <x:v>0</x:v>
      </x:c>
      <x:c r="X245">
        <x:v>0</x:v>
      </x:c>
      <x:c r="Y245">
        <x:v>0</x:v>
      </x:c>
      <x:c r="Z245">
        <x:v>0</x:v>
      </x:c>
    </x:row>
    <x:row r="246" spans="1:26" ht="12.75" customHeight="1" x14ac:dyDescent="0.25">
      <x:c r="A246"/>
      <x:c r="B246"/>
      <x:c r="C246"/>
      <x:c r="D246" s="89" t="inlineStr">
        <x:is>
          <x:t>O</x:t>
        </x:is>
      </x:c>
      <x:c r="E246" s="89" t="inlineStr">
        <x:is>
          <x:t>Total</x:t>
        </x:is>
      </x:c>
      <x:c r="F246" s="90" t="n">
        <x:v>68350681.13</x:v>
      </x:c>
      <x:c r="G246" s="90" t="n">
        <x:v>10358071.34</x:v>
      </x:c>
      <x:c r="H246" s="90" t="n">
        <x:v>5677033.33</x:v>
      </x:c>
      <x:c r="I246" s="90" t="n">
        <x:v>2946645.14</x:v>
      </x:c>
      <x:c r="J246" s="90" t="n">
        <x:v>7941144.37</x:v>
      </x:c>
      <x:c r="K246" s="90" t="n">
        <x:v>301262.47</x:v>
      </x:c>
      <x:c r="L246" s="90" t="n">
        <x:v>2255781.6</x:v>
      </x:c>
      <x:c r="M246" s="90" t="n">
        <x:v>2638150.03</x:v>
      </x:c>
      <x:c r="N246" s="90" t="n">
        <x:v>2840430.5</x:v>
      </x:c>
      <x:c r="O246" s="90" t="n">
        <x:v>12539032.72</x:v>
      </x:c>
      <x:c r="P246" s="90" t="n">
        <x:v>24324024.53</x:v>
      </x:c>
      <x:c r="Q246" s="90" t="n">
        <x:v>491340.52</x:v>
      </x:c>
      <x:c r="R246" s="90" t="n">
        <x:v>-352.38</x:v>
      </x:c>
      <x:c r="S246" s="90" t="n">
        <x:v>-3961883.13</x:v>
      </x:c>
      <x:c r="T246" t="n">
        <x:v>0.09</x:v>
      </x:c>
      <x:c r="U246">
        <x:v>0</x:v>
      </x:c>
      <x:c r="V246">
        <x:v>0</x:v>
      </x:c>
      <x:c r="W246">
        <x:v>0</x:v>
      </x:c>
      <x:c r="X246">
        <x:v>0</x:v>
      </x:c>
      <x:c r="Y246">
        <x:v>0</x:v>
      </x:c>
      <x:c r="Z246">
        <x:v>0</x:v>
      </x:c>
    </x:row>
    <x:row r="247" spans="1:26" ht="12.75" customHeight="1" x14ac:dyDescent="0.25">
      <x:c r="A247"/>
      <x:c r="B247"/>
      <x:c r="C247"/>
      <x:c r="D247"/>
      <x:c r="E247" s="89" t="inlineStr">
        <x:is>
          <x:t>Vlr Servicio</x:t>
        </x:is>
      </x:c>
      <x:c r="F247" s="90" t="n">
        <x:v>754857948.81</x:v>
      </x:c>
      <x:c r="G247" s="90" t="n">
        <x:v>148706575.02</x:v>
      </x:c>
      <x:c r="H247" s="90" t="n">
        <x:v>83937865.38</x:v>
      </x:c>
      <x:c r="I247" s="90" t="n">
        <x:v>44068434.13</x:v>
      </x:c>
      <x:c r="J247" s="90" t="n">
        <x:v>37108912.35</x:v>
      </x:c>
      <x:c r="K247" s="90" t="n">
        <x:v>930977.08</x:v>
      </x:c>
      <x:c r="L247" s="90" t="n">
        <x:v>14182236.76</x:v>
      </x:c>
      <x:c r="M247" s="90" t="n">
        <x:v>8142908.47</x:v>
      </x:c>
      <x:c r="N247" s="90" t="n">
        <x:v>11743210.88</x:v>
      </x:c>
      <x:c r="O247" s="90" t="n">
        <x:v>55162077.31</x:v>
      </x:c>
      <x:c r="P247" s="90" t="n">
        <x:v>349358814.97</x:v>
      </x:c>
      <x:c r="Q247" s="90" t="n">
        <x:v>1516361.95</x:v>
      </x:c>
      <x:c r="R247" s="90" t="n">
        <x:v>-425.49</x:v>
      </x:c>
      <x:c r="S247" s="90" t="n">
        <x:v>0</x:v>
      </x:c>
      <x:c r="T247" t="n">
        <x:v>0</x:v>
      </x:c>
      <x:c r="U247">
        <x:v>0</x:v>
      </x:c>
      <x:c r="V247">
        <x:v>0</x:v>
      </x:c>
      <x:c r="W247">
        <x:v>0</x:v>
      </x:c>
      <x:c r="X247">
        <x:v>0</x:v>
      </x:c>
      <x:c r="Y247">
        <x:v>0</x:v>
      </x:c>
      <x:c r="Z247">
        <x:v>0</x:v>
      </x:c>
    </x:row>
    <x:row r="248" spans="1:26" ht="12.75" customHeight="1" x14ac:dyDescent="0.25">
      <x:c r="A248"/>
      <x:c r="B248"/>
      <x:c r="C248"/>
      <x:c r="D248" s="89"/>
      <x:c r="E248" s="89" t="inlineStr">
        <x:is>
          <x:t>Vlr Intereses</x:t>
        </x:is>
      </x:c>
      <x:c r="F248" s="90" t="n">
        <x:v>17926857.18</x:v>
      </x:c>
      <x:c r="G248" s="90" t="n">
        <x:v>4123838.17</x:v>
      </x:c>
      <x:c r="H248" s="90" t="n">
        <x:v>2367978.82</x:v>
      </x:c>
      <x:c r="I248" s="90" t="n">
        <x:v>1240495.65</x:v>
      </x:c>
      <x:c r="J248" s="90" t="n">
        <x:v>200712.91</x:v>
      </x:c>
      <x:c r="K248" s="90" t="n">
        <x:v>4663.95</x:v>
      </x:c>
      <x:c r="L248" s="90" t="n">
        <x:v>9192.63</x:v>
      </x:c>
      <x:c r="M248" s="90" t="n">
        <x:v>40706.67</x:v>
      </x:c>
      <x:c r="N248" s="90" t="n">
        <x:v>56538.72</x:v>
      </x:c>
      <x:c r="O248" s="90" t="n">
        <x:v>263898.53</x:v>
      </x:c>
      <x:c r="P248" s="90" t="n">
        <x:v>9622953.21</x:v>
      </x:c>
      <x:c r="Q248" s="90" t="n">
        <x:v>7594.24</x:v>
      </x:c>
      <x:c r="R248" s="90" t="n">
        <x:v>0.68</x:v>
      </x:c>
      <x:c r="S248" s="90" t="n">
        <x:v>-11717</x:v>
      </x:c>
      <x:c r="T248" t="n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>
        <x:v>0</x:v>
      </x:c>
    </x:row>
    <x:row r="249" spans="1:26" ht="12.75" customHeight="1" x14ac:dyDescent="0.25">
      <x:c r="A249"/>
      <x:c r="B249"/>
      <x:c r="C249"/>
      <x:c r="D249" t="inlineStr">
        <x:is>
          <x:t>T</x:t>
        </x:is>
      </x:c>
      <x:c r="E249" s="89" t="inlineStr">
        <x:is>
          <x:t>Total</x:t>
        </x:is>
      </x:c>
      <x:c r="F249" s="90" t="n">
        <x:v>772784805.99</x:v>
      </x:c>
      <x:c r="G249" s="90" t="n">
        <x:v>152830413.19</x:v>
      </x:c>
      <x:c r="H249" s="90" t="n">
        <x:v>86305844.2</x:v>
      </x:c>
      <x:c r="I249" s="90" t="n">
        <x:v>45308929.78</x:v>
      </x:c>
      <x:c r="J249" s="90" t="n">
        <x:v>37309625.26</x:v>
      </x:c>
      <x:c r="K249" s="90" t="n">
        <x:v>935641.03</x:v>
      </x:c>
      <x:c r="L249" s="90" t="n">
        <x:v>14191429.39</x:v>
      </x:c>
      <x:c r="M249" s="90" t="n">
        <x:v>8183615.14</x:v>
      </x:c>
      <x:c r="N249" s="90" t="n">
        <x:v>11799749.6</x:v>
      </x:c>
      <x:c r="O249" s="90" t="n">
        <x:v>55425975.84</x:v>
      </x:c>
      <x:c r="P249" s="90" t="n">
        <x:v>358981768.18</x:v>
      </x:c>
      <x:c r="Q249" s="90" t="n">
        <x:v>1523956.19</x:v>
      </x:c>
      <x:c r="R249" s="90" t="n">
        <x:v>-424.81</x:v>
      </x:c>
      <x:c r="S249" s="90" t="n">
        <x:v>-11717</x:v>
      </x:c>
      <x:c r="T249" t="n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>
        <x:v>0</x:v>
      </x:c>
    </x:row>
    <x:row r="250" spans="1:26" ht="12.75" customHeight="1" x14ac:dyDescent="0.25">
      <x:c r="A250"/>
      <x:c r="B250"/>
      <x:c r="C250" t="inlineStr">
        <x:is>
          <x:t>OCCIDENTE</x:t>
        </x:is>
      </x:c>
      <x:c r="D250" t="inlineStr">
        <x:is>
          <x:t>Total</x:t>
        </x:is>
      </x:c>
      <x:c r="E250" s="89"/>
      <x:c r="F250" s="90" t="n">
        <x:v>897711004.34</x:v>
      </x:c>
      <x:c r="G250" s="90" t="n">
        <x:v>166838552.01</x:v>
      </x:c>
      <x:c r="H250" s="90" t="n">
        <x:v>94009717.73</x:v>
      </x:c>
      <x:c r="I250" s="90" t="n">
        <x:v>49336363.09</x:v>
      </x:c>
      <x:c r="J250" s="90" t="n">
        <x:v>58020025.64</x:v>
      </x:c>
      <x:c r="K250" s="90" t="n">
        <x:v>1581478.27</x:v>
      </x:c>
      <x:c r="L250" s="90" t="n">
        <x:v>17038188.23</x:v>
      </x:c>
      <x:c r="M250" s="90" t="n">
        <x:v>13846370.33</x:v>
      </x:c>
      <x:c r="N250" s="90" t="n">
        <x:v>18858595.5</x:v>
      </x:c>
      <x:c r="O250" s="90" t="n">
        <x:v>87697135.26</x:v>
      </x:c>
      <x:c r="P250" s="90" t="n">
        <x:v>391882879.13</x:v>
      </x:c>
      <x:c r="Q250" s="90" t="n">
        <x:v>2576250.92</x:v>
      </x:c>
      <x:c r="R250" s="90" t="n">
        <x:v>-952</x:v>
      </x:c>
      <x:c r="S250" s="90" t="n">
        <x:v>-3973599.86</x:v>
      </x:c>
      <x:c r="T250" t="n">
        <x:v>0.09</x:v>
      </x:c>
      <x:c r="U250">
        <x:v>0</x:v>
      </x:c>
      <x:c r="V250">
        <x:v>0</x:v>
      </x:c>
      <x:c r="W250">
        <x:v>0</x:v>
      </x:c>
      <x:c r="X250">
        <x:v>0</x:v>
      </x:c>
      <x:c r="Y250">
        <x:v>0</x:v>
      </x:c>
      <x:c r="Z250">
        <x:v>0</x:v>
      </x:c>
    </x:row>
    <x:row r="251" spans="1:26" ht="12.75" customHeight="1" x14ac:dyDescent="0.25">
      <x:c r="A251"/>
      <x:c r="B251" t="inlineStr">
        <x:is>
          <x:t>Mes</x:t>
        </x:is>
      </x:c>
      <x:c r="C251" t="inlineStr">
        <x:is>
          <x:t>Total</x:t>
        </x:is>
      </x:c>
      <x:c r="D251" s="89"/>
      <x:c r="E251" s="89"/>
      <x:c r="F251" s="90" t="n">
        <x:v>17110605166.74</x:v>
      </x:c>
      <x:c r="G251" s="90" t="n">
        <x:v>1144017419</x:v>
      </x:c>
      <x:c r="H251" s="90" t="n">
        <x:v>645066142.41</x:v>
      </x:c>
      <x:c r="I251" s="90" t="n">
        <x:v>338768010.72</x:v>
      </x:c>
      <x:c r="J251" s="90" t="n">
        <x:v>4557872329.91</x:v>
      </x:c>
      <x:c r="K251" s="90" t="n">
        <x:v>127229701.49</x:v>
      </x:c>
      <x:c r="L251" s="90" t="n">
        <x:v>37341348.91</x:v>
      </x:c>
      <x:c r="M251" s="90" t="n">
        <x:v>1115704202.9</x:v>
      </x:c>
      <x:c r="N251" s="90" t="n">
        <x:v>1088497538.96</x:v>
      </x:c>
      <x:c r="O251" s="90" t="n">
        <x:v>5145932012.77</x:v>
      </x:c>
      <x:c r="P251" s="90" t="n">
        <x:v>2706405773.89</x:v>
      </x:c>
      <x:c r="Q251" s="90" t="n">
        <x:v>207627608.4</x:v>
      </x:c>
      <x:c r="R251" s="90" t="n">
        <x:v>116676.53</x:v>
      </x:c>
      <x:c r="S251" s="90" t="n">
        <x:v>-3973599.86</x:v>
      </x:c>
      <x:c r="T251" t="n">
        <x:v>0.71</x:v>
      </x:c>
      <x:c r="U251">
        <x:v>0</x:v>
      </x:c>
      <x:c r="V251">
        <x:v>0</x:v>
      </x:c>
      <x:c r="W251">
        <x:v>0</x:v>
      </x:c>
      <x:c r="X251">
        <x:v>0</x:v>
      </x:c>
      <x:c r="Y251">
        <x:v>0</x:v>
      </x:c>
      <x:c r="Z251">
        <x:v>0</x:v>
      </x:c>
    </x:row>
    <x:row r="252" spans="1:26" s="94" customFormat="1" ht="12.75" customHeight="1" x14ac:dyDescent="0.25">
      <x:c r="A252" t="inlineStr">
        <x:is>
          <x:t>Componente</x:t>
        </x:is>
      </x:c>
      <x:c r="B252" t="inlineStr">
        <x:is>
          <x:t>Total</x:t>
        </x:is>
      </x:c>
      <x:c r="C252" s="101"/>
      <x:c r="D252" s="101"/>
      <x:c r="E252"/>
      <x:c r="F252" s="93" t="n">
        <x:v>17110605166.74</x:v>
      </x:c>
      <x:c r="G252" s="93" t="n">
        <x:v>1144017419</x:v>
      </x:c>
      <x:c r="H252" s="93" t="n">
        <x:v>645066142.41</x:v>
      </x:c>
      <x:c r="I252" s="93" t="n">
        <x:v>338768010.72</x:v>
      </x:c>
      <x:c r="J252" s="93" t="n">
        <x:v>4557872329.91</x:v>
      </x:c>
      <x:c r="K252" s="93" t="n">
        <x:v>127229701.49</x:v>
      </x:c>
      <x:c r="L252" s="93" t="n">
        <x:v>37341348.91</x:v>
      </x:c>
      <x:c r="M252" s="93" t="n">
        <x:v>1115704202.9</x:v>
      </x:c>
      <x:c r="N252" s="93" t="n">
        <x:v>1088497538.96</x:v>
      </x:c>
      <x:c r="O252" s="93" t="n">
        <x:v>5145932012.77</x:v>
      </x:c>
      <x:c r="P252" s="93" t="n">
        <x:v>2706405773.89</x:v>
      </x:c>
      <x:c r="Q252" s="93" t="n">
        <x:v>207627608.4</x:v>
      </x:c>
      <x:c r="R252" s="93" t="n">
        <x:v>116676.53</x:v>
      </x:c>
      <x:c r="S252" s="93" t="n">
        <x:v>-3973599.86</x:v>
      </x:c>
      <x:c r="T252" s="94" t="n">
        <x:v>0.71</x:v>
      </x:c>
      <x:c r="U252" s="94">
        <x:v>0</x:v>
      </x:c>
      <x:c r="V252" s="94">
        <x:v>0</x:v>
      </x:c>
      <x:c r="W252" s="94">
        <x:v>0</x:v>
      </x:c>
      <x:c r="X252" s="94">
        <x:v>0</x:v>
      </x:c>
      <x:c r="Y252" s="94">
        <x:v>0</x:v>
      </x:c>
      <x:c r="Z252" s="94">
        <x:v>0</x:v>
      </x:c>
    </x:row>
    <x:row r="253" spans="1:26" s="226" customFormat="1" ht="12.75" customHeight="1" x14ac:dyDescent="0.25">
      <x:c r="A253"/>
      <x:c r="B253" s="98"/>
      <x:c r="C253" s="98"/>
      <x:c r="D253"/>
      <x:c r="E253" t="inlineStr">
        <x:is>
          <x:t>Subsidio(-)/Contribucion(+)</x:t>
        </x:is>
      </x:c>
      <x:c r="F253" s="100" t="n">
        <x:v>-1087996443.09</x:v>
      </x:c>
      <x:c r="G253" s="100" t="n">
        <x:v>192799744.37</x:v>
      </x:c>
      <x:c r="H253" s="100" t="n">
        <x:v>108870075.98</x:v>
      </x:c>
      <x:c r="I253" s="100" t="n">
        <x:v>57205798</x:v>
      </x:c>
      <x:c r="J253" s="100" t="n">
        <x:v>-715866743.76</x:v>
      </x:c>
      <x:c r="K253" s="100" t="n">
        <x:v>-19719209.79</x:v>
      </x:c>
      <x:c r="L253" s="100" t="n">
        <x:v>0</x:v>
      </x:c>
      <x:c r="M253" s="100" t="n">
        <x:v>-172988030.45</x:v>
      </x:c>
      <x:c r="N253" s="100" t="n">
        <x:v>-168117168.85</x:v>
      </x:c>
      <x:c r="O253" s="100" t="n">
        <x:v>-795100944.94</x:v>
      </x:c>
      <x:c r="P253" s="100" t="n">
        <x:v>457090640.21</x:v>
      </x:c>
      <x:c r="Q253" s="100" t="n">
        <x:v>-32170603.86</x:v>
      </x:c>
      <x:c r="R253" s="100" t="n">
        <x:v>0</x:v>
      </x:c>
      <x:c r="S253" s="100" t="n">
        <x:v>0</x:v>
      </x:c>
      <x:c r="T253" s="226" t="n">
        <x:v>0</x:v>
      </x:c>
      <x:c r="U253" s="226">
        <x:v>0</x:v>
      </x:c>
      <x:c r="V253" s="226">
        <x:v>0</x:v>
      </x:c>
      <x:c r="W253" s="226">
        <x:v>0</x:v>
      </x:c>
      <x:c r="X253" s="226">
        <x:v>0</x:v>
      </x:c>
      <x:c r="Y253" s="226">
        <x:v>0</x:v>
      </x:c>
      <x:c r="Z253" s="226">
        <x:v>0</x:v>
      </x:c>
    </x:row>
    <x:row r="254" spans="1:26" ht="12.75" customHeight="1" x14ac:dyDescent="0.25">
      <x:c r="A254" s="89"/>
      <x:c r="B254" s="89"/>
      <x:c r="C254"/>
      <x:c r="D254" t="inlineStr">
        <x:is>
          <x:t>E</x:t>
        </x:is>
      </x:c>
      <x:c r="E254" t="inlineStr">
        <x:is>
          <x:t>Total</x:t>
        </x:is>
      </x:c>
      <x:c r="F254" s="90" t="n">
        <x:v>-1087996443.09</x:v>
      </x:c>
      <x:c r="G254" s="90" t="n">
        <x:v>192799744.37</x:v>
      </x:c>
      <x:c r="H254" s="90" t="n">
        <x:v>108870075.98</x:v>
      </x:c>
      <x:c r="I254" s="90" t="n">
        <x:v>57205798</x:v>
      </x:c>
      <x:c r="J254" s="90" t="n">
        <x:v>-715866743.76</x:v>
      </x:c>
      <x:c r="K254" s="90" t="n">
        <x:v>-19719209.79</x:v>
      </x:c>
      <x:c r="L254" s="90" t="n">
        <x:v>0</x:v>
      </x:c>
      <x:c r="M254" s="90" t="n">
        <x:v>-172988030.45</x:v>
      </x:c>
      <x:c r="N254" s="90" t="n">
        <x:v>-168117168.85</x:v>
      </x:c>
      <x:c r="O254" s="90" t="n">
        <x:v>-795100944.94</x:v>
      </x:c>
      <x:c r="P254" s="90" t="n">
        <x:v>457090640.21</x:v>
      </x:c>
      <x:c r="Q254" s="90" t="n">
        <x:v>-32170603.86</x:v>
      </x:c>
      <x:c r="R254" s="90" t="n">
        <x:v>0</x:v>
      </x:c>
      <x:c r="S254" s="90" t="n">
        <x:v>0</x:v>
      </x:c>
      <x:c r="T254" t="n">
        <x:v>0</x:v>
      </x:c>
      <x:c r="U254">
        <x:v>0</x:v>
      </x:c>
      <x:c r="V254">
        <x:v>0</x:v>
      </x:c>
      <x:c r="W254">
        <x:v>0</x:v>
      </x:c>
      <x:c r="X254">
        <x:v>0</x:v>
      </x:c>
      <x:c r="Y254">
        <x:v>0</x:v>
      </x:c>
      <x:c r="Z254">
        <x:v>0</x:v>
      </x:c>
    </x:row>
    <x:row r="255" spans="1:26" ht="12.75" customHeight="1" x14ac:dyDescent="0.25">
      <x:c r="A255" s="89"/>
      <x:c r="B255" s="89"/>
      <x:c r="C255" t="inlineStr">
        <x:is>
          <x:t>ENEL</x:t>
        </x:is>
      </x:c>
      <x:c r="D255" t="inlineStr">
        <x:is>
          <x:t>Total</x:t>
        </x:is>
      </x:c>
      <x:c r="E255"/>
      <x:c r="F255" s="90" t="n">
        <x:v>-1087996443.09</x:v>
      </x:c>
      <x:c r="G255" s="90" t="n">
        <x:v>192799744.37</x:v>
      </x:c>
      <x:c r="H255" s="90" t="n">
        <x:v>108870075.98</x:v>
      </x:c>
      <x:c r="I255" s="90" t="n">
        <x:v>57205798</x:v>
      </x:c>
      <x:c r="J255" s="90" t="n">
        <x:v>-715866743.76</x:v>
      </x:c>
      <x:c r="K255" s="90" t="n">
        <x:v>-19719209.79</x:v>
      </x:c>
      <x:c r="L255" s="90" t="n">
        <x:v>0</x:v>
      </x:c>
      <x:c r="M255" s="90" t="n">
        <x:v>-172988030.45</x:v>
      </x:c>
      <x:c r="N255" s="90" t="n">
        <x:v>-168117168.85</x:v>
      </x:c>
      <x:c r="O255" s="90" t="n">
        <x:v>-795100944.94</x:v>
      </x:c>
      <x:c r="P255" s="90" t="n">
        <x:v>457090640.21</x:v>
      </x:c>
      <x:c r="Q255" s="90" t="n">
        <x:v>-32170603.86</x:v>
      </x:c>
      <x:c r="R255" s="90" t="n">
        <x:v>0</x:v>
      </x:c>
      <x:c r="S255" s="90" t="n">
        <x:v>0</x:v>
      </x:c>
      <x:c r="T255" t="n">
        <x:v>0</x:v>
      </x:c>
      <x:c r="U255">
        <x:v>0</x:v>
      </x:c>
      <x:c r="V255">
        <x:v>0</x:v>
      </x:c>
      <x:c r="W255">
        <x:v>0</x:v>
      </x:c>
      <x:c r="X255">
        <x:v>0</x:v>
      </x:c>
      <x:c r="Y255">
        <x:v>0</x:v>
      </x:c>
      <x:c r="Z255">
        <x:v>0</x:v>
      </x:c>
    </x:row>
    <x:row r="256" spans="1:26" ht="12.75" customHeight="1" x14ac:dyDescent="0.25">
      <x:c r="A256" s="89"/>
      <x:c r="B256" s="89"/>
      <x:c r="C256"/>
      <x:c r="D256"/>
      <x:c r="E256" t="inlineStr">
        <x:is>
          <x:t>Subsidio(-)/Contribucion(+)</x:t>
        </x:is>
      </x:c>
      <x:c r="F256" s="90" t="n">
        <x:v>2327352.78</x:v>
      </x:c>
      <x:c r="G256" s="90" t="n">
        <x:v>852140.65</x:v>
      </x:c>
      <x:c r="H256" s="90" t="n">
        <x:v>481465.43</x:v>
      </x:c>
      <x:c r="I256" s="90" t="n">
        <x:v>251037.28</x:v>
      </x:c>
      <x:c r="J256" s="90" t="n">
        <x:v>-352667.51</x:v>
      </x:c>
      <x:c r="K256" s="90" t="n">
        <x:v>-10303.81</x:v>
      </x:c>
      <x:c r="L256" s="90" t="n">
        <x:v>0</x:v>
      </x:c>
      <x:c r="M256" s="90" t="n">
        <x:v>-90464.35</x:v>
      </x:c>
      <x:c r="N256" s="90" t="n">
        <x:v>-141735.89</x:v>
      </x:c>
      <x:c r="O256" s="90" t="n">
        <x:v>-654318.1</x:v>
      </x:c>
      <x:c r="P256" s="90" t="n">
        <x:v>2009008.4</x:v>
      </x:c>
      <x:c r="Q256" s="90" t="n">
        <x:v>-16809.32</x:v>
      </x:c>
      <x:c r="R256" s="90" t="n">
        <x:v>0</x:v>
      </x:c>
      <x:c r="S256" s="90" t="n">
        <x:v>0</x:v>
      </x:c>
      <x:c r="T256" t="n">
        <x:v>0</x:v>
      </x:c>
      <x:c r="U256">
        <x:v>0</x:v>
      </x:c>
      <x:c r="V256">
        <x:v>0</x:v>
      </x:c>
      <x:c r="W256">
        <x:v>0</x:v>
      </x:c>
      <x:c r="X256">
        <x:v>0</x:v>
      </x:c>
      <x:c r="Y256">
        <x:v>0</x:v>
      </x:c>
      <x:c r="Z256">
        <x:v>0</x:v>
      </x:c>
    </x:row>
    <x:row r="257" spans="1:26" s="286" customFormat="1" ht="12.75" customHeight="1" x14ac:dyDescent="0.25">
      <x:c r="A257"/>
      <x:c r="B257"/>
      <x:c r="C257" s="286"/>
      <x:c r="D257" s="286" t="inlineStr">
        <x:is>
          <x:t>H</x:t>
        </x:is>
      </x:c>
      <x:c r="E257" s="229" t="inlineStr">
        <x:is>
          <x:t>Total</x:t>
        </x:is>
      </x:c>
      <x:c r="F257" s="229" t="n">
        <x:v>2327352.78</x:v>
      </x:c>
      <x:c r="G257" s="230" t="n">
        <x:v>852140.65</x:v>
      </x:c>
      <x:c r="H257" s="230" t="n">
        <x:v>481465.43</x:v>
      </x:c>
      <x:c r="I257" s="230" t="n">
        <x:v>251037.28</x:v>
      </x:c>
      <x:c r="J257" s="230" t="n">
        <x:v>-352667.51</x:v>
      </x:c>
      <x:c r="K257" s="230" t="n">
        <x:v>-10303.81</x:v>
      </x:c>
      <x:c r="L257" s="230" t="n">
        <x:v>0</x:v>
      </x:c>
      <x:c r="M257" s="230" t="n">
        <x:v>-90464.35</x:v>
      </x:c>
      <x:c r="N257" s="230" t="n">
        <x:v>-141735.89</x:v>
      </x:c>
      <x:c r="O257" s="230" t="n">
        <x:v>-654318.1</x:v>
      </x:c>
      <x:c r="P257" s="230" t="n">
        <x:v>2009008.4</x:v>
      </x:c>
      <x:c r="Q257" s="230" t="n">
        <x:v>-16809.32</x:v>
      </x:c>
      <x:c r="R257" s="230" t="n">
        <x:v>0</x:v>
      </x:c>
      <x:c r="S257" s="230" t="n">
        <x:v>0</x:v>
      </x:c>
      <x:c r="T257" s="230" t="n">
        <x:v>0</x:v>
      </x:c>
      <x:c r="U257" s="230">
        <x:v>0</x:v>
      </x:c>
      <x:c r="V257" s="230">
        <x:v>0</x:v>
      </x:c>
      <x:c r="W257" s="230">
        <x:v>0</x:v>
      </x:c>
      <x:c r="X257" s="230">
        <x:v>0</x:v>
      </x:c>
      <x:c r="Y257" s="230">
        <x:v>0</x:v>
      </x:c>
      <x:c r="Z257" s="230">
        <x:v>0</x:v>
      </x:c>
    </x:row>
    <x:row r="258" spans="1:26" s="378" customFormat="1" ht="12.75" customHeight="1" x14ac:dyDescent="0.25">
      <x:c r="A258"/>
      <x:c r="B258" s="378"/>
      <x:c r="C258" s="378"/>
      <x:c r="D258"/>
      <x:c r="E258" s="376" t="inlineStr">
        <x:is>
          <x:t>Subsidio(-)/Contribucion(+)</x:t>
        </x:is>
      </x:c>
      <x:c r="F258" s="711" t="n">
        <x:v>30014496.44</x:v>
      </x:c>
      <x:c r="G258" s="377" t="n">
        <x:v>6971628.29</x:v>
      </x:c>
      <x:c r="H258" s="377" t="n">
        <x:v>3925790.17</x:v>
      </x:c>
      <x:c r="I258" s="377" t="n">
        <x:v>2052260.57</x:v>
      </x:c>
      <x:c r="J258" s="377" t="n">
        <x:v>162146.79</x:v>
      </x:c>
      <x:c r="K258" s="377" t="n">
        <x:v>1063.38</x:v>
      </x:c>
      <x:c r="L258" s="377" t="n">
        <x:v>0</x:v>
      </x:c>
      <x:c r="M258" s="377" t="n">
        <x:v>9642.27000000004</x:v>
      </x:c>
      <x:c r="N258" s="377" t="n">
        <x:v>109927.61</x:v>
      </x:c>
      <x:c r="O258" s="377" t="n">
        <x:v>364617.9</x:v>
      </x:c>
      <x:c r="P258" s="377" t="n">
        <x:v>16415666.51</x:v>
      </x:c>
      <x:c r="Q258" s="377" t="n">
        <x:v>1752.95</x:v>
      </x:c>
      <x:c r="R258" s="377" t="n">
        <x:v>0</x:v>
      </x:c>
      <x:c r="S258" s="377" t="n">
        <x:v>0</x:v>
      </x:c>
      <x:c r="T258" s="378" t="n">
        <x:v>0</x:v>
      </x:c>
      <x:c r="U258" s="378">
        <x:v>0</x:v>
      </x:c>
      <x:c r="V258" s="378">
        <x:v>0</x:v>
      </x:c>
      <x:c r="W258" s="378">
        <x:v>0</x:v>
      </x:c>
      <x:c r="X258" s="378">
        <x:v>0</x:v>
      </x:c>
      <x:c r="Y258" s="378">
        <x:v>0</x:v>
      </x:c>
      <x:c r="Z258" s="378">
        <x:v>0</x:v>
      </x:c>
    </x:row>
    <x:row r="259" spans="1:26" ht="12.65" customHeight="1" x14ac:dyDescent="0.25">
      <x:c r="A259"/>
      <x:c r="B259"/>
      <x:c r="C259"/>
      <x:c r="D259" t="inlineStr">
        <x:is>
          <x:t>O</x:t>
        </x:is>
      </x:c>
      <x:c r="E259" s="89" t="inlineStr">
        <x:is>
          <x:t>Total</x:t>
        </x:is>
      </x:c>
      <x:c r="F259" s="371" t="n">
        <x:v>30014496.44</x:v>
      </x:c>
      <x:c r="G259" s="90" t="n">
        <x:v>6971628.29</x:v>
      </x:c>
      <x:c r="H259" s="90" t="n">
        <x:v>3925790.17</x:v>
      </x:c>
      <x:c r="I259" s="90" t="n">
        <x:v>2052260.57</x:v>
      </x:c>
      <x:c r="J259" s="90" t="n">
        <x:v>162146.79</x:v>
      </x:c>
      <x:c r="K259" s="90" t="n">
        <x:v>1063.38</x:v>
      </x:c>
      <x:c r="L259" s="90" t="n">
        <x:v>0</x:v>
      </x:c>
      <x:c r="M259" s="90" t="n">
        <x:v>9642.27000000004</x:v>
      </x:c>
      <x:c r="N259" s="90" t="n">
        <x:v>109927.61</x:v>
      </x:c>
      <x:c r="O259" s="90" t="n">
        <x:v>364617.9</x:v>
      </x:c>
      <x:c r="P259" s="90" t="n">
        <x:v>16415666.51</x:v>
      </x:c>
      <x:c r="Q259" s="90" t="n">
        <x:v>1752.95</x:v>
      </x:c>
      <x:c r="R259" s="90" t="n">
        <x:v>0</x:v>
      </x:c>
      <x:c r="S259" s="90" t="n">
        <x:v>0</x:v>
      </x:c>
      <x:c r="T259" t="n">
        <x:v>0</x:v>
      </x:c>
      <x:c r="U259">
        <x:v>0</x:v>
      </x:c>
      <x:c r="V259">
        <x:v>0</x:v>
      </x:c>
      <x:c r="W259">
        <x:v>0</x:v>
      </x:c>
      <x:c r="X259">
        <x:v>0</x:v>
      </x:c>
      <x:c r="Y259">
        <x:v>0</x:v>
      </x:c>
      <x:c r="Z259">
        <x:v>0</x:v>
      </x:c>
    </x:row>
    <x:row r="260" spans="1:26" ht="12.75" customHeight="1" x14ac:dyDescent="0.25">
      <x:c r="A260"/>
      <x:c r="B260"/>
      <x:c r="C260"/>
      <x:c r="D260"/>
      <x:c r="E260" s="89" t="inlineStr">
        <x:is>
          <x:t>Subsidio(-)/Contribucion(+)</x:t>
        </x:is>
      </x:c>
      <x:c r="F260" s="371" t="n">
        <x:v>328146742.01</x:v>
      </x:c>
      <x:c r="G260" s="90" t="n">
        <x:v>76683146.88</x:v>
      </x:c>
      <x:c r="H260" s="90" t="n">
        <x:v>43193693.22</x:v>
      </x:c>
      <x:c r="I260" s="90" t="n">
        <x:v>22706908.89</x:v>
      </x:c>
      <x:c r="J260" s="90" t="n">
        <x:v>1825379.37</x:v>
      </x:c>
      <x:c r="K260" s="90" t="n">
        <x:v>41051.77</x:v>
      </x:c>
      <x:c r="L260" s="90" t="n">
        <x:v>0</x:v>
      </x:c>
      <x:c r="M260" s="90" t="n">
        <x:v>358199.13</x:v>
      </x:c>
      <x:c r="N260" s="90" t="n">
        <x:v>493339.25</x:v>
      </x:c>
      <x:c r="O260" s="90" t="n">
        <x:v>2367883.44</x:v>
      </x:c>
      <x:c r="P260" s="90" t="n">
        <x:v>180410497.93</x:v>
      </x:c>
      <x:c r="Q260" s="90" t="n">
        <x:v>66642.13</x:v>
      </x:c>
      <x:c r="R260" s="90" t="n">
        <x:v>0</x:v>
      </x:c>
      <x:c r="S260" s="90" t="n">
        <x:v>0</x:v>
      </x:c>
      <x:c r="T260" t="n">
        <x:v>0</x:v>
      </x:c>
      <x:c r="U260">
        <x:v>0</x:v>
      </x:c>
      <x:c r="V260">
        <x:v>0</x:v>
      </x:c>
      <x:c r="W260">
        <x:v>0</x:v>
      </x:c>
      <x:c r="X260">
        <x:v>0</x:v>
      </x:c>
      <x:c r="Y260">
        <x:v>0</x:v>
      </x:c>
      <x:c r="Z260">
        <x:v>0</x:v>
      </x:c>
    </x:row>
    <x:row r="261" spans="1:26" s="286" customFormat="1" ht="12.75" customHeight="1" x14ac:dyDescent="0.25">
      <x:c r="A261"/>
      <x:c r="B261"/>
      <x:c r="C261" s="286"/>
      <x:c r="D261" s="286" t="inlineStr">
        <x:is>
          <x:t>T</x:t>
        </x:is>
      </x:c>
      <x:c r="E261" s="229" t="inlineStr">
        <x:is>
          <x:t>Total</x:t>
        </x:is>
      </x:c>
      <x:c r="F261" s="229" t="n">
        <x:v>328146742.01</x:v>
      </x:c>
      <x:c r="G261" s="230" t="n">
        <x:v>76683146.88</x:v>
      </x:c>
      <x:c r="H261" s="230" t="n">
        <x:v>43193693.22</x:v>
      </x:c>
      <x:c r="I261" s="230" t="n">
        <x:v>22706908.89</x:v>
      </x:c>
      <x:c r="J261" s="230" t="n">
        <x:v>1825379.37</x:v>
      </x:c>
      <x:c r="K261" s="230" t="n">
        <x:v>41051.77</x:v>
      </x:c>
      <x:c r="L261" s="230" t="n">
        <x:v>0</x:v>
      </x:c>
      <x:c r="M261" s="230" t="n">
        <x:v>358199.13</x:v>
      </x:c>
      <x:c r="N261" s="230" t="n">
        <x:v>493339.25</x:v>
      </x:c>
      <x:c r="O261" s="230" t="n">
        <x:v>2367883.44</x:v>
      </x:c>
      <x:c r="P261" s="230" t="n">
        <x:v>180410497.93</x:v>
      </x:c>
      <x:c r="Q261" s="230" t="n">
        <x:v>66642.13</x:v>
      </x:c>
      <x:c r="R261" s="230" t="n">
        <x:v>0</x:v>
      </x:c>
      <x:c r="S261" s="230" t="n">
        <x:v>0</x:v>
      </x:c>
      <x:c r="T261" s="230" t="n">
        <x:v>0</x:v>
      </x:c>
      <x:c r="U261" s="230">
        <x:v>0</x:v>
      </x:c>
      <x:c r="V261" s="230">
        <x:v>0</x:v>
      </x:c>
      <x:c r="W261" s="230">
        <x:v>0</x:v>
      </x:c>
      <x:c r="X261" s="230">
        <x:v>0</x:v>
      </x:c>
      <x:c r="Y261" s="230">
        <x:v>0</x:v>
      </x:c>
      <x:c r="Z261" s="230">
        <x:v>0</x:v>
      </x:c>
    </x:row>
    <x:row r="262" spans="1:26" ht="12.75" customHeight="1" x14ac:dyDescent="0.25">
      <x:c r="A262"/>
      <x:c r="B262"/>
      <x:c r="C262" t="inlineStr">
        <x:is>
          <x:t>OCCIDENTE</x:t>
        </x:is>
      </x:c>
      <x:c r="D262" s="89" t="inlineStr">
        <x:is>
          <x:t>Total</x:t>
        </x:is>
      </x:c>
      <x:c r="E262" s="89"/>
      <x:c r="F262" s="90" t="n">
        <x:v>360488591.23</x:v>
      </x:c>
      <x:c r="G262" s="90" t="n">
        <x:v>84506915.82</x:v>
      </x:c>
      <x:c r="H262" s="90" t="n">
        <x:v>47600948.82</x:v>
      </x:c>
      <x:c r="I262" s="90" t="n">
        <x:v>25010206.74</x:v>
      </x:c>
      <x:c r="J262" s="90" t="n">
        <x:v>1634858.65</x:v>
      </x:c>
      <x:c r="K262" s="90" t="n">
        <x:v>31811.34</x:v>
      </x:c>
      <x:c r="L262" s="90" t="n">
        <x:v>0</x:v>
      </x:c>
      <x:c r="M262" s="90" t="n">
        <x:v>277377.05</x:v>
      </x:c>
      <x:c r="N262" s="90" t="n">
        <x:v>461530.97</x:v>
      </x:c>
      <x:c r="O262" s="90" t="n">
        <x:v>2078183.24</x:v>
      </x:c>
      <x:c r="P262" s="90" t="n">
        <x:v>198835172.84</x:v>
      </x:c>
      <x:c r="Q262" s="90" t="n">
        <x:v>51585.76</x:v>
      </x:c>
      <x:c r="R262" s="90" t="n">
        <x:v>0</x:v>
      </x:c>
      <x:c r="S262" s="90" t="n">
        <x:v>0</x:v>
      </x:c>
      <x:c r="T262" t="n">
        <x:v>0</x:v>
      </x:c>
      <x:c r="U262">
        <x:v>0</x:v>
      </x:c>
      <x:c r="V262">
        <x:v>0</x:v>
      </x:c>
      <x:c r="W262">
        <x:v>0</x:v>
      </x:c>
      <x:c r="X262">
        <x:v>0</x:v>
      </x:c>
      <x:c r="Y262">
        <x:v>0</x:v>
      </x:c>
      <x:c r="Z262">
        <x:v>0</x:v>
      </x:c>
    </x:row>
    <x:row r="263" spans="1:26" ht="12.75" customHeight="1" x14ac:dyDescent="0.25">
      <x:c r="A263"/>
      <x:c r="B263" t="inlineStr">
        <x:is>
          <x:t>Mes</x:t>
        </x:is>
      </x:c>
      <x:c r="C263" t="inlineStr">
        <x:is>
          <x:t>Total</x:t>
        </x:is>
      </x:c>
      <x:c r="D263"/>
      <x:c r="E263" s="89"/>
      <x:c r="F263" s="90" t="n">
        <x:v>-727507851.86</x:v>
      </x:c>
      <x:c r="G263" s="90" t="n">
        <x:v>277306660.19</x:v>
      </x:c>
      <x:c r="H263" s="90" t="n">
        <x:v>156471024.8</x:v>
      </x:c>
      <x:c r="I263" s="90" t="n">
        <x:v>82216004.74</x:v>
      </x:c>
      <x:c r="J263" s="90" t="n">
        <x:v>-714231885.11</x:v>
      </x:c>
      <x:c r="K263" s="90" t="n">
        <x:v>-19687398.45</x:v>
      </x:c>
      <x:c r="L263" s="90" t="n">
        <x:v>0</x:v>
      </x:c>
      <x:c r="M263" s="90" t="n">
        <x:v>-172710653.4</x:v>
      </x:c>
      <x:c r="N263" s="90" t="n">
        <x:v>-167655637.88</x:v>
      </x:c>
      <x:c r="O263" s="90" t="n">
        <x:v>-793022761.7</x:v>
      </x:c>
      <x:c r="P263" s="90" t="n">
        <x:v>655925813.05</x:v>
      </x:c>
      <x:c r="Q263" s="90" t="n">
        <x:v>-32119018.1</x:v>
      </x:c>
      <x:c r="R263" s="90" t="n">
        <x:v>0</x:v>
      </x:c>
      <x:c r="S263" s="90" t="n">
        <x:v>0</x:v>
      </x:c>
      <x:c r="T263" t="n">
        <x:v>0</x:v>
      </x:c>
      <x:c r="U263">
        <x:v>0</x:v>
      </x:c>
      <x:c r="V263">
        <x:v>0</x:v>
      </x:c>
      <x:c r="W263">
        <x:v>0</x:v>
      </x:c>
      <x:c r="X263">
        <x:v>0</x:v>
      </x:c>
      <x:c r="Y263">
        <x:v>0</x:v>
      </x:c>
      <x:c r="Z263">
        <x:v>0</x:v>
      </x:c>
    </x:row>
    <x:row r="264" spans="1:26" ht="12.75" customHeight="1" x14ac:dyDescent="0.25">
      <x:c r="A264" t="inlineStr">
        <x:is>
          <x:t>Subs/Cont</x:t>
        </x:is>
      </x:c>
      <x:c r="B264" t="inlineStr">
        <x:is>
          <x:t>Total</x:t>
        </x:is>
      </x:c>
      <x:c r="C264"/>
      <x:c r="D264" s="89"/>
      <x:c r="E264" s="89"/>
      <x:c r="F264" s="90" t="n">
        <x:v>-727507851.86</x:v>
      </x:c>
      <x:c r="G264" s="90" t="n">
        <x:v>277306660.19</x:v>
      </x:c>
      <x:c r="H264" s="90" t="n">
        <x:v>156471024.8</x:v>
      </x:c>
      <x:c r="I264" s="90" t="n">
        <x:v>82216004.74</x:v>
      </x:c>
      <x:c r="J264" s="90" t="n">
        <x:v>-714231885.11</x:v>
      </x:c>
      <x:c r="K264" s="90" t="n">
        <x:v>-19687398.45</x:v>
      </x:c>
      <x:c r="L264" s="90" t="n">
        <x:v>0</x:v>
      </x:c>
      <x:c r="M264" s="90" t="n">
        <x:v>-172710653.4</x:v>
      </x:c>
      <x:c r="N264" s="90" t="n">
        <x:v>-167655637.88</x:v>
      </x:c>
      <x:c r="O264" s="90" t="n">
        <x:v>-793022761.7</x:v>
      </x:c>
      <x:c r="P264" s="90" t="n">
        <x:v>655925813.05</x:v>
      </x:c>
      <x:c r="Q264" s="90" t="n">
        <x:v>-32119018.1</x:v>
      </x:c>
      <x:c r="R264" s="90" t="n">
        <x:v>0</x:v>
      </x:c>
      <x:c r="S264" s="90" t="n">
        <x:v>0</x:v>
      </x:c>
      <x:c r="T264" t="n">
        <x:v>0</x:v>
      </x:c>
      <x:c r="U264">
        <x:v>0</x:v>
      </x:c>
      <x:c r="V264">
        <x:v>0</x:v>
      </x:c>
      <x:c r="W264">
        <x:v>0</x:v>
      </x:c>
      <x:c r="X264">
        <x:v>0</x:v>
      </x:c>
      <x:c r="Y264">
        <x:v>0</x:v>
      </x:c>
      <x:c r="Z264">
        <x:v>0</x:v>
      </x:c>
    </x:row>
    <x:row r="265" spans="1:26" ht="12.75" customHeight="1" x14ac:dyDescent="0.25">
      <x:c r="A265" t="inlineStr">
        <x:is>
          <x:t>Total</x:t>
        </x:is>
      </x:c>
      <x:c r="B265"/>
      <x:c r="C265"/>
      <x:c r="D265"/>
      <x:c r="E265" s="89"/>
      <x:c r="F265" s="90" t="n">
        <x:v>16383092858.77</x:v>
      </x:c>
      <x:c r="G265" s="90" t="n">
        <x:v>1421323694.58</x:v>
      </x:c>
      <x:c r="H265" s="90" t="n">
        <x:v>801537003.81</x:v>
      </x:c>
      <x:c r="I265" s="90" t="n">
        <x:v>420983944.1</x:v>
      </x:c>
      <x:c r="J265" s="90" t="n">
        <x:v>3843639574.34</x:v>
      </x:c>
      <x:c r="K265" s="90" t="n">
        <x:v>107542267.1</x:v>
      </x:c>
      <x:c r="L265" s="90" t="n">
        <x:v>37341348.91</x:v>
      </x:c>
      <x:c r="M265" s="90" t="n">
        <x:v>942993234.29</x:v>
      </x:c>
      <x:c r="N265" s="90" t="n">
        <x:v>920841505.88</x:v>
      </x:c>
      <x:c r="O265" s="90" t="n">
        <x:v>4352907923.98</x:v>
      </x:c>
      <x:c r="P265" s="90" t="n">
        <x:v>3362330752.72</x:v>
      </x:c>
      <x:c r="Q265" s="90" t="n">
        <x:v>175508531.68</x:v>
      </x:c>
      <x:c r="R265" s="90" t="n">
        <x:v>116676.53</x:v>
      </x:c>
      <x:c r="S265" s="90" t="n">
        <x:v>-3973599.86</x:v>
      </x:c>
      <x:c r="T265" s="150" t="n">
        <x:v>0.71</x:v>
      </x:c>
      <x:c r="U265" s="150">
        <x:v>0</x:v>
      </x:c>
      <x:c r="V265" s="150">
        <x:v>0</x:v>
      </x:c>
      <x:c r="W265" s="150">
        <x:v>0</x:v>
      </x:c>
      <x:c r="X265">
        <x:v>0</x:v>
      </x:c>
      <x:c r="Y265">
        <x:v>0</x:v>
      </x:c>
      <x:c r="Z265">
        <x:v>0</x:v>
      </x:c>
    </x:row>
    <x:row r="266" spans="1:26" ht="12.75" hidden="1" customHeight="1" x14ac:dyDescent="0.25">
      <x:c r="A266" s="89"/>
      <x:c r="B266" s="89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  <x:c r="S266" s="90"/>
    </x:row>
    <x:row r="267" spans="1:26" ht="12.75" hidden="1" customHeight="1" x14ac:dyDescent="0.25">
      <x:c r="E267" s="89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  <x:c r="S267" s="90"/>
    </x:row>
    <x:row r="268" spans="1:26" ht="12.75" hidden="1" customHeight="1" x14ac:dyDescent="0.25">
      <x:c r="D268" s="89"/>
      <x:c r="E268" s="89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26" ht="12.75" hidden="1" customHeight="1" x14ac:dyDescent="0.25">
      <x:c r="D269" s="89"/>
      <x:c r="E269" s="89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  <x:c r="S269" s="90"/>
    </x:row>
    <x:row r="270" spans="1:26" ht="12.75" hidden="1" customHeight="1" x14ac:dyDescent="0.25">
      <x:c r="E270" s="89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19" ht="12.75" hidden="1" customHeight="1" x14ac:dyDescent="0.25">
      <x:c r="D271" s="89"/>
      <x:c r="E271" s="89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  <x:c r="R271" s="90"/>
      <x:c r="S271" s="90"/>
    </x:row>
    <x:row r="272" spans="1:19" ht="12.75" hidden="1" customHeight="1" x14ac:dyDescent="0.25">
      <x:c r="E272" s="89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  <x:c r="S272" s="90"/>
    </x:row>
    <x:row r="273" spans="1:19" ht="12.75" hidden="1" customHeight="1" x14ac:dyDescent="0.25">
      <x:c r="D273" s="89"/>
      <x:c r="E273" s="89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19" ht="12.75" hidden="1" customHeight="1" x14ac:dyDescent="0.25">
      <x:c r="E274" s="89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  <x:c r="R274" s="90"/>
      <x:c r="S274" s="90"/>
    </x:row>
    <x:row r="275" spans="1:19" ht="12.75" hidden="1" customHeight="1" x14ac:dyDescent="0.25">
      <x:c r="D275" s="89"/>
      <x:c r="E275" s="89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19" ht="12.75" hidden="1" customHeight="1" x14ac:dyDescent="0.25">
      <x:c r="C276" s="89"/>
      <x:c r="D276" s="89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  <x:c r="R276" s="90"/>
      <x:c r="S276" s="90"/>
    </x:row>
    <x:row r="277" spans="1:19" ht="12.75" hidden="1" customHeight="1" x14ac:dyDescent="0.25">
      <x:c r="E277" s="89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  <x:c r="S277" s="90"/>
    </x:row>
    <x:row r="278" spans="1:19" ht="12.75" hidden="1" customHeight="1" x14ac:dyDescent="0.25">
      <x:c r="D278" s="89"/>
      <x:c r="E278" s="89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19" ht="12.75" hidden="1" customHeight="1" x14ac:dyDescent="0.25">
      <x:c r="E279" s="89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  <x:c r="R279" s="90"/>
      <x:c r="S279" s="90"/>
    </x:row>
    <x:row r="280" spans="1:19" ht="12.75" hidden="1" customHeight="1" x14ac:dyDescent="0.25"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19" ht="12.75" hidden="1" customHeight="1" x14ac:dyDescent="0.25"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19" ht="12.75" hidden="1" customHeight="1" x14ac:dyDescent="0.25">
      <x:c r="B282" s="89"/>
      <x:c r="C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19" ht="12.75" hidden="1" customHeight="1" x14ac:dyDescent="0.25">
      <x:c r="A283" s="89"/>
      <x:c r="B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19" ht="12.75" hidden="1" customHeight="1" x14ac:dyDescent="0.25">
      <x:c r="A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19" ht="12.75" hidden="1" customHeight="1" x14ac:dyDescent="0.25">
      <x:c r="A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19" ht="12.75" hidden="1" customHeight="1" x14ac:dyDescent="0.25">
      <x:c r="A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3" ht="12.75" hidden="1" customHeight="1" x14ac:dyDescent="0.25">
      <x:c r="A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3" ht="12.75" hidden="1" customHeight="1" x14ac:dyDescent="0.25">
      <x:c r="A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23" ht="12.75" hidden="1" customHeight="1" x14ac:dyDescent="0.25">
      <x:c r="A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  <x:c r="T289" s="150"/>
      <x:c r="U289" s="150"/>
      <x:c r="V289" s="150"/>
      <x:c r="W289" s="150"/>
    </x:row>
    <x:row r="290" spans="1:23" ht="12.75" hidden="1" customHeight="1" x14ac:dyDescent="0.25">
      <x:c r="A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  <x:c r="T290" s="150"/>
      <x:c r="U290" s="150"/>
      <x:c r="V290" s="150"/>
      <x:c r="W290" s="150"/>
    </x:row>
    <x:row r="291" spans="1:23" ht="12.75" hidden="1" customHeight="1" x14ac:dyDescent="0.25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  <x:c r="T291" s="150"/>
      <x:c r="U291" s="150"/>
      <x:c r="V291" s="150"/>
      <x:c r="W291" s="150"/>
    </x:row>
    <x:row r="292" spans="1:23" ht="12.75" hidden="1" customHeight="1" x14ac:dyDescent="0.25">
      <x:c r="A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  <x:c r="T292" s="150"/>
      <x:c r="U292" s="150"/>
      <x:c r="V292" s="150"/>
      <x:c r="W292" s="150"/>
    </x:row>
    <x:row r="293" spans="1:23" ht="12.75" hidden="1" customHeight="1" x14ac:dyDescent="0.25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  <x:c r="T293" s="150"/>
      <x:c r="U293" s="150"/>
      <x:c r="V293" s="150"/>
      <x:c r="W293" s="150"/>
    </x:row>
    <x:row r="294" spans="1:23" ht="12.75" hidden="1" customHeight="1" x14ac:dyDescent="0.25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  <x:c r="T294" s="150"/>
      <x:c r="U294" s="150"/>
      <x:c r="V294" s="150"/>
      <x:c r="W294" s="150"/>
    </x:row>
    <x:row r="295" spans="1:23" ht="12.75" hidden="1" customHeight="1" x14ac:dyDescent="0.25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  <x:c r="T295" s="150"/>
      <x:c r="U295" s="150"/>
      <x:c r="V295" s="150"/>
      <x:c r="W295" s="150"/>
    </x:row>
    <x:row r="296" spans="1:23" ht="12.75" hidden="1" customHeight="1" x14ac:dyDescent="0.25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  <x:c r="T296" s="150"/>
      <x:c r="U296" s="150"/>
      <x:c r="V296" s="150"/>
      <x:c r="W296" s="150"/>
    </x:row>
    <x:row r="297" spans="1:23" ht="12.75" hidden="1" customHeight="1" x14ac:dyDescent="0.25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  <x:c r="T297" s="150"/>
      <x:c r="U297" s="150"/>
      <x:c r="V297" s="150"/>
      <x:c r="W297" s="150"/>
    </x:row>
    <x:row r="298" spans="1:23" ht="12.75" hidden="1" customHeight="1" x14ac:dyDescent="0.25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  <x:c r="T298" s="150"/>
      <x:c r="U298" s="150"/>
      <x:c r="V298" s="150"/>
      <x:c r="W298" s="150"/>
    </x:row>
    <x:row r="299" spans="1:23" ht="12.75" hidden="1" customHeight="1" x14ac:dyDescent="0.25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  <x:c r="T299" s="150"/>
      <x:c r="U299" s="150"/>
      <x:c r="V299" s="150"/>
      <x:c r="W299" s="150"/>
    </x:row>
    <x:row r="300" spans="1:23" ht="12.75" hidden="1" customHeight="1" x14ac:dyDescent="0.25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  <x:c r="T300" s="150"/>
      <x:c r="U300" s="150"/>
      <x:c r="V300" s="150"/>
      <x:c r="W300" s="150"/>
    </x:row>
    <x:row r="301" spans="1:23" ht="12.75" hidden="1" customHeight="1" x14ac:dyDescent="0.25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  <x:c r="T301" s="150"/>
      <x:c r="U301" s="150"/>
      <x:c r="V301" s="150"/>
      <x:c r="W301" s="150"/>
    </x:row>
    <x:row r="302" spans="1:23" ht="12.75" hidden="1" customHeight="1" x14ac:dyDescent="0.25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  <x:c r="T302" s="150"/>
      <x:c r="U302" s="150"/>
      <x:c r="V302" s="150"/>
      <x:c r="W302" s="150"/>
    </x:row>
    <x:row r="303" spans="1:23" ht="12.75" hidden="1" customHeight="1" x14ac:dyDescent="0.25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  <x:c r="T303" s="150"/>
      <x:c r="U303" s="150"/>
      <x:c r="V303" s="150"/>
      <x:c r="W303" s="150"/>
    </x:row>
    <x:row r="304" spans="1:23" ht="12.75" hidden="1" customHeight="1" x14ac:dyDescent="0.25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  <x:c r="T304" s="150"/>
      <x:c r="U304" s="150"/>
      <x:c r="V304" s="150"/>
      <x:c r="W304" s="150"/>
    </x:row>
    <x:row r="305" spans="1:23" ht="12.75" hidden="1" customHeight="1" x14ac:dyDescent="0.25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  <x:c r="T305" s="150"/>
      <x:c r="U305" s="150"/>
      <x:c r="V305" s="150"/>
      <x:c r="W305" s="150"/>
    </x:row>
    <x:row r="306" spans="1:23" ht="12.75" hidden="1" customHeight="1" x14ac:dyDescent="0.25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  <x:c r="T306" s="150"/>
      <x:c r="U306" s="150"/>
      <x:c r="V306" s="150"/>
      <x:c r="W306" s="150"/>
    </x:row>
    <x:row r="307" spans="1:23" ht="12.75" hidden="1" customHeight="1" x14ac:dyDescent="0.25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  <x:c r="T307" s="150"/>
      <x:c r="U307" s="150"/>
      <x:c r="V307" s="150"/>
      <x:c r="W307" s="150"/>
    </x:row>
    <x:row r="308" spans="1:23" ht="12.75" hidden="1" customHeight="1" x14ac:dyDescent="0.25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  <x:c r="T308" s="150"/>
      <x:c r="U308" s="150"/>
      <x:c r="V308" s="150"/>
      <x:c r="W308" s="150"/>
    </x:row>
    <x:row r="309" spans="1:23" ht="12.75" hidden="1" customHeight="1" x14ac:dyDescent="0.25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  <x:c r="T309" s="150"/>
      <x:c r="U309" s="150"/>
      <x:c r="V309" s="150"/>
      <x:c r="W309" s="150"/>
    </x:row>
    <x:row r="310" spans="1:23" ht="12.75" hidden="1" customHeight="1" x14ac:dyDescent="0.25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  <x:c r="T310" s="150"/>
      <x:c r="U310" s="150"/>
      <x:c r="V310" s="150"/>
      <x:c r="W310" s="150"/>
    </x:row>
    <x:row r="311" spans="1:23" ht="12.75" hidden="1" customHeight="1" x14ac:dyDescent="0.25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  <x:c r="T311" s="150"/>
      <x:c r="U311" s="150"/>
      <x:c r="V311" s="150"/>
      <x:c r="W311" s="150"/>
    </x:row>
    <x:row r="312" spans="1:23" ht="12.75" hidden="1" customHeight="1" x14ac:dyDescent="0.25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  <x:c r="T312" s="150"/>
      <x:c r="U312" s="150"/>
      <x:c r="V312" s="150"/>
      <x:c r="W312" s="150"/>
    </x:row>
    <x:row r="313" spans="1:23" ht="12.75" hidden="1" customHeight="1" x14ac:dyDescent="0.25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  <x:c r="T313" s="150"/>
      <x:c r="U313" s="150"/>
      <x:c r="V313" s="150"/>
      <x:c r="W313" s="150"/>
    </x:row>
    <x:row r="314" spans="1:23" ht="12.75" hidden="1" customHeight="1" x14ac:dyDescent="0.25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  <x:c r="T314" s="150"/>
      <x:c r="U314" s="150"/>
      <x:c r="V314" s="150"/>
      <x:c r="W314" s="150"/>
    </x:row>
    <x:row r="315" spans="1:23" ht="12.75" hidden="1" customHeight="1" x14ac:dyDescent="0.25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  <x:c r="T315" s="150"/>
      <x:c r="U315" s="150"/>
      <x:c r="V315" s="150"/>
      <x:c r="W315" s="150"/>
    </x:row>
    <x:row r="316" spans="1:23" ht="12.75" hidden="1" customHeight="1" x14ac:dyDescent="0.25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  <x:c r="T316" s="150"/>
      <x:c r="U316" s="150"/>
      <x:c r="V316" s="150"/>
      <x:c r="W316" s="150"/>
    </x:row>
    <x:row r="317" spans="1:23" ht="12.75" hidden="1" customHeight="1" x14ac:dyDescent="0.25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  <x:c r="T317" s="150"/>
      <x:c r="U317" s="150"/>
      <x:c r="V317" s="150"/>
      <x:c r="W317" s="150"/>
    </x:row>
    <x:row r="318" spans="1:23" ht="12.75" hidden="1" customHeight="1" x14ac:dyDescent="0.25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  <x:c r="T318" s="150"/>
      <x:c r="U318" s="150"/>
      <x:c r="V318" s="150"/>
      <x:c r="W318" s="150"/>
    </x:row>
    <x:row r="319" spans="1:41" ht="12.75" hidden="1" customHeight="1" x14ac:dyDescent="0.25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  <x:c r="T319" s="150"/>
      <x:c r="U319" s="150"/>
      <x:c r="V319" s="150"/>
      <x:c r="W319" s="150"/>
    </x:row>
    <x:row r="320" spans="1:41" ht="12.75" hidden="1" customHeight="1" x14ac:dyDescent="0.25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  <x:c r="T320" s="150"/>
      <x:c r="U320" s="150"/>
      <x:c r="V320" s="150"/>
      <x:c r="W320" s="150"/>
    </x:row>
    <x:row r="321" spans="1:41" ht="12.75" hidden="1" customHeight="1" x14ac:dyDescent="0.25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  <x:c r="T321" s="150"/>
      <x:c r="U321" s="150"/>
      <x:c r="V321" s="150"/>
      <x:c r="W321" s="150"/>
    </x:row>
    <x:row r="322" spans="1:41" ht="12.75" hidden="1" customHeight="1" x14ac:dyDescent="0.25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  <x:c r="T322" s="150"/>
      <x:c r="U322" s="150"/>
      <x:c r="V322" s="150"/>
      <x:c r="W322" s="150"/>
    </x:row>
    <x:row r="323" spans="1:41" ht="12.75" customHeight="1" x14ac:dyDescent="0.25">
      <x:c r="A323" s="89"/>
      <x:c r="F323" s="90"/>
      <x:c r="G323" s="90"/>
      <x:c r="H323" s="90"/>
      <x:c r="I323" s="90"/>
      <x:c r="J323" s="90"/>
      <x:c r="K323" s="90"/>
      <x:c r="L323" s="90"/>
      <x:c r="M323" s="90"/>
      <x:c r="N323" s="90"/>
      <x:c r="O323" s="90"/>
      <x:c r="P323" s="90"/>
      <x:c r="Q323" s="90"/>
      <x:c r="R323" s="90"/>
      <x:c r="S323" s="90"/>
      <x:c r="T323" s="150"/>
      <x:c r="U323" s="150"/>
      <x:c r="V323" s="150"/>
      <x:c r="W323" s="150"/>
    </x:row>
    <x:row r="324" spans="1:41" ht="12.75" customHeight="1" x14ac:dyDescent="0.25">
      <x:c r="A324" s="89"/>
      <x:c r="F324" s="90"/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  <x:c r="T324" s="150"/>
      <x:c r="U324" s="150"/>
      <x:c r="V324" s="150"/>
      <x:c r="W324" s="150"/>
    </x:row>
    <x:row r="325" spans="1:41" ht="12.75" customHeight="1" x14ac:dyDescent="0.25">
      <x:c r="C325" s="774" t="s">
        <x:v>2</x:v>
      </x:c>
      <x:c r="D325" s="771" t="s">
        <x:v>132</x:v>
      </x:c>
      <x:c r="E325" s="98" t="s">
        <x:v>70</x:v>
      </x:c>
      <x:c r="F325" s="100">
        <x:f>F253+F265+F232-L232-L253</x:f>
        <x:v>15226209207.130001</x:v>
      </x:c>
      <x:c r="G325" s="100">
        <x:f>G253+G232</x:f>
        <x:v>1154352513.9099998</x:v>
      </x:c>
      <x:c r="H325" s="100">
        <x:f t="shared" ref="H325:AO325" si="14">H253+H232</x:f>
        <x:v>650770459.23000002</x:v>
      </x:c>
      <x:c r="I325" s="100">
        <x:f t="shared" si="14"/>
        <x:v>342056191.35999995</x:v>
      </x:c>
      <x:c r="J325" s="100">
        <x:f t="shared" si="14"/>
        <x:v>3421408839.6399999</x:v>
      </x:c>
      <x:c r="K325" s="100">
        <x:f t="shared" si="14"/>
        <x:v>125779556.72</x:v>
      </x:c>
      <x:c r="L325" s="100">
        <x:f t="shared" si="14"/>
        <x:v>14319220.949999999</x:v>
      </x:c>
      <x:c r="M325" s="100">
        <x:f t="shared" si="14"/>
        <x:v>1103091507.73</x:v>
      </x:c>
      <x:c r="N325" s="100">
        <x:f t="shared" si="14"/>
        <x:v>1086971984.1900001</x:v>
      </x:c>
      <x:c r="O325" s="100">
        <x:f t="shared" si="14"/>
        <x:v>5143912413.1300001</x:v>
      </x:c>
      <x:c r="P325" s="100">
        <x:f t="shared" si="14"/>
        <x:v>2684422813.5500002</x:v>
      </x:c>
      <x:c r="Q325" s="100">
        <x:f t="shared" si="14"/>
        <x:v>205320738.77000001</x:v>
      </x:c>
      <x:c r="R325" s="100">
        <x:f t="shared" si="14"/>
        <x:v>246494.88</x:v>
      </x:c>
      <x:c r="S325" s="100">
        <x:f t="shared" si="14"/>
        <x:v>-11886.83</x:v>
      </x:c>
      <x:c r="T325" s="100">
        <x:f t="shared" si="14"/>
        <x:v>0.51</x:v>
      </x:c>
      <x:c r="U325" s="100">
        <x:f t="shared" si="14"/>
        <x:v>0</x:v>
      </x:c>
      <x:c r="V325" s="100">
        <x:f t="shared" si="14"/>
        <x:v>0</x:v>
      </x:c>
      <x:c r="W325" s="100">
        <x:f t="shared" si="14"/>
        <x:v>0</x:v>
      </x:c>
      <x:c r="X325" s="100">
        <x:f t="shared" si="14"/>
        <x:v>0</x:v>
      </x:c>
      <x:c r="Y325" s="100">
        <x:f t="shared" si="14"/>
        <x:v>0</x:v>
      </x:c>
      <x:c r="Z325" s="100">
        <x:f t="shared" si="14"/>
        <x:v>0</x:v>
      </x:c>
      <x:c r="AA325" s="100">
        <x:f t="shared" si="14"/>
        <x:v>0</x:v>
      </x:c>
      <x:c r="AB325" s="100">
        <x:f t="shared" si="14"/>
        <x:v>0</x:v>
      </x:c>
      <x:c r="AC325" s="100">
        <x:f t="shared" si="14"/>
        <x:v>0</x:v>
      </x:c>
      <x:c r="AD325" s="100">
        <x:f t="shared" si="14"/>
        <x:v>0</x:v>
      </x:c>
      <x:c r="AE325" s="100">
        <x:f t="shared" si="14"/>
        <x:v>0</x:v>
      </x:c>
      <x:c r="AF325" s="100">
        <x:f t="shared" si="14"/>
        <x:v>0</x:v>
      </x:c>
      <x:c r="AG325" s="100">
        <x:f t="shared" si="14"/>
        <x:v>0</x:v>
      </x:c>
      <x:c r="AH325" s="100">
        <x:f t="shared" si="14"/>
        <x:v>0</x:v>
      </x:c>
      <x:c r="AI325" s="100">
        <x:f t="shared" si="14"/>
        <x:v>0</x:v>
      </x:c>
      <x:c r="AJ325" s="100">
        <x:f t="shared" si="14"/>
        <x:v>0</x:v>
      </x:c>
      <x:c r="AK325" s="100">
        <x:f t="shared" si="14"/>
        <x:v>0</x:v>
      </x:c>
      <x:c r="AL325" s="100">
        <x:f t="shared" si="14"/>
        <x:v>0</x:v>
      </x:c>
      <x:c r="AM325" s="100">
        <x:f t="shared" si="14"/>
        <x:v>0</x:v>
      </x:c>
      <x:c r="AN325" s="100">
        <x:f t="shared" si="14"/>
        <x:v>0</x:v>
      </x:c>
      <x:c r="AO325" s="100">
        <x:f t="shared" si="14"/>
        <x:v>0</x:v>
      </x:c>
    </x:row>
    <x:row r="326" spans="1:41" ht="12.75" customHeight="1" x14ac:dyDescent="0.25">
      <x:c r="C326" s="774"/>
      <x:c r="D326" s="771"/>
      <x:c r="E326" s="98" t="s">
        <x:v>73</x:v>
      </x:c>
      <x:c r="F326" s="100">
        <x:f>F265</x:f>
        <x:v>-692112419.65999997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  <x:c r="S326" s="90"/>
    </x:row>
    <x:row r="327" spans="1:41" ht="12.75" customHeight="1" x14ac:dyDescent="0.25">
      <x:c r="A327" s="90"/>
      <x:c r="C327" s="774"/>
      <x:c r="D327" s="771" t="s">
        <x:v>133</x:v>
      </x:c>
      <x:c r="E327" s="233" t="s">
        <x:v>70</x:v>
      </x:c>
      <x:c r="F327" s="234">
        <x:f>F258+F238-L238</x:f>
        <x:v>1307680</x:v>
      </x:c>
      <x:c r="G327" s="234">
        <x:f>G238</x:f>
        <x:v>147598.38</x:v>
      </x:c>
      <x:c r="H327" s="234">
        <x:f t="shared" ref="H327:AO327" si="15">H238</x:f>
        <x:v>66140.960000000006</x:v>
      </x:c>
      <x:c r="I327" s="234">
        <x:f t="shared" si="15"/>
        <x:v>37291.57</x:v>
      </x:c>
      <x:c r="J327" s="234">
        <x:f t="shared" si="15"/>
        <x:v>33572.080000000002</x:v>
      </x:c>
      <x:c r="K327" s="234">
        <x:f t="shared" si="15"/>
        <x:v>682.45</x:v>
      </x:c>
      <x:c r="L327" s="234">
        <x:f t="shared" si="15"/>
        <x:v>0</x:v>
      </x:c>
      <x:c r="M327" s="234">
        <x:f t="shared" si="15"/>
        <x:v>5991.23</x:v>
      </x:c>
      <x:c r="N327" s="234">
        <x:f t="shared" si="15"/>
        <x:v>7293.25</x:v>
      </x:c>
      <x:c r="O327" s="234">
        <x:f t="shared" si="15"/>
        <x:v>33919.089999999997</x:v>
      </x:c>
      <x:c r="P327" s="234">
        <x:f t="shared" si="15"/>
        <x:v>346942.9</x:v>
      </x:c>
      <x:c r="Q327" s="234">
        <x:f t="shared" si="15"/>
        <x:v>1113.3699999999999</x:v>
      </x:c>
      <x:c r="R327" s="234">
        <x:f t="shared" si="15"/>
        <x:v>-7.95</x:v>
      </x:c>
      <x:c r="S327" s="234">
        <x:f t="shared" si="15"/>
        <x:v>0.7</x:v>
      </x:c>
      <x:c r="T327" s="234">
        <x:f t="shared" si="15"/>
        <x:v>0</x:v>
      </x:c>
      <x:c r="U327" s="234">
        <x:f t="shared" si="15"/>
        <x:v>0</x:v>
      </x:c>
      <x:c r="V327" s="234">
        <x:f t="shared" si="15"/>
        <x:v>0</x:v>
      </x:c>
      <x:c r="W327" s="234">
        <x:f t="shared" si="15"/>
        <x:v>0</x:v>
      </x:c>
      <x:c r="X327" s="234">
        <x:f t="shared" si="15"/>
        <x:v>0</x:v>
      </x:c>
      <x:c r="Y327" s="234">
        <x:f t="shared" si="15"/>
        <x:v>0</x:v>
      </x:c>
      <x:c r="Z327" s="234">
        <x:f t="shared" si="15"/>
        <x:v>0</x:v>
      </x:c>
      <x:c r="AA327" s="234">
        <x:f t="shared" si="15"/>
        <x:v>0</x:v>
      </x:c>
      <x:c r="AB327" s="234">
        <x:f t="shared" si="15"/>
        <x:v>0</x:v>
      </x:c>
      <x:c r="AC327" s="234">
        <x:f t="shared" si="15"/>
        <x:v>0</x:v>
      </x:c>
      <x:c r="AD327" s="234">
        <x:f t="shared" si="15"/>
        <x:v>0</x:v>
      </x:c>
      <x:c r="AE327" s="234">
        <x:f t="shared" si="15"/>
        <x:v>0</x:v>
      </x:c>
      <x:c r="AF327" s="234">
        <x:f t="shared" si="15"/>
        <x:v>0</x:v>
      </x:c>
      <x:c r="AG327" s="234">
        <x:f t="shared" si="15"/>
        <x:v>0</x:v>
      </x:c>
      <x:c r="AH327" s="234">
        <x:f t="shared" si="15"/>
        <x:v>0</x:v>
      </x:c>
      <x:c r="AI327" s="234">
        <x:f t="shared" si="15"/>
        <x:v>0</x:v>
      </x:c>
      <x:c r="AJ327" s="234">
        <x:f t="shared" si="15"/>
        <x:v>0</x:v>
      </x:c>
      <x:c r="AK327" s="234">
        <x:f t="shared" si="15"/>
        <x:v>0</x:v>
      </x:c>
      <x:c r="AL327" s="234">
        <x:f t="shared" si="15"/>
        <x:v>0</x:v>
      </x:c>
      <x:c r="AM327" s="234">
        <x:f t="shared" si="15"/>
        <x:v>0</x:v>
      </x:c>
      <x:c r="AN327" s="234">
        <x:f t="shared" si="15"/>
        <x:v>0</x:v>
      </x:c>
      <x:c r="AO327" s="234">
        <x:f t="shared" si="15"/>
        <x:v>0</x:v>
      </x:c>
    </x:row>
    <x:row r="328" spans="1:41" ht="12.75" customHeight="1" x14ac:dyDescent="0.25">
      <x:c r="C328" s="774"/>
      <x:c r="D328" s="771"/>
      <x:c r="E328" s="233" t="s">
        <x:v>73</x:v>
      </x:c>
      <x:c r="F328" s="234">
        <x:f>F258</x:f>
        <x:v>627141.97</x:v>
      </x:c>
      <x:c r="G328" s="371"/>
      <x:c r="H328" s="90"/>
      <x:c r="I328" s="90"/>
      <x:c r="J328" s="90"/>
      <x:c r="K328" s="90"/>
      <x:c r="L328" s="90"/>
      <x:c r="M328" s="90"/>
      <x:c r="N328" s="90"/>
      <x:c r="O328" s="90"/>
      <x:c r="P328" s="90"/>
      <x:c r="Q328" s="90"/>
      <x:c r="R328" s="90"/>
    </x:row>
    <x:row r="329" spans="1:41" ht="12.75" customHeight="1" x14ac:dyDescent="0.3">
      <x:c r="A329" s="89"/>
      <x:c r="C329" s="97"/>
      <x:c r="F329" s="90"/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1" ht="12.75" customHeight="1" x14ac:dyDescent="0.25">
      <x:c r="C330" s="774" t="s">
        <x:v>160</x:v>
      </x:c>
      <x:c r="D330" s="771" t="s">
        <x:v>132</x:v>
      </x:c>
      <x:c r="E330" s="223" t="s">
        <x:v>70</x:v>
      </x:c>
      <x:c r="F330" s="225">
        <x:v>0</x:v>
      </x:c>
      <x:c r="G330" s="225">
        <x:v>0</x:v>
      </x:c>
      <x:c r="H330" s="225">
        <x:v>0</x:v>
      </x:c>
      <x:c r="I330" s="225">
        <x:v>0</x:v>
      </x:c>
      <x:c r="J330" s="225">
        <x:v>0</x:v>
      </x:c>
      <x:c r="K330" s="225">
        <x:v>0</x:v>
      </x:c>
      <x:c r="L330" s="225">
        <x:v>0</x:v>
      </x:c>
      <x:c r="M330" s="225">
        <x:v>0</x:v>
      </x:c>
      <x:c r="N330" s="225">
        <x:v>0</x:v>
      </x:c>
      <x:c r="O330" s="225">
        <x:v>0</x:v>
      </x:c>
      <x:c r="P330" s="225">
        <x:v>0</x:v>
      </x:c>
      <x:c r="Q330" s="225">
        <x:v>0</x:v>
      </x:c>
      <x:c r="R330" s="225">
        <x:v>0</x:v>
      </x:c>
      <x:c r="S330" s="225">
        <x:v>0</x:v>
      </x:c>
      <x:c r="T330" s="225">
        <x:v>0</x:v>
      </x:c>
      <x:c r="U330" s="225"/>
      <x:c r="V330" s="225"/>
      <x:c r="W330" s="225"/>
      <x:c r="X330" s="225">
        <x:v>0</x:v>
      </x:c>
      <x:c r="Y330" s="225">
        <x:v>0</x:v>
      </x:c>
      <x:c r="Z330" s="225">
        <x:v>0</x:v>
      </x:c>
      <x:c r="AA330" s="225">
        <x:v>0</x:v>
      </x:c>
      <x:c r="AB330" s="225">
        <x:v>0</x:v>
      </x:c>
      <x:c r="AC330" s="225">
        <x:v>0</x:v>
      </x:c>
      <x:c r="AD330" s="225">
        <x:v>0</x:v>
      </x:c>
      <x:c r="AE330" s="225">
        <x:v>0</x:v>
      </x:c>
      <x:c r="AF330" s="225">
        <x:v>0</x:v>
      </x:c>
      <x:c r="AG330" s="225">
        <x:v>0</x:v>
      </x:c>
      <x:c r="AH330" s="225">
        <x:v>0</x:v>
      </x:c>
      <x:c r="AI330" s="225">
        <x:v>0</x:v>
      </x:c>
      <x:c r="AJ330" s="225">
        <x:v>0</x:v>
      </x:c>
      <x:c r="AK330" s="225">
        <x:v>0</x:v>
      </x:c>
      <x:c r="AL330" s="225">
        <x:v>0</x:v>
      </x:c>
      <x:c r="AM330" s="225">
        <x:v>0</x:v>
      </x:c>
      <x:c r="AN330" s="225">
        <x:v>0</x:v>
      </x:c>
      <x:c r="AO330" s="225">
        <x:v>0</x:v>
      </x:c>
    </x:row>
    <x:row r="331" spans="1:41" ht="12.75" customHeight="1" x14ac:dyDescent="0.25">
      <x:c r="C331" s="774"/>
      <x:c r="D331" s="771"/>
      <x:c r="E331" s="223" t="s">
        <x:v>73</x:v>
      </x:c>
      <x:c r="F331" s="225"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  <x:c r="S331" s="90"/>
    </x:row>
    <x:row r="332" spans="1:41" ht="12.75" customHeight="1" x14ac:dyDescent="0.25">
      <x:c r="C332" s="774"/>
      <x:c r="D332" s="771" t="s">
        <x:v>133</x:v>
      </x:c>
      <x:c r="E332" s="227" t="s">
        <x:v>70</x:v>
      </x:c>
      <x:c r="F332" s="228">
        <x:v>0</x:v>
      </x:c>
      <x:c r="G332" s="228">
        <x:v>0</x:v>
      </x:c>
      <x:c r="H332" s="228">
        <x:v>0</x:v>
      </x:c>
      <x:c r="I332" s="228">
        <x:v>0</x:v>
      </x:c>
      <x:c r="J332" s="228">
        <x:v>0</x:v>
      </x:c>
      <x:c r="K332" s="228">
        <x:v>0</x:v>
      </x:c>
      <x:c r="L332" s="228">
        <x:v>0</x:v>
      </x:c>
      <x:c r="M332" s="228">
        <x:v>0</x:v>
      </x:c>
      <x:c r="N332" s="228">
        <x:v>0</x:v>
      </x:c>
      <x:c r="O332" s="228">
        <x:v>0</x:v>
      </x:c>
      <x:c r="P332" s="228">
        <x:v>0</x:v>
      </x:c>
      <x:c r="Q332" s="228">
        <x:v>0</x:v>
      </x:c>
      <x:c r="R332" s="228">
        <x:v>0</x:v>
      </x:c>
      <x:c r="S332" s="228">
        <x:v>0</x:v>
      </x:c>
      <x:c r="T332" s="228">
        <x:v>0</x:v>
      </x:c>
      <x:c r="U332" s="228"/>
      <x:c r="V332" s="228"/>
      <x:c r="W332" s="228"/>
      <x:c r="X332" s="228">
        <x:v>0</x:v>
      </x:c>
      <x:c r="Y332" s="228">
        <x:v>0</x:v>
      </x:c>
      <x:c r="Z332" s="228">
        <x:v>0</x:v>
      </x:c>
      <x:c r="AA332" s="228">
        <x:v>0</x:v>
      </x:c>
      <x:c r="AB332" s="228">
        <x:v>0</x:v>
      </x:c>
      <x:c r="AC332" s="228">
        <x:v>0</x:v>
      </x:c>
      <x:c r="AD332" s="228">
        <x:v>0</x:v>
      </x:c>
      <x:c r="AE332" s="228">
        <x:v>0</x:v>
      </x:c>
      <x:c r="AF332" s="228">
        <x:v>0</x:v>
      </x:c>
      <x:c r="AG332" s="228">
        <x:v>0</x:v>
      </x:c>
      <x:c r="AH332" s="228">
        <x:v>0</x:v>
      </x:c>
      <x:c r="AI332" s="228">
        <x:v>0</x:v>
      </x:c>
      <x:c r="AJ332" s="228">
        <x:v>0</x:v>
      </x:c>
      <x:c r="AK332" s="228">
        <x:v>0</x:v>
      </x:c>
      <x:c r="AL332" s="228">
        <x:v>0</x:v>
      </x:c>
      <x:c r="AM332" s="228">
        <x:v>0</x:v>
      </x:c>
      <x:c r="AN332" s="228">
        <x:v>0</x:v>
      </x:c>
      <x:c r="AO332" s="228">
        <x:v>0</x:v>
      </x:c>
    </x:row>
    <x:row r="333" spans="1:41" ht="12.75" customHeight="1" x14ac:dyDescent="0.25">
      <x:c r="C333" s="774"/>
      <x:c r="D333" s="771"/>
      <x:c r="E333" s="227" t="s">
        <x:v>73</x:v>
      </x:c>
      <x:c r="F333" s="228">
        <x:v>0</x:v>
      </x:c>
      <x:c r="G333" s="90"/>
      <x:c r="H333" s="90"/>
      <x:c r="I333" s="90"/>
      <x:c r="J333" s="90"/>
      <x:c r="K333" s="90"/>
      <x:c r="L333" s="90"/>
      <x:c r="M333" s="90"/>
      <x:c r="N333" s="90"/>
      <x:c r="O333" s="90"/>
      <x:c r="P333" s="90"/>
      <x:c r="Q333" s="90"/>
      <x:c r="R333" s="90"/>
    </x:row>
    <x:row r="334" spans="1:41" ht="12.75" customHeight="1" x14ac:dyDescent="0.3">
      <x:c r="A334" s="89"/>
      <x:c r="C334" s="97"/>
      <x:c r="F334" s="90"/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1" ht="12.75" customHeight="1" x14ac:dyDescent="0.25">
      <x:c r="C335" s="774" t="s">
        <x:v>155</x:v>
      </x:c>
      <x:c r="D335" s="771" t="s">
        <x:v>132</x:v>
      </x:c>
      <x:c r="E335" s="221" t="s">
        <x:v>70</x:v>
      </x:c>
      <x:c r="F335" s="222">
        <x:f>F261+F242-L242</x:f>
        <x:v>13997194578.870001</x:v>
      </x:c>
      <x:c r="G335" s="222">
        <x:f>G242</x:f>
        <x:v>987122183.24000001</x:v>
      </x:c>
      <x:c r="H335" s="222">
        <x:f t="shared" ref="H335:AO335" si="16">H242</x:f>
        <x:v>556797987.04999995</x:v>
      </x:c>
      <x:c r="I335" s="222">
        <x:f t="shared" si="16"/>
        <x:v>292504434.60000002</x:v>
      </x:c>
      <x:c r="J335" s="222">
        <x:f t="shared" si="16"/>
        <x:v>3384957591.0900002</x:v>
      </x:c>
      <x:c r="K335" s="222">
        <x:f t="shared" si="16"/>
        <x:v>124652663.64</x:v>
      </x:c>
      <x:c r="L335" s="222">
        <x:f t="shared" si="16"/>
        <x:v>13007833.130000001</x:v>
      </x:c>
      <x:c r="M335" s="222">
        <x:f t="shared" si="16"/>
        <x:v>1093234289.8399999</x:v>
      </x:c>
      <x:c r="N335" s="222">
        <x:f t="shared" si="16"/>
        <x:v>1073707981.87</x:v>
      </x:c>
      <x:c r="O335" s="222">
        <x:f t="shared" si="16"/>
        <x:v>5081970328.25</x:v>
      </x:c>
      <x:c r="P335" s="222">
        <x:f t="shared" si="16"/>
        <x:v>2295380517.8499999</x:v>
      </x:c>
      <x:c r="Q335" s="222">
        <x:f t="shared" si="16"/>
        <x:v>203480280.53</x:v>
      </x:c>
      <x:c r="R335" s="222">
        <x:f t="shared" si="16"/>
        <x:v>247498.34</x:v>
      </x:c>
      <x:c r="S335" s="222">
        <x:f t="shared" si="16"/>
        <x:v>-0.27</x:v>
      </x:c>
      <x:c r="T335" s="222">
        <x:f t="shared" si="16"/>
        <x:v>0.51</x:v>
      </x:c>
      <x:c r="U335" s="222">
        <x:f t="shared" si="16"/>
        <x:v>0</x:v>
      </x:c>
      <x:c r="V335" s="222">
        <x:f t="shared" si="16"/>
        <x:v>0</x:v>
      </x:c>
      <x:c r="W335" s="222">
        <x:f t="shared" si="16"/>
        <x:v>0</x:v>
      </x:c>
      <x:c r="X335" s="222">
        <x:f t="shared" si="16"/>
        <x:v>0</x:v>
      </x:c>
      <x:c r="Y335" s="222">
        <x:f t="shared" si="16"/>
        <x:v>0</x:v>
      </x:c>
      <x:c r="Z335" s="222">
        <x:f t="shared" si="16"/>
        <x:v>0</x:v>
      </x:c>
      <x:c r="AA335" s="222">
        <x:f t="shared" si="16"/>
        <x:v>0</x:v>
      </x:c>
      <x:c r="AB335" s="222">
        <x:f t="shared" si="16"/>
        <x:v>0</x:v>
      </x:c>
      <x:c r="AC335" s="222">
        <x:f t="shared" si="16"/>
        <x:v>0</x:v>
      </x:c>
      <x:c r="AD335" s="222">
        <x:f t="shared" si="16"/>
        <x:v>0</x:v>
      </x:c>
      <x:c r="AE335" s="222">
        <x:f t="shared" si="16"/>
        <x:v>0</x:v>
      </x:c>
      <x:c r="AF335" s="222">
        <x:f t="shared" si="16"/>
        <x:v>0</x:v>
      </x:c>
      <x:c r="AG335" s="222">
        <x:f t="shared" si="16"/>
        <x:v>0</x:v>
      </x:c>
      <x:c r="AH335" s="222">
        <x:f t="shared" si="16"/>
        <x:v>0</x:v>
      </x:c>
      <x:c r="AI335" s="222">
        <x:f t="shared" si="16"/>
        <x:v>0</x:v>
      </x:c>
      <x:c r="AJ335" s="222">
        <x:f t="shared" si="16"/>
        <x:v>0</x:v>
      </x:c>
      <x:c r="AK335" s="222">
        <x:f t="shared" si="16"/>
        <x:v>0</x:v>
      </x:c>
      <x:c r="AL335" s="222">
        <x:f t="shared" si="16"/>
        <x:v>0</x:v>
      </x:c>
      <x:c r="AM335" s="222">
        <x:f t="shared" si="16"/>
        <x:v>0</x:v>
      </x:c>
      <x:c r="AN335" s="222">
        <x:f t="shared" si="16"/>
        <x:v>0</x:v>
      </x:c>
      <x:c r="AO335" s="222">
        <x:f t="shared" si="16"/>
        <x:v>0</x:v>
      </x:c>
    </x:row>
    <x:row r="336" spans="1:41" ht="12.75" customHeight="1" x14ac:dyDescent="0.25">
      <x:c r="C336" s="774"/>
      <x:c r="D336" s="771"/>
      <x:c r="E336" s="221" t="s">
        <x:v>73</x:v>
      </x:c>
      <x:c r="F336" s="222">
        <x:f>F261</x:f>
        <x:v>-1096861177.6700001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  <x:c r="S336" s="90"/>
    </x:row>
    <x:row r="337" spans="1:41" ht="12.75" customHeight="1" x14ac:dyDescent="0.25">
      <x:c r="C337" s="774"/>
      <x:c r="D337" s="771" t="s">
        <x:v>133</x:v>
      </x:c>
      <x:c r="E337" s="229" t="s">
        <x:v>70</x:v>
      </x:c>
      <x:c r="F337" s="230">
        <x:f>F257+F237-L237</x:f>
        <x:v>1307680</x:v>
      </x:c>
      <x:c r="G337" s="230">
        <x:f>G237</x:f>
        <x:v>147598.38</x:v>
      </x:c>
      <x:c r="H337" s="230">
        <x:f t="shared" ref="H337:AO337" si="17">H237</x:f>
        <x:v>66140.960000000006</x:v>
      </x:c>
      <x:c r="I337" s="230">
        <x:f t="shared" si="17"/>
        <x:v>37291.57</x:v>
      </x:c>
      <x:c r="J337" s="230">
        <x:f t="shared" si="17"/>
        <x:v>33572.080000000002</x:v>
      </x:c>
      <x:c r="K337" s="230">
        <x:f t="shared" si="17"/>
        <x:v>682.45</x:v>
      </x:c>
      <x:c r="L337" s="230">
        <x:f t="shared" si="17"/>
        <x:v>0</x:v>
      </x:c>
      <x:c r="M337" s="230">
        <x:f t="shared" si="17"/>
        <x:v>5991.23</x:v>
      </x:c>
      <x:c r="N337" s="230">
        <x:f t="shared" si="17"/>
        <x:v>7293.25</x:v>
      </x:c>
      <x:c r="O337" s="230">
        <x:f t="shared" si="17"/>
        <x:v>33919.089999999997</x:v>
      </x:c>
      <x:c r="P337" s="230">
        <x:f t="shared" si="17"/>
        <x:v>346942.9</x:v>
      </x:c>
      <x:c r="Q337" s="230">
        <x:f t="shared" si="17"/>
        <x:v>1113.3699999999999</x:v>
      </x:c>
      <x:c r="R337" s="230">
        <x:f t="shared" si="17"/>
        <x:v>-7.95</x:v>
      </x:c>
      <x:c r="S337" s="230">
        <x:f t="shared" si="17"/>
        <x:v>0.7</x:v>
      </x:c>
      <x:c r="T337" s="230">
        <x:f t="shared" si="17"/>
        <x:v>0</x:v>
      </x:c>
      <x:c r="U337" s="230">
        <x:f t="shared" si="17"/>
        <x:v>0</x:v>
      </x:c>
      <x:c r="V337" s="230">
        <x:f t="shared" si="17"/>
        <x:v>0</x:v>
      </x:c>
      <x:c r="W337" s="230">
        <x:f t="shared" si="17"/>
        <x:v>0</x:v>
      </x:c>
      <x:c r="X337" s="230">
        <x:f t="shared" si="17"/>
        <x:v>0</x:v>
      </x:c>
      <x:c r="Y337" s="230">
        <x:f t="shared" si="17"/>
        <x:v>0</x:v>
      </x:c>
      <x:c r="Z337" s="230">
        <x:f t="shared" si="17"/>
        <x:v>0</x:v>
      </x:c>
      <x:c r="AA337" s="230">
        <x:f t="shared" si="17"/>
        <x:v>0</x:v>
      </x:c>
      <x:c r="AB337" s="230">
        <x:f t="shared" si="17"/>
        <x:v>0</x:v>
      </x:c>
      <x:c r="AC337" s="230">
        <x:f t="shared" si="17"/>
        <x:v>0</x:v>
      </x:c>
      <x:c r="AD337" s="230">
        <x:f t="shared" si="17"/>
        <x:v>0</x:v>
      </x:c>
      <x:c r="AE337" s="230">
        <x:f t="shared" si="17"/>
        <x:v>0</x:v>
      </x:c>
      <x:c r="AF337" s="230">
        <x:f t="shared" si="17"/>
        <x:v>0</x:v>
      </x:c>
      <x:c r="AG337" s="230">
        <x:f t="shared" si="17"/>
        <x:v>0</x:v>
      </x:c>
      <x:c r="AH337" s="230">
        <x:f t="shared" si="17"/>
        <x:v>0</x:v>
      </x:c>
      <x:c r="AI337" s="230">
        <x:f t="shared" si="17"/>
        <x:v>0</x:v>
      </x:c>
      <x:c r="AJ337" s="230">
        <x:f t="shared" si="17"/>
        <x:v>0</x:v>
      </x:c>
      <x:c r="AK337" s="230">
        <x:f t="shared" si="17"/>
        <x:v>0</x:v>
      </x:c>
      <x:c r="AL337" s="230">
        <x:f t="shared" si="17"/>
        <x:v>0</x:v>
      </x:c>
      <x:c r="AM337" s="230">
        <x:f t="shared" si="17"/>
        <x:v>0</x:v>
      </x:c>
      <x:c r="AN337" s="230">
        <x:f t="shared" si="17"/>
        <x:v>0</x:v>
      </x:c>
      <x:c r="AO337" s="230">
        <x:f t="shared" si="17"/>
        <x:v>0</x:v>
      </x:c>
    </x:row>
    <x:row r="338" spans="1:41" ht="12.75" customHeight="1" x14ac:dyDescent="0.25">
      <x:c r="C338" s="774"/>
      <x:c r="D338" s="771"/>
      <x:c r="E338" s="229" t="s">
        <x:v>73</x:v>
      </x:c>
      <x:c r="F338" s="230">
        <x:f>F257</x:f>
        <x:v>627141.97</x:v>
      </x:c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  <x:c r="R338" s="90"/>
    </x:row>
    <x:row r="339" spans="1:41" ht="12.75" customHeight="1" x14ac:dyDescent="0.3">
      <x:c r="A339" s="89"/>
      <x:c r="C339" s="97"/>
      <x:c r="F339" s="90"/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1" ht="12.75" customHeight="1" x14ac:dyDescent="0.25">
      <x:c r="C340" s="772" t="s">
        <x:v>328</x:v>
      </x:c>
      <x:c r="D340" s="771" t="s">
        <x:v>132</x:v>
      </x:c>
      <x:c r="E340" s="373" t="s">
        <x:v>70</x:v>
      </x:c>
      <x:c r="F340" s="374">
        <x:v>0</x:v>
      </x:c>
      <x:c r="G340" s="374">
        <x:v>0</x:v>
      </x:c>
      <x:c r="H340" s="374">
        <x:v>0</x:v>
      </x:c>
      <x:c r="I340" s="374">
        <x:v>0</x:v>
      </x:c>
      <x:c r="J340" s="374">
        <x:v>0</x:v>
      </x:c>
      <x:c r="K340" s="374">
        <x:v>0</x:v>
      </x:c>
      <x:c r="L340" s="374">
        <x:v>0</x:v>
      </x:c>
      <x:c r="M340" s="374">
        <x:v>0</x:v>
      </x:c>
      <x:c r="N340" s="374">
        <x:v>0</x:v>
      </x:c>
      <x:c r="O340" s="374">
        <x:v>0</x:v>
      </x:c>
      <x:c r="P340" s="374">
        <x:v>0</x:v>
      </x:c>
      <x:c r="Q340" s="374">
        <x:v>0</x:v>
      </x:c>
      <x:c r="R340" s="374">
        <x:v>0</x:v>
      </x:c>
      <x:c r="S340" s="374">
        <x:v>0</x:v>
      </x:c>
      <x:c r="T340" s="374">
        <x:v>0</x:v>
      </x:c>
      <x:c r="U340" s="374">
        <x:v>0</x:v>
      </x:c>
      <x:c r="V340" s="374">
        <x:v>0</x:v>
      </x:c>
      <x:c r="W340" s="374">
        <x:v>0</x:v>
      </x:c>
      <x:c r="X340" s="374">
        <x:v>0</x:v>
      </x:c>
      <x:c r="Y340" s="374">
        <x:v>0</x:v>
      </x:c>
      <x:c r="Z340" s="374">
        <x:v>0</x:v>
      </x:c>
      <x:c r="AA340" s="374">
        <x:v>0</x:v>
      </x:c>
      <x:c r="AB340" s="374">
        <x:v>0</x:v>
      </x:c>
      <x:c r="AC340" s="374">
        <x:v>0</x:v>
      </x:c>
      <x:c r="AD340" s="374">
        <x:v>0</x:v>
      </x:c>
      <x:c r="AE340" s="374">
        <x:v>0</x:v>
      </x:c>
      <x:c r="AF340" s="374">
        <x:v>0</x:v>
      </x:c>
      <x:c r="AG340" s="374">
        <x:v>0</x:v>
      </x:c>
      <x:c r="AH340" s="374">
        <x:v>0</x:v>
      </x:c>
      <x:c r="AI340" s="374">
        <x:v>0</x:v>
      </x:c>
      <x:c r="AJ340" s="374">
        <x:v>0</x:v>
      </x:c>
      <x:c r="AK340" s="374">
        <x:v>0</x:v>
      </x:c>
      <x:c r="AL340" s="374">
        <x:v>0</x:v>
      </x:c>
      <x:c r="AM340" s="374">
        <x:v>0</x:v>
      </x:c>
      <x:c r="AN340" s="374">
        <x:v>0</x:v>
      </x:c>
      <x:c r="AO340" s="374">
        <x:v>0</x:v>
      </x:c>
    </x:row>
    <x:row r="341" spans="1:41" ht="12.75" customHeight="1" x14ac:dyDescent="0.25">
      <x:c r="C341" s="772"/>
      <x:c r="D341" s="771"/>
      <x:c r="E341" s="373" t="s">
        <x:v>73</x:v>
      </x:c>
      <x:c r="F341" s="374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  <x:c r="S341" s="90"/>
    </x:row>
    <x:row r="342" spans="1:41" ht="12.75" customHeight="1" x14ac:dyDescent="0.25">
      <x:c r="C342" s="772"/>
      <x:c r="D342" s="771" t="s">
        <x:v>133</x:v>
      </x:c>
      <x:c r="E342" s="242" t="s">
        <x:v>70</x:v>
      </x:c>
      <x:c r="F342" s="243">
        <x:v>0</x:v>
      </x:c>
      <x:c r="G342" s="243">
        <x:v>0</x:v>
      </x:c>
      <x:c r="H342" s="243">
        <x:v>0</x:v>
      </x:c>
      <x:c r="I342" s="243">
        <x:v>0</x:v>
      </x:c>
      <x:c r="J342" s="243">
        <x:v>0</x:v>
      </x:c>
      <x:c r="K342" s="243">
        <x:v>0</x:v>
      </x:c>
      <x:c r="L342" s="243">
        <x:v>0</x:v>
      </x:c>
      <x:c r="M342" s="243">
        <x:v>0</x:v>
      </x:c>
      <x:c r="N342" s="243">
        <x:v>0</x:v>
      </x:c>
      <x:c r="O342" s="243">
        <x:v>0</x:v>
      </x:c>
      <x:c r="P342" s="243">
        <x:v>0</x:v>
      </x:c>
      <x:c r="Q342" s="243">
        <x:v>0</x:v>
      </x:c>
      <x:c r="R342" s="243">
        <x:v>0</x:v>
      </x:c>
      <x:c r="S342" s="243">
        <x:v>0</x:v>
      </x:c>
      <x:c r="T342" s="243">
        <x:v>0</x:v>
      </x:c>
      <x:c r="U342" s="243">
        <x:v>0</x:v>
      </x:c>
      <x:c r="V342" s="243">
        <x:v>0</x:v>
      </x:c>
      <x:c r="W342" s="243">
        <x:v>0</x:v>
      </x:c>
      <x:c r="X342" s="243">
        <x:v>0</x:v>
      </x:c>
      <x:c r="Y342" s="243">
        <x:v>0</x:v>
      </x:c>
      <x:c r="Z342" s="243">
        <x:v>0</x:v>
      </x:c>
      <x:c r="AA342" s="243">
        <x:v>0</x:v>
      </x:c>
      <x:c r="AB342" s="243">
        <x:v>0</x:v>
      </x:c>
      <x:c r="AC342" s="243">
        <x:v>0</x:v>
      </x:c>
      <x:c r="AD342" s="243">
        <x:v>0</x:v>
      </x:c>
      <x:c r="AE342" s="243">
        <x:v>0</x:v>
      </x:c>
      <x:c r="AF342" s="243">
        <x:v>0</x:v>
      </x:c>
      <x:c r="AG342" s="243">
        <x:v>0</x:v>
      </x:c>
      <x:c r="AH342" s="243">
        <x:v>0</x:v>
      </x:c>
      <x:c r="AI342" s="243">
        <x:v>0</x:v>
      </x:c>
      <x:c r="AJ342" s="243">
        <x:v>0</x:v>
      </x:c>
      <x:c r="AK342" s="243">
        <x:v>0</x:v>
      </x:c>
      <x:c r="AL342" s="243">
        <x:v>0</x:v>
      </x:c>
      <x:c r="AM342" s="243">
        <x:v>0</x:v>
      </x:c>
      <x:c r="AN342" s="243">
        <x:v>0</x:v>
      </x:c>
      <x:c r="AO342" s="243">
        <x:v>0</x:v>
      </x:c>
    </x:row>
    <x:row r="343" spans="1:41" ht="12.75" customHeight="1" x14ac:dyDescent="0.25">
      <x:c r="C343" s="772"/>
      <x:c r="D343" s="771"/>
      <x:c r="E343" s="242" t="s">
        <x:v>73</x:v>
      </x:c>
      <x:c r="F343" s="243">
        <x:v>0</x:v>
      </x:c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  <x:c r="R343" s="90"/>
    </x:row>
    <x:row r="344" spans="1:41" ht="12.75" customHeight="1" x14ac:dyDescent="0.3">
      <x:c r="A344" s="89"/>
      <x:c r="C344" s="97"/>
      <x:c r="F344" s="90"/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1" ht="12.75" customHeight="1" x14ac:dyDescent="0.25">
      <x:c r="C345" s="774" t="s">
        <x:v>119</x:v>
      </x:c>
      <x:c r="D345" s="771" t="s">
        <x:v>132</x:v>
      </x:c>
      <x:c r="E345" s="101" t="s">
        <x:v>70</x:v>
      </x:c>
      <x:c r="F345" s="93">
        <x:f>F265+F252+F231-L231-L252</x:f>
        <x:v>1229014628.26</x:v>
      </x:c>
      <x:c r="G345" s="93">
        <x:f>G252+G231</x:f>
        <x:v>167230330.67000002</x:v>
      </x:c>
      <x:c r="H345" s="93">
        <x:f t="shared" ref="H345:AO345" si="18">H252+H231</x:f>
        <x:v>93972472.179999992</x:v>
      </x:c>
      <x:c r="I345" s="93">
        <x:f t="shared" si="18"/>
        <x:v>49551756.759999998</x:v>
      </x:c>
      <x:c r="J345" s="93">
        <x:f t="shared" si="18"/>
        <x:v>36451248.549999997</x:v>
      </x:c>
      <x:c r="K345" s="93">
        <x:f t="shared" si="18"/>
        <x:v>1126893.08</x:v>
      </x:c>
      <x:c r="L345" s="93">
        <x:f t="shared" si="18"/>
        <x:v>1311387.82</x:v>
      </x:c>
      <x:c r="M345" s="93">
        <x:f t="shared" si="18"/>
        <x:v>9857217.8900000006</x:v>
      </x:c>
      <x:c r="N345" s="93">
        <x:f t="shared" si="18"/>
        <x:v>13264002.32</x:v>
      </x:c>
      <x:c r="O345" s="93">
        <x:f t="shared" si="18"/>
        <x:v>61942084.880000003</x:v>
      </x:c>
      <x:c r="P345" s="93">
        <x:f t="shared" si="18"/>
        <x:v>389042295.69999999</x:v>
      </x:c>
      <x:c r="Q345" s="93">
        <x:f t="shared" si="18"/>
        <x:v>1840458.24</x:v>
      </x:c>
      <x:c r="R345" s="93">
        <x:f t="shared" si="18"/>
        <x:v>-1003.46</x:v>
      </x:c>
      <x:c r="S345" s="93">
        <x:f t="shared" si="18"/>
        <x:v>-11886.56</x:v>
      </x:c>
      <x:c r="T345" s="93">
        <x:f t="shared" si="18"/>
        <x:v>0</x:v>
      </x:c>
      <x:c r="U345" s="93">
        <x:f t="shared" si="18"/>
        <x:v>0</x:v>
      </x:c>
      <x:c r="V345" s="93">
        <x:f t="shared" si="18"/>
        <x:v>0</x:v>
      </x:c>
      <x:c r="W345" s="93">
        <x:f t="shared" si="18"/>
        <x:v>0</x:v>
      </x:c>
      <x:c r="X345" s="93">
        <x:f t="shared" si="18"/>
        <x:v>0</x:v>
      </x:c>
      <x:c r="Y345" s="93">
        <x:f t="shared" si="18"/>
        <x:v>0</x:v>
      </x:c>
      <x:c r="Z345" s="93">
        <x:f t="shared" si="18"/>
        <x:v>0</x:v>
      </x:c>
      <x:c r="AA345" s="93">
        <x:f t="shared" si="18"/>
        <x:v>0</x:v>
      </x:c>
      <x:c r="AB345" s="93">
        <x:f t="shared" si="18"/>
        <x:v>0</x:v>
      </x:c>
      <x:c r="AC345" s="93">
        <x:f t="shared" si="18"/>
        <x:v>0</x:v>
      </x:c>
      <x:c r="AD345" s="93">
        <x:f t="shared" si="18"/>
        <x:v>0</x:v>
      </x:c>
      <x:c r="AE345" s="93">
        <x:f t="shared" si="18"/>
        <x:v>0</x:v>
      </x:c>
      <x:c r="AF345" s="93">
        <x:f t="shared" si="18"/>
        <x:v>0</x:v>
      </x:c>
      <x:c r="AG345" s="93">
        <x:f t="shared" si="18"/>
        <x:v>0</x:v>
      </x:c>
      <x:c r="AH345" s="93">
        <x:f t="shared" si="18"/>
        <x:v>0</x:v>
      </x:c>
      <x:c r="AI345" s="93">
        <x:f t="shared" si="18"/>
        <x:v>0</x:v>
      </x:c>
      <x:c r="AJ345" s="93">
        <x:f t="shared" si="18"/>
        <x:v>0</x:v>
      </x:c>
      <x:c r="AK345" s="93">
        <x:f t="shared" si="18"/>
        <x:v>0</x:v>
      </x:c>
      <x:c r="AL345" s="93">
        <x:f t="shared" si="18"/>
        <x:v>0</x:v>
      </x:c>
      <x:c r="AM345" s="93">
        <x:f t="shared" si="18"/>
        <x:v>0</x:v>
      </x:c>
      <x:c r="AN345" s="93">
        <x:f t="shared" si="18"/>
        <x:v>0</x:v>
      </x:c>
      <x:c r="AO345" s="93">
        <x:f t="shared" si="18"/>
        <x:v>0</x:v>
      </x:c>
    </x:row>
    <x:row r="346" spans="1:41" ht="12.75" customHeight="1" x14ac:dyDescent="0.25">
      <x:c r="C346" s="774"/>
      <x:c r="D346" s="771"/>
      <x:c r="E346" s="101" t="s">
        <x:v>73</x:v>
      </x:c>
      <x:c r="F346" s="93">
        <x:f>F265</x:f>
        <x:v>404748758.00999999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  <x:c r="S346" s="90"/>
    </x:row>
    <x:row r="347" spans="1:41" ht="12.75" customHeight="1" x14ac:dyDescent="0.25">
      <x:c r="C347" s="774"/>
      <x:c r="D347" s="771" t="s">
        <x:v>133</x:v>
      </x:c>
      <x:c r="E347" s="235" t="s">
        <x:v>70</x:v>
      </x:c>
      <x:c r="F347" s="236">
        <x:v>0</x:v>
      </x:c>
      <x:c r="G347" s="236">
        <x:v>0</x:v>
      </x:c>
      <x:c r="H347" s="236">
        <x:v>0</x:v>
      </x:c>
      <x:c r="I347" s="236">
        <x:v>0</x:v>
      </x:c>
      <x:c r="J347" s="236">
        <x:v>0</x:v>
      </x:c>
      <x:c r="K347" s="236">
        <x:v>0</x:v>
      </x:c>
      <x:c r="L347" s="236">
        <x:v>0</x:v>
      </x:c>
      <x:c r="M347" s="236">
        <x:v>0</x:v>
      </x:c>
      <x:c r="N347" s="236">
        <x:v>0</x:v>
      </x:c>
      <x:c r="O347" s="236">
        <x:v>0</x:v>
      </x:c>
      <x:c r="P347" s="236">
        <x:v>0</x:v>
      </x:c>
      <x:c r="Q347" s="236">
        <x:v>0</x:v>
      </x:c>
      <x:c r="R347" s="236">
        <x:v>0</x:v>
      </x:c>
      <x:c r="S347" s="236">
        <x:v>0</x:v>
      </x:c>
      <x:c r="T347" s="236">
        <x:v>0</x:v>
      </x:c>
      <x:c r="U347" s="236">
        <x:v>0</x:v>
      </x:c>
      <x:c r="V347" s="236">
        <x:v>0</x:v>
      </x:c>
      <x:c r="W347" s="236">
        <x:v>0</x:v>
      </x:c>
      <x:c r="X347" s="236">
        <x:v>0</x:v>
      </x:c>
      <x:c r="Y347" s="236">
        <x:v>0</x:v>
      </x:c>
      <x:c r="Z347" s="236">
        <x:v>0</x:v>
      </x:c>
      <x:c r="AA347" s="236">
        <x:v>0</x:v>
      </x:c>
      <x:c r="AB347" s="236">
        <x:v>0</x:v>
      </x:c>
      <x:c r="AC347" s="236">
        <x:v>0</x:v>
      </x:c>
      <x:c r="AD347" s="236">
        <x:v>0</x:v>
      </x:c>
      <x:c r="AE347" s="236">
        <x:v>0</x:v>
      </x:c>
      <x:c r="AF347" s="236">
        <x:v>0</x:v>
      </x:c>
      <x:c r="AG347" s="236">
        <x:v>0</x:v>
      </x:c>
      <x:c r="AH347" s="236">
        <x:v>0</x:v>
      </x:c>
      <x:c r="AI347" s="236">
        <x:v>0</x:v>
      </x:c>
      <x:c r="AJ347" s="236">
        <x:v>0</x:v>
      </x:c>
      <x:c r="AK347" s="236">
        <x:v>0</x:v>
      </x:c>
      <x:c r="AL347" s="236">
        <x:v>0</x:v>
      </x:c>
      <x:c r="AM347" s="236">
        <x:v>0</x:v>
      </x:c>
      <x:c r="AN347" s="236">
        <x:v>0</x:v>
      </x:c>
      <x:c r="AO347" s="236">
        <x:v>0</x:v>
      </x:c>
    </x:row>
    <x:row r="348" spans="1:41" ht="12.75" customHeight="1" x14ac:dyDescent="0.25">
      <x:c r="C348" s="774"/>
      <x:c r="D348" s="771"/>
      <x:c r="E348" s="235" t="s">
        <x:v>73</x:v>
      </x:c>
      <x:c r="F348" s="236">
        <x:v>0</x:v>
      </x:c>
      <x:c r="G348" s="90"/>
      <x:c r="H348" s="90"/>
      <x:c r="I348" s="90"/>
      <x:c r="J348" s="90"/>
      <x:c r="K348" s="90"/>
      <x:c r="L348" s="90"/>
      <x:c r="M348" s="90"/>
      <x:c r="N348" s="90"/>
      <x:c r="O348" s="90"/>
      <x:c r="P348" s="90"/>
      <x:c r="Q348" s="90"/>
      <x:c r="R348" s="90"/>
    </x:row>
    <x:row r="349" spans="1:41" ht="12.75" customHeight="1" x14ac:dyDescent="0.3">
      <x:c r="A349" s="89"/>
      <x:c r="C349" s="97"/>
      <x:c r="F349" s="90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1" ht="12.75" customHeight="1" x14ac:dyDescent="0.25">
      <x:c r="C350" s="773" t="s">
        <x:v>161</x:v>
      </x:c>
      <x:c r="D350" s="771" t="s">
        <x:v>132</x:v>
      </x:c>
      <x:c r="E350" s="231" t="s">
        <x:v>70</x:v>
      </x:c>
      <x:c r="F350" s="232">
        <x:v>0</x:v>
      </x:c>
      <x:c r="G350" s="232">
        <x:v>0</x:v>
      </x:c>
      <x:c r="H350" s="232">
        <x:v>0</x:v>
      </x:c>
      <x:c r="I350" s="232">
        <x:v>0</x:v>
      </x:c>
      <x:c r="J350" s="232">
        <x:v>0</x:v>
      </x:c>
      <x:c r="K350" s="232">
        <x:v>0</x:v>
      </x:c>
      <x:c r="L350" s="232">
        <x:v>0</x:v>
      </x:c>
      <x:c r="M350" s="232">
        <x:v>0</x:v>
      </x:c>
      <x:c r="N350" s="232">
        <x:v>0</x:v>
      </x:c>
      <x:c r="O350" s="232">
        <x:v>0</x:v>
      </x:c>
      <x:c r="P350" s="232">
        <x:v>0</x:v>
      </x:c>
      <x:c r="Q350" s="232">
        <x:v>0</x:v>
      </x:c>
      <x:c r="R350" s="232">
        <x:v>0</x:v>
      </x:c>
      <x:c r="S350" s="232">
        <x:v>0</x:v>
      </x:c>
      <x:c r="T350" s="232">
        <x:v>0</x:v>
      </x:c>
      <x:c r="U350" s="232"/>
      <x:c r="V350" s="232"/>
      <x:c r="W350" s="232"/>
      <x:c r="X350" s="232">
        <x:v>0</x:v>
      </x:c>
      <x:c r="Y350" s="232">
        <x:v>0</x:v>
      </x:c>
      <x:c r="Z350" s="232">
        <x:v>0</x:v>
      </x:c>
      <x:c r="AA350" s="232">
        <x:v>0</x:v>
      </x:c>
      <x:c r="AB350" s="232">
        <x:v>0</x:v>
      </x:c>
      <x:c r="AC350" s="232">
        <x:v>0</x:v>
      </x:c>
      <x:c r="AD350" s="232">
        <x:v>0</x:v>
      </x:c>
      <x:c r="AE350" s="232">
        <x:v>0</x:v>
      </x:c>
      <x:c r="AF350" s="232">
        <x:v>0</x:v>
      </x:c>
      <x:c r="AG350" s="232">
        <x:v>0</x:v>
      </x:c>
      <x:c r="AH350" s="232">
        <x:v>0</x:v>
      </x:c>
      <x:c r="AI350" s="232">
        <x:v>0</x:v>
      </x:c>
      <x:c r="AJ350" s="232">
        <x:v>0</x:v>
      </x:c>
      <x:c r="AK350" s="232">
        <x:v>0</x:v>
      </x:c>
      <x:c r="AL350" s="232">
        <x:v>0</x:v>
      </x:c>
      <x:c r="AM350" s="232">
        <x:v>0</x:v>
      </x:c>
      <x:c r="AN350" s="232">
        <x:v>0</x:v>
      </x:c>
      <x:c r="AO350" s="232">
        <x:v>0</x:v>
      </x:c>
    </x:row>
    <x:row r="351" spans="1:41" ht="12.75" customHeight="1" x14ac:dyDescent="0.25">
      <x:c r="C351" s="773"/>
      <x:c r="D351" s="771"/>
      <x:c r="E351" s="231" t="s">
        <x:v>73</x:v>
      </x:c>
      <x:c r="F351" s="232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  <x:c r="S351" s="90"/>
    </x:row>
    <x:row r="352" spans="1:41" ht="12.75" customHeight="1" x14ac:dyDescent="0.25">
      <x:c r="C352" s="773"/>
      <x:c r="D352" s="771" t="s">
        <x:v>133</x:v>
      </x:c>
      <x:c r="E352" s="148" t="s">
        <x:v>70</x:v>
      </x:c>
      <x:c r="F352" s="149">
        <x:v>0</x:v>
      </x:c>
      <x:c r="G352" s="149">
        <x:v>0</x:v>
      </x:c>
      <x:c r="H352" s="149">
        <x:v>0</x:v>
      </x:c>
      <x:c r="I352" s="149">
        <x:v>0</x:v>
      </x:c>
      <x:c r="J352" s="149">
        <x:v>0</x:v>
      </x:c>
      <x:c r="K352" s="149">
        <x:v>0</x:v>
      </x:c>
      <x:c r="L352" s="149">
        <x:v>0</x:v>
      </x:c>
      <x:c r="M352" s="149">
        <x:v>0</x:v>
      </x:c>
      <x:c r="N352" s="149">
        <x:v>0</x:v>
      </x:c>
      <x:c r="O352" s="149">
        <x:v>0</x:v>
      </x:c>
      <x:c r="P352" s="149">
        <x:v>0</x:v>
      </x:c>
      <x:c r="Q352" s="149">
        <x:v>0</x:v>
      </x:c>
      <x:c r="R352" s="149">
        <x:v>0</x:v>
      </x:c>
      <x:c r="S352" s="149">
        <x:v>0</x:v>
      </x:c>
      <x:c r="T352" s="149">
        <x:v>0</x:v>
      </x:c>
      <x:c r="U352" s="149"/>
      <x:c r="V352" s="149"/>
      <x:c r="W352" s="149"/>
      <x:c r="X352" s="149">
        <x:v>0</x:v>
      </x:c>
      <x:c r="Y352" s="149">
        <x:v>0</x:v>
      </x:c>
      <x:c r="Z352" s="149">
        <x:v>0</x:v>
      </x:c>
      <x:c r="AA352" s="149">
        <x:v>0</x:v>
      </x:c>
      <x:c r="AB352" s="149">
        <x:v>0</x:v>
      </x:c>
      <x:c r="AC352" s="149">
        <x:v>0</x:v>
      </x:c>
      <x:c r="AD352" s="149">
        <x:v>0</x:v>
      </x:c>
      <x:c r="AE352" s="149">
        <x:v>0</x:v>
      </x:c>
      <x:c r="AF352" s="149">
        <x:v>0</x:v>
      </x:c>
      <x:c r="AG352" s="149">
        <x:v>0</x:v>
      </x:c>
      <x:c r="AH352" s="149">
        <x:v>0</x:v>
      </x:c>
      <x:c r="AI352" s="149">
        <x:v>0</x:v>
      </x:c>
      <x:c r="AJ352" s="149">
        <x:v>0</x:v>
      </x:c>
      <x:c r="AK352" s="149">
        <x:v>0</x:v>
      </x:c>
      <x:c r="AL352" s="149">
        <x:v>0</x:v>
      </x:c>
      <x:c r="AM352" s="149">
        <x:v>0</x:v>
      </x:c>
      <x:c r="AN352" s="149">
        <x:v>0</x:v>
      </x:c>
      <x:c r="AO352" s="149">
        <x:v>0</x:v>
      </x:c>
    </x:row>
    <x:row r="353" spans="1:41" ht="12.75" customHeight="1" x14ac:dyDescent="0.25">
      <x:c r="C353" s="773"/>
      <x:c r="D353" s="771"/>
      <x:c r="E353" s="148" t="s">
        <x:v>73</x:v>
      </x:c>
      <x:c r="F353" s="149">
        <x:v>0</x:v>
      </x:c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  <x:c r="R353" s="90"/>
    </x:row>
    <x:row r="354" spans="1:41" ht="12.75" customHeight="1" x14ac:dyDescent="0.25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41" ht="12.75" customHeight="1" x14ac:dyDescent="0.25">
      <x:c r="D355" s="458" t="s">
        <x:v>186</x:v>
      </x:c>
      <x:c r="E355" s="459" t="s">
        <x:v>70</x:v>
      </x:c>
      <x:c r="F355" s="460">
        <x:f>F232</x:f>
        <x:v>-16458.46</x:v>
      </x:c>
      <x:c r="G355" s="460">
        <x:f t="shared" ref="G355:Z355" si="19">G232</x:f>
        <x:v>-1490.88</x:v>
      </x:c>
      <x:c r="H355" s="460">
        <x:f t="shared" si="19"/>
        <x:v>-633.39</x:v>
      </x:c>
      <x:c r="I355" s="460">
        <x:f t="shared" si="19"/>
        <x:v>-276.60000000000002</x:v>
      </x:c>
      <x:c r="J355" s="460">
        <x:f t="shared" si="19"/>
        <x:v>-3142.56</x:v>
      </x:c>
      <x:c r="K355" s="460">
        <x:f t="shared" si="19"/>
        <x:v>-129.47999999999999</x:v>
      </x:c>
      <x:c r="L355" s="460">
        <x:f t="shared" si="19"/>
        <x:v>0</x:v>
      </x:c>
      <x:c r="M355" s="460">
        <x:f t="shared" si="19"/>
        <x:v>-1135.68</x:v>
      </x:c>
      <x:c r="N355" s="460">
        <x:f t="shared" si="19"/>
        <x:v>-1423.48</x:v>
      </x:c>
      <x:c r="O355" s="460">
        <x:f t="shared" si="19"/>
        <x:v>-4781.43</x:v>
      </x:c>
      <x:c r="P355" s="460">
        <x:f t="shared" si="19"/>
        <x:v>-3233.73</x:v>
      </x:c>
      <x:c r="Q355" s="460">
        <x:f t="shared" si="19"/>
        <x:v>-211.23</x:v>
      </x:c>
      <x:c r="R355" s="460">
        <x:f t="shared" si="19"/>
        <x:v>0</x:v>
      </x:c>
      <x:c r="S355" s="460">
        <x:f t="shared" si="19"/>
        <x:v>0</x:v>
      </x:c>
      <x:c r="T355" s="460">
        <x:f t="shared" si="19"/>
        <x:v>0</x:v>
      </x:c>
      <x:c r="U355" s="460">
        <x:f t="shared" si="19"/>
        <x:v>0</x:v>
      </x:c>
      <x:c r="V355" s="460">
        <x:f t="shared" si="19"/>
        <x:v>0</x:v>
      </x:c>
      <x:c r="W355" s="460">
        <x:f t="shared" si="19"/>
        <x:v>0</x:v>
      </x:c>
      <x:c r="X355" s="460">
        <x:f t="shared" si="19"/>
        <x:v>0</x:v>
      </x:c>
      <x:c r="Y355" s="460">
        <x:f t="shared" si="19"/>
        <x:v>0</x:v>
      </x:c>
      <x:c r="Z355" s="460">
        <x:f t="shared" si="19"/>
        <x:v>0</x:v>
      </x:c>
    </x:row>
    <x:row r="356" spans="1:41" ht="12.75" customHeight="1" x14ac:dyDescent="0.25">
      <x:c r="C356" s="388"/>
      <x:c r="D356" s="220"/>
      <x:c r="E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</x:row>
    <x:row r="357" spans="1:41" s="238" customFormat="1" ht="12.75" customHeight="1" x14ac:dyDescent="0.25">
      <x:c r="D357" s="239"/>
      <x:c r="E357" s="240"/>
      <x:c r="F357" s="240"/>
      <x:c r="G357" s="240"/>
      <x:c r="H357" s="240"/>
      <x:c r="I357" s="240"/>
      <x:c r="J357" s="240"/>
      <x:c r="K357" s="240"/>
      <x:c r="L357" s="240"/>
      <x:c r="M357" s="240"/>
      <x:c r="N357" s="240"/>
      <x:c r="O357" s="240"/>
      <x:c r="P357" s="240"/>
      <x:c r="Q357" s="240"/>
    </x:row>
    <x:row r="358" spans="1:41" ht="12.75" customHeight="1" x14ac:dyDescent="0.3">
      <x:c r="A358" s="89"/>
      <x:c r="B358" s="97" t="s">
        <x:v>88</x:v>
      </x:c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1:41" ht="12.75" customHeight="1" x14ac:dyDescent="0.25">
      <x:c r="A359" s="142"/>
      <x:c r="F359" s="89" t="s">
        <x:v>70</x:v>
      </x:c>
      <x:c r="G359" s="89" t="s">
        <x:v>64</x:v>
      </x:c>
      <x:c r="H359" s="89" t="s">
        <x:v>65</x:v>
      </x:c>
      <x:c r="I359" s="218" t="s">
        <x:v>164</x:v>
      </x:c>
      <x:c r="J359" s="89" t="s">
        <x:v>69</x:v>
      </x:c>
      <x:c r="K359" s="89" t="s">
        <x:v>68</x:v>
      </x:c>
      <x:c r="L359" s="89" t="s">
        <x:v>71</x:v>
      </x:c>
      <x:c r="M359" s="89" t="s">
        <x:v>66</x:v>
      </x:c>
      <x:c r="N359" s="89" t="s">
        <x:v>63</x:v>
      </x:c>
      <x:c r="O359" s="89" t="s">
        <x:v>61</x:v>
      </x:c>
      <x:c r="P359" s="89" t="s">
        <x:v>62</x:v>
      </x:c>
      <x:c r="Q359" s="89" t="s">
        <x:v>67</x:v>
      </x:c>
      <x:c r="R359" s="89" t="s">
        <x:v>77</x:v>
      </x:c>
      <x:c r="S359" s="89" t="s">
        <x:v>80</x:v>
      </x:c>
      <x:c r="T359" t="s">
        <x:v>135</x:v>
      </x:c>
      <x:c r="U359" t="s">
        <x:v>223</x:v>
      </x:c>
      <x:c r="V359" t="s">
        <x:v>224</x:v>
      </x:c>
      <x:c r="W359" t="s">
        <x:v>173</x:v>
      </x:c>
      <x:c r="X359" t="s">
        <x:v>167</x:v>
      </x:c>
      <x:c r="Y359" s="89" t="s">
        <x:v>135</x:v>
      </x:c>
      <x:c r="Z359" t="s">
        <x:v>167</x:v>
      </x:c>
    </x:row>
    <x:row r="360" spans="1:41" ht="12.75" customHeight="1" x14ac:dyDescent="0.25">
      <x:c r="A360"/>
      <x:c r="B360"/>
      <x:c r="C360"/>
      <x:c r="D360"/>
      <x:c r="E360" s="89" t="inlineStr">
        <x:is>
          <x:t>Vlr Servicio</x:t>
        </x:is>
      </x:c>
      <x:c r="F360" s="371" t="n">
        <x:v>-18514.21</x:v>
      </x:c>
      <x:c r="G360" s="90" t="n">
        <x:v>-1465.26</x:v>
      </x:c>
      <x:c r="H360" s="90" t="n">
        <x:v>-622.47</x:v>
      </x:c>
      <x:c r="I360" s="90" t="n">
        <x:v>-271.83</x:v>
      </x:c>
      <x:c r="J360" s="90" t="n">
        <x:v>-3463.24</x:v>
      </x:c>
      <x:c r="K360" s="90" t="n">
        <x:v>-141.03</x:v>
      </x:c>
      <x:c r="L360" s="90" t="n">
        <x:v>0</x:v>
      </x:c>
      <x:c r="M360" s="90" t="n">
        <x:v>-1237.12</x:v>
      </x:c>
      <x:c r="N360" s="90" t="n">
        <x:v>-1573.13</x:v>
      </x:c>
      <x:c r="O360" s="90" t="n">
        <x:v>-5776.35</x:v>
      </x:c>
      <x:c r="P360" s="90" t="n">
        <x:v>-3733.65</x:v>
      </x:c>
      <x:c r="Q360" s="90" t="n">
        <x:v>-230.13</x:v>
      </x:c>
      <x:c r="R360" s="90" t="n">
        <x:v>0</x:v>
      </x:c>
      <x:c r="S360" s="90" t="n">
        <x:v>0</x:v>
      </x:c>
      <x:c r="T360" t="n">
        <x:v>0</x:v>
      </x:c>
      <x:c r="U360">
        <x:v>0</x:v>
      </x:c>
      <x:c r="V360">
        <x:v>0</x:v>
      </x:c>
      <x:c r="W360">
        <x:v>0</x:v>
      </x:c>
      <x:c r="X360">
        <x:v>0</x:v>
      </x:c>
      <x:c r="Y360" s="90">
        <x:v>0</x:v>
      </x:c>
      <x:c r="Z360" t="n">
        <x:v>0</x:v>
      </x:c>
    </x:row>
    <x:row r="361" spans="1:41" ht="12.75" customHeight="1" x14ac:dyDescent="0.25">
      <x:c r="A361"/>
      <x:c r="B361"/>
      <x:c r="C361"/>
      <x:c r="D361" t="inlineStr">
        <x:is>
          <x:t>E</x:t>
        </x:is>
      </x:c>
      <x:c r="E361" s="89" t="inlineStr">
        <x:is>
          <x:t>Total</x:t>
        </x:is>
      </x:c>
      <x:c r="F361" s="371" t="n">
        <x:v>-18514.21</x:v>
      </x:c>
      <x:c r="G361" s="90" t="n">
        <x:v>-1465.26</x:v>
      </x:c>
      <x:c r="H361" s="90" t="n">
        <x:v>-622.47</x:v>
      </x:c>
      <x:c r="I361" s="90" t="n">
        <x:v>-271.83</x:v>
      </x:c>
      <x:c r="J361" s="90" t="n">
        <x:v>-3463.24</x:v>
      </x:c>
      <x:c r="K361" s="90" t="n">
        <x:v>-141.03</x:v>
      </x:c>
      <x:c r="L361" s="90" t="n">
        <x:v>0</x:v>
      </x:c>
      <x:c r="M361" s="90" t="n">
        <x:v>-1237.12</x:v>
      </x:c>
      <x:c r="N361" s="90" t="n">
        <x:v>-1573.13</x:v>
      </x:c>
      <x:c r="O361" s="90" t="n">
        <x:v>-5776.35</x:v>
      </x:c>
      <x:c r="P361" s="90" t="n">
        <x:v>-3733.65</x:v>
      </x:c>
      <x:c r="Q361" s="90" t="n">
        <x:v>-230.13</x:v>
      </x:c>
      <x:c r="R361" s="90" t="n">
        <x:v>0</x:v>
      </x:c>
      <x:c r="S361" s="90" t="n">
        <x:v>0</x:v>
      </x:c>
      <x:c r="T361" t="n">
        <x:v>0</x:v>
      </x:c>
      <x:c r="U361">
        <x:v>0</x:v>
      </x:c>
      <x:c r="V361">
        <x:v>0</x:v>
      </x:c>
      <x:c r="W361">
        <x:v>0</x:v>
      </x:c>
      <x:c r="X361">
        <x:v>0</x:v>
      </x:c>
      <x:c r="Y361" s="90">
        <x:v>0</x:v>
      </x:c>
      <x:c r="Z361" t="n">
        <x:v>0</x:v>
      </x:c>
    </x:row>
    <x:row r="362" spans="1:41" s="657" customFormat="1" ht="12.75" customHeight="1" x14ac:dyDescent="0.25">
      <x:c r="A362"/>
      <x:c r="B362"/>
      <x:c r="C362" s="657" t="inlineStr">
        <x:is>
          <x:t>ENEL</x:t>
        </x:is>
      </x:c>
      <x:c r="D362" s="658" t="inlineStr">
        <x:is>
          <x:t>Total</x:t>
        </x:is>
      </x:c>
      <x:c r="E362" s="658"/>
      <x:c r="F362" s="659" t="n">
        <x:v>-18514.21</x:v>
      </x:c>
      <x:c r="G362" s="659" t="n">
        <x:v>-1465.26</x:v>
      </x:c>
      <x:c r="H362" s="659" t="n">
        <x:v>-622.47</x:v>
      </x:c>
      <x:c r="I362" s="659" t="n">
        <x:v>-271.83</x:v>
      </x:c>
      <x:c r="J362" s="659" t="n">
        <x:v>-3463.24</x:v>
      </x:c>
      <x:c r="K362" s="659" t="n">
        <x:v>-141.03</x:v>
      </x:c>
      <x:c r="L362" s="659" t="n">
        <x:v>0</x:v>
      </x:c>
      <x:c r="M362" s="659" t="n">
        <x:v>-1237.12</x:v>
      </x:c>
      <x:c r="N362" s="659" t="n">
        <x:v>-1573.13</x:v>
      </x:c>
      <x:c r="O362" s="659" t="n">
        <x:v>-5776.35</x:v>
      </x:c>
      <x:c r="P362" s="659" t="n">
        <x:v>-3733.65</x:v>
      </x:c>
      <x:c r="Q362" s="659" t="n">
        <x:v>-230.13</x:v>
      </x:c>
      <x:c r="R362" s="659" t="n">
        <x:v>0</x:v>
      </x:c>
      <x:c r="S362" s="659" t="n">
        <x:v>0</x:v>
      </x:c>
      <x:c r="T362" s="657" t="n">
        <x:v>0</x:v>
      </x:c>
      <x:c r="U362" s="657">
        <x:v>0</x:v>
      </x:c>
      <x:c r="V362" s="657">
        <x:v>0</x:v>
      </x:c>
      <x:c r="W362" s="657">
        <x:v>0</x:v>
      </x:c>
      <x:c r="X362" s="657">
        <x:v>0</x:v>
      </x:c>
      <x:c r="Y362" s="659">
        <x:v>0</x:v>
      </x:c>
      <x:c r="Z362" s="657" t="n">
        <x:v>0</x:v>
      </x:c>
    </x:row>
    <x:row r="363" spans="1:41" ht="12.75" customHeight="1" x14ac:dyDescent="0.25">
      <x:c r="A363"/>
      <x:c r="B363"/>
      <x:c r="C363"/>
      <x:c r="D363"/>
      <x:c r="E363" s="89" t="inlineStr">
        <x:is>
          <x:t>Vlr Servicio</x:t>
        </x:is>
      </x:c>
      <x:c r="F363" s="371" t="n">
        <x:v>-33199.73</x:v>
      </x:c>
      <x:c r="G363" s="90" t="n">
        <x:v>-2759.81</x:v>
      </x:c>
      <x:c r="H363" s="90" t="n">
        <x:v>-1172.47</x:v>
      </x:c>
      <x:c r="I363" s="90" t="n">
        <x:v>-512.02</x:v>
      </x:c>
      <x:c r="J363" s="90" t="n">
        <x:v>-6060.09</x:v>
      </x:c>
      <x:c r="K363" s="90" t="n">
        <x:v>-246.57</x:v>
      </x:c>
      <x:c r="L363" s="90" t="n">
        <x:v>0</x:v>
      </x:c>
      <x:c r="M363" s="90" t="n">
        <x:v>-2162.63</x:v>
      </x:c>
      <x:c r="N363" s="90" t="n">
        <x:v>-2753.76</x:v>
      </x:c>
      <x:c r="O363" s="90" t="n">
        <x:v>-10097.71</x:v>
      </x:c>
      <x:c r="P363" s="90" t="n">
        <x:v>-7032.34</x:v>
      </x:c>
      <x:c r="Q363" s="90" t="n">
        <x:v>-402.33</x:v>
      </x:c>
      <x:c r="R363" s="90" t="n">
        <x:v>0</x:v>
      </x:c>
      <x:c r="S363" s="90" t="n">
        <x:v>0</x:v>
      </x:c>
      <x:c r="T363" t="n">
        <x:v>0</x:v>
      </x:c>
      <x:c r="U363">
        <x:v>0</x:v>
      </x:c>
      <x:c r="V363">
        <x:v>0</x:v>
      </x:c>
      <x:c r="W363">
        <x:v>0</x:v>
      </x:c>
      <x:c r="X363">
        <x:v>0</x:v>
      </x:c>
      <x:c r="Y363" s="90">
        <x:v>0</x:v>
      </x:c>
      <x:c r="Z363" t="n">
        <x:v>0</x:v>
      </x:c>
    </x:row>
    <x:row r="364" spans="1:41" ht="12.75" customHeight="1" x14ac:dyDescent="0.25">
      <x:c r="A364"/>
      <x:c r="B364"/>
      <x:c r="C364"/>
      <x:c r="D364" t="inlineStr">
        <x:is>
          <x:t>O</x:t>
        </x:is>
      </x:c>
      <x:c r="E364" s="89" t="inlineStr">
        <x:is>
          <x:t>Total</x:t>
        </x:is>
      </x:c>
      <x:c r="F364" s="371" t="n">
        <x:v>-33199.73</x:v>
      </x:c>
      <x:c r="G364" s="90" t="n">
        <x:v>-2759.81</x:v>
      </x:c>
      <x:c r="H364" s="90" t="n">
        <x:v>-1172.47</x:v>
      </x:c>
      <x:c r="I364" s="90" t="n">
        <x:v>-512.02</x:v>
      </x:c>
      <x:c r="J364" s="90" t="n">
        <x:v>-6060.09</x:v>
      </x:c>
      <x:c r="K364" s="90" t="n">
        <x:v>-246.57</x:v>
      </x:c>
      <x:c r="L364" s="90" t="n">
        <x:v>0</x:v>
      </x:c>
      <x:c r="M364" s="90" t="n">
        <x:v>-2162.63</x:v>
      </x:c>
      <x:c r="N364" s="90" t="n">
        <x:v>-2753.76</x:v>
      </x:c>
      <x:c r="O364" s="90" t="n">
        <x:v>-10097.71</x:v>
      </x:c>
      <x:c r="P364" s="90" t="n">
        <x:v>-7032.34</x:v>
      </x:c>
      <x:c r="Q364" s="90" t="n">
        <x:v>-402.33</x:v>
      </x:c>
      <x:c r="R364" s="90" t="n">
        <x:v>0</x:v>
      </x:c>
      <x:c r="S364" s="90" t="n">
        <x:v>0</x:v>
      </x:c>
      <x:c r="T364" t="n">
        <x:v>0</x:v>
      </x:c>
      <x:c r="U364">
        <x:v>0</x:v>
      </x:c>
      <x:c r="V364">
        <x:v>0</x:v>
      </x:c>
      <x:c r="W364">
        <x:v>0</x:v>
      </x:c>
      <x:c r="X364">
        <x:v>0</x:v>
      </x:c>
      <x:c r="Y364" s="90">
        <x:v>0</x:v>
      </x:c>
      <x:c r="Z364" t="n">
        <x:v>0</x:v>
      </x:c>
    </x:row>
    <x:row r="365" spans="1:41" s="94" customFormat="1" ht="12.75" customHeight="1" x14ac:dyDescent="0.25">
      <x:c r="A365"/>
      <x:c r="B365"/>
      <x:c r="C365" s="101" t="inlineStr">
        <x:is>
          <x:t>OCCIDENTE</x:t>
        </x:is>
      </x:c>
      <x:c r="D365" s="101" t="inlineStr">
        <x:is>
          <x:t>Total</x:t>
        </x:is>
      </x:c>
      <x:c r="E365"/>
      <x:c r="F365" s="93" t="n">
        <x:v>-33199.73</x:v>
      </x:c>
      <x:c r="G365" s="93" t="n">
        <x:v>-2759.81</x:v>
      </x:c>
      <x:c r="H365" s="93" t="n">
        <x:v>-1172.47</x:v>
      </x:c>
      <x:c r="I365" s="93" t="n">
        <x:v>-512.02</x:v>
      </x:c>
      <x:c r="J365" s="93" t="n">
        <x:v>-6060.09</x:v>
      </x:c>
      <x:c r="K365" s="93" t="n">
        <x:v>-246.57</x:v>
      </x:c>
      <x:c r="L365" s="93" t="n">
        <x:v>0</x:v>
      </x:c>
      <x:c r="M365" s="93" t="n">
        <x:v>-2162.63</x:v>
      </x:c>
      <x:c r="N365" s="93" t="n">
        <x:v>-2753.76</x:v>
      </x:c>
      <x:c r="O365" s="93" t="n">
        <x:v>-10097.71</x:v>
      </x:c>
      <x:c r="P365" s="93" t="n">
        <x:v>-7032.34</x:v>
      </x:c>
      <x:c r="Q365" s="93" t="n">
        <x:v>-402.33</x:v>
      </x:c>
      <x:c r="R365" s="93" t="n">
        <x:v>0</x:v>
      </x:c>
      <x:c r="S365" s="93" t="n">
        <x:v>0</x:v>
      </x:c>
      <x:c r="T365" s="94" t="n">
        <x:v>0</x:v>
      </x:c>
      <x:c r="U365" s="94">
        <x:v>0</x:v>
      </x:c>
      <x:c r="V365" s="94">
        <x:v>0</x:v>
      </x:c>
      <x:c r="W365" s="94">
        <x:v>0</x:v>
      </x:c>
      <x:c r="X365" s="94">
        <x:v>0</x:v>
      </x:c>
      <x:c r="Y365" s="93">
        <x:v>0</x:v>
      </x:c>
      <x:c r="Z365" s="94" t="n">
        <x:v>0</x:v>
      </x:c>
    </x:row>
    <x:row r="366" spans="1:41" ht="12.75" customHeight="1" x14ac:dyDescent="0.25">
      <x:c r="A366"/>
      <x:c r="B366" t="inlineStr">
        <x:is>
          <x:t>Mes</x:t>
        </x:is>
      </x:c>
      <x:c r="C366" t="inlineStr">
        <x:is>
          <x:t>Total</x:t>
        </x:is>
      </x:c>
      <x:c r="D366"/>
      <x:c r="E366" s="89"/>
      <x:c r="F366" s="371" t="n">
        <x:v>-51713.94</x:v>
      </x:c>
      <x:c r="G366" s="90" t="n">
        <x:v>-4225.07</x:v>
      </x:c>
      <x:c r="H366" s="90" t="n">
        <x:v>-1794.94</x:v>
      </x:c>
      <x:c r="I366" s="90" t="n">
        <x:v>-783.85</x:v>
      </x:c>
      <x:c r="J366" s="90" t="n">
        <x:v>-9523.33</x:v>
      </x:c>
      <x:c r="K366" s="90" t="n">
        <x:v>-387.6</x:v>
      </x:c>
      <x:c r="L366" s="90" t="n">
        <x:v>0</x:v>
      </x:c>
      <x:c r="M366" s="90" t="n">
        <x:v>-3399.75</x:v>
      </x:c>
      <x:c r="N366" s="90" t="n">
        <x:v>-4326.89</x:v>
      </x:c>
      <x:c r="O366" s="90" t="n">
        <x:v>-15874.06</x:v>
      </x:c>
      <x:c r="P366" s="90" t="n">
        <x:v>-10765.99</x:v>
      </x:c>
      <x:c r="Q366" s="90" t="n">
        <x:v>-632.46</x:v>
      </x:c>
      <x:c r="R366" s="90" t="n">
        <x:v>0</x:v>
      </x:c>
      <x:c r="S366" s="90" t="n">
        <x:v>0</x:v>
      </x:c>
      <x:c r="T366" t="n">
        <x:v>0</x:v>
      </x:c>
      <x:c r="U366">
        <x:v>0</x:v>
      </x:c>
      <x:c r="V366">
        <x:v>0</x:v>
      </x:c>
      <x:c r="W366">
        <x:v>0</x:v>
      </x:c>
      <x:c r="X366">
        <x:v>0</x:v>
      </x:c>
      <x:c r="Y366" s="90">
        <x:v>0</x:v>
      </x:c>
      <x:c r="Z366" t="n">
        <x:v>0</x:v>
      </x:c>
    </x:row>
    <x:row r="367" spans="1:26" s="458" customFormat="1" x14ac:dyDescent="0.25">
      <x:c r="A367" s="458" t="inlineStr">
        <x:is>
          <x:t>AFaseo</x:t>
        </x:is>
      </x:c>
      <x:c r="B367" s="459" t="inlineStr">
        <x:is>
          <x:t>Total</x:t>
        </x:is>
      </x:c>
      <x:c r="C367" s="459"/>
      <x:c r="D367"/>
      <x:c r="E367"/>
      <x:c r="F367" s="460" t="n">
        <x:v>-51713.94</x:v>
      </x:c>
      <x:c r="G367" s="460" t="n">
        <x:v>-4225.07</x:v>
      </x:c>
      <x:c r="H367" s="460" t="n">
        <x:v>-1794.94</x:v>
      </x:c>
      <x:c r="I367" s="460" t="n">
        <x:v>-783.85</x:v>
      </x:c>
      <x:c r="J367" s="460" t="n">
        <x:v>-9523.33</x:v>
      </x:c>
      <x:c r="K367" s="460" t="n">
        <x:v>-387.6</x:v>
      </x:c>
      <x:c r="L367" s="460" t="n">
        <x:v>0</x:v>
      </x:c>
      <x:c r="M367" s="460" t="n">
        <x:v>-3399.75</x:v>
      </x:c>
      <x:c r="N367" s="460" t="n">
        <x:v>-4326.89</x:v>
      </x:c>
      <x:c r="O367" s="460" t="n">
        <x:v>-15874.06</x:v>
      </x:c>
      <x:c r="P367" s="460" t="n">
        <x:v>-10765.99</x:v>
      </x:c>
      <x:c r="Q367" s="460" t="n">
        <x:v>-632.46</x:v>
      </x:c>
      <x:c r="R367" s="460" t="n">
        <x:v>0</x:v>
      </x:c>
      <x:c r="S367" s="460" t="n">
        <x:v>0</x:v>
      </x:c>
      <x:c r="T367" s="460" t="n">
        <x:v>0</x:v>
      </x:c>
      <x:c r="U367" s="460">
        <x:v>0</x:v>
      </x:c>
      <x:c r="V367" s="460">
        <x:v>0</x:v>
      </x:c>
      <x:c r="W367" s="460">
        <x:v>0</x:v>
      </x:c>
      <x:c r="X367" s="460">
        <x:v>0</x:v>
      </x:c>
      <x:c r="Y367" s="460">
        <x:v>0</x:v>
      </x:c>
      <x:c r="Z367" s="460" t="n">
        <x:v>0</x:v>
      </x:c>
    </x:row>
    <x:row r="368" spans="1:26" ht="12.75" customHeight="1" x14ac:dyDescent="0.25">
      <x:c r="A368"/>
      <x:c r="B368"/>
      <x:c r="C368"/>
      <x:c r="D368"/>
      <x:c r="E368" s="89" t="inlineStr">
        <x:is>
          <x:t>Vlr Servicio</x:t>
        </x:is>
      </x:c>
      <x:c r="F368" s="90" t="n">
        <x:v>3709879.72</x:v>
      </x:c>
      <x:c r="G368" s="90" t="n">
        <x:v>196377.36</x:v>
      </x:c>
      <x:c r="H368" s="90" t="n">
        <x:v>114434.12</x:v>
      </x:c>
      <x:c r="I368" s="90" t="n">
        <x:v>58698.11</x:v>
      </x:c>
      <x:c r="J368" s="90" t="n">
        <x:v>857547.27</x:v>
      </x:c>
      <x:c r="K368" s="90" t="n">
        <x:v>28413.92</x:v>
      </x:c>
      <x:c r="L368" s="90" t="n">
        <x:v>0</x:v>
      </x:c>
      <x:c r="M368" s="90" t="n">
        <x:v>249245.18</x:v>
      </x:c>
      <x:c r="N368" s="90" t="n">
        <x:v>269177.44</x:v>
      </x:c>
      <x:c r="O368" s="90" t="n">
        <x:v>1367703.75</x:v>
      </x:c>
      <x:c r="P368" s="90" t="n">
        <x:v>521918.88</x:v>
      </x:c>
      <x:c r="Q368" s="90" t="n">
        <x:v>46359.48</x:v>
      </x:c>
      <x:c r="R368" s="90" t="n">
        <x:v>4.21</x:v>
      </x:c>
      <x:c r="S368" s="90" t="n">
        <x:v>0</x:v>
      </x:c>
      <x:c r="T368" t="n">
        <x:v>0</x:v>
      </x:c>
      <x:c r="U368">
        <x:v>0</x:v>
      </x:c>
      <x:c r="V368">
        <x:v>0</x:v>
      </x:c>
      <x:c r="W368">
        <x:v>0</x:v>
      </x:c>
      <x:c r="X368">
        <x:v>0</x:v>
      </x:c>
      <x:c r="Y368" s="90">
        <x:v>0</x:v>
      </x:c>
      <x:c r="Z368" t="n">
        <x:v>0</x:v>
      </x:c>
    </x:row>
    <x:row r="369" spans="1:26" ht="12.75" customHeight="1" x14ac:dyDescent="0.25">
      <x:c r="A369"/>
      <x:c r="B369"/>
      <x:c r="C369"/>
      <x:c r="D369"/>
      <x:c r="E369" s="89" t="inlineStr">
        <x:is>
          <x:t>Vlr Intereses</x:t>
        </x:is>
      </x:c>
      <x:c r="F369" s="90" t="n">
        <x:v>8714.85</x:v>
      </x:c>
      <x:c r="G369" s="90" t="n">
        <x:v>3104.05</x:v>
      </x:c>
      <x:c r="H369" s="90" t="n">
        <x:v>1800</x:v>
      </x:c>
      <x:c r="I369" s="90" t="n">
        <x:v>929.08</x:v>
      </x:c>
      <x:c r="J369" s="90" t="n">
        <x:v>1812.55</x:v>
      </x:c>
      <x:c r="K369" s="90" t="n">
        <x:v>63.48</x:v>
      </x:c>
      <x:c r="L369" s="90" t="n">
        <x:v>0</x:v>
      </x:c>
      <x:c r="M369" s="90" t="n">
        <x:v>556.56</x:v>
      </x:c>
      <x:c r="N369" s="90" t="n">
        <x:v>563.08</x:v>
      </x:c>
      <x:c r="O369" s="90" t="n">
        <x:v>-8499.69</x:v>
      </x:c>
      <x:c r="P369" s="90" t="n">
        <x:v>8282.25</x:v>
      </x:c>
      <x:c r="Q369" s="90" t="n">
        <x:v>103.47</x:v>
      </x:c>
      <x:c r="R369" s="90" t="n">
        <x:v>0.02</x:v>
      </x:c>
      <x:c r="S369" s="90" t="n">
        <x:v>0</x:v>
      </x:c>
      <x:c r="T369" t="n">
        <x:v>0</x:v>
      </x:c>
      <x:c r="U369">
        <x:v>0</x:v>
      </x:c>
      <x:c r="V369">
        <x:v>0</x:v>
      </x:c>
      <x:c r="W369">
        <x:v>0</x:v>
      </x:c>
      <x:c r="X369">
        <x:v>0</x:v>
      </x:c>
      <x:c r="Y369" s="90">
        <x:v>0</x:v>
      </x:c>
      <x:c r="Z369" t="n">
        <x:v>0</x:v>
      </x:c>
    </x:row>
    <x:row r="370" spans="1:26" ht="12.75" customHeight="1" x14ac:dyDescent="0.25">
      <x:c r="A370"/>
      <x:c r="B370"/>
      <x:c r="C370"/>
      <x:c r="D370" t="inlineStr">
        <x:is>
          <x:t>E</x:t>
        </x:is>
      </x:c>
      <x:c r="E370" s="89" t="inlineStr">
        <x:is>
          <x:t>Total</x:t>
        </x:is>
      </x:c>
      <x:c r="F370" s="90" t="n">
        <x:v>3718594.57</x:v>
      </x:c>
      <x:c r="G370" s="90" t="n">
        <x:v>199481.41</x:v>
      </x:c>
      <x:c r="H370" s="90" t="n">
        <x:v>116234.12</x:v>
      </x:c>
      <x:c r="I370" s="90" t="n">
        <x:v>59627.19</x:v>
      </x:c>
      <x:c r="J370" s="90" t="n">
        <x:v>859359.82</x:v>
      </x:c>
      <x:c r="K370" s="90" t="n">
        <x:v>28477.4</x:v>
      </x:c>
      <x:c r="L370" s="90" t="n">
        <x:v>0</x:v>
      </x:c>
      <x:c r="M370" s="90" t="n">
        <x:v>249801.74</x:v>
      </x:c>
      <x:c r="N370" s="90" t="n">
        <x:v>269740.52</x:v>
      </x:c>
      <x:c r="O370" s="90" t="n">
        <x:v>1359204.06</x:v>
      </x:c>
      <x:c r="P370" s="90" t="n">
        <x:v>530201.13</x:v>
      </x:c>
      <x:c r="Q370" s="90" t="n">
        <x:v>46462.95</x:v>
      </x:c>
      <x:c r="R370" s="90" t="n">
        <x:v>4.23</x:v>
      </x:c>
      <x:c r="S370" s="90" t="n">
        <x:v>0</x:v>
      </x:c>
      <x:c r="T370" t="n">
        <x:v>0</x:v>
      </x:c>
      <x:c r="U370">
        <x:v>0</x:v>
      </x:c>
      <x:c r="V370">
        <x:v>0</x:v>
      </x:c>
      <x:c r="W370">
        <x:v>0</x:v>
      </x:c>
      <x:c r="X370">
        <x:v>0</x:v>
      </x:c>
      <x:c r="Y370" s="90">
        <x:v>0</x:v>
      </x:c>
      <x:c r="Z370" t="n">
        <x:v>0</x:v>
      </x:c>
    </x:row>
    <x:row r="371" spans="1:26" s="657" customFormat="1" ht="12.75" customHeight="1" x14ac:dyDescent="0.25">
      <x:c r="A371"/>
      <x:c r="B371"/>
      <x:c r="C371" s="657" t="inlineStr">
        <x:is>
          <x:t>ENEL</x:t>
        </x:is>
      </x:c>
      <x:c r="D371" s="658" t="inlineStr">
        <x:is>
          <x:t>Total</x:t>
        </x:is>
      </x:c>
      <x:c r="E371" s="658"/>
      <x:c r="F371" s="659" t="n">
        <x:v>3718594.57</x:v>
      </x:c>
      <x:c r="G371" s="659" t="n">
        <x:v>199481.41</x:v>
      </x:c>
      <x:c r="H371" s="659" t="n">
        <x:v>116234.12</x:v>
      </x:c>
      <x:c r="I371" s="659" t="n">
        <x:v>59627.19</x:v>
      </x:c>
      <x:c r="J371" s="659" t="n">
        <x:v>859359.82</x:v>
      </x:c>
      <x:c r="K371" s="659" t="n">
        <x:v>28477.4</x:v>
      </x:c>
      <x:c r="L371" s="659" t="n">
        <x:v>0</x:v>
      </x:c>
      <x:c r="M371" s="659" t="n">
        <x:v>249801.74</x:v>
      </x:c>
      <x:c r="N371" s="659" t="n">
        <x:v>269740.52</x:v>
      </x:c>
      <x:c r="O371" s="659" t="n">
        <x:v>1359204.06</x:v>
      </x:c>
      <x:c r="P371" s="659" t="n">
        <x:v>530201.13</x:v>
      </x:c>
      <x:c r="Q371" s="659" t="n">
        <x:v>46462.95</x:v>
      </x:c>
      <x:c r="R371" s="659" t="n">
        <x:v>4.23</x:v>
      </x:c>
      <x:c r="S371" s="659" t="n">
        <x:v>0</x:v>
      </x:c>
      <x:c r="T371" s="657" t="n">
        <x:v>0</x:v>
      </x:c>
      <x:c r="U371" s="657">
        <x:v>0</x:v>
      </x:c>
      <x:c r="V371" s="657">
        <x:v>0</x:v>
      </x:c>
      <x:c r="W371" s="657">
        <x:v>0</x:v>
      </x:c>
      <x:c r="X371" s="657">
        <x:v>0</x:v>
      </x:c>
      <x:c r="Y371" s="659">
        <x:v>0</x:v>
      </x:c>
      <x:c r="Z371" s="657" t="n">
        <x:v>0</x:v>
      </x:c>
    </x:row>
    <x:row r="372" spans="1:26" ht="12.75" customHeight="1" x14ac:dyDescent="0.25">
      <x:c r="A372"/>
      <x:c r="B372"/>
      <x:c r="C372"/>
      <x:c r="D372"/>
      <x:c r="E372" s="89" t="inlineStr">
        <x:is>
          <x:t>Vlr Servicio</x:t>
        </x:is>
      </x:c>
      <x:c r="F372" s="90" t="n">
        <x:v>182248.69</x:v>
      </x:c>
      <x:c r="G372" s="90" t="n">
        <x:v>21062.98</x:v>
      </x:c>
      <x:c r="H372" s="90" t="n">
        <x:v>11904.98</x:v>
      </x:c>
      <x:c r="I372" s="90" t="n">
        <x:v>6299.15</x:v>
      </x:c>
      <x:c r="J372" s="90" t="n">
        <x:v>27092.54</x:v>
      </x:c>
      <x:c r="K372" s="90" t="n">
        <x:v>814.1</x:v>
      </x:c>
      <x:c r="L372" s="90" t="n">
        <x:v>0</x:v>
      </x:c>
      <x:c r="M372" s="90" t="n">
        <x:v>7141.31</x:v>
      </x:c>
      <x:c r="N372" s="90" t="n">
        <x:v>8330.12</x:v>
      </x:c>
      <x:c r="O372" s="90" t="n">
        <x:v>42011.47</x:v>
      </x:c>
      <x:c r="P372" s="90" t="n">
        <x:v>56267.63</x:v>
      </x:c>
      <x:c r="Q372" s="90" t="n">
        <x:v>1328.28</x:v>
      </x:c>
      <x:c r="R372" s="90" t="n">
        <x:v>-3.87</x:v>
      </x:c>
      <x:c r="S372" s="90" t="n">
        <x:v>0</x:v>
      </x:c>
      <x:c r="T372" t="n">
        <x:v>0</x:v>
      </x:c>
      <x:c r="U372">
        <x:v>0</x:v>
      </x:c>
      <x:c r="V372">
        <x:v>0</x:v>
      </x:c>
      <x:c r="W372">
        <x:v>0</x:v>
      </x:c>
      <x:c r="X372">
        <x:v>0</x:v>
      </x:c>
      <x:c r="Y372" s="90">
        <x:v>0</x:v>
      </x:c>
      <x:c r="Z372" t="n">
        <x:v>0</x:v>
      </x:c>
    </x:row>
    <x:row r="373" spans="1:26" ht="12.75" customHeight="1" x14ac:dyDescent="0.25">
      <x:c r="A373"/>
      <x:c r="B373"/>
      <x:c r="C373"/>
      <x:c r="D373"/>
      <x:c r="E373" s="89" t="inlineStr">
        <x:is>
          <x:t>Vlr Intereses</x:t>
        </x:is>
      </x:c>
      <x:c r="F373" s="90" t="n">
        <x:v>-457.82</x:v>
      </x:c>
      <x:c r="G373" s="90" t="n">
        <x:v>0.04</x:v>
      </x:c>
      <x:c r="H373" s="90" t="n">
        <x:v>0.02</x:v>
      </x:c>
      <x:c r="I373" s="90" t="n">
        <x:v>0.01</x:v>
      </x:c>
      <x:c r="J373" s="90" t="n">
        <x:v>0.19</x:v>
      </x:c>
      <x:c r="K373" s="90" t="n">
        <x:v>0.01</x:v>
      </x:c>
      <x:c r="L373" s="90" t="n">
        <x:v>0</x:v>
      </x:c>
      <x:c r="M373" s="90" t="n">
        <x:v>0.06</x:v>
      </x:c>
      <x:c r="N373" s="90" t="n">
        <x:v>0.06</x:v>
      </x:c>
      <x:c r="O373" s="90" t="n">
        <x:v>-458.32</x:v>
      </x:c>
      <x:c r="P373" s="90" t="n">
        <x:v>0.1</x:v>
      </x:c>
      <x:c r="Q373" s="90" t="n">
        <x:v>0.01</x:v>
      </x:c>
      <x:c r="R373" s="90" t="n">
        <x:v>0</x:v>
      </x:c>
      <x:c r="S373" s="90" t="n">
        <x:v>0</x:v>
      </x:c>
      <x:c r="T373" t="n">
        <x:v>0</x:v>
      </x:c>
      <x:c r="U373">
        <x:v>0</x:v>
      </x:c>
      <x:c r="V373">
        <x:v>0</x:v>
      </x:c>
      <x:c r="W373">
        <x:v>0</x:v>
      </x:c>
      <x:c r="X373">
        <x:v>0</x:v>
      </x:c>
      <x:c r="Y373" s="90">
        <x:v>0</x:v>
      </x:c>
      <x:c r="Z373" t="n">
        <x:v>0</x:v>
      </x:c>
    </x:row>
    <x:row r="374" spans="1:26" s="224" customFormat="1" ht="12.75" customHeight="1" x14ac:dyDescent="0.25">
      <x:c r="A374"/>
      <x:c r="B374"/>
      <x:c r="C374" s="223"/>
      <x:c r="D374" s="223" t="inlineStr">
        <x:is>
          <x:t>1</x:t>
        </x:is>
      </x:c>
      <x:c r="E374" t="inlineStr">
        <x:is>
          <x:t>Total</x:t>
        </x:is>
      </x:c>
      <x:c r="F374" s="225" t="n">
        <x:v>181790.87</x:v>
      </x:c>
      <x:c r="G374" s="225" t="n">
        <x:v>21063.02</x:v>
      </x:c>
      <x:c r="H374" s="225" t="n">
        <x:v>11905</x:v>
      </x:c>
      <x:c r="I374" s="225" t="n">
        <x:v>6299.16</x:v>
      </x:c>
      <x:c r="J374" s="225" t="n">
        <x:v>27092.73</x:v>
      </x:c>
      <x:c r="K374" s="225" t="n">
        <x:v>814.11</x:v>
      </x:c>
      <x:c r="L374" s="225" t="n">
        <x:v>0</x:v>
      </x:c>
      <x:c r="M374" s="225" t="n">
        <x:v>7141.37</x:v>
      </x:c>
      <x:c r="N374" s="225" t="n">
        <x:v>8330.18</x:v>
      </x:c>
      <x:c r="O374" s="225" t="n">
        <x:v>41553.15</x:v>
      </x:c>
      <x:c r="P374" s="225" t="n">
        <x:v>56267.73</x:v>
      </x:c>
      <x:c r="Q374" s="225" t="n">
        <x:v>1328.29</x:v>
      </x:c>
      <x:c r="R374" s="225" t="n">
        <x:v>-3.87</x:v>
      </x:c>
      <x:c r="S374" s="225" t="n">
        <x:v>0</x:v>
      </x:c>
      <x:c r="T374" s="224" t="n">
        <x:v>0</x:v>
      </x:c>
      <x:c r="U374" s="224">
        <x:v>0</x:v>
      </x:c>
      <x:c r="V374" s="224">
        <x:v>0</x:v>
      </x:c>
      <x:c r="W374" s="224">
        <x:v>0</x:v>
      </x:c>
      <x:c r="X374" s="224">
        <x:v>0</x:v>
      </x:c>
      <x:c r="Y374" s="225">
        <x:v>0</x:v>
      </x:c>
      <x:c r="Z374" s="224" t="n">
        <x:v>0</x:v>
      </x:c>
    </x:row>
    <x:row r="375" spans="1:26" ht="12.75" customHeight="1" x14ac:dyDescent="0.25">
      <x:c r="A375"/>
      <x:c r="B375"/>
      <x:c r="C375"/>
      <x:c r="D375"/>
      <x:c r="E375" s="89" t="inlineStr">
        <x:is>
          <x:t>Vlr Servicio</x:t>
        </x:is>
      </x:c>
      <x:c r="F375" s="90" t="n">
        <x:v>28490</x:v>
      </x:c>
      <x:c r="G375" s="90" t="n">
        <x:v>1238.03</x:v>
      </x:c>
      <x:c r="H375" s="90" t="n">
        <x:v>698.99</x:v>
      </x:c>
      <x:c r="I375" s="90" t="n">
        <x:v>366.88</x:v>
      </x:c>
      <x:c r="J375" s="90" t="n">
        <x:v>7103.83</x:v>
      </x:c>
      <x:c r="K375" s="90" t="n">
        <x:v>179.43</x:v>
      </x:c>
      <x:c r="L375" s="90" t="n">
        <x:v>0</x:v>
      </x:c>
      <x:c r="M375" s="90" t="n">
        <x:v>1573.94</x:v>
      </x:c>
      <x:c r="N375" s="90" t="n">
        <x:v>2313.65</x:v>
      </x:c>
      <x:c r="O375" s="90" t="n">
        <x:v>11445.44</x:v>
      </x:c>
      <x:c r="P375" s="90" t="n">
        <x:v>3277.05</x:v>
      </x:c>
      <x:c r="Q375" s="90" t="n">
        <x:v>292.76</x:v>
      </x:c>
      <x:c r="R375" s="90" t="n">
        <x:v>0</x:v>
      </x:c>
      <x:c r="S375" s="90" t="n">
        <x:v>0</x:v>
      </x:c>
      <x:c r="T375" t="n">
        <x:v>0</x:v>
      </x:c>
      <x:c r="U375">
        <x:v>0</x:v>
      </x:c>
      <x:c r="V375">
        <x:v>0</x:v>
      </x:c>
      <x:c r="W375">
        <x:v>0</x:v>
      </x:c>
      <x:c r="X375">
        <x:v>0</x:v>
      </x:c>
      <x:c r="Y375" s="90">
        <x:v>0</x:v>
      </x:c>
      <x:c r="Z375" t="n">
        <x:v>0</x:v>
      </x:c>
    </x:row>
    <x:row r="376" spans="1:26" ht="12.75" customHeight="1" x14ac:dyDescent="0.25">
      <x:c r="A376"/>
      <x:c r="B376"/>
      <x:c r="C376"/>
      <x:c r="D376" t="inlineStr">
        <x:is>
          <x:t>5</x:t>
        </x:is>
      </x:c>
      <x:c r="E376" s="89" t="inlineStr">
        <x:is>
          <x:t>Total</x:t>
        </x:is>
      </x:c>
      <x:c r="F376" s="90" t="n">
        <x:v>28490</x:v>
      </x:c>
      <x:c r="G376" s="90" t="n">
        <x:v>1238.03</x:v>
      </x:c>
      <x:c r="H376" s="90" t="n">
        <x:v>698.99</x:v>
      </x:c>
      <x:c r="I376" s="90" t="n">
        <x:v>366.88</x:v>
      </x:c>
      <x:c r="J376" s="90" t="n">
        <x:v>7103.83</x:v>
      </x:c>
      <x:c r="K376" s="90" t="n">
        <x:v>179.43</x:v>
      </x:c>
      <x:c r="L376" s="90" t="n">
        <x:v>0</x:v>
      </x:c>
      <x:c r="M376" s="90" t="n">
        <x:v>1573.94</x:v>
      </x:c>
      <x:c r="N376" s="90" t="n">
        <x:v>2313.65</x:v>
      </x:c>
      <x:c r="O376" s="90" t="n">
        <x:v>11445.44</x:v>
      </x:c>
      <x:c r="P376" s="90" t="n">
        <x:v>3277.05</x:v>
      </x:c>
      <x:c r="Q376" s="90" t="n">
        <x:v>292.76</x:v>
      </x:c>
      <x:c r="R376" s="90" t="n">
        <x:v>0</x:v>
      </x:c>
      <x:c r="S376" s="90" t="n">
        <x:v>0</x:v>
      </x:c>
      <x:c r="T376" t="n">
        <x:v>0</x:v>
      </x:c>
      <x:c r="U376">
        <x:v>0</x:v>
      </x:c>
      <x:c r="V376">
        <x:v>0</x:v>
      </x:c>
      <x:c r="W376">
        <x:v>0</x:v>
      </x:c>
      <x:c r="X376">
        <x:v>0</x:v>
      </x:c>
      <x:c r="Y376" s="90">
        <x:v>0</x:v>
      </x:c>
      <x:c r="Z376" t="n">
        <x:v>0</x:v>
      </x:c>
    </x:row>
    <x:row r="377" spans="1:26" ht="12.75" customHeight="1" x14ac:dyDescent="0.25">
      <x:c r="A377"/>
      <x:c r="B377"/>
      <x:c r="C377" t="inlineStr">
        <x:is>
          <x:t>NUEVO ESQUEMA</x:t>
        </x:is>
      </x:c>
      <x:c r="D377" t="inlineStr">
        <x:is>
          <x:t>Total</x:t>
        </x:is>
      </x:c>
      <x:c r="E377" s="89"/>
      <x:c r="F377" s="90" t="n">
        <x:v>210280.87</x:v>
      </x:c>
      <x:c r="G377" s="90" t="n">
        <x:v>22301.05</x:v>
      </x:c>
      <x:c r="H377" s="90" t="n">
        <x:v>12603.99</x:v>
      </x:c>
      <x:c r="I377" s="90" t="n">
        <x:v>6666.04</x:v>
      </x:c>
      <x:c r="J377" s="90" t="n">
        <x:v>34196.56</x:v>
      </x:c>
      <x:c r="K377" s="90" t="n">
        <x:v>993.54</x:v>
      </x:c>
      <x:c r="L377" s="90" t="n">
        <x:v>0</x:v>
      </x:c>
      <x:c r="M377" s="90" t="n">
        <x:v>8715.31</x:v>
      </x:c>
      <x:c r="N377" s="90" t="n">
        <x:v>10643.83</x:v>
      </x:c>
      <x:c r="O377" s="90" t="n">
        <x:v>52998.59</x:v>
      </x:c>
      <x:c r="P377" s="90" t="n">
        <x:v>59544.78</x:v>
      </x:c>
      <x:c r="Q377" s="90" t="n">
        <x:v>1621.05</x:v>
      </x:c>
      <x:c r="R377" s="90" t="n">
        <x:v>-3.87</x:v>
      </x:c>
      <x:c r="S377" s="90" t="n">
        <x:v>0</x:v>
      </x:c>
      <x:c r="T377" t="n">
        <x:v>0</x:v>
      </x:c>
      <x:c r="U377">
        <x:v>0</x:v>
      </x:c>
      <x:c r="V377">
        <x:v>0</x:v>
      </x:c>
      <x:c r="W377">
        <x:v>0</x:v>
      </x:c>
      <x:c r="X377">
        <x:v>0</x:v>
      </x:c>
      <x:c r="Y377" s="90">
        <x:v>0</x:v>
      </x:c>
      <x:c r="Z377" t="n">
        <x:v>0</x:v>
      </x:c>
    </x:row>
    <x:row r="378" spans="1:26" s="94" customFormat="1" ht="12.75" customHeight="1" x14ac:dyDescent="0.25">
      <x:c r="A378"/>
      <x:c r="B378"/>
      <x:c r="C378" s="101"/>
      <x:c r="D378" s="101"/>
      <x:c r="E378" t="inlineStr">
        <x:is>
          <x:t>Vlr Servicio</x:t>
        </x:is>
      </x:c>
      <x:c r="F378" s="93" t="n">
        <x:v>225667.06</x:v>
      </x:c>
      <x:c r="G378" s="93" t="n">
        <x:v>12477.11</x:v>
      </x:c>
      <x:c r="H378" s="93" t="n">
        <x:v>7049.52</x:v>
      </x:c>
      <x:c r="I378" s="93" t="n">
        <x:v>3719.42</x:v>
      </x:c>
      <x:c r="J378" s="93" t="n">
        <x:v>47751.59</x:v>
      </x:c>
      <x:c r="K378" s="93" t="n">
        <x:v>1809.28</x:v>
      </x:c>
      <x:c r="L378" s="93" t="n">
        <x:v>0</x:v>
      </x:c>
      <x:c r="M378" s="93" t="n">
        <x:v>15870.89</x:v>
      </x:c>
      <x:c r="N378" s="93" t="n">
        <x:v>16621.71</x:v>
      </x:c>
      <x:c r="O378" s="93" t="n">
        <x:v>84191.47</x:v>
      </x:c>
      <x:c r="P378" s="93" t="n">
        <x:v>33222.43</x:v>
      </x:c>
      <x:c r="Q378" s="93" t="n">
        <x:v>2951.97</x:v>
      </x:c>
      <x:c r="R378" s="93" t="n">
        <x:v>1.67</x:v>
      </x:c>
      <x:c r="S378" s="93" t="n">
        <x:v>0</x:v>
      </x:c>
      <x:c r="T378" s="94" t="n">
        <x:v>0</x:v>
      </x:c>
      <x:c r="U378" s="94">
        <x:v>0</x:v>
      </x:c>
      <x:c r="V378" s="94">
        <x:v>0</x:v>
      </x:c>
      <x:c r="W378" s="94">
        <x:v>0</x:v>
      </x:c>
      <x:c r="X378" s="94">
        <x:v>0</x:v>
      </x:c>
      <x:c r="Y378" s="93">
        <x:v>0</x:v>
      </x:c>
      <x:c r="Z378" s="94" t="n">
        <x:v>0</x:v>
      </x:c>
    </x:row>
    <x:row r="379" spans="1:26" s="378" customFormat="1" ht="12.75" customHeight="1" x14ac:dyDescent="0.25">
      <x:c r="A379"/>
      <x:c r="B379" s="378"/>
      <x:c r="C379" s="378"/>
      <x:c r="D379"/>
      <x:c r="E379" s="376" t="inlineStr">
        <x:is>
          <x:t>Vlr Intereses</x:t>
        </x:is>
      </x:c>
      <x:c r="F379" s="377" t="n">
        <x:v>-291.68</x:v>
      </x:c>
      <x:c r="G379" s="377" t="n">
        <x:v>0</x:v>
      </x:c>
      <x:c r="H379" s="377" t="n">
        <x:v>0</x:v>
      </x:c>
      <x:c r="I379" s="377" t="n">
        <x:v>0</x:v>
      </x:c>
      <x:c r="J379" s="377" t="n">
        <x:v>0</x:v>
      </x:c>
      <x:c r="K379" s="377" t="n">
        <x:v>0</x:v>
      </x:c>
      <x:c r="L379" s="377" t="n">
        <x:v>0</x:v>
      </x:c>
      <x:c r="M379" s="377" t="n">
        <x:v>0</x:v>
      </x:c>
      <x:c r="N379" s="377" t="n">
        <x:v>0</x:v>
      </x:c>
      <x:c r="O379" s="377" t="n">
        <x:v>-291.68</x:v>
      </x:c>
      <x:c r="P379" s="377" t="n">
        <x:v>0</x:v>
      </x:c>
      <x:c r="Q379" s="377" t="n">
        <x:v>0</x:v>
      </x:c>
      <x:c r="R379" s="377" t="n">
        <x:v>0</x:v>
      </x:c>
      <x:c r="S379" s="377" t="n">
        <x:v>0</x:v>
      </x:c>
      <x:c r="T379" s="378" t="n">
        <x:v>0</x:v>
      </x:c>
      <x:c r="U379" s="378">
        <x:v>0</x:v>
      </x:c>
      <x:c r="V379" s="378">
        <x:v>0</x:v>
      </x:c>
      <x:c r="W379" s="378">
        <x:v>0</x:v>
      </x:c>
      <x:c r="X379" s="378">
        <x:v>0</x:v>
      </x:c>
      <x:c r="Y379" s="377">
        <x:v>0</x:v>
      </x:c>
      <x:c r="Z379" s="378" t="n">
        <x:v>0</x:v>
      </x:c>
    </x:row>
    <x:row r="380" spans="1:26" ht="12.75" customHeight="1" x14ac:dyDescent="0.25">
      <x:c r="A380"/>
      <x:c r="B380"/>
      <x:c r="C380"/>
      <x:c r="D380" t="inlineStr">
        <x:is>
          <x:t>O</x:t>
        </x:is>
      </x:c>
      <x:c r="E380" s="89" t="inlineStr">
        <x:is>
          <x:t>Total</x:t>
        </x:is>
      </x:c>
      <x:c r="F380" s="90" t="n">
        <x:v>225375.38</x:v>
      </x:c>
      <x:c r="G380" s="90" t="n">
        <x:v>12477.11</x:v>
      </x:c>
      <x:c r="H380" s="90" t="n">
        <x:v>7049.52</x:v>
      </x:c>
      <x:c r="I380" s="90" t="n">
        <x:v>3719.42</x:v>
      </x:c>
      <x:c r="J380" s="90" t="n">
        <x:v>47751.59</x:v>
      </x:c>
      <x:c r="K380" s="90" t="n">
        <x:v>1809.28</x:v>
      </x:c>
      <x:c r="L380" s="90" t="n">
        <x:v>0</x:v>
      </x:c>
      <x:c r="M380" s="90" t="n">
        <x:v>15870.89</x:v>
      </x:c>
      <x:c r="N380" s="90" t="n">
        <x:v>16621.71</x:v>
      </x:c>
      <x:c r="O380" s="90" t="n">
        <x:v>83899.79</x:v>
      </x:c>
      <x:c r="P380" s="90" t="n">
        <x:v>33222.43</x:v>
      </x:c>
      <x:c r="Q380" s="90" t="n">
        <x:v>2951.97</x:v>
      </x:c>
      <x:c r="R380" s="90" t="n">
        <x:v>1.67</x:v>
      </x:c>
      <x:c r="S380" s="90" t="n">
        <x:v>0</x:v>
      </x:c>
      <x:c r="T380" t="n">
        <x:v>0</x:v>
      </x:c>
      <x:c r="U380">
        <x:v>0</x:v>
      </x:c>
      <x:c r="V380">
        <x:v>0</x:v>
      </x:c>
      <x:c r="W380">
        <x:v>0</x:v>
      </x:c>
      <x:c r="X380">
        <x:v>0</x:v>
      </x:c>
      <x:c r="Y380" s="90">
        <x:v>0</x:v>
      </x:c>
      <x:c r="Z380" t="n">
        <x:v>0</x:v>
      </x:c>
    </x:row>
    <x:row r="381" spans="1:26" ht="12.75" customHeight="1" x14ac:dyDescent="0.25">
      <x:c r="A381"/>
      <x:c r="B381"/>
      <x:c r="C381" t="inlineStr">
        <x:is>
          <x:t>OCCIDENTE</x:t>
        </x:is>
      </x:c>
      <x:c r="D381" t="inlineStr">
        <x:is>
          <x:t>Total</x:t>
        </x:is>
      </x:c>
      <x:c r="E381" s="89"/>
      <x:c r="F381" s="371" t="n">
        <x:v>225375.38</x:v>
      </x:c>
      <x:c r="G381" s="90" t="n">
        <x:v>12477.11</x:v>
      </x:c>
      <x:c r="H381" s="90" t="n">
        <x:v>7049.52</x:v>
      </x:c>
      <x:c r="I381" s="90" t="n">
        <x:v>3719.42</x:v>
      </x:c>
      <x:c r="J381" s="90" t="n">
        <x:v>47751.59</x:v>
      </x:c>
      <x:c r="K381" s="90" t="n">
        <x:v>1809.28</x:v>
      </x:c>
      <x:c r="L381" s="90" t="n">
        <x:v>0</x:v>
      </x:c>
      <x:c r="M381" s="90" t="n">
        <x:v>15870.89</x:v>
      </x:c>
      <x:c r="N381" s="90" t="n">
        <x:v>16621.71</x:v>
      </x:c>
      <x:c r="O381" s="90" t="n">
        <x:v>83899.79</x:v>
      </x:c>
      <x:c r="P381" s="90" t="n">
        <x:v>33222.43</x:v>
      </x:c>
      <x:c r="Q381" s="90" t="n">
        <x:v>2951.97</x:v>
      </x:c>
      <x:c r="R381" s="90" t="n">
        <x:v>1.67</x:v>
      </x:c>
      <x:c r="S381" s="90" t="n">
        <x:v>0</x:v>
      </x:c>
      <x:c r="T381" t="n">
        <x:v>0</x:v>
      </x:c>
      <x:c r="U381">
        <x:v>0</x:v>
      </x:c>
      <x:c r="V381">
        <x:v>0</x:v>
      </x:c>
      <x:c r="W381">
        <x:v>0</x:v>
      </x:c>
      <x:c r="X381">
        <x:v>0</x:v>
      </x:c>
      <x:c r="Y381" s="90">
        <x:v>0</x:v>
      </x:c>
      <x:c r="Z381" t="n">
        <x:v>0</x:v>
      </x:c>
    </x:row>
    <x:row r="382" spans="1:26" ht="12.75" customHeight="1" x14ac:dyDescent="0.25">
      <x:c r="A382"/>
      <x:c r="B382" t="inlineStr">
        <x:is>
          <x:t>Aplicacion nuevos x reversion</x:t>
        </x:is>
      </x:c>
      <x:c r="C382" t="inlineStr">
        <x:is>
          <x:t>Total</x:t>
        </x:is>
      </x:c>
      <x:c r="D382"/>
      <x:c r="E382" s="89"/>
      <x:c r="F382" s="90" t="n">
        <x:v>4154250.82</x:v>
      </x:c>
      <x:c r="G382" s="90" t="n">
        <x:v>234259.57</x:v>
      </x:c>
      <x:c r="H382" s="90" t="n">
        <x:v>135887.63</x:v>
      </x:c>
      <x:c r="I382" s="90" t="n">
        <x:v>70012.65</x:v>
      </x:c>
      <x:c r="J382" s="90" t="n">
        <x:v>941307.97</x:v>
      </x:c>
      <x:c r="K382" s="90" t="n">
        <x:v>31280.22</x:v>
      </x:c>
      <x:c r="L382" s="90" t="n">
        <x:v>0</x:v>
      </x:c>
      <x:c r="M382" s="90" t="n">
        <x:v>274387.94</x:v>
      </x:c>
      <x:c r="N382" s="90" t="n">
        <x:v>297006.06</x:v>
      </x:c>
      <x:c r="O382" s="90" t="n">
        <x:v>1496102.44</x:v>
      </x:c>
      <x:c r="P382" s="90" t="n">
        <x:v>622968.34</x:v>
      </x:c>
      <x:c r="Q382" s="90" t="n">
        <x:v>51035.97</x:v>
      </x:c>
      <x:c r="R382" s="90" t="n">
        <x:v>2.03</x:v>
      </x:c>
      <x:c r="S382" s="90" t="n">
        <x:v>0</x:v>
      </x:c>
      <x:c r="T382" t="n">
        <x:v>0</x:v>
      </x:c>
      <x:c r="U382">
        <x:v>0</x:v>
      </x:c>
      <x:c r="V382">
        <x:v>0</x:v>
      </x:c>
      <x:c r="W382">
        <x:v>0</x:v>
      </x:c>
      <x:c r="X382">
        <x:v>0</x:v>
      </x:c>
      <x:c r="Y382" s="90">
        <x:v>0</x:v>
      </x:c>
      <x:c r="Z382" t="n">
        <x:v>0</x:v>
      </x:c>
    </x:row>
    <x:row r="383" spans="3:26" s="657" customFormat="1" ht="12.75" customHeight="1" x14ac:dyDescent="0.25">
      <x:c r="A383"/>
      <x:c r="B383"/>
      <x:c r="C383" s="657"/>
      <x:c r="D383" s="658"/>
      <x:c r="E383" s="658" t="inlineStr">
        <x:is>
          <x:t>Vlr Servicio</x:t>
        </x:is>
      </x:c>
      <x:c r="F383" s="659" t="n">
        <x:v>8246938884.85</x:v>
      </x:c>
      <x:c r="G383" s="659" t="n">
        <x:v>418385103.01</x:v>
      </x:c>
      <x:c r="H383" s="659" t="n">
        <x:v>234855572.9</x:v>
      </x:c>
      <x:c r="I383" s="659" t="n">
        <x:v>123687427.84</x:v>
      </x:c>
      <x:c r="J383" s="659" t="n">
        <x:v>1962584951.27</x:v>
      </x:c>
      <x:c r="K383" s="659" t="n">
        <x:v>68869194.48</x:v>
      </x:c>
      <x:c r="L383" s="659" t="n">
        <x:v>7745996.08</x:v>
      </x:c>
      <x:c r="M383" s="659" t="n">
        <x:v>603491495.67</x:v>
      </x:c>
      <x:c r="N383" s="659" t="n">
        <x:v>585976188.19</x:v>
      </x:c>
      <x:c r="O383" s="659" t="n">
        <x:v>3021520121.18</x:v>
      </x:c>
      <x:c r="P383" s="659" t="n">
        <x:v>1107450420.26</x:v>
      </x:c>
      <x:c r="Q383" s="659" t="n">
        <x:v>112386007.66</x:v>
      </x:c>
      <x:c r="R383" s="659" t="n">
        <x:v>-13593.69</x:v>
      </x:c>
      <x:c r="S383" s="659" t="n">
        <x:v>0</x:v>
      </x:c>
      <x:c r="T383" s="657" t="n">
        <x:v>0</x:v>
      </x:c>
      <x:c r="U383" s="657">
        <x:v>0</x:v>
      </x:c>
      <x:c r="V383" s="657">
        <x:v>0</x:v>
      </x:c>
      <x:c r="W383" s="657">
        <x:v>0</x:v>
      </x:c>
      <x:c r="X383" s="657">
        <x:v>0</x:v>
      </x:c>
      <x:c r="Y383" s="659">
        <x:v>0</x:v>
      </x:c>
      <x:c r="Z383" s="657" t="n">
        <x:v>0</x:v>
      </x:c>
    </x:row>
    <x:row r="384" spans="3:26" ht="12.75" customHeight="1" x14ac:dyDescent="0.25">
      <x:c r="A384"/>
      <x:c r="B384"/>
      <x:c r="C384"/>
      <x:c r="D384" s="89"/>
      <x:c r="E384" s="89" t="inlineStr">
        <x:is>
          <x:t>Vlr Intereses</x:t>
        </x:is>
      </x:c>
      <x:c r="F384" s="371" t="n">
        <x:v>-30791040.7</x:v>
      </x:c>
      <x:c r="G384" s="90" t="n">
        <x:v>1755835.77</x:v>
      </x:c>
      <x:c r="H384" s="90" t="n">
        <x:v>780658.97</x:v>
      </x:c>
      <x:c r="I384" s="90" t="n">
        <x:v>311045.96</x:v>
      </x:c>
      <x:c r="J384" s="90" t="n">
        <x:v>2389867.39</x:v>
      </x:c>
      <x:c r="K384" s="90" t="n">
        <x:v>91402.69</x:v>
      </x:c>
      <x:c r="L384" s="90" t="n">
        <x:v>2279.97</x:v>
      </x:c>
      <x:c r="M384" s="90" t="n">
        <x:v>794061.7</x:v>
      </x:c>
      <x:c r="N384" s="90" t="n">
        <x:v>942791.52</x:v>
      </x:c>
      <x:c r="O384" s="90" t="n">
        <x:v>-42652009.55</x:v>
      </x:c>
      <x:c r="P384" s="90" t="n">
        <x:v>4643734.8</x:v>
      </x:c>
      <x:c r="Q384" s="90" t="n">
        <x:v>149163.01</x:v>
      </x:c>
      <x:c r="R384" s="90" t="n">
        <x:v>-22.34</x:v>
      </x:c>
      <x:c r="S384" s="90" t="n">
        <x:v>0</x:v>
      </x:c>
      <x:c r="T384" t="n">
        <x:v>150.12</x:v>
      </x:c>
      <x:c r="U384">
        <x:v>0</x:v>
      </x:c>
      <x:c r="V384">
        <x:v>0</x:v>
      </x:c>
      <x:c r="W384">
        <x:v>0</x:v>
      </x:c>
      <x:c r="X384">
        <x:v>0</x:v>
      </x:c>
      <x:c r="Y384" s="90">
        <x:v>0</x:v>
      </x:c>
      <x:c r="Z384" t="n">
        <x:v>-0.71</x:v>
      </x:c>
    </x:row>
    <x:row r="385" spans="3:26" ht="12.75" customHeight="1" x14ac:dyDescent="0.25">
      <x:c r="A385"/>
      <x:c r="B385"/>
      <x:c r="C385"/>
      <x:c r="D385" s="89" t="inlineStr">
        <x:is>
          <x:t>E</x:t>
        </x:is>
      </x:c>
      <x:c r="E385" s="89" t="inlineStr">
        <x:is>
          <x:t>Total</x:t>
        </x:is>
      </x:c>
      <x:c r="F385" s="371" t="n">
        <x:v>8216147844.15</x:v>
      </x:c>
      <x:c r="G385" s="90" t="n">
        <x:v>420140938.78</x:v>
      </x:c>
      <x:c r="H385" s="90" t="n">
        <x:v>235636231.87</x:v>
      </x:c>
      <x:c r="I385" s="90" t="n">
        <x:v>123998473.8</x:v>
      </x:c>
      <x:c r="J385" s="90" t="n">
        <x:v>1964974818.66</x:v>
      </x:c>
      <x:c r="K385" s="90" t="n">
        <x:v>68960597.17</x:v>
      </x:c>
      <x:c r="L385" s="90" t="n">
        <x:v>7748276.05</x:v>
      </x:c>
      <x:c r="M385" s="90" t="n">
        <x:v>604285557.37</x:v>
      </x:c>
      <x:c r="N385" s="90" t="n">
        <x:v>586918979.71</x:v>
      </x:c>
      <x:c r="O385" s="90" t="n">
        <x:v>2978868111.63</x:v>
      </x:c>
      <x:c r="P385" s="90" t="n">
        <x:v>1112094155.06</x:v>
      </x:c>
      <x:c r="Q385" s="90" t="n">
        <x:v>112535170.67</x:v>
      </x:c>
      <x:c r="R385" s="90" t="n">
        <x:v>-13616.03</x:v>
      </x:c>
      <x:c r="S385" s="90" t="n">
        <x:v>0</x:v>
      </x:c>
      <x:c r="T385" t="n">
        <x:v>150.12</x:v>
      </x:c>
      <x:c r="U385">
        <x:v>0</x:v>
      </x:c>
      <x:c r="V385">
        <x:v>0</x:v>
      </x:c>
      <x:c r="W385">
        <x:v>0</x:v>
      </x:c>
      <x:c r="X385">
        <x:v>0</x:v>
      </x:c>
      <x:c r="Y385" s="90">
        <x:v>0</x:v>
      </x:c>
      <x:c r="Z385" t="n">
        <x:v>-0.71</x:v>
      </x:c>
    </x:row>
    <x:row r="386" spans="3:26" ht="12.75" customHeight="1" x14ac:dyDescent="0.25">
      <x:c r="A386"/>
      <x:c r="B386"/>
      <x:c r="C386" t="inlineStr">
        <x:is>
          <x:t>ENEL</x:t>
        </x:is>
      </x:c>
      <x:c r="D386" s="89" t="inlineStr">
        <x:is>
          <x:t>Total</x:t>
        </x:is>
      </x:c>
      <x:c r="E386" s="89"/>
      <x:c r="F386" s="371" t="n">
        <x:v>8216147844.15</x:v>
      </x:c>
      <x:c r="G386" s="90" t="n">
        <x:v>420140938.78</x:v>
      </x:c>
      <x:c r="H386" s="90" t="n">
        <x:v>235636231.87</x:v>
      </x:c>
      <x:c r="I386" s="90" t="n">
        <x:v>123998473.8</x:v>
      </x:c>
      <x:c r="J386" s="90" t="n">
        <x:v>1964974818.66</x:v>
      </x:c>
      <x:c r="K386" s="90" t="n">
        <x:v>68960597.17</x:v>
      </x:c>
      <x:c r="L386" s="90" t="n">
        <x:v>7748276.05</x:v>
      </x:c>
      <x:c r="M386" s="90" t="n">
        <x:v>604285557.37</x:v>
      </x:c>
      <x:c r="N386" s="90" t="n">
        <x:v>586918979.71</x:v>
      </x:c>
      <x:c r="O386" s="90" t="n">
        <x:v>2978868111.63</x:v>
      </x:c>
      <x:c r="P386" s="90" t="n">
        <x:v>1112094155.06</x:v>
      </x:c>
      <x:c r="Q386" s="90" t="n">
        <x:v>112535170.67</x:v>
      </x:c>
      <x:c r="R386" s="90" t="n">
        <x:v>-13616.03</x:v>
      </x:c>
      <x:c r="S386" s="90" t="n">
        <x:v>0</x:v>
      </x:c>
      <x:c r="T386" t="n">
        <x:v>150.12</x:v>
      </x:c>
      <x:c r="U386">
        <x:v>0</x:v>
      </x:c>
      <x:c r="V386">
        <x:v>0</x:v>
      </x:c>
      <x:c r="W386">
        <x:v>0</x:v>
      </x:c>
      <x:c r="X386">
        <x:v>0</x:v>
      </x:c>
      <x:c r="Y386" s="90">
        <x:v>0</x:v>
      </x:c>
      <x:c r="Z386" t="n">
        <x:v>-0.71</x:v>
      </x:c>
    </x:row>
    <x:row r="387" spans="3:26" ht="12.75" customHeight="1" x14ac:dyDescent="0.25">
      <x:c r="A387"/>
      <x:c r="B387"/>
      <x:c r="C387"/>
      <x:c r="D387" s="89"/>
      <x:c r="E387" s="89" t="inlineStr">
        <x:is>
          <x:t>Vlr Servicio</x:t>
        </x:is>
      </x:c>
      <x:c r="F387" s="371" t="n">
        <x:v>1254003.59</x:v>
      </x:c>
      <x:c r="G387" s="90" t="n">
        <x:v>80806.82</x:v>
      </x:c>
      <x:c r="H387" s="90" t="n">
        <x:v>41946.19</x:v>
      </x:c>
      <x:c r="I387" s="90" t="n">
        <x:v>23065.34</x:v>
      </x:c>
      <x:c r="J387" s="90" t="n">
        <x:v>196721.82</x:v>
      </x:c>
      <x:c r="K387" s="90" t="n">
        <x:v>9802.46</x:v>
      </x:c>
      <x:c r="L387" s="90" t="n">
        <x:v>0</x:v>
      </x:c>
      <x:c r="M387" s="90" t="n">
        <x:v>86037.19</x:v>
      </x:c>
      <x:c r="N387" s="90" t="n">
        <x:v>96463.74</x:v>
      </x:c>
      <x:c r="O387" s="90" t="n">
        <x:v>487406.76</x:v>
      </x:c>
      <x:c r="P387" s="90" t="n">
        <x:v>215750.89</x:v>
      </x:c>
      <x:c r="Q387" s="90" t="n">
        <x:v>16008.65</x:v>
      </x:c>
      <x:c r="R387" s="90" t="n">
        <x:v>-6.27</x:v>
      </x:c>
      <x:c r="S387" s="90" t="n">
        <x:v>0</x:v>
      </x:c>
      <x:c r="T387" t="n">
        <x:v>0</x:v>
      </x:c>
      <x:c r="U387">
        <x:v>0</x:v>
      </x:c>
      <x:c r="V387">
        <x:v>0</x:v>
      </x:c>
      <x:c r="W387">
        <x:v>0</x:v>
      </x:c>
      <x:c r="X387">
        <x:v>0</x:v>
      </x:c>
      <x:c r="Y387" s="90">
        <x:v>0</x:v>
      </x:c>
      <x:c r="Z387" t="n">
        <x:v>0</x:v>
      </x:c>
    </x:row>
    <x:row r="388" spans="3:26" ht="12.75" customHeight="1" x14ac:dyDescent="0.25">
      <x:c r="A388"/>
      <x:c r="B388"/>
      <x:c r="C388"/>
      <x:c r="D388" s="89"/>
      <x:c r="E388" s="89" t="inlineStr">
        <x:is>
          <x:t>Vlr Intereses</x:t>
        </x:is>
      </x:c>
      <x:c r="F388" s="371" t="n">
        <x:v>23450.18</x:v>
      </x:c>
      <x:c r="G388" s="90" t="n">
        <x:v>1237.93</x:v>
      </x:c>
      <x:c r="H388" s="90" t="n">
        <x:v>604.21</x:v>
      </x:c>
      <x:c r="I388" s="90" t="n">
        <x:v>330.22</x:v>
      </x:c>
      <x:c r="J388" s="90" t="n">
        <x:v>2250.5</x:v>
      </x:c>
      <x:c r="K388" s="90" t="n">
        <x:v>209.66</x:v>
      </x:c>
      <x:c r="L388" s="90" t="n">
        <x:v>0</x:v>
      </x:c>
      <x:c r="M388" s="90" t="n">
        <x:v>1840.76</x:v>
      </x:c>
      <x:c r="N388" s="90" t="n">
        <x:v>2234.78</x:v>
      </x:c>
      <x:c r="O388" s="90" t="n">
        <x:v>11104.93</x:v>
      </x:c>
      <x:c r="P388" s="90" t="n">
        <x:v>3295.12</x:v>
      </x:c>
      <x:c r="Q388" s="90" t="n">
        <x:v>342.77</x:v>
      </x:c>
      <x:c r="R388" s="90" t="n">
        <x:v>-0.7</x:v>
      </x:c>
      <x:c r="S388" s="90" t="n">
        <x:v>0</x:v>
      </x:c>
      <x:c r="T388" t="n">
        <x:v>0</x:v>
      </x:c>
      <x:c r="U388">
        <x:v>0</x:v>
      </x:c>
      <x:c r="V388">
        <x:v>0</x:v>
      </x:c>
      <x:c r="W388">
        <x:v>0</x:v>
      </x:c>
      <x:c r="X388">
        <x:v>0</x:v>
      </x:c>
      <x:c r="Y388" s="90">
        <x:v>0</x:v>
      </x:c>
      <x:c r="Z388" t="n">
        <x:v>0</x:v>
      </x:c>
    </x:row>
    <x:row r="389" spans="3:26" ht="12.75" customHeight="1" x14ac:dyDescent="0.25">
      <x:c r="A389"/>
      <x:c r="B389"/>
      <x:c r="C389"/>
      <x:c r="D389" s="89" t="inlineStr">
        <x:is>
          <x:t>1</x:t>
        </x:is>
      </x:c>
      <x:c r="E389" s="89" t="inlineStr">
        <x:is>
          <x:t>Total</x:t>
        </x:is>
      </x:c>
      <x:c r="F389" s="371" t="n">
        <x:v>1277453.77</x:v>
      </x:c>
      <x:c r="G389" s="90" t="n">
        <x:v>82044.75</x:v>
      </x:c>
      <x:c r="H389" s="90" t="n">
        <x:v>42550.4</x:v>
      </x:c>
      <x:c r="I389" s="90" t="n">
        <x:v>23395.56</x:v>
      </x:c>
      <x:c r="J389" s="90" t="n">
        <x:v>198972.32</x:v>
      </x:c>
      <x:c r="K389" s="90" t="n">
        <x:v>10012.12</x:v>
      </x:c>
      <x:c r="L389" s="90" t="n">
        <x:v>0</x:v>
      </x:c>
      <x:c r="M389" s="90" t="n">
        <x:v>87877.95</x:v>
      </x:c>
      <x:c r="N389" s="90" t="n">
        <x:v>98698.52</x:v>
      </x:c>
      <x:c r="O389" s="90" t="n">
        <x:v>498511.69</x:v>
      </x:c>
      <x:c r="P389" s="90" t="n">
        <x:v>219046.01</x:v>
      </x:c>
      <x:c r="Q389" s="90" t="n">
        <x:v>16351.42</x:v>
      </x:c>
      <x:c r="R389" s="90" t="n">
        <x:v>-6.97</x:v>
      </x:c>
      <x:c r="S389" s="90" t="n">
        <x:v>0</x:v>
      </x:c>
      <x:c r="T389" t="n">
        <x:v>0</x:v>
      </x:c>
      <x:c r="U389">
        <x:v>0</x:v>
      </x:c>
      <x:c r="V389">
        <x:v>0</x:v>
      </x:c>
      <x:c r="W389">
        <x:v>0</x:v>
      </x:c>
      <x:c r="X389">
        <x:v>0</x:v>
      </x:c>
      <x:c r="Y389" s="90">
        <x:v>0</x:v>
      </x:c>
      <x:c r="Z389" t="n">
        <x:v>0</x:v>
      </x:c>
    </x:row>
    <x:row r="390" spans="3:26" ht="12.75" customHeight="1" x14ac:dyDescent="0.25">
      <x:c r="A390"/>
      <x:c r="B390"/>
      <x:c r="C390" s="89"/>
      <x:c r="D390" s="89"/>
      <x:c r="E390" t="inlineStr">
        <x:is>
          <x:t>Vlr Servicio</x:t>
        </x:is>
      </x:c>
      <x:c r="F390" s="90" t="n">
        <x:v>276088.81</x:v>
      </x:c>
      <x:c r="G390" s="90" t="n">
        <x:v>26444.74</x:v>
      </x:c>
      <x:c r="H390" s="90" t="n">
        <x:v>13622.29</x:v>
      </x:c>
      <x:c r="I390" s="90" t="n">
        <x:v>7750.53</x:v>
      </x:c>
      <x:c r="J390" s="90" t="n">
        <x:v>50845.44</x:v>
      </x:c>
      <x:c r="K390" s="90" t="n">
        <x:v>1478.68</x:v>
      </x:c>
      <x:c r="L390" s="90" t="n">
        <x:v>0</x:v>
      </x:c>
      <x:c r="M390" s="90" t="n">
        <x:v>12971.02</x:v>
      </x:c>
      <x:c r="N390" s="90" t="n">
        <x:v>14865.36</x:v>
      </x:c>
      <x:c r="O390" s="90" t="n">
        <x:v>75370.83</x:v>
      </x:c>
      <x:c r="P390" s="90" t="n">
        <x:v>70322.63</x:v>
      </x:c>
      <x:c r="Q390" s="90" t="n">
        <x:v>2412.6</x:v>
      </x:c>
      <x:c r="R390" s="90" t="n">
        <x:v>4.69</x:v>
      </x:c>
      <x:c r="S390" s="90" t="n">
        <x:v>0</x:v>
      </x:c>
      <x:c r="T390" t="n">
        <x:v>0</x:v>
      </x:c>
      <x:c r="U390">
        <x:v>0</x:v>
      </x:c>
      <x:c r="V390">
        <x:v>0</x:v>
      </x:c>
      <x:c r="W390">
        <x:v>0</x:v>
      </x:c>
      <x:c r="X390">
        <x:v>0</x:v>
      </x:c>
      <x:c r="Y390" s="90">
        <x:v>0</x:v>
      </x:c>
      <x:c r="Z390" t="n">
        <x:v>0</x:v>
      </x:c>
    </x:row>
    <x:row r="391" spans="3:26" ht="12.75" customHeight="1" x14ac:dyDescent="0.25">
      <x:c r="A391"/>
      <x:c r="B391"/>
      <x:c r="C391"/>
      <x:c r="D391"/>
      <x:c r="E391" s="89" t="inlineStr">
        <x:is>
          <x:t>Vlr Intereses</x:t>
        </x:is>
      </x:c>
      <x:c r="F391" s="90" t="n">
        <x:v>1763.36</x:v>
      </x:c>
      <x:c r="G391" s="90" t="n">
        <x:v>163.44</x:v>
      </x:c>
      <x:c r="H391" s="90" t="n">
        <x:v>79.78</x:v>
      </x:c>
      <x:c r="I391" s="90" t="n">
        <x:v>44.61</x:v>
      </x:c>
      <x:c r="J391" s="90" t="n">
        <x:v>581.24</x:v>
      </x:c>
      <x:c r="K391" s="90" t="n">
        <x:v>14.67</x:v>
      </x:c>
      <x:c r="L391" s="90" t="n">
        <x:v>0</x:v>
      </x:c>
      <x:c r="M391" s="90" t="n">
        <x:v>117.58</x:v>
      </x:c>
      <x:c r="N391" s="90" t="n">
        <x:v>155.7</x:v>
      </x:c>
      <x:c r="O391" s="90" t="n">
        <x:v>210.6</x:v>
      </x:c>
      <x:c r="P391" s="90" t="n">
        <x:v>371.89</x:v>
      </x:c>
      <x:c r="Q391" s="90" t="n">
        <x:v>23.92</x:v>
      </x:c>
      <x:c r="R391" s="90" t="n">
        <x:v>-0.07</x:v>
      </x:c>
      <x:c r="S391" s="90" t="n">
        <x:v>0</x:v>
      </x:c>
      <x:c r="T391" t="n">
        <x:v>0</x:v>
      </x:c>
      <x:c r="U391">
        <x:v>0</x:v>
      </x:c>
      <x:c r="V391">
        <x:v>0</x:v>
      </x:c>
      <x:c r="W391">
        <x:v>0</x:v>
      </x:c>
      <x:c r="X391">
        <x:v>0</x:v>
      </x:c>
      <x:c r="Y391" s="90">
        <x:v>0</x:v>
      </x:c>
      <x:c r="Z391" t="n">
        <x:v>0</x:v>
      </x:c>
    </x:row>
    <x:row r="392" spans="3:26" ht="12.75" customHeight="1" x14ac:dyDescent="0.25">
      <x:c r="A392"/>
      <x:c r="B392"/>
      <x:c r="C392"/>
      <x:c r="D392" t="inlineStr">
        <x:is>
          <x:t>2</x:t>
        </x:is>
      </x:c>
      <x:c r="E392" s="89" t="inlineStr">
        <x:is>
          <x:t>Total</x:t>
        </x:is>
      </x:c>
      <x:c r="F392" s="90" t="n">
        <x:v>277852.17</x:v>
      </x:c>
      <x:c r="G392" s="90" t="n">
        <x:v>26608.18</x:v>
      </x:c>
      <x:c r="H392" s="90" t="n">
        <x:v>13702.07</x:v>
      </x:c>
      <x:c r="I392" s="90" t="n">
        <x:v>7795.14</x:v>
      </x:c>
      <x:c r="J392" s="90" t="n">
        <x:v>51426.68</x:v>
      </x:c>
      <x:c r="K392" s="90" t="n">
        <x:v>1493.35</x:v>
      </x:c>
      <x:c r="L392" s="90" t="n">
        <x:v>0</x:v>
      </x:c>
      <x:c r="M392" s="90" t="n">
        <x:v>13088.6</x:v>
      </x:c>
      <x:c r="N392" s="90" t="n">
        <x:v>15021.06</x:v>
      </x:c>
      <x:c r="O392" s="90" t="n">
        <x:v>75581.43</x:v>
      </x:c>
      <x:c r="P392" s="90" t="n">
        <x:v>70694.52</x:v>
      </x:c>
      <x:c r="Q392" s="90" t="n">
        <x:v>2436.52</x:v>
      </x:c>
      <x:c r="R392" s="90" t="n">
        <x:v>4.62</x:v>
      </x:c>
      <x:c r="S392" s="90" t="n">
        <x:v>0</x:v>
      </x:c>
      <x:c r="T392" t="n">
        <x:v>0</x:v>
      </x:c>
      <x:c r="U392">
        <x:v>0</x:v>
      </x:c>
      <x:c r="V392">
        <x:v>0</x:v>
      </x:c>
      <x:c r="W392">
        <x:v>0</x:v>
      </x:c>
      <x:c r="X392">
        <x:v>0</x:v>
      </x:c>
      <x:c r="Y392" s="90">
        <x:v>0</x:v>
      </x:c>
      <x:c r="Z392" t="n">
        <x:v>0</x:v>
      </x:c>
    </x:row>
    <x:row r="393" spans="3:26" s="224" customFormat="1" ht="12.75" customHeight="1" x14ac:dyDescent="0.25">
      <x:c r="A393"/>
      <x:c r="B393"/>
      <x:c r="C393" s="223"/>
      <x:c r="D393" s="223"/>
      <x:c r="E393" t="inlineStr">
        <x:is>
          <x:t>Vlr Servicio</x:t>
        </x:is>
      </x:c>
      <x:c r="F393" s="225" t="n">
        <x:v>2520325.29</x:v>
      </x:c>
      <x:c r="G393" s="225" t="n">
        <x:v>121957.19</x:v>
      </x:c>
      <x:c r="H393" s="225" t="n">
        <x:v>67910.85</x:v>
      </x:c>
      <x:c r="I393" s="225" t="n">
        <x:v>36000.71</x:v>
      </x:c>
      <x:c r="J393" s="225" t="n">
        <x:v>615618.21</x:v>
      </x:c>
      <x:c r="K393" s="225" t="n">
        <x:v>20743.35</x:v>
      </x:c>
      <x:c r="L393" s="225" t="n">
        <x:v>0</x:v>
      </x:c>
      <x:c r="M393" s="225" t="n">
        <x:v>183015.86</x:v>
      </x:c>
      <x:c r="N393" s="225" t="n">
        <x:v>182611.23</x:v>
      </x:c>
      <x:c r="O393" s="225" t="n">
        <x:v>932935.39</x:v>
      </x:c>
      <x:c r="P393" s="225" t="n">
        <x:v>325684.34</x:v>
      </x:c>
      <x:c r="Q393" s="225" t="n">
        <x:v>33844.33</x:v>
      </x:c>
      <x:c r="R393" s="225" t="n">
        <x:v>3.83</x:v>
      </x:c>
      <x:c r="S393" s="225" t="n">
        <x:v>0</x:v>
      </x:c>
      <x:c r="T393" s="224" t="n">
        <x:v>0</x:v>
      </x:c>
      <x:c r="U393" s="224">
        <x:v>0</x:v>
      </x:c>
      <x:c r="V393" s="224">
        <x:v>0</x:v>
      </x:c>
      <x:c r="W393" s="224">
        <x:v>0</x:v>
      </x:c>
      <x:c r="X393" s="224">
        <x:v>0</x:v>
      </x:c>
      <x:c r="Y393" s="225">
        <x:v>0</x:v>
      </x:c>
      <x:c r="Z393" s="224" t="n">
        <x:v>0</x:v>
      </x:c>
    </x:row>
    <x:row r="394" spans="3:26" ht="12.75" customHeight="1" x14ac:dyDescent="0.25">
      <x:c r="A394"/>
      <x:c r="B394"/>
      <x:c r="C394"/>
      <x:c r="D394"/>
      <x:c r="E394" s="89" t="inlineStr">
        <x:is>
          <x:t>Vlr Intereses</x:t>
        </x:is>
      </x:c>
      <x:c r="F394" s="90" t="n">
        <x:v>-6849.08</x:v>
      </x:c>
      <x:c r="G394" s="90" t="n">
        <x:v>231.53</x:v>
      </x:c>
      <x:c r="H394" s="90" t="n">
        <x:v>122.31</x:v>
      </x:c>
      <x:c r="I394" s="90" t="n">
        <x:v>66.9</x:v>
      </x:c>
      <x:c r="J394" s="90" t="n">
        <x:v>1041.73</x:v>
      </x:c>
      <x:c r="K394" s="90" t="n">
        <x:v>28.29</x:v>
      </x:c>
      <x:c r="L394" s="90" t="n">
        <x:v>0</x:v>
      </x:c>
      <x:c r="M394" s="90" t="n">
        <x:v>248.59</x:v>
      </x:c>
      <x:c r="N394" s="90" t="n">
        <x:v>318.93</x:v>
      </x:c>
      <x:c r="O394" s="90" t="n">
        <x:v>-9573.24</x:v>
      </x:c>
      <x:c r="P394" s="90" t="n">
        <x:v>619.87</x:v>
      </x:c>
      <x:c r="Q394" s="90" t="n">
        <x:v>46.07</x:v>
      </x:c>
      <x:c r="R394" s="90" t="n">
        <x:v>-0.06</x:v>
      </x:c>
      <x:c r="S394" s="90" t="n">
        <x:v>0</x:v>
      </x:c>
      <x:c r="T394" t="n">
        <x:v>0</x:v>
      </x:c>
      <x:c r="U394">
        <x:v>0</x:v>
      </x:c>
      <x:c r="V394">
        <x:v>0</x:v>
      </x:c>
      <x:c r="W394">
        <x:v>0</x:v>
      </x:c>
      <x:c r="X394">
        <x:v>0</x:v>
      </x:c>
      <x:c r="Y394" s="90">
        <x:v>0</x:v>
      </x:c>
      <x:c r="Z394" t="n">
        <x:v>0</x:v>
      </x:c>
    </x:row>
    <x:row r="395" spans="3:26" ht="12.75" customHeight="1" x14ac:dyDescent="0.25">
      <x:c r="A395"/>
      <x:c r="B395"/>
      <x:c r="C395"/>
      <x:c r="D395" s="89" t="inlineStr">
        <x:is>
          <x:t>5</x:t>
        </x:is>
      </x:c>
      <x:c r="E395" s="89" t="inlineStr">
        <x:is>
          <x:t>Total</x:t>
        </x:is>
      </x:c>
      <x:c r="F395" s="90" t="n">
        <x:v>2513476.21</x:v>
      </x:c>
      <x:c r="G395" s="90" t="n">
        <x:v>122188.72</x:v>
      </x:c>
      <x:c r="H395" s="90" t="n">
        <x:v>68033.16</x:v>
      </x:c>
      <x:c r="I395" s="90" t="n">
        <x:v>36067.61</x:v>
      </x:c>
      <x:c r="J395" s="90" t="n">
        <x:v>616659.94</x:v>
      </x:c>
      <x:c r="K395" s="90" t="n">
        <x:v>20771.64</x:v>
      </x:c>
      <x:c r="L395" s="90" t="n">
        <x:v>0</x:v>
      </x:c>
      <x:c r="M395" s="90" t="n">
        <x:v>183264.45</x:v>
      </x:c>
      <x:c r="N395" s="90" t="n">
        <x:v>182930.16</x:v>
      </x:c>
      <x:c r="O395" s="90" t="n">
        <x:v>923362.15</x:v>
      </x:c>
      <x:c r="P395" s="90" t="n">
        <x:v>326304.21</x:v>
      </x:c>
      <x:c r="Q395" s="90" t="n">
        <x:v>33890.4</x:v>
      </x:c>
      <x:c r="R395" s="90" t="n">
        <x:v>3.77</x:v>
      </x:c>
      <x:c r="S395" s="90" t="n">
        <x:v>0</x:v>
      </x:c>
      <x:c r="T395" t="n">
        <x:v>0</x:v>
      </x:c>
      <x:c r="U395">
        <x:v>0</x:v>
      </x:c>
      <x:c r="V395">
        <x:v>0</x:v>
      </x:c>
      <x:c r="W395">
        <x:v>0</x:v>
      </x:c>
      <x:c r="X395">
        <x:v>0</x:v>
      </x:c>
      <x:c r="Y395" s="90">
        <x:v>0</x:v>
      </x:c>
      <x:c r="Z395" t="n">
        <x:v>0</x:v>
      </x:c>
    </x:row>
    <x:row r="396" spans="3:26" ht="12.75" customHeight="1" x14ac:dyDescent="0.25">
      <x:c r="A396"/>
      <x:c r="B396"/>
      <x:c r="C396" t="inlineStr">
        <x:is>
          <x:t>NUEVO ESQUEMA</x:t>
        </x:is>
      </x:c>
      <x:c r="D396" t="inlineStr">
        <x:is>
          <x:t>Total</x:t>
        </x:is>
      </x:c>
      <x:c r="E396" s="89"/>
      <x:c r="F396" s="90" t="n">
        <x:v>4068782.15</x:v>
      </x:c>
      <x:c r="G396" s="90" t="n">
        <x:v>230841.65</x:v>
      </x:c>
      <x:c r="H396" s="90" t="n">
        <x:v>124285.63</x:v>
      </x:c>
      <x:c r="I396" s="90" t="n">
        <x:v>67258.31</x:v>
      </x:c>
      <x:c r="J396" s="90" t="n">
        <x:v>867058.94</x:v>
      </x:c>
      <x:c r="K396" s="90" t="n">
        <x:v>32277.11</x:v>
      </x:c>
      <x:c r="L396" s="90" t="n">
        <x:v>0</x:v>
      </x:c>
      <x:c r="M396" s="90" t="n">
        <x:v>284231</x:v>
      </x:c>
      <x:c r="N396" s="90" t="n">
        <x:v>296649.74</x:v>
      </x:c>
      <x:c r="O396" s="90" t="n">
        <x:v>1497455.27</x:v>
      </x:c>
      <x:c r="P396" s="90" t="n">
        <x:v>616044.74</x:v>
      </x:c>
      <x:c r="Q396" s="90" t="n">
        <x:v>52678.34</x:v>
      </x:c>
      <x:c r="R396" s="90" t="n">
        <x:v>1.42</x:v>
      </x:c>
      <x:c r="S396" s="90" t="n">
        <x:v>0</x:v>
      </x:c>
      <x:c r="T396" t="n">
        <x:v>0</x:v>
      </x:c>
      <x:c r="U396">
        <x:v>0</x:v>
      </x:c>
      <x:c r="V396">
        <x:v>0</x:v>
      </x:c>
      <x:c r="W396">
        <x:v>0</x:v>
      </x:c>
      <x:c r="X396">
        <x:v>0</x:v>
      </x:c>
      <x:c r="Y396" s="90">
        <x:v>0</x:v>
      </x:c>
      <x:c r="Z396" t="n">
        <x:v>0</x:v>
      </x:c>
    </x:row>
    <x:row r="397" spans="3:26" ht="12.75" customHeight="1" x14ac:dyDescent="0.25">
      <x:c r="A397"/>
      <x:c r="B397"/>
      <x:c r="C397"/>
      <x:c r="D397"/>
      <x:c r="E397" s="89" t="inlineStr">
        <x:is>
          <x:t>Vlr Servicio</x:t>
        </x:is>
      </x:c>
      <x:c r="F397" s="90" t="n">
        <x:v>236487797.15</x:v>
      </x:c>
      <x:c r="G397" s="90" t="n">
        <x:v>13918818.07</x:v>
      </x:c>
      <x:c r="H397" s="90" t="n">
        <x:v>7898835.56</x:v>
      </x:c>
      <x:c r="I397" s="90" t="n">
        <x:v>4195469.62</x:v>
      </x:c>
      <x:c r="J397" s="90" t="n">
        <x:v>53584722.26</x:v>
      </x:c>
      <x:c r="K397" s="90" t="n">
        <x:v>1358543.91</x:v>
      </x:c>
      <x:c r="L397" s="90" t="n">
        <x:v>1016480.32</x:v>
      </x:c>
      <x:c r="M397" s="90" t="n">
        <x:v>11908266.17</x:v>
      </x:c>
      <x:c r="N397" s="90" t="n">
        <x:v>17185993.23</x:v>
      </x:c>
      <x:c r="O397" s="90" t="n">
        <x:v>85883176.32</x:v>
      </x:c>
      <x:c r="P397" s="90" t="n">
        <x:v>37317675.79</x:v>
      </x:c>
      <x:c r="Q397" s="90" t="n">
        <x:v>2219113.11</x:v>
      </x:c>
      <x:c r="R397" s="90" t="n">
        <x:v>702.79</x:v>
      </x:c>
      <x:c r="S397" s="90" t="n">
        <x:v>0</x:v>
      </x:c>
      <x:c r="T397" t="n">
        <x:v>0</x:v>
      </x:c>
      <x:c r="U397">
        <x:v>0</x:v>
      </x:c>
      <x:c r="V397">
        <x:v>0</x:v>
      </x:c>
      <x:c r="W397">
        <x:v>0</x:v>
      </x:c>
      <x:c r="X397">
        <x:v>0</x:v>
      </x:c>
      <x:c r="Y397" s="90">
        <x:v>0</x:v>
      </x:c>
      <x:c r="Z397" t="n">
        <x:v>0</x:v>
      </x:c>
    </x:row>
    <x:row r="398" spans="3:26" ht="12.75" customHeight="1" x14ac:dyDescent="0.25">
      <x:c r="A398"/>
      <x:c r="B398"/>
      <x:c r="C398"/>
      <x:c r="D398" s="89"/>
      <x:c r="E398" s="89" t="inlineStr">
        <x:is>
          <x:t>Vlr Intereses</x:t>
        </x:is>
      </x:c>
      <x:c r="F398" s="90" t="n">
        <x:v>-66055.51</x:v>
      </x:c>
      <x:c r="G398" s="90" t="n">
        <x:v>42875.36</x:v>
      </x:c>
      <x:c r="H398" s="90" t="n">
        <x:v>22349.12</x:v>
      </x:c>
      <x:c r="I398" s="90" t="n">
        <x:v>10965.42</x:v>
      </x:c>
      <x:c r="J398" s="90" t="n">
        <x:v>130899.72</x:v>
      </x:c>
      <x:c r="K398" s="90" t="n">
        <x:v>3940.94</x:v>
      </x:c>
      <x:c r="L398" s="90" t="n">
        <x:v>0</x:v>
      </x:c>
      <x:c r="M398" s="90" t="n">
        <x:v>34479.27</x:v>
      </x:c>
      <x:c r="N398" s="90" t="n">
        <x:v>46233.09</x:v>
      </x:c>
      <x:c r="O398" s="90" t="n">
        <x:v>-477074.43</x:v>
      </x:c>
      <x:c r="P398" s="90" t="n">
        <x:v>112811.27</x:v>
      </x:c>
      <x:c r="Q398" s="90" t="n">
        <x:v>6438.25</x:v>
      </x:c>
      <x:c r="R398" s="90" t="n">
        <x:v>26.46</x:v>
      </x:c>
      <x:c r="S398" s="90" t="n">
        <x:v>0</x:v>
      </x:c>
      <x:c r="T398" t="n">
        <x:v>0.02</x:v>
      </x:c>
      <x:c r="U398">
        <x:v>0</x:v>
      </x:c>
      <x:c r="V398">
        <x:v>0</x:v>
      </x:c>
      <x:c r="W398">
        <x:v>0</x:v>
      </x:c>
      <x:c r="X398">
        <x:v>0</x:v>
      </x:c>
      <x:c r="Y398" s="90">
        <x:v>0</x:v>
      </x:c>
      <x:c r="Z398" t="n">
        <x:v>0</x:v>
      </x:c>
    </x:row>
    <x:row r="399" spans="1:26" ht="12.75" customHeight="1" x14ac:dyDescent="0.25">
      <x:c r="A399"/>
      <x:c r="B399"/>
      <x:c r="C399" s="89"/>
      <x:c r="D399" s="89" t="inlineStr">
        <x:is>
          <x:t>H</x:t>
        </x:is>
      </x:c>
      <x:c r="E399" t="inlineStr">
        <x:is>
          <x:t>Total</x:t>
        </x:is>
      </x:c>
      <x:c r="F399" s="90" t="n">
        <x:v>236421741.64</x:v>
      </x:c>
      <x:c r="G399" s="90" t="n">
        <x:v>13961693.43</x:v>
      </x:c>
      <x:c r="H399" s="90" t="n">
        <x:v>7921184.68</x:v>
      </x:c>
      <x:c r="I399" s="90" t="n">
        <x:v>4206435.04</x:v>
      </x:c>
      <x:c r="J399" s="90" t="n">
        <x:v>53715621.98</x:v>
      </x:c>
      <x:c r="K399" s="90" t="n">
        <x:v>1362484.85</x:v>
      </x:c>
      <x:c r="L399" s="90" t="n">
        <x:v>1016480.32</x:v>
      </x:c>
      <x:c r="M399" s="90" t="n">
        <x:v>11942745.44</x:v>
      </x:c>
      <x:c r="N399" s="90" t="n">
        <x:v>17232226.32</x:v>
      </x:c>
      <x:c r="O399" s="90" t="n">
        <x:v>85406101.89</x:v>
      </x:c>
      <x:c r="P399" s="90" t="n">
        <x:v>37430487.06</x:v>
      </x:c>
      <x:c r="Q399" s="90" t="n">
        <x:v>2225551.36</x:v>
      </x:c>
      <x:c r="R399" s="90" t="n">
        <x:v>729.25</x:v>
      </x:c>
      <x:c r="S399" s="90" t="n">
        <x:v>0</x:v>
      </x:c>
      <x:c r="T399" t="n">
        <x:v>0.02</x:v>
      </x:c>
      <x:c r="U399">
        <x:v>0</x:v>
      </x:c>
      <x:c r="V399">
        <x:v>0</x:v>
      </x:c>
      <x:c r="W399">
        <x:v>0</x:v>
      </x:c>
      <x:c r="X399">
        <x:v>0</x:v>
      </x:c>
      <x:c r="Y399" s="90">
        <x:v>0</x:v>
      </x:c>
      <x:c r="Z399" t="n">
        <x:v>0</x:v>
      </x:c>
    </x:row>
    <x:row r="400" spans="1:26" ht="12.75" customHeight="1" x14ac:dyDescent="0.25">
      <x:c r="A400"/>
      <x:c r="B400" s="89"/>
      <x:c r="C400" s="89"/>
      <x:c r="D400"/>
      <x:c r="E400" t="inlineStr">
        <x:is>
          <x:t>Vlr Servicio</x:t>
        </x:is>
      </x:c>
      <x:c r="F400" s="90" t="n">
        <x:v>119612851.98</x:v>
      </x:c>
      <x:c r="G400" s="90" t="n">
        <x:v>8292390.03</x:v>
      </x:c>
      <x:c r="H400" s="90" t="n">
        <x:v>4384853.36</x:v>
      </x:c>
      <x:c r="I400" s="90" t="n">
        <x:v>2254693.04</x:v>
      </x:c>
      <x:c r="J400" s="90" t="n">
        <x:v>23302372.99</x:v>
      </x:c>
      <x:c r="K400" s="90" t="n">
        <x:v>786498.33</x:v>
      </x:c>
      <x:c r="L400" s="90" t="n">
        <x:v>0</x:v>
      </x:c>
      <x:c r="M400" s="90" t="n">
        <x:v>6976666.04</x:v>
      </x:c>
      <x:c r="N400" s="90" t="n">
        <x:v>8374828.44</x:v>
      </x:c>
      <x:c r="O400" s="90" t="n">
        <x:v>41727065.31</x:v>
      </x:c>
      <x:c r="P400" s="90" t="n">
        <x:v>22226422.92</x:v>
      </x:c>
      <x:c r="Q400" s="90" t="n">
        <x:v>1287271.41</x:v>
      </x:c>
      <x:c r="R400" s="90" t="n">
        <x:v>-209.89</x:v>
      </x:c>
      <x:c r="S400" s="90" t="n">
        <x:v>0</x:v>
      </x:c>
      <x:c r="T400" t="n">
        <x:v>0</x:v>
      </x:c>
      <x:c r="U400">
        <x:v>0</x:v>
      </x:c>
      <x:c r="V400">
        <x:v>0</x:v>
      </x:c>
      <x:c r="W400">
        <x:v>0</x:v>
      </x:c>
      <x:c r="X400">
        <x:v>0</x:v>
      </x:c>
      <x:c r="Y400" s="90">
        <x:v>0</x:v>
      </x:c>
      <x:c r="Z400" t="n">
        <x:v>0</x:v>
      </x:c>
    </x:row>
    <x:row r="401" spans="1:26" ht="12.75" customHeight="1" x14ac:dyDescent="0.25">
      <x:c r="A401" s="89"/>
      <x:c r="B401" s="89"/>
      <x:c r="C401"/>
      <x:c r="D401"/>
      <x:c r="E401" t="inlineStr">
        <x:is>
          <x:t>Vlr Intereses</x:t>
        </x:is>
      </x:c>
      <x:c r="F401" s="90" t="n">
        <x:v>15411450.94</x:v>
      </x:c>
      <x:c r="G401" s="90" t="n">
        <x:v>1726182.39</x:v>
      </x:c>
      <x:c r="H401" s="90" t="n">
        <x:v>769860.72</x:v>
      </x:c>
      <x:c r="I401" s="90" t="n">
        <x:v>305841.89</x:v>
      </x:c>
      <x:c r="J401" s="90" t="n">
        <x:v>2602464.39</x:v>
      </x:c>
      <x:c r="K401" s="90" t="n">
        <x:v>100531.14</x:v>
      </x:c>
      <x:c r="L401" s="90" t="n">
        <x:v>7106.45</x:v>
      </x:c>
      <x:c r="M401" s="90" t="n">
        <x:v>880027.17</x:v>
      </x:c>
      <x:c r="N401" s="90" t="n">
        <x:v>1051372.76</x:v>
      </x:c>
      <x:c r="O401" s="90" t="n">
        <x:v>3263318.58</x:v>
      </x:c>
      <x:c r="P401" s="90" t="n">
        <x:v>4540696.83</x:v>
      </x:c>
      <x:c r="Q401" s="90" t="n">
        <x:v>164080.44</x:v>
      </x:c>
      <x:c r="R401" s="90" t="n">
        <x:v>153.19</x:v>
      </x:c>
      <x:c r="S401" s="90" t="n">
        <x:v>-7.76</x:v>
      </x:c>
      <x:c r="T401" t="n">
        <x:v>0.89</x:v>
      </x:c>
      <x:c r="U401">
        <x:v>0</x:v>
      </x:c>
      <x:c r="V401">
        <x:v>0</x:v>
      </x:c>
      <x:c r="W401">
        <x:v>0</x:v>
      </x:c>
      <x:c r="X401">
        <x:v>0</x:v>
      </x:c>
      <x:c r="Y401" s="90">
        <x:v>0</x:v>
      </x:c>
      <x:c r="Z401" t="n">
        <x:v>-178.14</x:v>
      </x:c>
    </x:row>
    <x:row r="402" spans="1:26" ht="12.75" customHeight="1" x14ac:dyDescent="0.25">
      <x:c r="A402" s="89"/>
      <x:c r="B402" s="89"/>
      <x:c r="C402"/>
      <x:c r="D402" t="inlineStr">
        <x:is>
          <x:t>O</x:t>
        </x:is>
      </x:c>
      <x:c r="E402" t="inlineStr">
        <x:is>
          <x:t>Total</x:t>
        </x:is>
      </x:c>
      <x:c r="F402" s="371" t="n">
        <x:v>135024302.92</x:v>
      </x:c>
      <x:c r="G402" s="90" t="n">
        <x:v>10018572.42</x:v>
      </x:c>
      <x:c r="H402" s="90" t="n">
        <x:v>5154714.08</x:v>
      </x:c>
      <x:c r="I402" s="90" t="n">
        <x:v>2560534.93</x:v>
      </x:c>
      <x:c r="J402" s="90" t="n">
        <x:v>25904837.38</x:v>
      </x:c>
      <x:c r="K402" s="90" t="n">
        <x:v>887029.47</x:v>
      </x:c>
      <x:c r="L402" s="90" t="n">
        <x:v>7106.45</x:v>
      </x:c>
      <x:c r="M402" s="90" t="n">
        <x:v>7856693.21</x:v>
      </x:c>
      <x:c r="N402" s="90" t="n">
        <x:v>9426201.2</x:v>
      </x:c>
      <x:c r="O402" s="90" t="n">
        <x:v>44990383.89</x:v>
      </x:c>
      <x:c r="P402" s="90" t="n">
        <x:v>26767119.75</x:v>
      </x:c>
      <x:c r="Q402" s="90" t="n">
        <x:v>1451351.85</x:v>
      </x:c>
      <x:c r="R402" s="90" t="n">
        <x:v>-56.7</x:v>
      </x:c>
      <x:c r="S402" s="90" t="n">
        <x:v>-7.76</x:v>
      </x:c>
      <x:c r="T402" t="n">
        <x:v>0.89</x:v>
      </x:c>
      <x:c r="U402">
        <x:v>0</x:v>
      </x:c>
      <x:c r="V402">
        <x:v>0</x:v>
      </x:c>
      <x:c r="W402">
        <x:v>0</x:v>
      </x:c>
      <x:c r="X402">
        <x:v>0</x:v>
      </x:c>
      <x:c r="Y402" s="90">
        <x:v>0</x:v>
      </x:c>
      <x:c r="Z402" t="n">
        <x:v>-178.14</x:v>
      </x:c>
    </x:row>
    <x:row r="403" spans="1:26" s="94" customFormat="1" ht="12.75" customHeight="1" x14ac:dyDescent="0.25">
      <x:c r="A403"/>
      <x:c r="B403"/>
      <x:c r="C403" s="101"/>
      <x:c r="D403" s="101"/>
      <x:c r="E403" t="inlineStr">
        <x:is>
          <x:t>Vlr Servicio</x:t>
        </x:is>
      </x:c>
      <x:c r="F403" s="93" t="n">
        <x:v>446543960.28</x:v>
      </x:c>
      <x:c r="G403" s="93" t="n">
        <x:v>66854304.45</x:v>
      </x:c>
      <x:c r="H403" s="93" t="n">
        <x:v>37816769.84</x:v>
      </x:c>
      <x:c r="I403" s="93" t="n">
        <x:v>20303817.34</x:v>
      </x:c>
      <x:c r="J403" s="93" t="n">
        <x:v>43780605.03</x:v>
      </x:c>
      <x:c r="K403" s="93" t="n">
        <x:v>1135251.91</x:v>
      </x:c>
      <x:c r="L403" s="93" t="n">
        <x:v>2445230</x:v>
      </x:c>
      <x:c r="M403" s="93" t="n">
        <x:v>9919745.51</x:v>
      </x:c>
      <x:c r="N403" s="93" t="n">
        <x:v>14017427.35</x:v>
      </x:c>
      <x:c r="O403" s="93" t="n">
        <x:v>70719234.17</x:v>
      </x:c>
      <x:c r="P403" s="93" t="n">
        <x:v>177697375.5</x:v>
      </x:c>
      <x:c r="Q403" s="93" t="n">
        <x:v>1853373.37</x:v>
      </x:c>
      <x:c r="R403" s="93" t="n">
        <x:v>825.81</x:v>
      </x:c>
      <x:c r="S403" s="93" t="n">
        <x:v>0</x:v>
      </x:c>
      <x:c r="T403" s="94" t="n">
        <x:v>0</x:v>
      </x:c>
      <x:c r="U403" s="94">
        <x:v>0</x:v>
      </x:c>
      <x:c r="V403" s="94">
        <x:v>0</x:v>
      </x:c>
      <x:c r="W403" s="94">
        <x:v>0</x:v>
      </x:c>
      <x:c r="X403" s="94">
        <x:v>0</x:v>
      </x:c>
      <x:c r="Y403" s="93">
        <x:v>0</x:v>
      </x:c>
      <x:c r="Z403" s="94" t="n">
        <x:v>0</x:v>
      </x:c>
    </x:row>
    <x:row r="404" spans="1:26" s="226" customFormat="1" ht="12.75" customHeight="1" x14ac:dyDescent="0.25">
      <x:c r="A404"/>
      <x:c r="B404" s="98"/>
      <x:c r="C404" s="98"/>
      <x:c r="D404"/>
      <x:c r="E404" t="inlineStr">
        <x:is>
          <x:t>Vlr Intereses</x:t>
        </x:is>
      </x:c>
      <x:c r="F404" s="100" t="n">
        <x:v>894038.45</x:v>
      </x:c>
      <x:c r="G404" s="100" t="n">
        <x:v>112344.75</x:v>
      </x:c>
      <x:c r="H404" s="100" t="n">
        <x:v>61002.58</x:v>
      </x:c>
      <x:c r="I404" s="100" t="n">
        <x:v>32461.38</x:v>
      </x:c>
      <x:c r="J404" s="100" t="n">
        <x:v>277351.73</x:v>
      </x:c>
      <x:c r="K404" s="100" t="n">
        <x:v>7905.64</x:v>
      </x:c>
      <x:c r="L404" s="100" t="n">
        <x:v>384.17</x:v>
      </x:c>
      <x:c r="M404" s="100" t="n">
        <x:v>69273.59</x:v>
      </x:c>
      <x:c r="N404" s="100" t="n">
        <x:v>92469.56</x:v>
      </x:c>
      <x:c r="O404" s="100" t="n">
        <x:v>-74928.42</x:v>
      </x:c>
      <x:c r="P404" s="100" t="n">
        <x:v>302876.88</x:v>
      </x:c>
      <x:c r="Q404" s="100" t="n">
        <x:v>12896.23</x:v>
      </x:c>
      <x:c r="R404" s="100" t="n">
        <x:v>0.35</x:v>
      </x:c>
      <x:c r="S404" s="100" t="n">
        <x:v>0.01</x:v>
      </x:c>
      <x:c r="T404" s="226" t="n">
        <x:v>0</x:v>
      </x:c>
      <x:c r="U404" s="226">
        <x:v>0</x:v>
      </x:c>
      <x:c r="V404" s="226">
        <x:v>0</x:v>
      </x:c>
      <x:c r="W404" s="226">
        <x:v>0</x:v>
      </x:c>
      <x:c r="X404" s="226">
        <x:v>0</x:v>
      </x:c>
      <x:c r="Y404" s="100">
        <x:v>0</x:v>
      </x:c>
      <x:c r="Z404" s="226" t="n">
        <x:v>0</x:v>
      </x:c>
    </x:row>
    <x:row r="405" spans="1:26" ht="12" customHeight="1" x14ac:dyDescent="0.25">
      <x:c r="A405" s="89"/>
      <x:c r="B405" s="89"/>
      <x:c r="C405"/>
      <x:c r="D405" t="inlineStr">
        <x:is>
          <x:t>T</x:t>
        </x:is>
      </x:c>
      <x:c r="E405" t="inlineStr">
        <x:is>
          <x:t>Total</x:t>
        </x:is>
      </x:c>
      <x:c r="F405" s="371" t="n">
        <x:v>447437998.73</x:v>
      </x:c>
      <x:c r="G405" s="90" t="n">
        <x:v>66966649.2</x:v>
      </x:c>
      <x:c r="H405" s="90" t="n">
        <x:v>37877772.42</x:v>
      </x:c>
      <x:c r="I405" s="90" t="n">
        <x:v>20336278.72</x:v>
      </x:c>
      <x:c r="J405" s="90" t="n">
        <x:v>44057956.76</x:v>
      </x:c>
      <x:c r="K405" s="90" t="n">
        <x:v>1143157.55</x:v>
      </x:c>
      <x:c r="L405" s="90" t="n">
        <x:v>2445614.17</x:v>
      </x:c>
      <x:c r="M405" s="90" t="n">
        <x:v>9989019.1</x:v>
      </x:c>
      <x:c r="N405" s="90" t="n">
        <x:v>14109896.91</x:v>
      </x:c>
      <x:c r="O405" s="90" t="n">
        <x:v>70644305.75</x:v>
      </x:c>
      <x:c r="P405" s="90" t="n">
        <x:v>178000252.38</x:v>
      </x:c>
      <x:c r="Q405" s="90" t="n">
        <x:v>1866269.6</x:v>
      </x:c>
      <x:c r="R405" s="90" t="n">
        <x:v>826.16</x:v>
      </x:c>
      <x:c r="S405" s="90" t="n">
        <x:v>0.01</x:v>
      </x:c>
      <x:c r="T405" t="n">
        <x:v>0</x:v>
      </x:c>
      <x:c r="U405">
        <x:v>0</x:v>
      </x:c>
      <x:c r="V405">
        <x:v>0</x:v>
      </x:c>
      <x:c r="W405">
        <x:v>0</x:v>
      </x:c>
      <x:c r="X405">
        <x:v>0</x:v>
      </x:c>
      <x:c r="Y405" s="90">
        <x:v>0</x:v>
      </x:c>
      <x:c r="Z405" t="n">
        <x:v>0</x:v>
      </x:c>
    </x:row>
    <x:row r="406" spans="1:26" ht="12.75" customHeight="1" x14ac:dyDescent="0.25">
      <x:c r="A406"/>
      <x:c r="B406"/>
      <x:c r="C406" t="inlineStr">
        <x:is>
          <x:t>OCCIDENTE</x:t>
        </x:is>
      </x:c>
      <x:c r="D406" t="inlineStr">
        <x:is>
          <x:t>Total</x:t>
        </x:is>
      </x:c>
      <x:c r="E406" s="89"/>
      <x:c r="F406" s="90" t="n">
        <x:v>818884043.29</x:v>
      </x:c>
      <x:c r="G406" s="90" t="n">
        <x:v>90946915.05</x:v>
      </x:c>
      <x:c r="H406" s="90" t="n">
        <x:v>50953671.18</x:v>
      </x:c>
      <x:c r="I406" s="90" t="n">
        <x:v>27103248.69</x:v>
      </x:c>
      <x:c r="J406" s="90" t="n">
        <x:v>123678416.12</x:v>
      </x:c>
      <x:c r="K406" s="90" t="n">
        <x:v>3392671.87</x:v>
      </x:c>
      <x:c r="L406" s="90" t="n">
        <x:v>3469200.94</x:v>
      </x:c>
      <x:c r="M406" s="90" t="n">
        <x:v>29788457.75</x:v>
      </x:c>
      <x:c r="N406" s="90" t="n">
        <x:v>40768324.43</x:v>
      </x:c>
      <x:c r="O406" s="90" t="n">
        <x:v>201040791.53</x:v>
      </x:c>
      <x:c r="P406" s="90" t="n">
        <x:v>242197859.19</x:v>
      </x:c>
      <x:c r="Q406" s="90" t="n">
        <x:v>5543172.81</x:v>
      </x:c>
      <x:c r="R406" s="90" t="n">
        <x:v>1498.71</x:v>
      </x:c>
      <x:c r="S406" s="90" t="n">
        <x:v>-7.75</x:v>
      </x:c>
      <x:c r="T406" t="n">
        <x:v>0.91</x:v>
      </x:c>
      <x:c r="U406">
        <x:v>0</x:v>
      </x:c>
      <x:c r="V406">
        <x:v>0</x:v>
      </x:c>
      <x:c r="W406">
        <x:v>0</x:v>
      </x:c>
      <x:c r="X406">
        <x:v>0</x:v>
      </x:c>
      <x:c r="Y406" s="90">
        <x:v>0</x:v>
      </x:c>
      <x:c r="Z406" t="n">
        <x:v>-178.14</x:v>
      </x:c>
    </x:row>
    <x:row r="407" spans="1:26" ht="12.75" customHeight="1" x14ac:dyDescent="0.25">
      <x:c r="A407"/>
      <x:c r="B407" t="inlineStr">
        <x:is>
          <x:t>Mes</x:t>
        </x:is>
      </x:c>
      <x:c r="C407" t="inlineStr">
        <x:is>
          <x:t>Total</x:t>
        </x:is>
      </x:c>
      <x:c r="D407"/>
      <x:c r="E407" s="89"/>
      <x:c r="F407" s="90" t="n">
        <x:v>9039100669.59</x:v>
      </x:c>
      <x:c r="G407" s="90" t="n">
        <x:v>511318695.48</x:v>
      </x:c>
      <x:c r="H407" s="90" t="n">
        <x:v>286714188.68</x:v>
      </x:c>
      <x:c r="I407" s="90" t="n">
        <x:v>151168980.8</x:v>
      </x:c>
      <x:c r="J407" s="90" t="n">
        <x:v>2089520293.72</x:v>
      </x:c>
      <x:c r="K407" s="90" t="n">
        <x:v>72385546.15</x:v>
      </x:c>
      <x:c r="L407" s="90" t="n">
        <x:v>11217476.99</x:v>
      </x:c>
      <x:c r="M407" s="90" t="n">
        <x:v>634358246.12</x:v>
      </x:c>
      <x:c r="N407" s="90" t="n">
        <x:v>627983953.88</x:v>
      </x:c>
      <x:c r="O407" s="90" t="n">
        <x:v>3181406358.43</x:v>
      </x:c>
      <x:c r="P407" s="90" t="n">
        <x:v>1354908058.99</x:v>
      </x:c>
      <x:c r="Q407" s="90" t="n">
        <x:v>118131021.82</x:v>
      </x:c>
      <x:c r="R407" s="90" t="n">
        <x:v>-12115.9</x:v>
      </x:c>
      <x:c r="S407" s="90" t="n">
        <x:v>-7.75</x:v>
      </x:c>
      <x:c r="T407" t="n">
        <x:v>151.03</x:v>
      </x:c>
      <x:c r="U407">
        <x:v>0</x:v>
      </x:c>
      <x:c r="V407">
        <x:v>0</x:v>
      </x:c>
      <x:c r="W407">
        <x:v>0</x:v>
      </x:c>
      <x:c r="X407">
        <x:v>0</x:v>
      </x:c>
      <x:c r="Y407" s="90">
        <x:v>0</x:v>
      </x:c>
      <x:c r="Z407" t="n">
        <x:v>-178.85</x:v>
      </x:c>
    </x:row>
    <x:row r="408" spans="1:26" s="657" customFormat="1" ht="12.75" customHeight="1" x14ac:dyDescent="0.25">
      <x:c r="A408" t="inlineStr">
        <x:is>
          <x:t>Componente</x:t>
        </x:is>
      </x:c>
      <x:c r="B408" t="inlineStr">
        <x:is>
          <x:t>Total</x:t>
        </x:is>
      </x:c>
      <x:c r="C408" s="657"/>
      <x:c r="D408" s="658"/>
      <x:c r="E408" s="658"/>
      <x:c r="F408" s="739" t="n">
        <x:v>9043254920.41</x:v>
      </x:c>
      <x:c r="G408" s="659" t="n">
        <x:v>511552955.05</x:v>
      </x:c>
      <x:c r="H408" s="659" t="n">
        <x:v>286850076.31</x:v>
      </x:c>
      <x:c r="I408" s="659" t="n">
        <x:v>151238993.45</x:v>
      </x:c>
      <x:c r="J408" s="659" t="n">
        <x:v>2090461601.69</x:v>
      </x:c>
      <x:c r="K408" s="659" t="n">
        <x:v>72416826.37</x:v>
      </x:c>
      <x:c r="L408" s="659" t="n">
        <x:v>11217476.99</x:v>
      </x:c>
      <x:c r="M408" s="659" t="n">
        <x:v>634632634.06</x:v>
      </x:c>
      <x:c r="N408" s="659" t="n">
        <x:v>628280959.94</x:v>
      </x:c>
      <x:c r="O408" s="659" t="n">
        <x:v>3182902460.87</x:v>
      </x:c>
      <x:c r="P408" s="659" t="n">
        <x:v>1355531027.33</x:v>
      </x:c>
      <x:c r="Q408" s="659" t="n">
        <x:v>118182057.79</x:v>
      </x:c>
      <x:c r="R408" s="659" t="n">
        <x:v>-12113.87</x:v>
      </x:c>
      <x:c r="S408" s="659" t="n">
        <x:v>-7.75</x:v>
      </x:c>
      <x:c r="T408" s="657" t="n">
        <x:v>151.03</x:v>
      </x:c>
      <x:c r="U408" s="657">
        <x:v>0</x:v>
      </x:c>
      <x:c r="V408" s="657">
        <x:v>0</x:v>
      </x:c>
      <x:c r="W408" s="657">
        <x:v>0</x:v>
      </x:c>
      <x:c r="X408" s="657">
        <x:v>0</x:v>
      </x:c>
      <x:c r="Y408" s="659">
        <x:v>0</x:v>
      </x:c>
      <x:c r="Z408" s="657" t="n">
        <x:v>-178.85</x:v>
      </x:c>
    </x:row>
    <x:row r="409" spans="1:26" ht="12.75" customHeight="1" x14ac:dyDescent="0.25">
      <x:c r="A409"/>
      <x:c r="B409"/>
      <x:c r="C409"/>
      <x:c r="D409"/>
      <x:c r="E409" s="89" t="inlineStr">
        <x:is>
          <x:t>Subsidio(-)/Contribucion(+)</x:t>
        </x:is>
      </x:c>
      <x:c r="F409" s="90" t="n">
        <x:v>-75886.57</x:v>
      </x:c>
      <x:c r="G409" s="90" t="n">
        <x:v>21412.4</x:v>
      </x:c>
      <x:c r="H409" s="90" t="n">
        <x:v>12149.5</x:v>
      </x:c>
      <x:c r="I409" s="90" t="n">
        <x:v>6596.89</x:v>
      </x:c>
      <x:c r="J409" s="90" t="n">
        <x:v>-52501</x:v>
      </x:c>
      <x:c r="K409" s="90" t="n">
        <x:v>-1820.39</x:v>
      </x:c>
      <x:c r="L409" s="90" t="n">
        <x:v>0</x:v>
      </x:c>
      <x:c r="M409" s="90" t="n">
        <x:v>-15969.4</x:v>
      </x:c>
      <x:c r="N409" s="90" t="n">
        <x:v>-16468.37</x:v>
      </x:c>
      <x:c r="O409" s="90" t="n">
        <x:v>-85136.83</x:v>
      </x:c>
      <x:c r="P409" s="90" t="n">
        <x:v>58820.91</x:v>
      </x:c>
      <x:c r="Q409" s="90" t="n">
        <x:v>-2970.28</x:v>
      </x:c>
      <x:c r="R409" s="90" t="n">
        <x:v>0</x:v>
      </x:c>
      <x:c r="S409" s="90" t="n">
        <x:v>0</x:v>
      </x:c>
      <x:c r="T409" t="n">
        <x:v>0</x:v>
      </x:c>
      <x:c r="U409">
        <x:v>0</x:v>
      </x:c>
      <x:c r="V409">
        <x:v>0</x:v>
      </x:c>
      <x:c r="W409">
        <x:v>0</x:v>
      </x:c>
      <x:c r="X409">
        <x:v>0</x:v>
      </x:c>
      <x:c r="Y409" s="90">
        <x:v>0</x:v>
      </x:c>
      <x:c r="Z409" t="n">
        <x:v>0</x:v>
      </x:c>
    </x:row>
    <x:row r="410" spans="1:26" ht="12.75" customHeight="1" x14ac:dyDescent="0.25">
      <x:c r="A410"/>
      <x:c r="B410"/>
      <x:c r="C410"/>
      <x:c r="D410" t="inlineStr">
        <x:is>
          <x:t>E</x:t>
        </x:is>
      </x:c>
      <x:c r="E410" s="89" t="inlineStr">
        <x:is>
          <x:t>Total</x:t>
        </x:is>
      </x:c>
      <x:c r="F410" s="90" t="n">
        <x:v>-75886.57</x:v>
      </x:c>
      <x:c r="G410" s="90" t="n">
        <x:v>21412.4</x:v>
      </x:c>
      <x:c r="H410" s="90" t="n">
        <x:v>12149.5</x:v>
      </x:c>
      <x:c r="I410" s="90" t="n">
        <x:v>6596.89</x:v>
      </x:c>
      <x:c r="J410" s="90" t="n">
        <x:v>-52501</x:v>
      </x:c>
      <x:c r="K410" s="90" t="n">
        <x:v>-1820.39</x:v>
      </x:c>
      <x:c r="L410" s="90" t="n">
        <x:v>0</x:v>
      </x:c>
      <x:c r="M410" s="90" t="n">
        <x:v>-15969.4</x:v>
      </x:c>
      <x:c r="N410" s="90" t="n">
        <x:v>-16468.37</x:v>
      </x:c>
      <x:c r="O410" s="90" t="n">
        <x:v>-85136.83</x:v>
      </x:c>
      <x:c r="P410" s="90" t="n">
        <x:v>58820.91</x:v>
      </x:c>
      <x:c r="Q410" s="90" t="n">
        <x:v>-2970.28</x:v>
      </x:c>
      <x:c r="R410" s="90" t="n">
        <x:v>0</x:v>
      </x:c>
      <x:c r="S410" s="90" t="n">
        <x:v>0</x:v>
      </x:c>
      <x:c r="T410" t="n">
        <x:v>0</x:v>
      </x:c>
      <x:c r="U410">
        <x:v>0</x:v>
      </x:c>
      <x:c r="V410">
        <x:v>0</x:v>
      </x:c>
      <x:c r="W410">
        <x:v>0</x:v>
      </x:c>
      <x:c r="X410">
        <x:v>0</x:v>
      </x:c>
      <x:c r="Y410" s="90">
        <x:v>0</x:v>
      </x:c>
      <x:c r="Z410" t="n">
        <x:v>0</x:v>
      </x:c>
    </x:row>
    <x:row r="411" spans="1:26" s="94" customFormat="1" ht="12.75" customHeight="1" x14ac:dyDescent="0.25">
      <x:c r="A411"/>
      <x:c r="B411"/>
      <x:c r="C411" s="101" t="inlineStr">
        <x:is>
          <x:t>ENEL</x:t>
        </x:is>
      </x:c>
      <x:c r="D411" s="101" t="inlineStr">
        <x:is>
          <x:t>Total</x:t>
        </x:is>
      </x:c>
      <x:c r="E411"/>
      <x:c r="F411" s="93" t="n">
        <x:v>-75886.57</x:v>
      </x:c>
      <x:c r="G411" s="93" t="n">
        <x:v>21412.4</x:v>
      </x:c>
      <x:c r="H411" s="93" t="n">
        <x:v>12149.5</x:v>
      </x:c>
      <x:c r="I411" s="93" t="n">
        <x:v>6596.89</x:v>
      </x:c>
      <x:c r="J411" s="93" t="n">
        <x:v>-52501</x:v>
      </x:c>
      <x:c r="K411" s="93" t="n">
        <x:v>-1820.39</x:v>
      </x:c>
      <x:c r="L411" s="93" t="n">
        <x:v>0</x:v>
      </x:c>
      <x:c r="M411" s="93" t="n">
        <x:v>-15969.4</x:v>
      </x:c>
      <x:c r="N411" s="93" t="n">
        <x:v>-16468.37</x:v>
      </x:c>
      <x:c r="O411" s="93" t="n">
        <x:v>-85136.83</x:v>
      </x:c>
      <x:c r="P411" s="93" t="n">
        <x:v>58820.91</x:v>
      </x:c>
      <x:c r="Q411" s="93" t="n">
        <x:v>-2970.28</x:v>
      </x:c>
      <x:c r="R411" s="93" t="n">
        <x:v>0</x:v>
      </x:c>
      <x:c r="S411" s="93" t="n">
        <x:v>0</x:v>
      </x:c>
      <x:c r="T411" s="94" t="n">
        <x:v>0</x:v>
      </x:c>
      <x:c r="U411" s="94">
        <x:v>0</x:v>
      </x:c>
      <x:c r="V411" s="94">
        <x:v>0</x:v>
      </x:c>
      <x:c r="W411" s="94">
        <x:v>0</x:v>
      </x:c>
      <x:c r="X411" s="94">
        <x:v>0</x:v>
      </x:c>
      <x:c r="Y411" s="93">
        <x:v>0</x:v>
      </x:c>
      <x:c r="Z411" s="94" t="n">
        <x:v>0</x:v>
      </x:c>
    </x:row>
    <x:row r="412" spans="1:26" s="378" customFormat="1" ht="12.75" customHeight="1" x14ac:dyDescent="0.25">
      <x:c r="A412"/>
      <x:c r="B412" s="378"/>
      <x:c r="C412" s="378"/>
      <x:c r="D412"/>
      <x:c r="E412" s="376" t="inlineStr">
        <x:is>
          <x:t>Subsidio(-)/Contribucion(+)</x:t>
        </x:is>
      </x:c>
      <x:c r="F412" s="377" t="n">
        <x:v>22589.13</x:v>
      </x:c>
      <x:c r="G412" s="377" t="n">
        <x:v>1124.45</x:v>
      </x:c>
      <x:c r="H412" s="377" t="n">
        <x:v>636.15</x:v>
      </x:c>
      <x:c r="I412" s="377" t="n">
        <x:v>338.95</x:v>
      </x:c>
      <x:c r="J412" s="377" t="n">
        <x:v>5266.33</x:v>
      </x:c>
      <x:c r="K412" s="377" t="n">
        <x:v>223.93</x:v>
      </x:c>
      <x:c r="L412" s="377" t="n">
        <x:v>0</x:v>
      </x:c>
      <x:c r="M412" s="377" t="n">
        <x:v>1964.49</x:v>
      </x:c>
      <x:c r="N412" s="377" t="n">
        <x:v>1620.27</x:v>
      </x:c>
      <x:c r="O412" s="377" t="n">
        <x:v>8022.02</x:v>
      </x:c>
      <x:c r="P412" s="377" t="n">
        <x:v>3027.13</x:v>
      </x:c>
      <x:c r="Q412" s="377" t="n">
        <x:v>365.41</x:v>
      </x:c>
      <x:c r="R412" s="377" t="n">
        <x:v>0</x:v>
      </x:c>
      <x:c r="S412" s="377" t="n">
        <x:v>0</x:v>
      </x:c>
      <x:c r="T412" s="378" t="n">
        <x:v>0</x:v>
      </x:c>
      <x:c r="U412" s="378">
        <x:v>0</x:v>
      </x:c>
      <x:c r="V412" s="378">
        <x:v>0</x:v>
      </x:c>
      <x:c r="W412" s="378">
        <x:v>0</x:v>
      </x:c>
      <x:c r="X412" s="378">
        <x:v>0</x:v>
      </x:c>
      <x:c r="Y412" s="377">
        <x:v>0</x:v>
      </x:c>
      <x:c r="Z412" s="378" t="n">
        <x:v>0</x:v>
      </x:c>
    </x:row>
    <x:row r="413" spans="1:26" ht="12.75" customHeight="1" x14ac:dyDescent="0.25">
      <x:c r="A413"/>
      <x:c r="B413"/>
      <x:c r="C413"/>
      <x:c r="D413" t="inlineStr">
        <x:is>
          <x:t>1</x:t>
        </x:is>
      </x:c>
      <x:c r="E413" s="89" t="inlineStr">
        <x:is>
          <x:t>Total</x:t>
        </x:is>
      </x:c>
      <x:c r="F413" s="90" t="n">
        <x:v>22589.13</x:v>
      </x:c>
      <x:c r="G413" s="90" t="n">
        <x:v>1124.45</x:v>
      </x:c>
      <x:c r="H413" s="90" t="n">
        <x:v>636.15</x:v>
      </x:c>
      <x:c r="I413" s="90" t="n">
        <x:v>338.95</x:v>
      </x:c>
      <x:c r="J413" s="90" t="n">
        <x:v>5266.33</x:v>
      </x:c>
      <x:c r="K413" s="90" t="n">
        <x:v>223.93</x:v>
      </x:c>
      <x:c r="L413" s="90" t="n">
        <x:v>0</x:v>
      </x:c>
      <x:c r="M413" s="90" t="n">
        <x:v>1964.49</x:v>
      </x:c>
      <x:c r="N413" s="90" t="n">
        <x:v>1620.27</x:v>
      </x:c>
      <x:c r="O413" s="90" t="n">
        <x:v>8022.02</x:v>
      </x:c>
      <x:c r="P413" s="90" t="n">
        <x:v>3027.13</x:v>
      </x:c>
      <x:c r="Q413" s="90" t="n">
        <x:v>365.41</x:v>
      </x:c>
      <x:c r="R413" s="90" t="n">
        <x:v>0</x:v>
      </x:c>
      <x:c r="S413" s="90" t="n">
        <x:v>0</x:v>
      </x:c>
      <x:c r="T413" t="n">
        <x:v>0</x:v>
      </x:c>
      <x:c r="U413">
        <x:v>0</x:v>
      </x:c>
      <x:c r="V413">
        <x:v>0</x:v>
      </x:c>
      <x:c r="W413">
        <x:v>0</x:v>
      </x:c>
      <x:c r="X413">
        <x:v>0</x:v>
      </x:c>
      <x:c r="Y413" s="90">
        <x:v>0</x:v>
      </x:c>
      <x:c r="Z413" t="n">
        <x:v>0</x:v>
      </x:c>
    </x:row>
    <x:row r="414" spans="1:26" ht="12.75" customHeight="1" x14ac:dyDescent="0.25">
      <x:c r="A414"/>
      <x:c r="B414"/>
      <x:c r="C414" t="inlineStr">
        <x:is>
          <x:t>NUEVO ESQUEMA</x:t>
        </x:is>
      </x:c>
      <x:c r="D414" s="89" t="inlineStr">
        <x:is>
          <x:t>Total</x:t>
        </x:is>
      </x:c>
      <x:c r="E414" s="89"/>
      <x:c r="F414" s="90" t="n">
        <x:v>22589.13</x:v>
      </x:c>
      <x:c r="G414" s="90" t="n">
        <x:v>1124.45</x:v>
      </x:c>
      <x:c r="H414" s="90" t="n">
        <x:v>636.15</x:v>
      </x:c>
      <x:c r="I414" s="90" t="n">
        <x:v>338.95</x:v>
      </x:c>
      <x:c r="J414" s="90" t="n">
        <x:v>5266.33</x:v>
      </x:c>
      <x:c r="K414" s="90" t="n">
        <x:v>223.93</x:v>
      </x:c>
      <x:c r="L414" s="90" t="n">
        <x:v>0</x:v>
      </x:c>
      <x:c r="M414" s="90" t="n">
        <x:v>1964.49</x:v>
      </x:c>
      <x:c r="N414" s="90" t="n">
        <x:v>1620.27</x:v>
      </x:c>
      <x:c r="O414" s="90" t="n">
        <x:v>8022.02</x:v>
      </x:c>
      <x:c r="P414" s="90" t="n">
        <x:v>3027.13</x:v>
      </x:c>
      <x:c r="Q414" s="90" t="n">
        <x:v>365.41</x:v>
      </x:c>
      <x:c r="R414" s="90" t="n">
        <x:v>0</x:v>
      </x:c>
      <x:c r="S414" s="90" t="n">
        <x:v>0</x:v>
      </x:c>
      <x:c r="T414" t="n">
        <x:v>0</x:v>
      </x:c>
      <x:c r="U414">
        <x:v>0</x:v>
      </x:c>
      <x:c r="V414">
        <x:v>0</x:v>
      </x:c>
      <x:c r="W414">
        <x:v>0</x:v>
      </x:c>
      <x:c r="X414">
        <x:v>0</x:v>
      </x:c>
      <x:c r="Y414" s="90">
        <x:v>0</x:v>
      </x:c>
      <x:c r="Z414" t="n">
        <x:v>0</x:v>
      </x:c>
    </x:row>
    <x:row r="415" spans="2:26" s="657" customFormat="1" ht="12.75" customHeight="1" x14ac:dyDescent="0.25">
      <x:c r="A415"/>
      <x:c r="B415"/>
      <x:c r="C415" s="657"/>
      <x:c r="D415" s="658"/>
      <x:c r="E415" s="658" t="inlineStr">
        <x:is>
          <x:t>Subsidio(-)/Contribucion(+)</x:t>
        </x:is>
      </x:c>
      <x:c r="F415" s="739" t="n">
        <x:v>-70543.38</x:v>
      </x:c>
      <x:c r="G415" s="659" t="n">
        <x:v>-3069.48</x:v>
      </x:c>
      <x:c r="H415" s="659" t="n">
        <x:v>-1734.99</x:v>
      </x:c>
      <x:c r="I415" s="659" t="n">
        <x:v>-918.37</x:v>
      </x:c>
      <x:c r="J415" s="659" t="n">
        <x:v>-15369.17</x:v>
      </x:c>
      <x:c r="K415" s="659" t="n">
        <x:v>-578.75</x:v>
      </x:c>
      <x:c r="L415" s="659" t="n">
        <x:v>0</x:v>
      </x:c>
      <x:c r="M415" s="659" t="n">
        <x:v>-5076.82</x:v>
      </x:c>
      <x:c r="N415" s="659" t="n">
        <x:v>-5702.76</x:v>
      </x:c>
      <x:c r="O415" s="659" t="n">
        <x:v>-28945.65</x:v>
      </x:c>
      <x:c r="P415" s="659" t="n">
        <x:v>-8203.09</x:v>
      </x:c>
      <x:c r="Q415" s="659" t="n">
        <x:v>-944.3</x:v>
      </x:c>
      <x:c r="R415" s="659" t="n">
        <x:v>0</x:v>
      </x:c>
      <x:c r="S415" s="659" t="n">
        <x:v>0</x:v>
      </x:c>
      <x:c r="T415" s="657" t="n">
        <x:v>0</x:v>
      </x:c>
      <x:c r="U415" s="657">
        <x:v>0</x:v>
      </x:c>
      <x:c r="V415" s="657">
        <x:v>0</x:v>
      </x:c>
      <x:c r="W415" s="657">
        <x:v>0</x:v>
      </x:c>
      <x:c r="X415" s="657">
        <x:v>0</x:v>
      </x:c>
      <x:c r="Y415" s="659">
        <x:v>0</x:v>
      </x:c>
      <x:c r="Z415" s="657" t="n">
        <x:v>0</x:v>
      </x:c>
    </x:row>
    <x:row r="416" spans="2:26" ht="12.75" customHeight="1" x14ac:dyDescent="0.25">
      <x:c r="A416"/>
      <x:c r="B416"/>
      <x:c r="C416"/>
      <x:c r="D416" s="89" t="inlineStr">
        <x:is>
          <x:t>O</x:t>
        </x:is>
      </x:c>
      <x:c r="E416" s="89" t="inlineStr">
        <x:is>
          <x:t>Total</x:t>
        </x:is>
      </x:c>
      <x:c r="F416" s="371" t="n">
        <x:v>-70543.38</x:v>
      </x:c>
      <x:c r="G416" s="90" t="n">
        <x:v>-3069.48</x:v>
      </x:c>
      <x:c r="H416" s="90" t="n">
        <x:v>-1734.99</x:v>
      </x:c>
      <x:c r="I416" s="90" t="n">
        <x:v>-918.37</x:v>
      </x:c>
      <x:c r="J416" s="90" t="n">
        <x:v>-15369.17</x:v>
      </x:c>
      <x:c r="K416" s="90" t="n">
        <x:v>-578.75</x:v>
      </x:c>
      <x:c r="L416" s="90" t="n">
        <x:v>0</x:v>
      </x:c>
      <x:c r="M416" s="90" t="n">
        <x:v>-5076.82</x:v>
      </x:c>
      <x:c r="N416" s="90" t="n">
        <x:v>-5702.76</x:v>
      </x:c>
      <x:c r="O416" s="90" t="n">
        <x:v>-28945.65</x:v>
      </x:c>
      <x:c r="P416" s="90" t="n">
        <x:v>-8203.09</x:v>
      </x:c>
      <x:c r="Q416" s="90" t="n">
        <x:v>-944.3</x:v>
      </x:c>
      <x:c r="R416" s="90" t="n">
        <x:v>0</x:v>
      </x:c>
      <x:c r="S416" s="90" t="n">
        <x:v>0</x:v>
      </x:c>
      <x:c r="T416" t="n">
        <x:v>0</x:v>
      </x:c>
      <x:c r="U416">
        <x:v>0</x:v>
      </x:c>
      <x:c r="V416">
        <x:v>0</x:v>
      </x:c>
      <x:c r="W416">
        <x:v>0</x:v>
      </x:c>
      <x:c r="X416">
        <x:v>0</x:v>
      </x:c>
      <x:c r="Y416" s="90">
        <x:v>0</x:v>
      </x:c>
      <x:c r="Z416" t="n">
        <x:v>0</x:v>
      </x:c>
    </x:row>
    <x:row r="417" spans="2:26" ht="12.65" customHeight="1" x14ac:dyDescent="0.25">
      <x:c r="A417"/>
      <x:c r="B417"/>
      <x:c r="C417" t="inlineStr">
        <x:is>
          <x:t>OCCIDENTE</x:t>
        </x:is>
      </x:c>
      <x:c r="D417" s="89" t="inlineStr">
        <x:is>
          <x:t>Total</x:t>
        </x:is>
      </x:c>
      <x:c r="E417" s="89"/>
      <x:c r="F417" s="371" t="n">
        <x:v>-70543.38</x:v>
      </x:c>
      <x:c r="G417" s="90" t="n">
        <x:v>-3069.48</x:v>
      </x:c>
      <x:c r="H417" s="90" t="n">
        <x:v>-1734.99</x:v>
      </x:c>
      <x:c r="I417" s="90" t="n">
        <x:v>-918.37</x:v>
      </x:c>
      <x:c r="J417" s="90" t="n">
        <x:v>-15369.17</x:v>
      </x:c>
      <x:c r="K417" s="90" t="n">
        <x:v>-578.75</x:v>
      </x:c>
      <x:c r="L417" s="90" t="n">
        <x:v>0</x:v>
      </x:c>
      <x:c r="M417" s="90" t="n">
        <x:v>-5076.82</x:v>
      </x:c>
      <x:c r="N417" s="90" t="n">
        <x:v>-5702.76</x:v>
      </x:c>
      <x:c r="O417" s="90" t="n">
        <x:v>-28945.65</x:v>
      </x:c>
      <x:c r="P417" s="90" t="n">
        <x:v>-8203.09</x:v>
      </x:c>
      <x:c r="Q417" s="90" t="n">
        <x:v>-944.3</x:v>
      </x:c>
      <x:c r="R417" s="90" t="n">
        <x:v>0</x:v>
      </x:c>
      <x:c r="S417" s="90" t="n">
        <x:v>0</x:v>
      </x:c>
      <x:c r="T417" t="n">
        <x:v>0</x:v>
      </x:c>
      <x:c r="U417">
        <x:v>0</x:v>
      </x:c>
      <x:c r="V417">
        <x:v>0</x:v>
      </x:c>
      <x:c r="W417">
        <x:v>0</x:v>
      </x:c>
      <x:c r="X417">
        <x:v>0</x:v>
      </x:c>
      <x:c r="Y417" s="90">
        <x:v>0</x:v>
      </x:c>
      <x:c r="Z417" t="n">
        <x:v>0</x:v>
      </x:c>
    </x:row>
    <x:row r="418" spans="2:26" ht="12.65" customHeight="1" x14ac:dyDescent="0.25">
      <x:c r="A418"/>
      <x:c r="B418" t="inlineStr">
        <x:is>
          <x:t>Aplicacion nuevos x reversion</x:t>
        </x:is>
      </x:c>
      <x:c r="C418" t="inlineStr">
        <x:is>
          <x:t>Total</x:t>
        </x:is>
      </x:c>
      <x:c r="D418" s="89"/>
      <x:c r="E418" s="89"/>
      <x:c r="F418" s="371" t="n">
        <x:v>-123840.82</x:v>
      </x:c>
      <x:c r="G418" s="90" t="n">
        <x:v>19467.37</x:v>
      </x:c>
      <x:c r="H418" s="90" t="n">
        <x:v>11050.66</x:v>
      </x:c>
      <x:c r="I418" s="90" t="n">
        <x:v>6017.47</x:v>
      </x:c>
      <x:c r="J418" s="90" t="n">
        <x:v>-62603.84</x:v>
      </x:c>
      <x:c r="K418" s="90" t="n">
        <x:v>-2175.21</x:v>
      </x:c>
      <x:c r="L418" s="90" t="n">
        <x:v>0</x:v>
      </x:c>
      <x:c r="M418" s="90" t="n">
        <x:v>-19081.73</x:v>
      </x:c>
      <x:c r="N418" s="90" t="n">
        <x:v>-20550.86</x:v>
      </x:c>
      <x:c r="O418" s="90" t="n">
        <x:v>-106060.46</x:v>
      </x:c>
      <x:c r="P418" s="90" t="n">
        <x:v>53644.95</x:v>
      </x:c>
      <x:c r="Q418" s="90" t="n">
        <x:v>-3549.17</x:v>
      </x:c>
      <x:c r="R418" s="90" t="n">
        <x:v>0</x:v>
      </x:c>
      <x:c r="S418" s="90" t="n">
        <x:v>0</x:v>
      </x:c>
      <x:c r="T418" t="n">
        <x:v>0</x:v>
      </x:c>
      <x:c r="U418">
        <x:v>0</x:v>
      </x:c>
      <x:c r="V418">
        <x:v>0</x:v>
      </x:c>
      <x:c r="W418">
        <x:v>0</x:v>
      </x:c>
      <x:c r="X418">
        <x:v>0</x:v>
      </x:c>
      <x:c r="Y418" s="90">
        <x:v>0</x:v>
      </x:c>
      <x:c r="Z418" t="n">
        <x:v>0</x:v>
      </x:c>
    </x:row>
    <x:row r="419" spans="2:26" ht="12.65" customHeight="1" x14ac:dyDescent="0.25">
      <x:c r="A419"/>
      <x:c r="B419"/>
      <x:c r="C419"/>
      <x:c r="D419" s="89"/>
      <x:c r="E419" s="89" t="inlineStr">
        <x:is>
          <x:t>Subsidio(-)/Contribucion(+)</x:t>
        </x:is>
      </x:c>
      <x:c r="F419" s="371" t="n">
        <x:v>-857738903.94</x:v>
      </x:c>
      <x:c r="G419" s="90" t="n">
        <x:v>4405231.86</x:v>
      </x:c>
      <x:c r="H419" s="90" t="n">
        <x:v>2242892.02</x:v>
      </x:c>
      <x:c r="I419" s="90" t="n">
        <x:v>1177898.82</x:v>
      </x:c>
      <x:c r="J419" s="90" t="n">
        <x:v>-272438951.13</x:v>
      </x:c>
      <x:c r="K419" s="90" t="n">
        <x:v>-9479808.46</x:v>
      </x:c>
      <x:c r="L419" s="90" t="n">
        <x:v>0</x:v>
      </x:c>
      <x:c r="M419" s="90" t="n">
        <x:v>-83169863.27</x:v>
      </x:c>
      <x:c r="N419" s="90" t="n">
        <x:v>-80173858.32</x:v>
      </x:c>
      <x:c r="O419" s="90" t="n">
        <x:v>-416001153.35</x:v>
      </x:c>
      <x:c r="P419" s="90" t="n">
        <x:v>11163339.61</x:v>
      </x:c>
      <x:c r="Q419" s="90" t="n">
        <x:v>-15464631.72</x:v>
      </x:c>
      <x:c r="R419" s="90" t="n">
        <x:v>0</x:v>
      </x:c>
      <x:c r="S419" s="90" t="n">
        <x:v>0</x:v>
      </x:c>
      <x:c r="T419" t="n">
        <x:v>0</x:v>
      </x:c>
      <x:c r="U419">
        <x:v>0</x:v>
      </x:c>
      <x:c r="V419">
        <x:v>0</x:v>
      </x:c>
      <x:c r="W419">
        <x:v>0</x:v>
      </x:c>
      <x:c r="X419">
        <x:v>0</x:v>
      </x:c>
      <x:c r="Y419" s="90">
        <x:v>0</x:v>
      </x:c>
      <x:c r="Z419" t="n">
        <x:v>0</x:v>
      </x:c>
    </x:row>
    <x:row r="420" spans="2:26" ht="12.75" customHeight="1" x14ac:dyDescent="0.25">
      <x:c r="A420"/>
      <x:c r="B420"/>
      <x:c r="C420"/>
      <x:c r="D420" t="inlineStr">
        <x:is>
          <x:t>E</x:t>
        </x:is>
      </x:c>
      <x:c r="E420" s="89" t="inlineStr">
        <x:is>
          <x:t>Total</x:t>
        </x:is>
      </x:c>
      <x:c r="F420" s="90" t="n">
        <x:v>-857738903.94</x:v>
      </x:c>
      <x:c r="G420" s="90" t="n">
        <x:v>4405231.86</x:v>
      </x:c>
      <x:c r="H420" s="90" t="n">
        <x:v>2242892.02</x:v>
      </x:c>
      <x:c r="I420" s="90" t="n">
        <x:v>1177898.82</x:v>
      </x:c>
      <x:c r="J420" s="90" t="n">
        <x:v>-272438951.13</x:v>
      </x:c>
      <x:c r="K420" s="90" t="n">
        <x:v>-9479808.46</x:v>
      </x:c>
      <x:c r="L420" s="90" t="n">
        <x:v>0</x:v>
      </x:c>
      <x:c r="M420" s="90" t="n">
        <x:v>-83169863.27</x:v>
      </x:c>
      <x:c r="N420" s="90" t="n">
        <x:v>-80173858.32</x:v>
      </x:c>
      <x:c r="O420" s="90" t="n">
        <x:v>-416001153.35</x:v>
      </x:c>
      <x:c r="P420" s="90" t="n">
        <x:v>11163339.61</x:v>
      </x:c>
      <x:c r="Q420" s="90" t="n">
        <x:v>-15464631.72</x:v>
      </x:c>
      <x:c r="R420" s="90" t="n">
        <x:v>0</x:v>
      </x:c>
      <x:c r="S420" s="90" t="n">
        <x:v>0</x:v>
      </x:c>
      <x:c r="T420" t="n">
        <x:v>0</x:v>
      </x:c>
      <x:c r="U420">
        <x:v>0</x:v>
      </x:c>
      <x:c r="V420">
        <x:v>0</x:v>
      </x:c>
      <x:c r="W420">
        <x:v>0</x:v>
      </x:c>
      <x:c r="X420">
        <x:v>0</x:v>
      </x:c>
      <x:c r="Y420" s="90">
        <x:v>0</x:v>
      </x:c>
      <x:c r="Z420" t="n">
        <x:v>0</x:v>
      </x:c>
    </x:row>
    <x:row r="421" spans="2:26" ht="12.75" customHeight="1" x14ac:dyDescent="0.25">
      <x:c r="A421"/>
      <x:c r="B421"/>
      <x:c r="C421" t="inlineStr">
        <x:is>
          <x:t>ENEL</x:t>
        </x:is>
      </x:c>
      <x:c r="D421" s="89" t="inlineStr">
        <x:is>
          <x:t>Total</x:t>
        </x:is>
      </x:c>
      <x:c r="E421" s="89"/>
      <x:c r="F421" s="90" t="n">
        <x:v>-857738903.94</x:v>
      </x:c>
      <x:c r="G421" s="90" t="n">
        <x:v>4405231.86</x:v>
      </x:c>
      <x:c r="H421" s="90" t="n">
        <x:v>2242892.02</x:v>
      </x:c>
      <x:c r="I421" s="90" t="n">
        <x:v>1177898.82</x:v>
      </x:c>
      <x:c r="J421" s="90" t="n">
        <x:v>-272438951.13</x:v>
      </x:c>
      <x:c r="K421" s="90" t="n">
        <x:v>-9479808.46</x:v>
      </x:c>
      <x:c r="L421" s="90" t="n">
        <x:v>0</x:v>
      </x:c>
      <x:c r="M421" s="90" t="n">
        <x:v>-83169863.27</x:v>
      </x:c>
      <x:c r="N421" s="90" t="n">
        <x:v>-80173858.32</x:v>
      </x:c>
      <x:c r="O421" s="90" t="n">
        <x:v>-416001153.35</x:v>
      </x:c>
      <x:c r="P421" s="90" t="n">
        <x:v>11163339.61</x:v>
      </x:c>
      <x:c r="Q421" s="90" t="n">
        <x:v>-15464631.72</x:v>
      </x:c>
      <x:c r="R421" s="90" t="n">
        <x:v>0</x:v>
      </x:c>
      <x:c r="S421" s="90" t="n">
        <x:v>0</x:v>
      </x:c>
      <x:c r="T421" t="n">
        <x:v>0</x:v>
      </x:c>
      <x:c r="U421">
        <x:v>0</x:v>
      </x:c>
      <x:c r="V421">
        <x:v>0</x:v>
      </x:c>
      <x:c r="W421">
        <x:v>0</x:v>
      </x:c>
      <x:c r="X421">
        <x:v>0</x:v>
      </x:c>
      <x:c r="Y421" s="90">
        <x:v>0</x:v>
      </x:c>
      <x:c r="Z421" t="n">
        <x:v>0</x:v>
      </x:c>
    </x:row>
    <x:row r="422" spans="2:26" s="224" customFormat="1" ht="12.75" customHeight="1" x14ac:dyDescent="0.25">
      <x:c r="A422"/>
      <x:c r="B422"/>
      <x:c r="C422" s="223"/>
      <x:c r="D422" s="223"/>
      <x:c r="E422" t="inlineStr">
        <x:is>
          <x:t>Subsidio(-)/Contribucion(+)</x:t>
        </x:is>
      </x:c>
      <x:c r="F422" s="225" t="n">
        <x:v>473206.23</x:v>
      </x:c>
      <x:c r="G422" s="225" t="n">
        <x:v>34977.86</x:v>
      </x:c>
      <x:c r="H422" s="225" t="n">
        <x:v>17976.93</x:v>
      </x:c>
      <x:c r="I422" s="225" t="n">
        <x:v>9832.34</x:v>
      </x:c>
      <x:c r="J422" s="225" t="n">
        <x:v>58508.14</x:v>
      </x:c>
      <x:c r="K422" s="225" t="n">
        <x:v>3549.24</x:v>
      </x:c>
      <x:c r="L422" s="225" t="n">
        <x:v>0</x:v>
      </x:c>
      <x:c r="M422" s="225" t="n">
        <x:v>31158.51</x:v>
      </x:c>
      <x:c r="N422" s="225" t="n">
        <x:v>36200.94</x:v>
      </x:c>
      <x:c r="O422" s="225" t="n">
        <x:v>181413.76</x:v>
      </x:c>
      <x:c r="P422" s="225" t="n">
        <x:v>93790.05</x:v>
      </x:c>
      <x:c r="Q422" s="225" t="n">
        <x:v>5798.46</x:v>
      </x:c>
      <x:c r="R422" s="225" t="n">
        <x:v>0</x:v>
      </x:c>
      <x:c r="S422" s="225" t="n">
        <x:v>0</x:v>
      </x:c>
      <x:c r="T422" s="224" t="n">
        <x:v>0</x:v>
      </x:c>
      <x:c r="U422" s="224">
        <x:v>0</x:v>
      </x:c>
      <x:c r="V422" s="224">
        <x:v>0</x:v>
      </x:c>
      <x:c r="W422" s="224">
        <x:v>0</x:v>
      </x:c>
      <x:c r="X422" s="224">
        <x:v>0</x:v>
      </x:c>
      <x:c r="Y422" s="225">
        <x:v>0</x:v>
      </x:c>
      <x:c r="Z422" s="224" t="n">
        <x:v>0</x:v>
      </x:c>
    </x:row>
    <x:row r="423" spans="2:26" ht="12.75" customHeight="1" x14ac:dyDescent="0.25">
      <x:c r="A423"/>
      <x:c r="B423"/>
      <x:c r="C423"/>
      <x:c r="D423" t="inlineStr">
        <x:is>
          <x:t>1</x:t>
        </x:is>
      </x:c>
      <x:c r="E423" s="89" t="inlineStr">
        <x:is>
          <x:t>Total</x:t>
        </x:is>
      </x:c>
      <x:c r="F423" s="90" t="n">
        <x:v>473206.23</x:v>
      </x:c>
      <x:c r="G423" s="90" t="n">
        <x:v>34977.86</x:v>
      </x:c>
      <x:c r="H423" s="90" t="n">
        <x:v>17976.93</x:v>
      </x:c>
      <x:c r="I423" s="90" t="n">
        <x:v>9832.34</x:v>
      </x:c>
      <x:c r="J423" s="90" t="n">
        <x:v>58508.14</x:v>
      </x:c>
      <x:c r="K423" s="90" t="n">
        <x:v>3549.24</x:v>
      </x:c>
      <x:c r="L423" s="90" t="n">
        <x:v>0</x:v>
      </x:c>
      <x:c r="M423" s="90" t="n">
        <x:v>31158.51</x:v>
      </x:c>
      <x:c r="N423" s="90" t="n">
        <x:v>36200.94</x:v>
      </x:c>
      <x:c r="O423" s="90" t="n">
        <x:v>181413.76</x:v>
      </x:c>
      <x:c r="P423" s="90" t="n">
        <x:v>93790.05</x:v>
      </x:c>
      <x:c r="Q423" s="90" t="n">
        <x:v>5798.46</x:v>
      </x:c>
      <x:c r="R423" s="90" t="n">
        <x:v>0</x:v>
      </x:c>
      <x:c r="S423" s="90" t="n">
        <x:v>0</x:v>
      </x:c>
      <x:c r="T423" t="n">
        <x:v>0</x:v>
      </x:c>
      <x:c r="U423">
        <x:v>0</x:v>
      </x:c>
      <x:c r="V423">
        <x:v>0</x:v>
      </x:c>
      <x:c r="W423">
        <x:v>0</x:v>
      </x:c>
      <x:c r="X423">
        <x:v>0</x:v>
      </x:c>
      <x:c r="Y423" s="90">
        <x:v>0</x:v>
      </x:c>
      <x:c r="Z423" t="n">
        <x:v>0</x:v>
      </x:c>
    </x:row>
    <x:row r="424" spans="2:26" ht="12.75" customHeight="1" x14ac:dyDescent="0.25">
      <x:c r="A424"/>
      <x:c r="B424"/>
      <x:c r="C424"/>
      <x:c r="D424" s="89"/>
      <x:c r="E424" s="89" t="inlineStr">
        <x:is>
          <x:t>Subsidio(-)/Contribucion(+)</x:t>
        </x:is>
      </x:c>
      <x:c r="F424" s="90" t="n">
        <x:v>124967.83</x:v>
      </x:c>
      <x:c r="G424" s="90" t="n">
        <x:v>14186.21</x:v>
      </x:c>
      <x:c r="H424" s="90" t="n">
        <x:v>7180.58</x:v>
      </x:c>
      <x:c r="I424" s="90" t="n">
        <x:v>3849.33</x:v>
      </x:c>
      <x:c r="J424" s="90" t="n">
        <x:v>20435.75</x:v>
      </x:c>
      <x:c r="K424" s="90" t="n">
        <x:v>604.46</x:v>
      </x:c>
      <x:c r="L424" s="90" t="n">
        <x:v>0</x:v>
      </x:c>
      <x:c r="M424" s="90" t="n">
        <x:v>5302.21</x:v>
      </x:c>
      <x:c r="N424" s="90" t="n">
        <x:v>5679.27</x:v>
      </x:c>
      <x:c r="O424" s="90" t="n">
        <x:v>28713.3</x:v>
      </x:c>
      <x:c r="P424" s="90" t="n">
        <x:v>38030.49</x:v>
      </x:c>
      <x:c r="Q424" s="90" t="n">
        <x:v>986.23</x:v>
      </x:c>
      <x:c r="R424" s="90" t="n">
        <x:v>0</x:v>
      </x:c>
      <x:c r="S424" s="90" t="n">
        <x:v>0</x:v>
      </x:c>
      <x:c r="T424" t="n">
        <x:v>0</x:v>
      </x:c>
      <x:c r="U424">
        <x:v>0</x:v>
      </x:c>
      <x:c r="V424">
        <x:v>0</x:v>
      </x:c>
      <x:c r="W424">
        <x:v>0</x:v>
      </x:c>
      <x:c r="X424">
        <x:v>0</x:v>
      </x:c>
      <x:c r="Y424" s="90">
        <x:v>0</x:v>
      </x:c>
      <x:c r="Z424" t="n">
        <x:v>0</x:v>
      </x:c>
    </x:row>
    <x:row r="425" spans="2:26" ht="12.75" customHeight="1" x14ac:dyDescent="0.25">
      <x:c r="A425"/>
      <x:c r="B425"/>
      <x:c r="C425"/>
      <x:c r="D425" t="inlineStr">
        <x:is>
          <x:t>2</x:t>
        </x:is>
      </x:c>
      <x:c r="E425" s="89" t="inlineStr">
        <x:is>
          <x:t>Total</x:t>
        </x:is>
      </x:c>
      <x:c r="F425" s="90" t="n">
        <x:v>124967.83</x:v>
      </x:c>
      <x:c r="G425" s="90" t="n">
        <x:v>14186.21</x:v>
      </x:c>
      <x:c r="H425" s="90" t="n">
        <x:v>7180.58</x:v>
      </x:c>
      <x:c r="I425" s="90" t="n">
        <x:v>3849.33</x:v>
      </x:c>
      <x:c r="J425" s="90" t="n">
        <x:v>20435.75</x:v>
      </x:c>
      <x:c r="K425" s="90" t="n">
        <x:v>604.46</x:v>
      </x:c>
      <x:c r="L425" s="90" t="n">
        <x:v>0</x:v>
      </x:c>
      <x:c r="M425" s="90" t="n">
        <x:v>5302.21</x:v>
      </x:c>
      <x:c r="N425" s="90" t="n">
        <x:v>5679.27</x:v>
      </x:c>
      <x:c r="O425" s="90" t="n">
        <x:v>28713.3</x:v>
      </x:c>
      <x:c r="P425" s="90" t="n">
        <x:v>38030.49</x:v>
      </x:c>
      <x:c r="Q425" s="90" t="n">
        <x:v>986.23</x:v>
      </x:c>
      <x:c r="R425" s="90" t="n">
        <x:v>0</x:v>
      </x:c>
      <x:c r="S425" s="90" t="n">
        <x:v>0</x:v>
      </x:c>
      <x:c r="T425" t="n">
        <x:v>0</x:v>
      </x:c>
      <x:c r="U425">
        <x:v>0</x:v>
      </x:c>
      <x:c r="V425">
        <x:v>0</x:v>
      </x:c>
      <x:c r="W425">
        <x:v>0</x:v>
      </x:c>
      <x:c r="X425">
        <x:v>0</x:v>
      </x:c>
      <x:c r="Y425" s="90">
        <x:v>0</x:v>
      </x:c>
      <x:c r="Z425" t="n">
        <x:v>0</x:v>
      </x:c>
    </x:row>
    <x:row r="426" spans="2:26" ht="12.75" customHeight="1" x14ac:dyDescent="0.25">
      <x:c r="A426"/>
      <x:c r="B426"/>
      <x:c r="C426"/>
      <x:c r="D426" s="89"/>
      <x:c r="E426" s="89" t="inlineStr">
        <x:is>
          <x:t>Subsidio(-)/Contribucion(+)</x:t>
        </x:is>
      </x:c>
      <x:c r="F426" s="90" t="n">
        <x:v>-303906.21</x:v>
      </x:c>
      <x:c r="G426" s="90" t="n">
        <x:v>-7553.23</x:v>
      </x:c>
      <x:c r="H426" s="90" t="n">
        <x:v>-4110.88</x:v>
      </x:c>
      <x:c r="I426" s="90" t="n">
        <x:v>-2196.59</x:v>
      </x:c>
      <x:c r="J426" s="90" t="n">
        <x:v>-83778.22</x:v>
      </x:c>
      <x:c r="K426" s="90" t="n">
        <x:v>-2844.69</x:v>
      </x:c>
      <x:c r="L426" s="90" t="n">
        <x:v>0</x:v>
      </x:c>
      <x:c r="M426" s="90" t="n">
        <x:v>-24953.45</x:v>
      </x:c>
      <x:c r="N426" s="90" t="n">
        <x:v>-25182.18</x:v>
      </x:c>
      <x:c r="O426" s="90" t="n">
        <x:v>-128393.14</x:v>
      </x:c>
      <x:c r="P426" s="90" t="n">
        <x:v>-20252.51</x:v>
      </x:c>
      <x:c r="Q426" s="90" t="n">
        <x:v>-4641.32</x:v>
      </x:c>
      <x:c r="R426" s="90" t="n">
        <x:v>0</x:v>
      </x:c>
      <x:c r="S426" s="90" t="n">
        <x:v>0</x:v>
      </x:c>
      <x:c r="T426" t="n">
        <x:v>0</x:v>
      </x:c>
      <x:c r="U426">
        <x:v>0</x:v>
      </x:c>
      <x:c r="V426">
        <x:v>0</x:v>
      </x:c>
      <x:c r="W426">
        <x:v>0</x:v>
      </x:c>
      <x:c r="X426">
        <x:v>0</x:v>
      </x:c>
      <x:c r="Y426" s="90">
        <x:v>0</x:v>
      </x:c>
      <x:c r="Z426" t="n">
        <x:v>0</x:v>
      </x:c>
    </x:row>
    <x:row r="427" spans="2:26" ht="12.75" customHeight="1" x14ac:dyDescent="0.25">
      <x:c r="A427"/>
      <x:c r="B427"/>
      <x:c r="C427"/>
      <x:c r="D427" t="inlineStr">
        <x:is>
          <x:t>5</x:t>
        </x:is>
      </x:c>
      <x:c r="E427" s="89" t="inlineStr">
        <x:is>
          <x:t>Total</x:t>
        </x:is>
      </x:c>
      <x:c r="F427" s="90" t="n">
        <x:v>-303906.21</x:v>
      </x:c>
      <x:c r="G427" s="90" t="n">
        <x:v>-7553.23</x:v>
      </x:c>
      <x:c r="H427" s="90" t="n">
        <x:v>-4110.88</x:v>
      </x:c>
      <x:c r="I427" s="90" t="n">
        <x:v>-2196.59</x:v>
      </x:c>
      <x:c r="J427" s="90" t="n">
        <x:v>-83778.22</x:v>
      </x:c>
      <x:c r="K427" s="90" t="n">
        <x:v>-2844.69</x:v>
      </x:c>
      <x:c r="L427" s="90" t="n">
        <x:v>0</x:v>
      </x:c>
      <x:c r="M427" s="90" t="n">
        <x:v>-24953.45</x:v>
      </x:c>
      <x:c r="N427" s="90" t="n">
        <x:v>-25182.18</x:v>
      </x:c>
      <x:c r="O427" s="90" t="n">
        <x:v>-128393.14</x:v>
      </x:c>
      <x:c r="P427" s="90" t="n">
        <x:v>-20252.51</x:v>
      </x:c>
      <x:c r="Q427" s="90" t="n">
        <x:v>-4641.32</x:v>
      </x:c>
      <x:c r="R427" s="90" t="n">
        <x:v>0</x:v>
      </x:c>
      <x:c r="S427" s="90" t="n">
        <x:v>0</x:v>
      </x:c>
      <x:c r="T427" t="n">
        <x:v>0</x:v>
      </x:c>
      <x:c r="U427">
        <x:v>0</x:v>
      </x:c>
      <x:c r="V427">
        <x:v>0</x:v>
      </x:c>
      <x:c r="W427">
        <x:v>0</x:v>
      </x:c>
      <x:c r="X427">
        <x:v>0</x:v>
      </x:c>
      <x:c r="Y427" s="90">
        <x:v>0</x:v>
      </x:c>
      <x:c r="Z427" t="n">
        <x:v>0</x:v>
      </x:c>
    </x:row>
    <x:row r="428" spans="2:26" ht="12.75" customHeight="1" x14ac:dyDescent="0.25">
      <x:c r="A428"/>
      <x:c r="B428"/>
      <x:c r="C428" t="inlineStr">
        <x:is>
          <x:t>NUEVO ESQUEMA</x:t>
        </x:is>
      </x:c>
      <x:c r="D428" s="89" t="inlineStr">
        <x:is>
          <x:t>Total</x:t>
        </x:is>
      </x:c>
      <x:c r="E428" s="89"/>
      <x:c r="F428" s="90" t="n">
        <x:v>294267.85</x:v>
      </x:c>
      <x:c r="G428" s="90" t="n">
        <x:v>41610.84</x:v>
      </x:c>
      <x:c r="H428" s="90" t="n">
        <x:v>21046.63</x:v>
      </x:c>
      <x:c r="I428" s="90" t="n">
        <x:v>11485.08</x:v>
      </x:c>
      <x:c r="J428" s="90" t="n">
        <x:v>-4834.33</x:v>
      </x:c>
      <x:c r="K428" s="90" t="n">
        <x:v>1309.01</x:v>
      </x:c>
      <x:c r="L428" s="90" t="n">
        <x:v>0</x:v>
      </x:c>
      <x:c r="M428" s="90" t="n">
        <x:v>11507.27</x:v>
      </x:c>
      <x:c r="N428" s="90" t="n">
        <x:v>16698.03</x:v>
      </x:c>
      <x:c r="O428" s="90" t="n">
        <x:v>81733.92</x:v>
      </x:c>
      <x:c r="P428" s="90" t="n">
        <x:v>111568.03</x:v>
      </x:c>
      <x:c r="Q428" s="90" t="n">
        <x:v>2143.37</x:v>
      </x:c>
      <x:c r="R428" s="90" t="n">
        <x:v>0</x:v>
      </x:c>
      <x:c r="S428" s="90" t="n">
        <x:v>0</x:v>
      </x:c>
      <x:c r="T428" t="n">
        <x:v>0</x:v>
      </x:c>
      <x:c r="U428">
        <x:v>0</x:v>
      </x:c>
      <x:c r="V428">
        <x:v>0</x:v>
      </x:c>
      <x:c r="W428">
        <x:v>0</x:v>
      </x:c>
      <x:c r="X428">
        <x:v>0</x:v>
      </x:c>
      <x:c r="Y428" s="90">
        <x:v>0</x:v>
      </x:c>
      <x:c r="Z428" t="n">
        <x:v>0</x:v>
      </x:c>
    </x:row>
    <x:row r="429" spans="2:26" s="94" customFormat="1" ht="12.75" customHeight="1" x14ac:dyDescent="0.25">
      <x:c r="A429"/>
      <x:c r="B429"/>
      <x:c r="C429" s="101"/>
      <x:c r="D429" s="101"/>
      <x:c r="E429" t="inlineStr">
        <x:is>
          <x:t>Subsidio(-)/Contribucion(+)</x:t>
        </x:is>
      </x:c>
      <x:c r="F429" s="93" t="n">
        <x:v>3529314.36</x:v>
      </x:c>
      <x:c r="G429" s="93" t="n">
        <x:v>1791108.79</x:v>
      </x:c>
      <x:c r="H429" s="93" t="n">
        <x:v>1022958.89</x:v>
      </x:c>
      <x:c r="I429" s="93" t="n">
        <x:v>541364.61</x:v>
      </x:c>
      <x:c r="J429" s="93" t="n">
        <x:v>-1432168.43</x:v>
      </x:c>
      <x:c r="K429" s="93" t="n">
        <x:v>-35468.95</x:v>
      </x:c>
      <x:c r="L429" s="93" t="n">
        <x:v>0</x:v>
      </x:c>
      <x:c r="M429" s="93" t="n">
        <x:v>-314697.47</x:v>
      </x:c>
      <x:c r="N429" s="93" t="n">
        <x:v>-476294.61</x:v>
      </x:c>
      <x:c r="O429" s="93" t="n">
        <x:v>-2294667.21</x:v>
      </x:c>
      <x:c r="P429" s="93" t="n">
        <x:v>4785048.26</x:v>
      </x:c>
      <x:c r="Q429" s="93" t="n">
        <x:v>-57869.52</x:v>
      </x:c>
      <x:c r="R429" s="93" t="n">
        <x:v>0</x:v>
      </x:c>
      <x:c r="S429" s="93" t="n">
        <x:v>0</x:v>
      </x:c>
      <x:c r="T429" s="94" t="n">
        <x:v>0</x:v>
      </x:c>
      <x:c r="U429" s="94">
        <x:v>0</x:v>
      </x:c>
      <x:c r="V429" s="94">
        <x:v>0</x:v>
      </x:c>
      <x:c r="W429" s="94">
        <x:v>0</x:v>
      </x:c>
      <x:c r="X429" s="94">
        <x:v>0</x:v>
      </x:c>
      <x:c r="Y429" s="93">
        <x:v>0</x:v>
      </x:c>
      <x:c r="Z429" s="94" t="n">
        <x:v>0</x:v>
      </x:c>
    </x:row>
    <x:row r="430" spans="2:26" s="226" customFormat="1" ht="12.75" customHeight="1" x14ac:dyDescent="0.25">
      <x:c r="A430"/>
      <x:c r="B430" s="98"/>
      <x:c r="C430" s="98"/>
      <x:c r="D430" t="inlineStr">
        <x:is>
          <x:t>H</x:t>
        </x:is>
      </x:c>
      <x:c r="E430" t="inlineStr">
        <x:is>
          <x:t>Total</x:t>
        </x:is>
      </x:c>
      <x:c r="F430" s="100" t="n">
        <x:v>3529314.36</x:v>
      </x:c>
      <x:c r="G430" s="100" t="n">
        <x:v>1791108.79</x:v>
      </x:c>
      <x:c r="H430" s="100" t="n">
        <x:v>1022958.89</x:v>
      </x:c>
      <x:c r="I430" s="100" t="n">
        <x:v>541364.61</x:v>
      </x:c>
      <x:c r="J430" s="100" t="n">
        <x:v>-1432168.43</x:v>
      </x:c>
      <x:c r="K430" s="100" t="n">
        <x:v>-35468.95</x:v>
      </x:c>
      <x:c r="L430" s="100" t="n">
        <x:v>0</x:v>
      </x:c>
      <x:c r="M430" s="100" t="n">
        <x:v>-314697.47</x:v>
      </x:c>
      <x:c r="N430" s="100" t="n">
        <x:v>-476294.61</x:v>
      </x:c>
      <x:c r="O430" s="100" t="n">
        <x:v>-2294667.21</x:v>
      </x:c>
      <x:c r="P430" s="100" t="n">
        <x:v>4785048.26</x:v>
      </x:c>
      <x:c r="Q430" s="100" t="n">
        <x:v>-57869.52</x:v>
      </x:c>
      <x:c r="R430" s="100" t="n">
        <x:v>0</x:v>
      </x:c>
      <x:c r="S430" s="100" t="n">
        <x:v>0</x:v>
      </x:c>
      <x:c r="T430" s="226" t="n">
        <x:v>0</x:v>
      </x:c>
      <x:c r="U430" s="226">
        <x:v>0</x:v>
      </x:c>
      <x:c r="V430" s="226">
        <x:v>0</x:v>
      </x:c>
      <x:c r="W430" s="226">
        <x:v>0</x:v>
      </x:c>
      <x:c r="X430" s="226">
        <x:v>0</x:v>
      </x:c>
      <x:c r="Y430" s="100">
        <x:v>0</x:v>
      </x:c>
      <x:c r="Z430" s="226" t="n">
        <x:v>0</x:v>
      </x:c>
    </x:row>
    <x:row r="431" spans="1:26" ht="12.75" customHeight="1" x14ac:dyDescent="0.25">
      <x:c r="A431" s="89"/>
      <x:c r="B431" s="89"/>
      <x:c r="C431"/>
      <x:c r="D431"/>
      <x:c r="E431" t="inlineStr">
        <x:is>
          <x:t>Subsidio(-)/Contribucion(+)</x:t>
        </x:is>
      </x:c>
      <x:c r="F431" s="90" t="n">
        <x:v>5555762.35</x:v>
      </x:c>
      <x:c r="G431" s="90" t="n">
        <x:v>1608362.89</x:v>
      </x:c>
      <x:c r="H431" s="90" t="n">
        <x:v>920093.85</x:v>
      </x:c>
      <x:c r="I431" s="90" t="n">
        <x:v>489714.31</x:v>
      </x:c>
      <x:c r="J431" s="90" t="n">
        <x:v>-644331.18</x:v>
      </x:c>
      <x:c r="K431" s="90" t="n">
        <x:v>-24655.96</x:v>
      </x:c>
      <x:c r="L431" s="90" t="n">
        <x:v>0</x:v>
      </x:c>
      <x:c r="M431" s="90" t="n">
        <x:v>-216215.06</x:v>
      </x:c>
      <x:c r="N431" s="90" t="n">
        <x:v>-183607.56</x:v>
      </x:c>
      <x:c r="O431" s="90" t="n">
        <x:v>-612812.9</x:v>
      </x:c>
      <x:c r="P431" s="90" t="n">
        <x:v>4259381.79</x:v>
      </x:c>
      <x:c r="Q431" s="90" t="n">
        <x:v>-40167.83</x:v>
      </x:c>
      <x:c r="R431" s="90" t="n">
        <x:v>0</x:v>
      </x:c>
      <x:c r="S431" s="90" t="n">
        <x:v>0</x:v>
      </x:c>
      <x:c r="T431" t="n">
        <x:v>0</x:v>
      </x:c>
      <x:c r="U431">
        <x:v>0</x:v>
      </x:c>
      <x:c r="V431">
        <x:v>0</x:v>
      </x:c>
      <x:c r="W431">
        <x:v>0</x:v>
      </x:c>
      <x:c r="X431">
        <x:v>0</x:v>
      </x:c>
      <x:c r="Y431" s="90">
        <x:v>0</x:v>
      </x:c>
      <x:c r="Z431" t="n">
        <x:v>0</x:v>
      </x:c>
    </x:row>
    <x:row r="432" spans="1:26" ht="12.75" customHeight="1" x14ac:dyDescent="0.25">
      <x:c r="A432" s="89"/>
      <x:c r="B432" s="89"/>
      <x:c r="C432"/>
      <x:c r="D432" t="inlineStr">
        <x:is>
          <x:t>O</x:t>
        </x:is>
      </x:c>
      <x:c r="E432" t="inlineStr">
        <x:is>
          <x:t>Total</x:t>
        </x:is>
      </x:c>
      <x:c r="F432" s="90" t="n">
        <x:v>5555762.35</x:v>
      </x:c>
      <x:c r="G432" s="90" t="n">
        <x:v>1608362.89</x:v>
      </x:c>
      <x:c r="H432" s="90" t="n">
        <x:v>920093.85</x:v>
      </x:c>
      <x:c r="I432" s="90" t="n">
        <x:v>489714.31</x:v>
      </x:c>
      <x:c r="J432" s="90" t="n">
        <x:v>-644331.18</x:v>
      </x:c>
      <x:c r="K432" s="90" t="n">
        <x:v>-24655.96</x:v>
      </x:c>
      <x:c r="L432" s="90" t="n">
        <x:v>0</x:v>
      </x:c>
      <x:c r="M432" s="90" t="n">
        <x:v>-216215.06</x:v>
      </x:c>
      <x:c r="N432" s="90" t="n">
        <x:v>-183607.56</x:v>
      </x:c>
      <x:c r="O432" s="90" t="n">
        <x:v>-612812.9</x:v>
      </x:c>
      <x:c r="P432" s="90" t="n">
        <x:v>4259381.79</x:v>
      </x:c>
      <x:c r="Q432" s="90" t="n">
        <x:v>-40167.83</x:v>
      </x:c>
      <x:c r="R432" s="90" t="n">
        <x:v>0</x:v>
      </x:c>
      <x:c r="S432" s="90" t="n">
        <x:v>0</x:v>
      </x:c>
      <x:c r="T432" t="n">
        <x:v>0</x:v>
      </x:c>
      <x:c r="U432"/>
      <x:c r="V432"/>
      <x:c r="W432"/>
      <x:c r="X432"/>
      <x:c r="Y432" s="90"/>
      <x:c r="Z432" t="n">
        <x:v>0</x:v>
      </x:c>
    </x:row>
    <x:row r="433" spans="1:26" ht="12.75" customHeight="1" x14ac:dyDescent="0.25">
      <x:c r="A433" s="89"/>
      <x:c r="B433" s="89"/>
      <x:c r="C433"/>
      <x:c r="D433"/>
      <x:c r="E433" t="inlineStr">
        <x:is>
          <x:t>Subsidio(-)/Contribucion(+)</x:t>
        </x:is>
      </x:c>
      <x:c r="F433" s="90" t="n">
        <x:v>92816863.27</x:v>
      </x:c>
      <x:c r="G433" s="90" t="n">
        <x:v>19214046.53</x:v>
      </x:c>
      <x:c r="H433" s="90" t="n">
        <x:v>10879874.35</x:v>
      </x:c>
      <x:c r="I433" s="90" t="n">
        <x:v>5768324.89</x:v>
      </x:c>
      <x:c r="J433" s="90" t="n">
        <x:v>1735938.17</x:v>
      </x:c>
      <x:c r="K433" s="90" t="n">
        <x:v>43100.4</x:v>
      </x:c>
      <x:c r="L433" s="90" t="n">
        <x:v>0</x:v>
      </x:c>
      <x:c r="M433" s="90" t="n">
        <x:v>377107.8</x:v>
      </x:c>
      <x:c r="N433" s="90" t="n">
        <x:v>532255.15</x:v>
      </x:c>
      <x:c r="O433" s="90" t="n">
        <x:v>2745336.55</x:v>
      </x:c>
      <x:c r="P433" s="90" t="n">
        <x:v>51449770.57</x:v>
      </x:c>
      <x:c r="Q433" s="90" t="n">
        <x:v>71108.86</x:v>
      </x:c>
      <x:c r="R433" s="90" t="n">
        <x:v>0</x:v>
      </x:c>
      <x:c r="S433" s="90" t="n">
        <x:v>0</x:v>
      </x:c>
      <x:c r="T433" t="n">
        <x:v>0</x:v>
      </x:c>
      <x:c r="U433"/>
      <x:c r="V433"/>
      <x:c r="W433"/>
      <x:c r="X433"/>
      <x:c r="Y433" s="90"/>
      <x:c r="Z433" t="n">
        <x:v>0</x:v>
      </x:c>
    </x:row>
    <x:row r="434" spans="1:26" ht="12.75" customHeight="1" x14ac:dyDescent="0.25">
      <x:c r="A434" s="89"/>
      <x:c r="B434" s="89"/>
      <x:c r="C434"/>
      <x:c r="D434" t="inlineStr">
        <x:is>
          <x:t>T</x:t>
        </x:is>
      </x:c>
      <x:c r="E434" t="inlineStr">
        <x:is>
          <x:t>Total</x:t>
        </x:is>
      </x:c>
      <x:c r="F434" s="90" t="n">
        <x:v>92816863.27</x:v>
      </x:c>
      <x:c r="G434" s="90" t="n">
        <x:v>19214046.53</x:v>
      </x:c>
      <x:c r="H434" s="90" t="n">
        <x:v>10879874.35</x:v>
      </x:c>
      <x:c r="I434" s="90" t="n">
        <x:v>5768324.89</x:v>
      </x:c>
      <x:c r="J434" s="90" t="n">
        <x:v>1735938.17</x:v>
      </x:c>
      <x:c r="K434" s="90" t="n">
        <x:v>43100.4</x:v>
      </x:c>
      <x:c r="L434" s="90" t="n">
        <x:v>0</x:v>
      </x:c>
      <x:c r="M434" s="90" t="n">
        <x:v>377107.8</x:v>
      </x:c>
      <x:c r="N434" s="90" t="n">
        <x:v>532255.15</x:v>
      </x:c>
      <x:c r="O434" s="90" t="n">
        <x:v>2745336.55</x:v>
      </x:c>
      <x:c r="P434" s="90" t="n">
        <x:v>51449770.57</x:v>
      </x:c>
      <x:c r="Q434" s="90" t="n">
        <x:v>71108.86</x:v>
      </x:c>
      <x:c r="R434" s="90" t="n">
        <x:v>0</x:v>
      </x:c>
      <x:c r="S434" s="90" t="n">
        <x:v>0</x:v>
      </x:c>
      <x:c r="T434" t="n">
        <x:v>0</x:v>
      </x:c>
      <x:c r="U434"/>
      <x:c r="V434"/>
      <x:c r="W434"/>
      <x:c r="X434"/>
      <x:c r="Y434" s="90"/>
      <x:c r="Z434" t="n">
        <x:v>0</x:v>
      </x:c>
    </x:row>
    <x:row r="435" spans="1:26" ht="12.75" customHeight="1" x14ac:dyDescent="0.25">
      <x:c r="A435" s="89"/>
      <x:c r="B435" s="89"/>
      <x:c r="C435" t="inlineStr">
        <x:is>
          <x:t>OCCIDENTE</x:t>
        </x:is>
      </x:c>
      <x:c r="D435" t="inlineStr">
        <x:is>
          <x:t>Total</x:t>
        </x:is>
      </x:c>
      <x:c r="E435"/>
      <x:c r="F435" s="90" t="n">
        <x:v>101901939.98</x:v>
      </x:c>
      <x:c r="G435" s="90" t="n">
        <x:v>22613518.21</x:v>
      </x:c>
      <x:c r="H435" s="90" t="n">
        <x:v>12822927.09</x:v>
      </x:c>
      <x:c r="I435" s="90" t="n">
        <x:v>6799403.81</x:v>
      </x:c>
      <x:c r="J435" s="90" t="n">
        <x:v>-340561.44</x:v>
      </x:c>
      <x:c r="K435" s="90" t="n">
        <x:v>-17024.51</x:v>
      </x:c>
      <x:c r="L435" s="90" t="n">
        <x:v>0</x:v>
      </x:c>
      <x:c r="M435" s="90" t="n">
        <x:v>-153804.73</x:v>
      </x:c>
      <x:c r="N435" s="90" t="n">
        <x:v>-127647.02</x:v>
      </x:c>
      <x:c r="O435" s="90" t="n">
        <x:v>-162143.56</x:v>
      </x:c>
      <x:c r="P435" s="90" t="n">
        <x:v>60494200.62</x:v>
      </x:c>
      <x:c r="Q435" s="90" t="n">
        <x:v>-26928.49</x:v>
      </x:c>
      <x:c r="R435" s="90" t="n">
        <x:v>0</x:v>
      </x:c>
      <x:c r="S435" s="90" t="n">
        <x:v>0</x:v>
      </x:c>
      <x:c r="T435" t="n">
        <x:v>0</x:v>
      </x:c>
      <x:c r="U435"/>
      <x:c r="V435"/>
      <x:c r="W435"/>
      <x:c r="X435"/>
      <x:c r="Y435" s="90"/>
      <x:c r="Z435" t="n">
        <x:v>0</x:v>
      </x:c>
    </x:row>
    <x:row r="436" spans="1:26" ht="12.75" customHeight="1" x14ac:dyDescent="0.25">
      <x:c r="A436" s="89"/>
      <x:c r="B436" s="89" t="inlineStr">
        <x:is>
          <x:t>Mes</x:t>
        </x:is>
      </x:c>
      <x:c r="C436" t="inlineStr">
        <x:is>
          <x:t>Total</x:t>
        </x:is>
      </x:c>
      <x:c r="D436"/>
      <x:c r="E436"/>
      <x:c r="F436" s="90" t="n">
        <x:v>-755542696.11</x:v>
      </x:c>
      <x:c r="G436" s="90" t="n">
        <x:v>27060360.91</x:v>
      </x:c>
      <x:c r="H436" s="90" t="n">
        <x:v>15086865.74</x:v>
      </x:c>
      <x:c r="I436" s="90" t="n">
        <x:v>7988787.71</x:v>
      </x:c>
      <x:c r="J436" s="90" t="n">
        <x:v>-272784346.9</x:v>
      </x:c>
      <x:c r="K436" s="90" t="n">
        <x:v>-9495523.96</x:v>
      </x:c>
      <x:c r="L436" s="90" t="n">
        <x:v>0</x:v>
      </x:c>
      <x:c r="M436" s="90" t="n">
        <x:v>-83312160.73</x:v>
      </x:c>
      <x:c r="N436" s="90" t="n">
        <x:v>-80284807.31</x:v>
      </x:c>
      <x:c r="O436" s="90" t="n">
        <x:v>-416081562.99</x:v>
      </x:c>
      <x:c r="P436" s="90" t="n">
        <x:v>71769108.26</x:v>
      </x:c>
      <x:c r="Q436" s="90" t="n">
        <x:v>-15489416.84</x:v>
      </x:c>
      <x:c r="R436" s="90" t="n">
        <x:v>0</x:v>
      </x:c>
      <x:c r="S436" s="90" t="n">
        <x:v>0</x:v>
      </x:c>
      <x:c r="T436" t="n">
        <x:v>0</x:v>
      </x:c>
      <x:c r="U436"/>
      <x:c r="V436"/>
      <x:c r="W436"/>
      <x:c r="X436"/>
      <x:c r="Y436" s="90"/>
      <x:c r="Z436" t="n">
        <x:v>0</x:v>
      </x:c>
    </x:row>
    <x:row r="437" spans="1:26" ht="12.75" customHeight="1" x14ac:dyDescent="0.25">
      <x:c r="A437" s="89" t="inlineStr">
        <x:is>
          <x:t>Subs/Cont</x:t>
        </x:is>
      </x:c>
      <x:c r="B437" s="89" t="inlineStr">
        <x:is>
          <x:t>Total</x:t>
        </x:is>
      </x:c>
      <x:c r="C437"/>
      <x:c r="D437"/>
      <x:c r="E437"/>
      <x:c r="F437" s="90" t="n">
        <x:v>-755666536.93</x:v>
      </x:c>
      <x:c r="G437" s="90" t="n">
        <x:v>27079828.28</x:v>
      </x:c>
      <x:c r="H437" s="90" t="n">
        <x:v>15097916.4</x:v>
      </x:c>
      <x:c r="I437" s="90" t="n">
        <x:v>7994805.18</x:v>
      </x:c>
      <x:c r="J437" s="90" t="n">
        <x:v>-272846950.74</x:v>
      </x:c>
      <x:c r="K437" s="90" t="n">
        <x:v>-9497699.17</x:v>
      </x:c>
      <x:c r="L437" s="90" t="n">
        <x:v>0</x:v>
      </x:c>
      <x:c r="M437" s="90" t="n">
        <x:v>-83331242.46</x:v>
      </x:c>
      <x:c r="N437" s="90" t="n">
        <x:v>-80305358.17</x:v>
      </x:c>
      <x:c r="O437" s="90" t="n">
        <x:v>-416187623.45</x:v>
      </x:c>
      <x:c r="P437" s="90" t="n">
        <x:v>71822753.21</x:v>
      </x:c>
      <x:c r="Q437" s="90" t="n">
        <x:v>-15492966.01</x:v>
      </x:c>
      <x:c r="R437" s="90" t="n">
        <x:v>0</x:v>
      </x:c>
      <x:c r="S437" s="90" t="n">
        <x:v>0</x:v>
      </x:c>
      <x:c r="T437" t="n">
        <x:v>0</x:v>
      </x:c>
      <x:c r="U437"/>
      <x:c r="V437"/>
      <x:c r="W437"/>
      <x:c r="X437"/>
      <x:c r="Y437" s="90"/>
      <x:c r="Z437" t="n">
        <x:v>0</x:v>
      </x:c>
    </x:row>
    <x:row r="438" spans="1:26" ht="12.75" customHeight="1" x14ac:dyDescent="0.25">
      <x:c r="A438" s="89" t="inlineStr">
        <x:is>
          <x:t>Total</x:t>
        </x:is>
      </x:c>
      <x:c r="B438"/>
      <x:c r="C438"/>
      <x:c r="D438"/>
      <x:c r="E438"/>
      <x:c r="F438" s="90" t="n">
        <x:v>8287536669.54</x:v>
      </x:c>
      <x:c r="G438" s="90" t="n">
        <x:v>538628558.26</x:v>
      </x:c>
      <x:c r="H438" s="90" t="n">
        <x:v>301946197.77</x:v>
      </x:c>
      <x:c r="I438" s="90" t="n">
        <x:v>159233014.78</x:v>
      </x:c>
      <x:c r="J438" s="90" t="n">
        <x:v>1817605127.62</x:v>
      </x:c>
      <x:c r="K438" s="90" t="n">
        <x:v>62918739.6</x:v>
      </x:c>
      <x:c r="L438" s="90" t="n">
        <x:v>11217476.99</x:v>
      </x:c>
      <x:c r="M438" s="90" t="n">
        <x:v>551297991.85</x:v>
      </x:c>
      <x:c r="N438" s="90" t="n">
        <x:v>547971274.88</x:v>
      </x:c>
      <x:c r="O438" s="90" t="n">
        <x:v>2766698963.36</x:v>
      </x:c>
      <x:c r="P438" s="90" t="n">
        <x:v>1427343014.55</x:v>
      </x:c>
      <x:c r="Q438" s="90" t="n">
        <x:v>102688459.32</x:v>
      </x:c>
      <x:c r="R438" s="90" t="n">
        <x:v>-12113.87</x:v>
      </x:c>
      <x:c r="S438" s="90" t="n">
        <x:v>-7.75</x:v>
      </x:c>
      <x:c r="T438" t="n">
        <x:v>151.03</x:v>
      </x:c>
      <x:c r="U438">
        <x:v>0</x:v>
      </x:c>
      <x:c r="V438">
        <x:v>0</x:v>
      </x:c>
      <x:c r="W438">
        <x:v>0</x:v>
      </x:c>
      <x:c r="X438">
        <x:v>0</x:v>
      </x:c>
      <x:c r="Y438" s="90">
        <x:v>0</x:v>
      </x:c>
      <x:c r="Z438" t="n">
        <x:v>-178.85</x:v>
      </x:c>
    </x:row>
    <x:row r="439" spans="1:26" ht="12.75" customHeight="1" x14ac:dyDescent="0.25">
      <x:c r="A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  <x:c r="T439" s="90"/>
      <x:c r="U439" s="90"/>
      <x:c r="V439" s="90"/>
      <x:c r="W439" s="90"/>
    </x:row>
    <x:row r="440" spans="1:26" ht="12.75" hidden="1" customHeight="1" x14ac:dyDescent="0.25">
      <x:c r="A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6" ht="12.75" hidden="1" customHeight="1" x14ac:dyDescent="0.25">
      <x:c r="A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6" ht="12.75" hidden="1" customHeight="1" x14ac:dyDescent="0.25">
      <x:c r="A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6" ht="12.75" hidden="1" customHeight="1" x14ac:dyDescent="0.25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6" ht="12.75" hidden="1" customHeight="1" x14ac:dyDescent="0.25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6" ht="12.75" hidden="1" customHeight="1" x14ac:dyDescent="0.25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6" ht="12.75" hidden="1" customHeight="1" x14ac:dyDescent="0.25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6" ht="12.75" hidden="1" customHeight="1" x14ac:dyDescent="0.25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6" ht="12.75" hidden="1" customHeight="1" x14ac:dyDescent="0.25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</x:row>
    <x:row r="449" spans="1:26" ht="12.75" hidden="1" customHeight="1" x14ac:dyDescent="0.25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</x:row>
    <x:row r="450" spans="1:26" ht="12.75" hidden="1" customHeight="1" x14ac:dyDescent="0.25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</x:row>
    <x:row r="451" spans="1:26" ht="12.75" hidden="1" customHeight="1" x14ac:dyDescent="0.25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</x:row>
    <x:row r="452" spans="1:26" ht="12.75" hidden="1" customHeight="1" x14ac:dyDescent="0.25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</x:row>
    <x:row r="453" spans="1:41" ht="12.75" hidden="1" customHeight="1" x14ac:dyDescent="0.25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</x:row>
    <x:row r="454" spans="1:41" ht="12.75" hidden="1" customHeight="1" x14ac:dyDescent="0.25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</x:row>
    <x:row r="455" spans="1:41" ht="12.75" customHeight="1" x14ac:dyDescent="0.25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</x:row>
    <x:row r="456" spans="1:41" ht="12.75" customHeight="1" x14ac:dyDescent="0.25">
      <x:c r="C456" s="774" t="s">
        <x:v>2</x:v>
      </x:c>
      <x:c r="D456" s="771" t="s">
        <x:v>132</x:v>
      </x:c>
      <x:c r="E456" s="98" t="s">
        <x:v>70</x:v>
      </x:c>
      <x:c r="F456" s="100">
        <x:f>F404+F430+F366-L366-L404</x:f>
        <x:v>7047492494.7299986</x:v>
      </x:c>
      <x:c r="G456" s="100">
        <x:f t="shared" ref="G456:AO456" si="20">G404+G366</x:f>
        <x:v>460474439.50999999</x:v>
      </x:c>
      <x:c r="H456" s="100">
        <x:f t="shared" si="20"/>
        <x:v>257013372.20000002</x:v>
      </x:c>
      <x:c r="I456" s="100">
        <x:f t="shared" si="20"/>
        <x:v>134305930.96000001</x:v>
      </x:c>
      <x:c r="J456" s="100">
        <x:f t="shared" si="20"/>
        <x:v>1578923907.48</x:v>
      </x:c>
      <x:c r="K456" s="100">
        <x:f t="shared" si="20"/>
        <x:v>61673075.199999996</x:v>
      </x:c>
      <x:c r="L456" s="100">
        <x:f t="shared" si="20"/>
        <x:v>34128344.93</x:v>
      </x:c>
      <x:c r="M456" s="100">
        <x:f t="shared" si="20"/>
        <x:v>541555023.57000005</x:v>
      </x:c>
      <x:c r="N456" s="100">
        <x:f t="shared" si="20"/>
        <x:v>540045654.16999996</x:v>
      </x:c>
      <x:c r="O456" s="100">
        <x:f t="shared" si="20"/>
        <x:v>2761855935.0099998</x:v>
      </x:c>
      <x:c r="P456" s="100">
        <x:f t="shared" si="20"/>
        <x:v>1218672485.6500001</x:v>
      </x:c>
      <x:c r="Q456" s="100">
        <x:f t="shared" si="20"/>
        <x:v>100841209.87</x:v>
      </x:c>
      <x:c r="R456" s="100">
        <x:f t="shared" si="20"/>
        <x:v>-16277.43</x:v>
      </x:c>
      <x:c r="S456" s="100">
        <x:f t="shared" si="20"/>
        <x:v>0.14000000000000001</x:v>
      </x:c>
      <x:c r="T456" s="100">
        <x:f t="shared" si="20"/>
        <x:v>6.41</x:v>
      </x:c>
      <x:c r="U456" s="100">
        <x:f t="shared" si="20"/>
        <x:v>0</x:v>
      </x:c>
      <x:c r="V456" s="100">
        <x:f t="shared" si="20"/>
        <x:v>0</x:v>
      </x:c>
      <x:c r="W456" s="100">
        <x:f t="shared" si="20"/>
        <x:v>0</x:v>
      </x:c>
      <x:c r="X456" s="100">
        <x:f t="shared" si="20"/>
        <x:v>0</x:v>
      </x:c>
      <x:c r="Y456" s="100">
        <x:f t="shared" si="20"/>
        <x:v>0</x:v>
      </x:c>
      <x:c r="Z456" s="100">
        <x:f t="shared" si="20"/>
        <x:v>-446.62</x:v>
      </x:c>
      <x:c r="AA456" s="100">
        <x:f t="shared" si="20"/>
        <x:v>0</x:v>
      </x:c>
      <x:c r="AB456" s="100">
        <x:f t="shared" si="20"/>
        <x:v>0</x:v>
      </x:c>
      <x:c r="AC456" s="100">
        <x:f t="shared" si="20"/>
        <x:v>0</x:v>
      </x:c>
      <x:c r="AD456" s="100">
        <x:f t="shared" si="20"/>
        <x:v>0</x:v>
      </x:c>
      <x:c r="AE456" s="100">
        <x:f t="shared" si="20"/>
        <x:v>0</x:v>
      </x:c>
      <x:c r="AF456" s="100">
        <x:f t="shared" si="20"/>
        <x:v>0</x:v>
      </x:c>
      <x:c r="AG456" s="100">
        <x:f t="shared" si="20"/>
        <x:v>0</x:v>
      </x:c>
      <x:c r="AH456" s="100">
        <x:f t="shared" si="20"/>
        <x:v>0</x:v>
      </x:c>
      <x:c r="AI456" s="100">
        <x:f t="shared" si="20"/>
        <x:v>0</x:v>
      </x:c>
      <x:c r="AJ456" s="100">
        <x:f t="shared" si="20"/>
        <x:v>0</x:v>
      </x:c>
      <x:c r="AK456" s="100">
        <x:f t="shared" si="20"/>
        <x:v>0</x:v>
      </x:c>
      <x:c r="AL456" s="100">
        <x:f t="shared" si="20"/>
        <x:v>0</x:v>
      </x:c>
      <x:c r="AM456" s="100">
        <x:f t="shared" si="20"/>
        <x:v>0</x:v>
      </x:c>
      <x:c r="AN456" s="100">
        <x:f t="shared" si="20"/>
        <x:v>0</x:v>
      </x:c>
      <x:c r="AO456" s="100">
        <x:f t="shared" si="20"/>
        <x:v>0</x:v>
      </x:c>
    </x:row>
    <x:row r="457" spans="1:41" ht="12.75" customHeight="1" x14ac:dyDescent="0.25">
      <x:c r="C457" s="774"/>
      <x:c r="D457" s="771"/>
      <x:c r="E457" s="98" t="s">
        <x:v>73</x:v>
      </x:c>
      <x:c r="F457" s="100">
        <x:f>F430</x:f>
        <x:v>-607851821.38999999</x:v>
      </x:c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</x:row>
    <x:row r="458" spans="1:41" ht="12.75" customHeight="1" x14ac:dyDescent="0.25">
      <x:c r="C458" s="774"/>
      <x:c r="D458" s="771" t="s">
        <x:v>133</x:v>
      </x:c>
      <x:c r="E458" s="233" t="s">
        <x:v>70</x:v>
      </x:c>
      <x:c r="F458" s="234">
        <x:f>F412+F379-L379</x:f>
        <x:v>4343101</x:v>
      </x:c>
      <x:c r="G458" s="234">
        <x:f t="shared" ref="G458:AA458" si="21">G379</x:f>
        <x:v>311438.06</x:v>
      </x:c>
      <x:c r="H458" s="234">
        <x:f t="shared" si="21"/>
        <x:v>174745.19</x:v>
      </x:c>
      <x:c r="I458" s="234">
        <x:f t="shared" si="21"/>
        <x:v>94552.57</x:v>
      </x:c>
      <x:c r="J458" s="234">
        <x:f t="shared" si="21"/>
        <x:v>971475.94</x:v>
      </x:c>
      <x:c r="K458" s="234">
        <x:f t="shared" si="21"/>
        <x:v>31532.52</x:v>
      </x:c>
      <x:c r="L458" s="234">
        <x:f t="shared" si="21"/>
        <x:v>0</x:v>
      </x:c>
      <x:c r="M458" s="234">
        <x:f t="shared" si="21"/>
        <x:v>280120.46000000002</x:v>
      </x:c>
      <x:c r="N458" s="234">
        <x:f t="shared" si="21"/>
        <x:v>309903.63</x:v>
      </x:c>
      <x:c r="O458" s="234">
        <x:f t="shared" si="21"/>
        <x:v>1543098.75</x:v>
      </x:c>
      <x:c r="P458" s="234">
        <x:f t="shared" si="21"/>
        <x:v>830464.64</x:v>
      </x:c>
      <x:c r="Q458" s="234">
        <x:f t="shared" si="21"/>
        <x:v>53321.16</x:v>
      </x:c>
      <x:c r="R458" s="234">
        <x:f t="shared" si="21"/>
        <x:v>10.98</x:v>
      </x:c>
      <x:c r="S458" s="234">
        <x:f t="shared" si="21"/>
        <x:v>0</x:v>
      </x:c>
      <x:c r="T458" s="234">
        <x:f t="shared" si="21"/>
        <x:v>0</x:v>
      </x:c>
      <x:c r="U458" s="234">
        <x:f t="shared" si="21"/>
        <x:v>0</x:v>
      </x:c>
      <x:c r="V458" s="234">
        <x:f t="shared" si="21"/>
        <x:v>0</x:v>
      </x:c>
      <x:c r="W458" s="234">
        <x:f t="shared" si="21"/>
        <x:v>0</x:v>
      </x:c>
      <x:c r="X458" s="234">
        <x:f t="shared" si="21"/>
        <x:v>0</x:v>
      </x:c>
      <x:c r="Y458" s="234">
        <x:f t="shared" si="21"/>
        <x:v>0</x:v>
      </x:c>
      <x:c r="Z458" s="234">
        <x:f t="shared" si="21"/>
        <x:v>-88.74</x:v>
      </x:c>
      <x:c r="AA458" s="234">
        <x:f t="shared" si="21"/>
        <x:v>0</x:v>
      </x:c>
    </x:row>
    <x:row r="459" spans="1:41" ht="12.75" customHeight="1" x14ac:dyDescent="0.25">
      <x:c r="C459" s="774"/>
      <x:c r="D459" s="771"/>
      <x:c r="E459" s="233" t="s">
        <x:v>73</x:v>
      </x:c>
      <x:c r="F459" s="234">
        <x:f>F412</x:f>
        <x:v>-257474.16</x:v>
      </x:c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41" ht="12.75" customHeight="1" x14ac:dyDescent="0.3">
      <x:c r="A460" s="89"/>
      <x:c r="C460" s="97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</x:row>
    <x:row r="461" spans="1:41" ht="12.75" customHeight="1" x14ac:dyDescent="0.25">
      <x:c r="C461" s="774" t="s">
        <x:v>160</x:v>
      </x:c>
      <x:c r="D461" s="771" t="s">
        <x:v>132</x:v>
      </x:c>
      <x:c r="E461" s="223" t="s">
        <x:v>70</x:v>
      </x:c>
      <x:c r="F461" s="225">
        <x:f>F422+F393-L393</x:f>
        <x:v>5616850</x:v>
      </x:c>
      <x:c r="G461" s="225">
        <x:f t="shared" ref="G461:AO461" si="22">G393</x:f>
        <x:v>348026.22</x:v>
      </x:c>
      <x:c r="H461" s="225">
        <x:f t="shared" si="22"/>
        <x:v>182658.96</x:v>
      </x:c>
      <x:c r="I461" s="225">
        <x:f t="shared" si="22"/>
        <x:v>98773.43</x:v>
      </x:c>
      <x:c r="J461" s="225">
        <x:f t="shared" si="22"/>
        <x:v>1121911.54</x:v>
      </x:c>
      <x:c r="K461" s="225">
        <x:f t="shared" si="22"/>
        <x:v>39196.07</x:v>
      </x:c>
      <x:c r="L461" s="225">
        <x:f t="shared" si="22"/>
        <x:v>0</x:v>
      </x:c>
      <x:c r="M461" s="225">
        <x:f t="shared" si="22"/>
        <x:v>344054.1</x:v>
      </x:c>
      <x:c r="N461" s="225">
        <x:f t="shared" si="22"/>
        <x:v>366770.81</x:v>
      </x:c>
      <x:c r="O461" s="225">
        <x:f t="shared" si="22"/>
        <x:v>1860672.37</x:v>
      </x:c>
      <x:c r="P461" s="225">
        <x:f t="shared" si="22"/>
        <x:v>927916.55</x:v>
      </x:c>
      <x:c r="Q461" s="225">
        <x:f t="shared" si="22"/>
        <x:v>64006.76</x:v>
      </x:c>
      <x:c r="R461" s="225">
        <x:f t="shared" si="22"/>
        <x:v>-38.130000000000003</x:v>
      </x:c>
      <x:c r="S461" s="225">
        <x:f t="shared" si="22"/>
        <x:v>0</x:v>
      </x:c>
      <x:c r="T461" s="225">
        <x:f t="shared" si="22"/>
        <x:v>0</x:v>
      </x:c>
      <x:c r="U461" s="225">
        <x:f t="shared" si="22"/>
        <x:v>0</x:v>
      </x:c>
      <x:c r="V461" s="225">
        <x:f t="shared" si="22"/>
        <x:v>0</x:v>
      </x:c>
      <x:c r="W461" s="225">
        <x:f t="shared" si="22"/>
        <x:v>0</x:v>
      </x:c>
      <x:c r="X461" s="225">
        <x:f t="shared" si="22"/>
        <x:v>0</x:v>
      </x:c>
      <x:c r="Y461" s="225">
        <x:f t="shared" si="22"/>
        <x:v>0</x:v>
      </x:c>
      <x:c r="Z461" s="225">
        <x:f t="shared" si="22"/>
        <x:v>0</x:v>
      </x:c>
      <x:c r="AA461" s="225">
        <x:f t="shared" si="22"/>
        <x:v>0</x:v>
      </x:c>
      <x:c r="AB461" s="225">
        <x:f t="shared" si="22"/>
        <x:v>0</x:v>
      </x:c>
      <x:c r="AC461" s="225">
        <x:f t="shared" si="22"/>
        <x:v>0</x:v>
      </x:c>
      <x:c r="AD461" s="225">
        <x:f t="shared" si="22"/>
        <x:v>0</x:v>
      </x:c>
      <x:c r="AE461" s="225">
        <x:f t="shared" si="22"/>
        <x:v>0</x:v>
      </x:c>
      <x:c r="AF461" s="225">
        <x:f t="shared" si="22"/>
        <x:v>0</x:v>
      </x:c>
      <x:c r="AG461" s="225">
        <x:f t="shared" si="22"/>
        <x:v>0</x:v>
      </x:c>
      <x:c r="AH461" s="225">
        <x:f t="shared" si="22"/>
        <x:v>0</x:v>
      </x:c>
      <x:c r="AI461" s="225">
        <x:f t="shared" si="22"/>
        <x:v>0</x:v>
      </x:c>
      <x:c r="AJ461" s="225">
        <x:f t="shared" si="22"/>
        <x:v>0</x:v>
      </x:c>
      <x:c r="AK461" s="225">
        <x:f t="shared" si="22"/>
        <x:v>0</x:v>
      </x:c>
      <x:c r="AL461" s="225">
        <x:f t="shared" si="22"/>
        <x:v>0</x:v>
      </x:c>
      <x:c r="AM461" s="225">
        <x:f t="shared" si="22"/>
        <x:v>0</x:v>
      </x:c>
      <x:c r="AN461" s="225">
        <x:f t="shared" si="22"/>
        <x:v>0</x:v>
      </x:c>
      <x:c r="AO461" s="225">
        <x:f t="shared" si="22"/>
        <x:v>0</x:v>
      </x:c>
    </x:row>
    <x:row r="462" spans="1:41" ht="12.75" customHeight="1" x14ac:dyDescent="0.25">
      <x:c r="C462" s="774"/>
      <x:c r="D462" s="771"/>
      <x:c r="E462" s="223" t="s">
        <x:v>73</x:v>
      </x:c>
      <x:c r="F462" s="225">
        <x:f>F422</x:f>
        <x:v>262901.32</x:v>
      </x:c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</x:row>
    <x:row r="463" spans="1:41" ht="12.75" customHeight="1" x14ac:dyDescent="0.25">
      <x:c r="C463" s="774"/>
      <x:c r="D463" s="771" t="s">
        <x:v>133</x:v>
      </x:c>
      <x:c r="E463" s="227" t="s">
        <x:v>70</x:v>
      </x:c>
      <x:c r="F463" s="228">
        <x:f>F374-L374</x:f>
        <x:v>41900</x:v>
      </x:c>
      <x:c r="G463" s="228">
        <x:f>G374</x:f>
        <x:v>2593.4699999999998</x:v>
      </x:c>
      <x:c r="H463" s="228">
        <x:f t="shared" ref="H463:Z463" si="23">H374</x:f>
        <x:v>1464.28</x:v>
      </x:c>
      <x:c r="I463" s="228">
        <x:f t="shared" si="23"/>
        <x:v>768.54</x:v>
      </x:c>
      <x:c r="J463" s="228">
        <x:f t="shared" si="23"/>
        <x:v>8475</x:v>
      </x:c>
      <x:c r="K463" s="228">
        <x:f t="shared" si="23"/>
        <x:v>336.82</x:v>
      </x:c>
      <x:c r="L463" s="228">
        <x:f t="shared" si="23"/>
        <x:v>0</x:v>
      </x:c>
      <x:c r="M463" s="228">
        <x:f t="shared" si="23"/>
        <x:v>2954.55</x:v>
      </x:c>
      <x:c r="N463" s="228">
        <x:f t="shared" si="23"/>
        <x:v>2903.79</x:v>
      </x:c>
      <x:c r="O463" s="228">
        <x:f t="shared" si="23"/>
        <x:v>14989.18</x:v>
      </x:c>
      <x:c r="P463" s="228">
        <x:f t="shared" si="23"/>
        <x:v>6864.83</x:v>
      </x:c>
      <x:c r="Q463" s="228">
        <x:f t="shared" si="23"/>
        <x:v>549.54</x:v>
      </x:c>
      <x:c r="R463" s="228">
        <x:f t="shared" si="23"/>
        <x:v>0</x:v>
      </x:c>
      <x:c r="S463" s="228">
        <x:f t="shared" si="23"/>
        <x:v>0</x:v>
      </x:c>
      <x:c r="T463" s="228">
        <x:f t="shared" si="23"/>
        <x:v>0</x:v>
      </x:c>
      <x:c r="U463" s="228">
        <x:f t="shared" si="23"/>
        <x:v>0</x:v>
      </x:c>
      <x:c r="V463" s="228">
        <x:f t="shared" si="23"/>
        <x:v>0</x:v>
      </x:c>
      <x:c r="W463" s="228">
        <x:f t="shared" si="23"/>
        <x:v>0</x:v>
      </x:c>
      <x:c r="X463" s="228">
        <x:f t="shared" si="23"/>
        <x:v>0</x:v>
      </x:c>
      <x:c r="Y463" s="228">
        <x:f t="shared" si="23"/>
        <x:v>0</x:v>
      </x:c>
      <x:c r="Z463" s="228">
        <x:f t="shared" si="23"/>
        <x:v>0</x:v>
      </x:c>
    </x:row>
    <x:row r="464" spans="1:41" ht="12.75" customHeight="1" x14ac:dyDescent="0.25">
      <x:c r="C464" s="774"/>
      <x:c r="D464" s="771"/>
      <x:c r="E464" s="227" t="s">
        <x:v>73</x:v>
      </x:c>
      <x:c r="F464" s="228">
        <x:v>0</x:v>
      </x:c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</x:row>
    <x:row r="465" spans="1:41" ht="12.75" customHeight="1" x14ac:dyDescent="0.3">
      <x:c r="A465" s="89"/>
      <x:c r="C465" s="97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</x:row>
    <x:row r="466" spans="1:41" ht="12.75" customHeight="1" x14ac:dyDescent="0.25">
      <x:c r="C466" s="774" t="s">
        <x:v>155</x:v>
      </x:c>
      <x:c r="D466" s="771" t="s">
        <x:v>132</x:v>
      </x:c>
      <x:c r="E466" s="221" t="s">
        <x:v>70</x:v>
      </x:c>
      <x:c r="F466" s="222">
        <x:f>F415+F383+F362-L362-L383</x:f>
        <x:v>6584787380.4700003</x:v>
      </x:c>
      <x:c r="G466" s="222">
        <x:f t="shared" ref="G466:Z466" si="24">G383+G362</x:f>
        <x:v>408144652.49000001</x:v>
      </x:c>
      <x:c r="H466" s="222">
        <x:f t="shared" si="24"/>
        <x:v>228232395.09</x:v>
      </x:c>
      <x:c r="I466" s="222">
        <x:f t="shared" si="24"/>
        <x:v>119582094.92999999</x:v>
      </x:c>
      <x:c r="J466" s="222">
        <x:f t="shared" si="24"/>
        <x:v>1524594519.48</x:v>
      </x:c>
      <x:c r="K466" s="222">
        <x:f t="shared" si="24"/>
        <x:v>59897729.049999997</x:v>
      </x:c>
      <x:c r="L466" s="222">
        <x:f t="shared" si="24"/>
        <x:v>19208887.530000001</x:v>
      </x:c>
      <x:c r="M466" s="222">
        <x:f t="shared" si="24"/>
        <x:v>524397834.05000001</x:v>
      </x:c>
      <x:c r="N466" s="222">
        <x:f t="shared" si="24"/>
        <x:v>518689495.65999997</x:v>
      </x:c>
      <x:c r="O466" s="222">
        <x:f t="shared" si="24"/>
        <x:v>2657171147.7400002</x:v>
      </x:c>
      <x:c r="P466" s="222">
        <x:f t="shared" si="24"/>
        <x:v>1079967383.1800001</x:v>
      </x:c>
      <x:c r="Q466" s="222">
        <x:f t="shared" si="24"/>
        <x:v>97939197.519999996</x:v>
      </x:c>
      <x:c r="R466" s="222">
        <x:f t="shared" si="24"/>
        <x:v>-16815.95</x:v>
      </x:c>
      <x:c r="S466" s="222">
        <x:f t="shared" si="24"/>
        <x:v>0.02</x:v>
      </x:c>
      <x:c r="T466" s="222">
        <x:f t="shared" si="24"/>
        <x:v>4.0599999999999996</x:v>
      </x:c>
      <x:c r="U466" s="222">
        <x:f t="shared" si="24"/>
        <x:v>0</x:v>
      </x:c>
      <x:c r="V466" s="222">
        <x:f t="shared" si="24"/>
        <x:v>0</x:v>
      </x:c>
      <x:c r="W466" s="222">
        <x:f t="shared" si="24"/>
        <x:v>0</x:v>
      </x:c>
      <x:c r="X466" s="222">
        <x:f t="shared" si="24"/>
        <x:v>0</x:v>
      </x:c>
      <x:c r="Y466" s="222">
        <x:f t="shared" si="24"/>
        <x:v>0</x:v>
      </x:c>
      <x:c r="Z466" s="222">
        <x:f t="shared" si="24"/>
        <x:v>-363.58</x:v>
      </x:c>
    </x:row>
    <x:row r="467" spans="1:41" ht="12.75" customHeight="1" x14ac:dyDescent="0.25">
      <x:c r="C467" s="774"/>
      <x:c r="D467" s="771"/>
      <x:c r="E467" s="221" t="s">
        <x:v>73</x:v>
      </x:c>
      <x:c r="F467" s="222">
        <x:f>F415</x:f>
        <x:v>-633811893.26999998</x:v>
      </x:c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</x:row>
    <x:row r="468" spans="1:41" ht="12.75" customHeight="1" x14ac:dyDescent="0.25">
      <x:c r="C468" s="774"/>
      <x:c r="D468" s="771" t="s">
        <x:v>133</x:v>
      </x:c>
      <x:c r="E468" s="229" t="s">
        <x:v>70</x:v>
      </x:c>
      <x:c r="F468" s="230">
        <x:f>F408+F371-L371</x:f>
        <x:v>3610007</x:v>
      </x:c>
      <x:c r="G468" s="230">
        <x:f>G371</x:f>
        <x:v>257262.75</x:v>
      </x:c>
      <x:c r="H468" s="230">
        <x:f t="shared" ref="H468:Z468" si="25">H371</x:f>
        <x:v>144117.51999999999</x:v>
      </x:c>
      <x:c r="I468" s="230">
        <x:f t="shared" si="25"/>
        <x:v>78318.55</x:v>
      </x:c>
      <x:c r="J468" s="230">
        <x:f t="shared" si="25"/>
        <x:v>797142.56</x:v>
      </x:c>
      <x:c r="K468" s="230">
        <x:f t="shared" si="25"/>
        <x:v>26303.65</x:v>
      </x:c>
      <x:c r="L468" s="230">
        <x:f t="shared" si="25"/>
        <x:v>0</x:v>
      </x:c>
      <x:c r="M468" s="230">
        <x:f t="shared" si="25"/>
        <x:v>230741.2</x:v>
      </x:c>
      <x:c r="N468" s="230">
        <x:f t="shared" si="25"/>
        <x:v>257553.6</x:v>
      </x:c>
      <x:c r="O468" s="230">
        <x:f t="shared" si="25"/>
        <x:v>1317195.17</x:v>
      </x:c>
      <x:c r="P468" s="230">
        <x:f t="shared" si="25"/>
        <x:v>682944.24</x:v>
      </x:c>
      <x:c r="Q468" s="230">
        <x:f t="shared" si="25"/>
        <x:v>44789.86</x:v>
      </x:c>
      <x:c r="R468" s="230">
        <x:f t="shared" si="25"/>
        <x:v>4.71</x:v>
      </x:c>
      <x:c r="S468" s="230">
        <x:f t="shared" si="25"/>
        <x:v>0</x:v>
      </x:c>
      <x:c r="T468" s="230">
        <x:f t="shared" si="25"/>
        <x:v>0</x:v>
      </x:c>
      <x:c r="U468" s="230">
        <x:f t="shared" si="25"/>
        <x:v>0</x:v>
      </x:c>
      <x:c r="V468" s="230">
        <x:f t="shared" si="25"/>
        <x:v>0</x:v>
      </x:c>
      <x:c r="W468" s="230">
        <x:f t="shared" si="25"/>
        <x:v>0</x:v>
      </x:c>
      <x:c r="X468" s="230">
        <x:f t="shared" si="25"/>
        <x:v>0</x:v>
      </x:c>
      <x:c r="Y468" s="230">
        <x:f t="shared" si="25"/>
        <x:v>0</x:v>
      </x:c>
      <x:c r="Z468" s="230">
        <x:f t="shared" si="25"/>
        <x:v>-88.74</x:v>
      </x:c>
    </x:row>
    <x:row r="469" spans="1:41" ht="12.75" customHeight="1" x14ac:dyDescent="0.25">
      <x:c r="C469" s="774"/>
      <x:c r="D469" s="771"/>
      <x:c r="E469" s="229" t="s">
        <x:v>73</x:v>
      </x:c>
      <x:c r="F469" s="230">
        <x:f>F408</x:f>
        <x:v>-226278.07</x:v>
      </x:c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</x:row>
    <x:row r="470" spans="1:41" ht="12.75" customHeight="1" x14ac:dyDescent="0.3">
      <x:c r="A470" s="89"/>
      <x:c r="C470" s="97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</x:row>
    <x:row r="471" spans="1:41" ht="12.75" customHeight="1" x14ac:dyDescent="0.25">
      <x:c r="C471" s="772" t="s">
        <x:v>328</x:v>
      </x:c>
      <x:c r="D471" s="771" t="s">
        <x:v>132</x:v>
      </x:c>
      <x:c r="E471" s="373" t="s">
        <x:v>70</x:v>
      </x:c>
      <x:c r="F471" s="374">
        <x:v>0</x:v>
      </x:c>
      <x:c r="G471" s="374">
        <x:v>0</x:v>
      </x:c>
      <x:c r="H471" s="374">
        <x:v>0</x:v>
      </x:c>
      <x:c r="I471" s="374">
        <x:v>0</x:v>
      </x:c>
      <x:c r="J471" s="374">
        <x:v>0</x:v>
      </x:c>
      <x:c r="K471" s="374">
        <x:v>0</x:v>
      </x:c>
      <x:c r="L471" s="374">
        <x:v>0</x:v>
      </x:c>
      <x:c r="M471" s="374">
        <x:v>0</x:v>
      </x:c>
      <x:c r="N471" s="374">
        <x:v>0</x:v>
      </x:c>
      <x:c r="O471" s="374">
        <x:v>0</x:v>
      </x:c>
      <x:c r="P471" s="374">
        <x:v>0</x:v>
      </x:c>
      <x:c r="Q471" s="374">
        <x:v>0</x:v>
      </x:c>
      <x:c r="R471" s="374">
        <x:v>0</x:v>
      </x:c>
      <x:c r="S471" s="374">
        <x:v>0</x:v>
      </x:c>
      <x:c r="T471" s="374">
        <x:v>0</x:v>
      </x:c>
      <x:c r="U471" s="374">
        <x:v>0</x:v>
      </x:c>
      <x:c r="V471" s="374">
        <x:v>0</x:v>
      </x:c>
      <x:c r="W471" s="374">
        <x:v>0</x:v>
      </x:c>
      <x:c r="X471" s="374">
        <x:v>0</x:v>
      </x:c>
      <x:c r="Y471" s="374">
        <x:v>0</x:v>
      </x:c>
      <x:c r="Z471" s="374">
        <x:v>0</x:v>
      </x:c>
      <x:c r="AA471" s="374">
        <x:v>0</x:v>
      </x:c>
      <x:c r="AB471" s="374">
        <x:v>0</x:v>
      </x:c>
      <x:c r="AC471" s="374">
        <x:v>0</x:v>
      </x:c>
      <x:c r="AD471" s="374">
        <x:v>0</x:v>
      </x:c>
      <x:c r="AE471" s="374">
        <x:v>0</x:v>
      </x:c>
      <x:c r="AF471" s="374">
        <x:v>0</x:v>
      </x:c>
      <x:c r="AG471" s="374">
        <x:v>0</x:v>
      </x:c>
      <x:c r="AH471" s="374">
        <x:v>0</x:v>
      </x:c>
      <x:c r="AI471" s="374">
        <x:v>0</x:v>
      </x:c>
      <x:c r="AJ471" s="374">
        <x:v>0</x:v>
      </x:c>
      <x:c r="AK471" s="374">
        <x:v>0</x:v>
      </x:c>
      <x:c r="AL471" s="374">
        <x:v>0</x:v>
      </x:c>
      <x:c r="AM471" s="374">
        <x:v>0</x:v>
      </x:c>
      <x:c r="AN471" s="374">
        <x:v>0</x:v>
      </x:c>
      <x:c r="AO471" s="374">
        <x:v>0</x:v>
      </x:c>
    </x:row>
    <x:row r="472" spans="1:41" ht="12.75" customHeight="1" x14ac:dyDescent="0.25">
      <x:c r="C472" s="772"/>
      <x:c r="D472" s="771"/>
      <x:c r="E472" s="373" t="s">
        <x:v>73</x:v>
      </x:c>
      <x:c r="F472" s="374">
        <x:v>0</x:v>
      </x:c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</x:row>
    <x:row r="473" spans="1:41" ht="12.75" customHeight="1" x14ac:dyDescent="0.25">
      <x:c r="C473" s="772"/>
      <x:c r="D473" s="771" t="s">
        <x:v>133</x:v>
      </x:c>
      <x:c r="E473" s="242" t="s">
        <x:v>70</x:v>
      </x:c>
      <x:c r="F473" s="243">
        <x:v>0</x:v>
      </x:c>
      <x:c r="G473" s="243">
        <x:v>0</x:v>
      </x:c>
      <x:c r="H473" s="243">
        <x:v>0</x:v>
      </x:c>
      <x:c r="I473" s="243">
        <x:v>0</x:v>
      </x:c>
      <x:c r="J473" s="243">
        <x:v>0</x:v>
      </x:c>
      <x:c r="K473" s="243">
        <x:v>0</x:v>
      </x:c>
      <x:c r="L473" s="243">
        <x:v>0</x:v>
      </x:c>
      <x:c r="M473" s="243">
        <x:v>0</x:v>
      </x:c>
      <x:c r="N473" s="243">
        <x:v>0</x:v>
      </x:c>
      <x:c r="O473" s="243">
        <x:v>0</x:v>
      </x:c>
      <x:c r="P473" s="243">
        <x:v>0</x:v>
      </x:c>
      <x:c r="Q473" s="243">
        <x:v>0</x:v>
      </x:c>
      <x:c r="R473" s="243">
        <x:v>0</x:v>
      </x:c>
      <x:c r="S473" s="243">
        <x:v>0</x:v>
      </x:c>
      <x:c r="T473" s="243">
        <x:v>0</x:v>
      </x:c>
      <x:c r="U473" s="243">
        <x:v>0</x:v>
      </x:c>
      <x:c r="V473" s="243">
        <x:v>0</x:v>
      </x:c>
      <x:c r="W473" s="243">
        <x:v>0</x:v>
      </x:c>
      <x:c r="X473" s="243">
        <x:v>0</x:v>
      </x:c>
      <x:c r="Y473" s="243">
        <x:v>0</x:v>
      </x:c>
      <x:c r="Z473" s="243">
        <x:v>0</x:v>
      </x:c>
      <x:c r="AA473" s="243">
        <x:v>0</x:v>
      </x:c>
      <x:c r="AB473" s="243">
        <x:v>0</x:v>
      </x:c>
      <x:c r="AC473" s="243">
        <x:v>0</x:v>
      </x:c>
      <x:c r="AD473" s="243">
        <x:v>0</x:v>
      </x:c>
      <x:c r="AE473" s="243">
        <x:v>0</x:v>
      </x:c>
      <x:c r="AF473" s="243">
        <x:v>0</x:v>
      </x:c>
      <x:c r="AG473" s="243">
        <x:v>0</x:v>
      </x:c>
      <x:c r="AH473" s="243">
        <x:v>0</x:v>
      </x:c>
      <x:c r="AI473" s="243">
        <x:v>0</x:v>
      </x:c>
      <x:c r="AJ473" s="243">
        <x:v>0</x:v>
      </x:c>
      <x:c r="AK473" s="243">
        <x:v>0</x:v>
      </x:c>
      <x:c r="AL473" s="243">
        <x:v>0</x:v>
      </x:c>
      <x:c r="AM473" s="243">
        <x:v>0</x:v>
      </x:c>
      <x:c r="AN473" s="243">
        <x:v>0</x:v>
      </x:c>
      <x:c r="AO473" s="243">
        <x:v>0</x:v>
      </x:c>
    </x:row>
    <x:row r="474" spans="1:41" ht="12.75" customHeight="1" x14ac:dyDescent="0.25">
      <x:c r="C474" s="772"/>
      <x:c r="D474" s="771"/>
      <x:c r="E474" s="242" t="s">
        <x:v>73</x:v>
      </x:c>
      <x:c r="F474" s="243">
        <x:v>0</x:v>
      </x:c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</x:row>
    <x:row r="475" spans="1:41" ht="12.75" customHeight="1" x14ac:dyDescent="0.3">
      <x:c r="A475" s="89"/>
      <x:c r="C475" s="97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</x:row>
    <x:row r="476" spans="1:41" ht="12.75" customHeight="1" x14ac:dyDescent="0.25">
      <x:c r="C476" s="774" t="s">
        <x:v>119</x:v>
      </x:c>
      <x:c r="D476" s="771" t="s">
        <x:v>132</x:v>
      </x:c>
      <x:c r="E476" s="101" t="s">
        <x:v>70</x:v>
      </x:c>
      <x:c r="F476" s="93">
        <x:f>F429+F403+F365-L365-L403</x:f>
        <x:v>457088264.26000005</x:v>
      </x:c>
      <x:c r="G476" s="93">
        <x:f t="shared" ref="G476:AO476" si="26">G403+G365</x:f>
        <x:v>51981760.799999997</x:v>
      </x:c>
      <x:c r="H476" s="93">
        <x:f t="shared" si="26"/>
        <x:v>28598318.150000002</x:v>
      </x:c>
      <x:c r="I476" s="93">
        <x:f t="shared" si="26"/>
        <x:v>14625062.6</x:v>
      </x:c>
      <x:c r="J476" s="93">
        <x:f t="shared" si="26"/>
        <x:v>53207476.460000001</x:v>
      </x:c>
      <x:c r="K476" s="93">
        <x:f t="shared" si="26"/>
        <x:v>1736150.0799999998</x:v>
      </x:c>
      <x:c r="L476" s="93">
        <x:f t="shared" si="26"/>
        <x:v>14919457.4</x:v>
      </x:c>
      <x:c r="M476" s="93">
        <x:f t="shared" si="26"/>
        <x:v>16813135.419999998</x:v>
      </x:c>
      <x:c r="N476" s="93">
        <x:f t="shared" si="26"/>
        <x:v>20989387.699999999</x:v>
      </x:c>
      <x:c r="O476" s="93">
        <x:f t="shared" si="26"/>
        <x:v>102824114.90000001</x:v>
      </x:c>
      <x:c r="P476" s="93">
        <x:f t="shared" si="26"/>
        <x:v>137777185.92000002</x:v>
      </x:c>
      <x:c r="Q476" s="93">
        <x:f t="shared" si="26"/>
        <x:v>2838005.5900000003</x:v>
      </x:c>
      <x:c r="R476" s="93">
        <x:f t="shared" si="26"/>
        <x:v>576.65</x:v>
      </x:c>
      <x:c r="S476" s="93">
        <x:f t="shared" si="26"/>
        <x:v>0.12</x:v>
      </x:c>
      <x:c r="T476" s="93">
        <x:f t="shared" si="26"/>
        <x:v>2.35</x:v>
      </x:c>
      <x:c r="U476" s="93">
        <x:f t="shared" si="26"/>
        <x:v>0</x:v>
      </x:c>
      <x:c r="V476" s="93">
        <x:f t="shared" si="26"/>
        <x:v>0</x:v>
      </x:c>
      <x:c r="W476" s="93">
        <x:f t="shared" si="26"/>
        <x:v>0</x:v>
      </x:c>
      <x:c r="X476" s="93">
        <x:f t="shared" si="26"/>
        <x:v>0</x:v>
      </x:c>
      <x:c r="Y476" s="93">
        <x:f t="shared" si="26"/>
        <x:v>0</x:v>
      </x:c>
      <x:c r="Z476" s="93">
        <x:f t="shared" si="26"/>
        <x:v>-83.04</x:v>
      </x:c>
      <x:c r="AA476" s="93">
        <x:f t="shared" si="26"/>
        <x:v>0</x:v>
      </x:c>
      <x:c r="AB476" s="93">
        <x:f t="shared" si="26"/>
        <x:v>0</x:v>
      </x:c>
      <x:c r="AC476" s="93">
        <x:f t="shared" si="26"/>
        <x:v>0</x:v>
      </x:c>
      <x:c r="AD476" s="93">
        <x:f t="shared" si="26"/>
        <x:v>0</x:v>
      </x:c>
      <x:c r="AE476" s="93">
        <x:f t="shared" si="26"/>
        <x:v>0</x:v>
      </x:c>
      <x:c r="AF476" s="93">
        <x:f t="shared" si="26"/>
        <x:v>0</x:v>
      </x:c>
      <x:c r="AG476" s="93">
        <x:f t="shared" si="26"/>
        <x:v>0</x:v>
      </x:c>
      <x:c r="AH476" s="93">
        <x:f t="shared" si="26"/>
        <x:v>0</x:v>
      </x:c>
      <x:c r="AI476" s="93">
        <x:f t="shared" si="26"/>
        <x:v>0</x:v>
      </x:c>
      <x:c r="AJ476" s="93">
        <x:f t="shared" si="26"/>
        <x:v>0</x:v>
      </x:c>
      <x:c r="AK476" s="93">
        <x:f t="shared" si="26"/>
        <x:v>0</x:v>
      </x:c>
      <x:c r="AL476" s="93">
        <x:f t="shared" si="26"/>
        <x:v>0</x:v>
      </x:c>
      <x:c r="AM476" s="93">
        <x:f t="shared" si="26"/>
        <x:v>0</x:v>
      </x:c>
      <x:c r="AN476" s="93">
        <x:f t="shared" si="26"/>
        <x:v>0</x:v>
      </x:c>
      <x:c r="AO476" s="93">
        <x:f t="shared" si="26"/>
        <x:v>0</x:v>
      </x:c>
    </x:row>
    <x:row r="477" spans="1:41" ht="12.75" customHeight="1" x14ac:dyDescent="0.25">
      <x:c r="C477" s="774"/>
      <x:c r="D477" s="771"/>
      <x:c r="E477" s="101" t="s">
        <x:v>73</x:v>
      </x:c>
      <x:c r="F477" s="93">
        <x:f>F429</x:f>
        <x:v>25697170.559999999</x:v>
      </x:c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</x:row>
    <x:row r="478" spans="1:41" ht="12.75" customHeight="1" x14ac:dyDescent="0.25">
      <x:c r="C478" s="774"/>
      <x:c r="D478" s="771" t="s">
        <x:v>133</x:v>
      </x:c>
      <x:c r="E478" s="235" t="s">
        <x:v>70</x:v>
      </x:c>
      <x:c r="F478" s="236">
        <x:f>F411+F378-L378</x:f>
        <x:v>691194</x:v>
      </x:c>
      <x:c r="G478" s="236">
        <x:f t="shared" ref="G478:Z478" si="27">G378</x:f>
        <x:v>51581.84</x:v>
      </x:c>
      <x:c r="H478" s="236">
        <x:f t="shared" si="27"/>
        <x:v>29163.39</x:v>
      </x:c>
      <x:c r="I478" s="236">
        <x:f t="shared" si="27"/>
        <x:v>15465.48</x:v>
      </x:c>
      <x:c r="J478" s="236">
        <x:f t="shared" si="27"/>
        <x:v>165858.38</x:v>
      </x:c>
      <x:c r="K478" s="236">
        <x:f t="shared" si="27"/>
        <x:v>4892.05</x:v>
      </x:c>
      <x:c r="L478" s="236">
        <x:f t="shared" si="27"/>
        <x:v>0</x:v>
      </x:c>
      <x:c r="M478" s="236">
        <x:f t="shared" si="27"/>
        <x:v>46424.71</x:v>
      </x:c>
      <x:c r="N478" s="236">
        <x:f t="shared" si="27"/>
        <x:v>49446.239999999998</x:v>
      </x:c>
      <x:c r="O478" s="236">
        <x:f t="shared" si="27"/>
        <x:v>210914.4</x:v>
      </x:c>
      <x:c r="P478" s="236">
        <x:f t="shared" si="27"/>
        <x:v>140655.57</x:v>
      </x:c>
      <x:c r="Q478" s="236">
        <x:f t="shared" si="27"/>
        <x:v>7981.76</x:v>
      </x:c>
      <x:c r="R478" s="236">
        <x:f t="shared" si="27"/>
        <x:v>6.27</x:v>
      </x:c>
      <x:c r="S478" s="236">
        <x:f t="shared" si="27"/>
        <x:v>0</x:v>
      </x:c>
      <x:c r="T478" s="236">
        <x:f t="shared" si="27"/>
        <x:v>0</x:v>
      </x:c>
      <x:c r="U478" s="236">
        <x:f t="shared" si="27"/>
        <x:v>0</x:v>
      </x:c>
      <x:c r="V478" s="236">
        <x:f t="shared" si="27"/>
        <x:v>0</x:v>
      </x:c>
      <x:c r="W478" s="236">
        <x:f t="shared" si="27"/>
        <x:v>0</x:v>
      </x:c>
      <x:c r="X478" s="236">
        <x:f t="shared" si="27"/>
        <x:v>0</x:v>
      </x:c>
      <x:c r="Y478" s="236">
        <x:f t="shared" si="27"/>
        <x:v>0</x:v>
      </x:c>
      <x:c r="Z478" s="236">
        <x:f t="shared" si="27"/>
        <x:v>0</x:v>
      </x:c>
    </x:row>
    <x:row r="479" spans="1:41" ht="12.75" customHeight="1" x14ac:dyDescent="0.25">
      <x:c r="C479" s="774"/>
      <x:c r="D479" s="771"/>
      <x:c r="E479" s="235" t="s">
        <x:v>73</x:v>
      </x:c>
      <x:c r="F479" s="236">
        <x:f>F411</x:f>
        <x:v>-31196.09</x:v>
      </x:c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</x:row>
    <x:row r="480" spans="1:41" ht="12.75" customHeight="1" x14ac:dyDescent="0.3">
      <x:c r="A480" s="89"/>
      <x:c r="C480" s="97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</x:row>
    <x:row r="481" spans="1:41" ht="12.75" customHeight="1" x14ac:dyDescent="0.25">
      <x:c r="C481" s="773" t="s">
        <x:v>161</x:v>
      </x:c>
      <x:c r="D481" s="771" t="s">
        <x:v>132</x:v>
      </x:c>
      <x:c r="E481" s="231" t="s">
        <x:v>70</x:v>
      </x:c>
      <x:c r="F481" s="232">
        <x:v>0</x:v>
      </x:c>
      <x:c r="G481" s="232">
        <x:v>0</x:v>
      </x:c>
      <x:c r="H481" s="232">
        <x:v>0</x:v>
      </x:c>
      <x:c r="I481" s="232">
        <x:v>0</x:v>
      </x:c>
      <x:c r="J481" s="232">
        <x:v>0</x:v>
      </x:c>
      <x:c r="K481" s="232">
        <x:v>0</x:v>
      </x:c>
      <x:c r="L481" s="232">
        <x:v>0</x:v>
      </x:c>
      <x:c r="M481" s="232">
        <x:v>0</x:v>
      </x:c>
      <x:c r="N481" s="232">
        <x:v>0</x:v>
      </x:c>
      <x:c r="O481" s="232">
        <x:v>0</x:v>
      </x:c>
      <x:c r="P481" s="232">
        <x:v>0</x:v>
      </x:c>
      <x:c r="Q481" s="232">
        <x:v>0</x:v>
      </x:c>
      <x:c r="R481" s="232">
        <x:v>0</x:v>
      </x:c>
      <x:c r="S481" s="232">
        <x:v>0</x:v>
      </x:c>
      <x:c r="T481" s="232">
        <x:v>0</x:v>
      </x:c>
      <x:c r="U481" s="232">
        <x:v>0</x:v>
      </x:c>
      <x:c r="V481" s="232">
        <x:v>0</x:v>
      </x:c>
      <x:c r="W481" s="232">
        <x:v>0</x:v>
      </x:c>
      <x:c r="X481" s="232">
        <x:v>0</x:v>
      </x:c>
      <x:c r="Y481" s="232">
        <x:v>0</x:v>
      </x:c>
      <x:c r="Z481" s="232">
        <x:v>0</x:v>
      </x:c>
      <x:c r="AA481" s="232">
        <x:v>0</x:v>
      </x:c>
      <x:c r="AB481" s="232">
        <x:v>0</x:v>
      </x:c>
      <x:c r="AC481" s="232">
        <x:v>0</x:v>
      </x:c>
      <x:c r="AD481" s="232">
        <x:v>0</x:v>
      </x:c>
      <x:c r="AE481" s="232">
        <x:v>0</x:v>
      </x:c>
      <x:c r="AF481" s="232">
        <x:v>0</x:v>
      </x:c>
      <x:c r="AG481" s="232">
        <x:v>0</x:v>
      </x:c>
      <x:c r="AH481" s="232">
        <x:v>0</x:v>
      </x:c>
      <x:c r="AI481" s="232">
        <x:v>0</x:v>
      </x:c>
      <x:c r="AJ481" s="232">
        <x:v>0</x:v>
      </x:c>
      <x:c r="AK481" s="232">
        <x:v>0</x:v>
      </x:c>
      <x:c r="AL481" s="232">
        <x:v>0</x:v>
      </x:c>
      <x:c r="AM481" s="232">
        <x:v>0</x:v>
      </x:c>
      <x:c r="AN481" s="232">
        <x:v>0</x:v>
      </x:c>
      <x:c r="AO481" s="232">
        <x:v>0</x:v>
      </x:c>
    </x:row>
    <x:row r="482" spans="1:41" ht="12.75" customHeight="1" x14ac:dyDescent="0.25">
      <x:c r="C482" s="773"/>
      <x:c r="D482" s="771"/>
      <x:c r="E482" s="231" t="s">
        <x:v>73</x:v>
      </x:c>
      <x:c r="F482" s="232">
        <x:v>0</x:v>
      </x:c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</x:row>
    <x:row r="483" spans="1:41" ht="12.75" customHeight="1" x14ac:dyDescent="0.25">
      <x:c r="C483" s="773"/>
      <x:c r="E483" s="148" t="s">
        <x:v>70</x:v>
      </x:c>
      <x:c r="F483" s="149">
        <x:v>0</x:v>
      </x:c>
      <x:c r="G483" s="149">
        <x:v>0</x:v>
      </x:c>
      <x:c r="H483" s="149">
        <x:v>0</x:v>
      </x:c>
      <x:c r="I483" s="149">
        <x:v>0</x:v>
      </x:c>
      <x:c r="J483" s="149">
        <x:v>0</x:v>
      </x:c>
      <x:c r="K483" s="149">
        <x:v>0</x:v>
      </x:c>
      <x:c r="L483" s="149">
        <x:v>0</x:v>
      </x:c>
      <x:c r="M483" s="149">
        <x:v>0</x:v>
      </x:c>
      <x:c r="N483" s="149">
        <x:v>0</x:v>
      </x:c>
      <x:c r="O483" s="149">
        <x:v>0</x:v>
      </x:c>
      <x:c r="P483" s="149">
        <x:v>0</x:v>
      </x:c>
      <x:c r="Q483" s="149">
        <x:v>0</x:v>
      </x:c>
      <x:c r="R483" s="149">
        <x:v>0</x:v>
      </x:c>
      <x:c r="S483" s="149">
        <x:v>0</x:v>
      </x:c>
      <x:c r="T483" s="149">
        <x:v>0</x:v>
      </x:c>
      <x:c r="U483" s="149">
        <x:v>0</x:v>
      </x:c>
      <x:c r="V483" s="149">
        <x:v>0</x:v>
      </x:c>
      <x:c r="W483" s="149">
        <x:v>0</x:v>
      </x:c>
      <x:c r="X483" s="149">
        <x:v>0</x:v>
      </x:c>
      <x:c r="Y483" s="149">
        <x:v>0</x:v>
      </x:c>
      <x:c r="Z483" s="149">
        <x:v>0</x:v>
      </x:c>
    </x:row>
    <x:row r="484" spans="1:41" ht="12.75" customHeight="1" x14ac:dyDescent="0.25">
      <x:c r="C484" s="773"/>
      <x:c r="D484" s="220" t="s">
        <x:v>132</x:v>
      </x:c>
      <x:c r="E484" s="148" t="s">
        <x:v>73</x:v>
      </x:c>
      <x:c r="F484" s="149">
        <x:v>0</x:v>
      </x:c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26" ht="12.75" customHeight="1" x14ac:dyDescent="0.25">
      <x:c r="C485" s="388"/>
      <x:c r="D485" s="220"/>
      <x:c r="E485" s="89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26" ht="12.75" customHeight="1" x14ac:dyDescent="0.25">
      <x:c r="D486" s="458" t="s">
        <x:v>186</x:v>
      </x:c>
      <x:c r="E486" s="459" t="s">
        <x:v>70</x:v>
      </x:c>
      <x:c r="F486" s="460">
        <x:f t="shared" ref="F486:Z486" si="28">F367</x:f>
        <x:v>-439956.52</x:v>
      </x:c>
      <x:c r="G486" s="460">
        <x:f t="shared" si="28"/>
        <x:v>-35444.410000000003</x:v>
      </x:c>
      <x:c r="H486" s="460">
        <x:f t="shared" si="28"/>
        <x:v>-15058.04</x:v>
      </x:c>
      <x:c r="I486" s="460">
        <x:f t="shared" si="28"/>
        <x:v>-6575.73</x:v>
      </x:c>
      <x:c r="J486" s="460">
        <x:f t="shared" si="28"/>
        <x:v>-81642.179999999993</x:v>
      </x:c>
      <x:c r="K486" s="460">
        <x:f t="shared" si="28"/>
        <x:v>-3324.84</x:v>
      </x:c>
      <x:c r="L486" s="460">
        <x:f t="shared" si="28"/>
        <x:v>0</x:v>
      </x:c>
      <x:c r="M486" s="460">
        <x:f t="shared" si="28"/>
        <x:v>-29164.3</x:v>
      </x:c>
      <x:c r="N486" s="460">
        <x:f t="shared" si="28"/>
        <x:v>-37085.49</x:v>
      </x:c>
      <x:c r="O486" s="460">
        <x:f t="shared" si="28"/>
        <x:v>-136171.69</x:v>
      </x:c>
      <x:c r="P486" s="460">
        <x:f t="shared" si="28"/>
        <x:v>-90064.99</x:v>
      </x:c>
      <x:c r="Q486" s="460">
        <x:f t="shared" si="28"/>
        <x:v>-5424.85</x:v>
      </x:c>
      <x:c r="R486" s="460">
        <x:f t="shared" si="28"/>
        <x:v>0</x:v>
      </x:c>
      <x:c r="S486" s="460">
        <x:f t="shared" si="28"/>
        <x:v>0</x:v>
      </x:c>
      <x:c r="T486" s="460">
        <x:f t="shared" si="28"/>
        <x:v>0</x:v>
      </x:c>
      <x:c r="U486" s="460">
        <x:f t="shared" si="28"/>
        <x:v>0</x:v>
      </x:c>
      <x:c r="V486" s="460">
        <x:f t="shared" si="28"/>
        <x:v>0</x:v>
      </x:c>
      <x:c r="W486" s="460">
        <x:f t="shared" si="28"/>
        <x:v>0</x:v>
      </x:c>
      <x:c r="X486" s="460">
        <x:f t="shared" si="28"/>
        <x:v>0</x:v>
      </x:c>
      <x:c r="Y486" s="460">
        <x:f t="shared" si="28"/>
        <x:v>0</x:v>
      </x:c>
      <x:c r="Z486" s="460">
        <x:f t="shared" si="28"/>
        <x:v>0</x:v>
      </x:c>
    </x:row>
    <x:row r="487" spans="1:26" ht="12.75" customHeight="1" x14ac:dyDescent="0.25">
      <x:c r="C487" s="388"/>
      <x:c r="D487" s="220"/>
      <x:c r="E487" s="89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26" s="238" customFormat="1" ht="12.75" customHeight="1" x14ac:dyDescent="0.25">
      <x:c r="D488" s="239"/>
      <x:c r="E488" s="240"/>
      <x:c r="F488" s="240"/>
      <x:c r="G488" s="240"/>
      <x:c r="H488" s="240"/>
      <x:c r="I488" s="240"/>
      <x:c r="J488" s="240"/>
      <x:c r="K488" s="240"/>
      <x:c r="L488" s="240"/>
      <x:c r="M488" s="240"/>
      <x:c r="N488" s="240"/>
      <x:c r="O488" s="240"/>
      <x:c r="P488" s="240"/>
      <x:c r="Q488" s="240"/>
    </x:row>
    <x:row r="489" spans="1:26" ht="12.65" customHeight="1" x14ac:dyDescent="0.3">
      <x:c r="A489" s="89"/>
      <x:c r="B489" s="97" t="s">
        <x:v>93</x:v>
      </x:c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</x:row>
    <x:row r="490" spans="1:26" ht="12.75" customHeight="1" x14ac:dyDescent="0.25">
      <x:c r="F490" s="89" t="s">
        <x:v>70</x:v>
      </x:c>
      <x:c r="G490" s="89" t="s">
        <x:v>64</x:v>
      </x:c>
      <x:c r="H490" s="89" t="s">
        <x:v>65</x:v>
      </x:c>
      <x:c r="I490" s="218" t="s">
        <x:v>164</x:v>
      </x:c>
      <x:c r="J490" s="89" t="s">
        <x:v>69</x:v>
      </x:c>
      <x:c r="K490" s="89" t="s">
        <x:v>68</x:v>
      </x:c>
      <x:c r="L490" s="89" t="s">
        <x:v>71</x:v>
      </x:c>
      <x:c r="M490" s="89" t="s">
        <x:v>66</x:v>
      </x:c>
      <x:c r="N490" s="89" t="s">
        <x:v>63</x:v>
      </x:c>
      <x:c r="O490" s="89" t="s">
        <x:v>61</x:v>
      </x:c>
      <x:c r="P490" s="89" t="s">
        <x:v>62</x:v>
      </x:c>
      <x:c r="Q490" s="89" t="s">
        <x:v>67</x:v>
      </x:c>
      <x:c r="R490" s="89" t="s">
        <x:v>77</x:v>
      </x:c>
      <x:c r="S490" s="89" t="s">
        <x:v>80</x:v>
      </x:c>
      <x:c r="T490" s="89" t="s">
        <x:v>135</x:v>
      </x:c>
      <x:c r="U490" s="89" t="s">
        <x:v>224</x:v>
      </x:c>
      <x:c r="V490" s="89" t="s">
        <x:v>224</x:v>
      </x:c>
      <x:c r="W490" s="89" t="s">
        <x:v>173</x:v>
      </x:c>
      <x:c r="X490" t="s">
        <x:v>223</x:v>
      </x:c>
      <x:c r="Y490" s="89" t="s">
        <x:v>135</x:v>
      </x:c>
      <x:c r="Z490" t="s">
        <x:v>167</x:v>
      </x:c>
    </x:row>
    <x:row r="491" spans="1:26" ht="12.75" customHeight="1" x14ac:dyDescent="0.25">
      <x:c r="A491" s="89"/>
      <x:c r="B491" s="89"/>
      <x:c r="C491"/>
      <x:c r="D491"/>
      <x:c r="E491" t="inlineStr">
        <x:is>
          <x:t>Vlr Servicio</x:t>
        </x:is>
      </x:c>
      <x:c r="F491" s="371" t="n">
        <x:v>-4485.01</x:v>
      </x:c>
      <x:c r="G491" s="90" t="n">
        <x:v>-355.56</x:v>
      </x:c>
      <x:c r="H491" s="90" t="n">
        <x:v>-151.05</x:v>
      </x:c>
      <x:c r="I491" s="90" t="n">
        <x:v>-65.98</x:v>
      </x:c>
      <x:c r="J491" s="90" t="n">
        <x:v>-769.61</x:v>
      </x:c>
      <x:c r="K491" s="90" t="n">
        <x:v>-47.44</x:v>
      </x:c>
      <x:c r="L491" s="90" t="n">
        <x:v>0</x:v>
      </x:c>
      <x:c r="M491" s="90" t="n">
        <x:v>-415.95</x:v>
      </x:c>
      <x:c r="N491" s="90" t="n">
        <x:v>-348.63</x:v>
      </x:c>
      <x:c r="O491" s="90" t="n">
        <x:v>-1274.28</x:v>
      </x:c>
      <x:c r="P491" s="90" t="n">
        <x:v>-979.14</x:v>
      </x:c>
      <x:c r="Q491" s="90" t="n">
        <x:v>-77.37</x:v>
      </x:c>
      <x:c r="R491" s="90" t="n">
        <x:v>0</x:v>
      </x:c>
      <x:c r="S491" s="90" t="n">
        <x:v>0</x:v>
      </x:c>
      <x:c r="T491" t="n">
        <x:v>0</x:v>
      </x:c>
      <x:c r="U491">
        <x:v>0</x:v>
      </x:c>
      <x:c r="V491">
        <x:v>0</x:v>
      </x:c>
      <x:c r="W491">
        <x:v>0</x:v>
      </x:c>
      <x:c r="X491">
        <x:v>0</x:v>
      </x:c>
      <x:c r="Y491">
        <x:v>0</x:v>
      </x:c>
      <x:c r="Z491" t="n">
        <x:v>0</x:v>
      </x:c>
    </x:row>
    <x:row r="492" spans="1:26" ht="12.75" customHeight="1" x14ac:dyDescent="0.25">
      <x:c r="A492" s="89"/>
      <x:c r="B492" s="89"/>
      <x:c r="C492"/>
      <x:c r="D492" t="inlineStr">
        <x:is>
          <x:t>O</x:t>
        </x:is>
      </x:c>
      <x:c r="E492" t="inlineStr">
        <x:is>
          <x:t>Total</x:t>
        </x:is>
      </x:c>
      <x:c r="F492" s="371" t="n">
        <x:v>-4485.01</x:v>
      </x:c>
      <x:c r="G492" s="90" t="n">
        <x:v>-355.56</x:v>
      </x:c>
      <x:c r="H492" s="90" t="n">
        <x:v>-151.05</x:v>
      </x:c>
      <x:c r="I492" s="90" t="n">
        <x:v>-65.98</x:v>
      </x:c>
      <x:c r="J492" s="90" t="n">
        <x:v>-769.61</x:v>
      </x:c>
      <x:c r="K492" s="90" t="n">
        <x:v>-47.44</x:v>
      </x:c>
      <x:c r="L492" s="90" t="n">
        <x:v>0</x:v>
      </x:c>
      <x:c r="M492" s="90" t="n">
        <x:v>-415.95</x:v>
      </x:c>
      <x:c r="N492" s="90" t="n">
        <x:v>-348.63</x:v>
      </x:c>
      <x:c r="O492" s="90" t="n">
        <x:v>-1274.28</x:v>
      </x:c>
      <x:c r="P492" s="90" t="n">
        <x:v>-979.14</x:v>
      </x:c>
      <x:c r="Q492" s="90" t="n">
        <x:v>-77.37</x:v>
      </x:c>
      <x:c r="R492" s="90" t="n">
        <x:v>0</x:v>
      </x:c>
      <x:c r="S492" s="90" t="n">
        <x:v>0</x:v>
      </x:c>
      <x:c r="T492" t="n">
        <x:v>0</x:v>
      </x:c>
      <x:c r="U492">
        <x:v>0</x:v>
      </x:c>
      <x:c r="V492">
        <x:v>0</x:v>
      </x:c>
      <x:c r="W492">
        <x:v>0</x:v>
      </x:c>
      <x:c r="X492">
        <x:v>0</x:v>
      </x:c>
      <x:c r="Y492">
        <x:v>0</x:v>
      </x:c>
      <x:c r="Z492" t="n">
        <x:v>0</x:v>
      </x:c>
    </x:row>
    <x:row r="493" spans="1:26" ht="12.75" customHeight="1" x14ac:dyDescent="0.25">
      <x:c r="A493" s="89"/>
      <x:c r="B493" s="89"/>
      <x:c r="C493" t="inlineStr">
        <x:is>
          <x:t>OCCIDENTE</x:t>
        </x:is>
      </x:c>
      <x:c r="D493" t="inlineStr">
        <x:is>
          <x:t>Total</x:t>
        </x:is>
      </x:c>
      <x:c r="E493"/>
      <x:c r="F493" s="371" t="n">
        <x:v>-4485.01</x:v>
      </x:c>
      <x:c r="G493" s="90" t="n">
        <x:v>-355.56</x:v>
      </x:c>
      <x:c r="H493" s="90" t="n">
        <x:v>-151.05</x:v>
      </x:c>
      <x:c r="I493" s="90" t="n">
        <x:v>-65.98</x:v>
      </x:c>
      <x:c r="J493" s="90" t="n">
        <x:v>-769.61</x:v>
      </x:c>
      <x:c r="K493" s="90" t="n">
        <x:v>-47.44</x:v>
      </x:c>
      <x:c r="L493" s="90" t="n">
        <x:v>0</x:v>
      </x:c>
      <x:c r="M493" s="90" t="n">
        <x:v>-415.95</x:v>
      </x:c>
      <x:c r="N493" s="90" t="n">
        <x:v>-348.63</x:v>
      </x:c>
      <x:c r="O493" s="90" t="n">
        <x:v>-1274.28</x:v>
      </x:c>
      <x:c r="P493" s="90" t="n">
        <x:v>-979.14</x:v>
      </x:c>
      <x:c r="Q493" s="90" t="n">
        <x:v>-77.37</x:v>
      </x:c>
      <x:c r="R493" s="90" t="n">
        <x:v>0</x:v>
      </x:c>
      <x:c r="S493" s="90" t="n">
        <x:v>0</x:v>
      </x:c>
      <x:c r="T493" t="n">
        <x:v>0</x:v>
      </x:c>
      <x:c r="U493">
        <x:v>0</x:v>
      </x:c>
      <x:c r="V493">
        <x:v>0</x:v>
      </x:c>
      <x:c r="W493">
        <x:v>0</x:v>
      </x:c>
      <x:c r="X493">
        <x:v>0</x:v>
      </x:c>
      <x:c r="Y493">
        <x:v>0</x:v>
      </x:c>
      <x:c r="Z493" t="n">
        <x:v>0</x:v>
      </x:c>
    </x:row>
    <x:row r="494" spans="1:26" ht="12.75" customHeight="1" x14ac:dyDescent="0.25">
      <x:c r="A494" s="89"/>
      <x:c r="B494" s="89" t="inlineStr">
        <x:is>
          <x:t>Mes</x:t>
        </x:is>
      </x:c>
      <x:c r="C494" t="inlineStr">
        <x:is>
          <x:t>Total</x:t>
        </x:is>
      </x:c>
      <x:c r="D494"/>
      <x:c r="E494"/>
      <x:c r="F494" s="371" t="n">
        <x:v>-4485.01</x:v>
      </x:c>
      <x:c r="G494" s="90" t="n">
        <x:v>-355.56</x:v>
      </x:c>
      <x:c r="H494" s="90" t="n">
        <x:v>-151.05</x:v>
      </x:c>
      <x:c r="I494" s="90" t="n">
        <x:v>-65.98</x:v>
      </x:c>
      <x:c r="J494" s="90" t="n">
        <x:v>-769.61</x:v>
      </x:c>
      <x:c r="K494" s="90" t="n">
        <x:v>-47.44</x:v>
      </x:c>
      <x:c r="L494" s="90" t="n">
        <x:v>0</x:v>
      </x:c>
      <x:c r="M494" s="90" t="n">
        <x:v>-415.95</x:v>
      </x:c>
      <x:c r="N494" s="90" t="n">
        <x:v>-348.63</x:v>
      </x:c>
      <x:c r="O494" s="90" t="n">
        <x:v>-1274.28</x:v>
      </x:c>
      <x:c r="P494" s="90" t="n">
        <x:v>-979.14</x:v>
      </x:c>
      <x:c r="Q494" s="90" t="n">
        <x:v>-77.37</x:v>
      </x:c>
      <x:c r="R494" s="90" t="n">
        <x:v>0</x:v>
      </x:c>
      <x:c r="S494" s="90" t="n">
        <x:v>0</x:v>
      </x:c>
      <x:c r="T494" t="n">
        <x:v>0</x:v>
      </x:c>
      <x:c r="U494">
        <x:v>0</x:v>
      </x:c>
      <x:c r="V494">
        <x:v>0</x:v>
      </x:c>
      <x:c r="W494">
        <x:v>0</x:v>
      </x:c>
      <x:c r="X494">
        <x:v>0</x:v>
      </x:c>
      <x:c r="Y494">
        <x:v>0</x:v>
      </x:c>
      <x:c r="Z494" t="n">
        <x:v>0</x:v>
      </x:c>
    </x:row>
    <x:row r="495" spans="1:26" ht="12.75" customHeight="1" x14ac:dyDescent="0.25">
      <x:c r="A495" s="89" t="inlineStr">
        <x:is>
          <x:t>AFaseo</x:t>
        </x:is>
      </x:c>
      <x:c r="B495" s="89" t="inlineStr">
        <x:is>
          <x:t>Total</x:t>
        </x:is>
      </x:c>
      <x:c r="C495"/>
      <x:c r="D495"/>
      <x:c r="E495"/>
      <x:c r="F495" s="371" t="n">
        <x:v>-4485.01</x:v>
      </x:c>
      <x:c r="G495" s="90" t="n">
        <x:v>-355.56</x:v>
      </x:c>
      <x:c r="H495" s="90" t="n">
        <x:v>-151.05</x:v>
      </x:c>
      <x:c r="I495" s="90" t="n">
        <x:v>-65.98</x:v>
      </x:c>
      <x:c r="J495" s="90" t="n">
        <x:v>-769.61</x:v>
      </x:c>
      <x:c r="K495" s="90" t="n">
        <x:v>-47.44</x:v>
      </x:c>
      <x:c r="L495" s="90" t="n">
        <x:v>0</x:v>
      </x:c>
      <x:c r="M495" s="90" t="n">
        <x:v>-415.95</x:v>
      </x:c>
      <x:c r="N495" s="90" t="n">
        <x:v>-348.63</x:v>
      </x:c>
      <x:c r="O495" s="90" t="n">
        <x:v>-1274.28</x:v>
      </x:c>
      <x:c r="P495" s="90" t="n">
        <x:v>-979.14</x:v>
      </x:c>
      <x:c r="Q495" s="90" t="n">
        <x:v>-77.37</x:v>
      </x:c>
      <x:c r="R495" s="90" t="n">
        <x:v>0</x:v>
      </x:c>
      <x:c r="S495" s="90" t="n">
        <x:v>0</x:v>
      </x:c>
      <x:c r="T495" t="n">
        <x:v>0</x:v>
      </x:c>
      <x:c r="U495">
        <x:v>0</x:v>
      </x:c>
      <x:c r="V495">
        <x:v>0</x:v>
      </x:c>
      <x:c r="W495">
        <x:v>0</x:v>
      </x:c>
      <x:c r="X495">
        <x:v>0</x:v>
      </x:c>
      <x:c r="Y495">
        <x:v>0</x:v>
      </x:c>
      <x:c r="Z495" t="n">
        <x:v>0</x:v>
      </x:c>
    </x:row>
    <x:row r="496" spans="1:26" ht="12.75" customHeight="1" x14ac:dyDescent="0.25">
      <x:c r="A496" s="89"/>
      <x:c r="B496" s="89"/>
      <x:c r="C496"/>
      <x:c r="D496"/>
      <x:c r="E496" t="inlineStr">
        <x:is>
          <x:t>Vlr Servicio</x:t>
        </x:is>
      </x:c>
      <x:c r="F496" s="371" t="n">
        <x:v>666981.74</x:v>
      </x:c>
      <x:c r="G496" s="90" t="n">
        <x:v>34824.03</x:v>
      </x:c>
      <x:c r="H496" s="90" t="n">
        <x:v>19524.64</x:v>
      </x:c>
      <x:c r="I496" s="90" t="n">
        <x:v>10319.91</x:v>
      </x:c>
      <x:c r="J496" s="90" t="n">
        <x:v>150714.18</x:v>
      </x:c>
      <x:c r="K496" s="90" t="n">
        <x:v>5437.4</x:v>
      </x:c>
      <x:c r="L496" s="90" t="n">
        <x:v>0</x:v>
      </x:c>
      <x:c r="M496" s="90" t="n">
        <x:v>47696.14</x:v>
      </x:c>
      <x:c r="N496" s="90" t="n">
        <x:v>46468.7</x:v>
      </x:c>
      <x:c r="O496" s="90" t="n">
        <x:v>238316.38</x:v>
      </x:c>
      <x:c r="P496" s="90" t="n">
        <x:v>104782.64</x:v>
      </x:c>
      <x:c r="Q496" s="90" t="n">
        <x:v>8871.52</x:v>
      </x:c>
      <x:c r="R496" s="90" t="n">
        <x:v>26.2</x:v>
      </x:c>
      <x:c r="S496" s="90" t="n">
        <x:v>0</x:v>
      </x:c>
      <x:c r="T496" t="n">
        <x:v>0</x:v>
      </x:c>
      <x:c r="U496">
        <x:v>0</x:v>
      </x:c>
      <x:c r="V496">
        <x:v>0</x:v>
      </x:c>
      <x:c r="W496">
        <x:v>0</x:v>
      </x:c>
      <x:c r="X496">
        <x:v>0</x:v>
      </x:c>
      <x:c r="Y496">
        <x:v>0</x:v>
      </x:c>
      <x:c r="Z496" t="n">
        <x:v>0</x:v>
      </x:c>
    </x:row>
    <x:row r="497" spans="1:26" ht="12.75" customHeight="1" x14ac:dyDescent="0.25">
      <x:c r="A497" s="89"/>
      <x:c r="B497" s="89"/>
      <x:c r="C497"/>
      <x:c r="D497"/>
      <x:c r="E497" t="inlineStr">
        <x:is>
          <x:t>Vlr Intereses</x:t>
        </x:is>
      </x:c>
      <x:c r="F497" s="371" t="n">
        <x:v>173.2</x:v>
      </x:c>
      <x:c r="G497" s="90" t="n">
        <x:v>10.63</x:v>
      </x:c>
      <x:c r="H497" s="90" t="n">
        <x:v>5.25</x:v>
      </x:c>
      <x:c r="I497" s="90" t="n">
        <x:v>3.13</x:v>
      </x:c>
      <x:c r="J497" s="90" t="n">
        <x:v>24.19</x:v>
      </x:c>
      <x:c r="K497" s="90" t="n">
        <x:v>0.77</x:v>
      </x:c>
      <x:c r="L497" s="90" t="n">
        <x:v>0</x:v>
      </x:c>
      <x:c r="M497" s="90" t="n">
        <x:v>12.55</x:v>
      </x:c>
      <x:c r="N497" s="90" t="n">
        <x:v>13.44</x:v>
      </x:c>
      <x:c r="O497" s="90" t="n">
        <x:v>69.21</x:v>
      </x:c>
      <x:c r="P497" s="90" t="n">
        <x:v>31.69</x:v>
      </x:c>
      <x:c r="Q497" s="90" t="n">
        <x:v>2.34</x:v>
      </x:c>
      <x:c r="R497" s="90" t="n">
        <x:v>0</x:v>
      </x:c>
      <x:c r="S497" s="90" t="n">
        <x:v>0</x:v>
      </x:c>
      <x:c r="T497" t="n">
        <x:v>0</x:v>
      </x:c>
      <x:c r="U497">
        <x:v>0</x:v>
      </x:c>
      <x:c r="V497">
        <x:v>0</x:v>
      </x:c>
      <x:c r="W497">
        <x:v>0</x:v>
      </x:c>
      <x:c r="X497">
        <x:v>0</x:v>
      </x:c>
      <x:c r="Y497">
        <x:v>0</x:v>
      </x:c>
      <x:c r="Z497" t="n">
        <x:v>0</x:v>
      </x:c>
    </x:row>
    <x:row r="498" spans="1:26" ht="12.65" customHeight="1" x14ac:dyDescent="0.25">
      <x:c r="A498" s="89"/>
      <x:c r="B498" s="89"/>
      <x:c r="C498"/>
      <x:c r="D498" t="inlineStr">
        <x:is>
          <x:t>H</x:t>
        </x:is>
      </x:c>
      <x:c r="E498" t="inlineStr">
        <x:is>
          <x:t>Total</x:t>
        </x:is>
      </x:c>
      <x:c r="F498" s="371" t="n">
        <x:v>667154.94</x:v>
      </x:c>
      <x:c r="G498" s="90" t="n">
        <x:v>34834.66</x:v>
      </x:c>
      <x:c r="H498" s="90" t="n">
        <x:v>19529.89</x:v>
      </x:c>
      <x:c r="I498" s="90" t="n">
        <x:v>10323.04</x:v>
      </x:c>
      <x:c r="J498" s="90" t="n">
        <x:v>150738.37</x:v>
      </x:c>
      <x:c r="K498" s="90" t="n">
        <x:v>5438.17</x:v>
      </x:c>
      <x:c r="L498" s="90" t="n">
        <x:v>0</x:v>
      </x:c>
      <x:c r="M498" s="90" t="n">
        <x:v>47708.69</x:v>
      </x:c>
      <x:c r="N498" s="90" t="n">
        <x:v>46482.14</x:v>
      </x:c>
      <x:c r="O498" s="90" t="n">
        <x:v>238385.59</x:v>
      </x:c>
      <x:c r="P498" s="90" t="n">
        <x:v>104814.33</x:v>
      </x:c>
      <x:c r="Q498" s="90" t="n">
        <x:v>8873.86</x:v>
      </x:c>
      <x:c r="R498" s="90" t="n">
        <x:v>26.2</x:v>
      </x:c>
      <x:c r="S498" s="90" t="n">
        <x:v>0</x:v>
      </x:c>
      <x:c r="T498" t="n">
        <x:v>0</x:v>
      </x:c>
      <x:c r="U498">
        <x:v>0</x:v>
      </x:c>
      <x:c r="V498">
        <x:v>0</x:v>
      </x:c>
      <x:c r="W498">
        <x:v>0</x:v>
      </x:c>
      <x:c r="X498">
        <x:v>0</x:v>
      </x:c>
      <x:c r="Y498">
        <x:v>0</x:v>
      </x:c>
      <x:c r="Z498" t="n">
        <x:v>0</x:v>
      </x:c>
    </x:row>
    <x:row r="499" spans="1:26" s="94" customFormat="1" ht="12.75" customHeight="1" x14ac:dyDescent="0.25">
      <x:c r="A499" s="101"/>
      <x:c r="B499" s="101"/>
      <x:c r="C499" s="94"/>
      <x:c r="D499" s="94"/>
      <x:c r="E499" t="inlineStr">
        <x:is>
          <x:t>Vlr Servicio</x:t>
        </x:is>
      </x:c>
      <x:c r="F499" s="93" t="n">
        <x:v>138628.06</x:v>
      </x:c>
      <x:c r="G499" s="93" t="n">
        <x:v>7328.08</x:v>
      </x:c>
      <x:c r="H499" s="93" t="n">
        <x:v>4105.92</x:v>
      </x:c>
      <x:c r="I499" s="93" t="n">
        <x:v>2171.64</x:v>
      </x:c>
      <x:c r="J499" s="93" t="n">
        <x:v>31211.82</x:v>
      </x:c>
      <x:c r="K499" s="93" t="n">
        <x:v>1125.9</x:v>
      </x:c>
      <x:c r="L499" s="93" t="n">
        <x:v>0</x:v>
      </x:c>
      <x:c r="M499" s="93" t="n">
        <x:v>9876.24</x:v>
      </x:c>
      <x:c r="N499" s="93" t="n">
        <x:v>9626.13</x:v>
      </x:c>
      <x:c r="O499" s="93" t="n">
        <x:v>49317.06</x:v>
      </x:c>
      <x:c r="P499" s="93" t="n">
        <x:v>22027.54</x:v>
      </x:c>
      <x:c r="Q499" s="93" t="n">
        <x:v>1836.99</x:v>
      </x:c>
      <x:c r="R499" s="93" t="n">
        <x:v>0.74</x:v>
      </x:c>
      <x:c r="S499" s="93" t="n">
        <x:v>0</x:v>
      </x:c>
      <x:c r="T499" s="94" t="n">
        <x:v>0</x:v>
      </x:c>
      <x:c r="U499" s="94">
        <x:v>0</x:v>
      </x:c>
      <x:c r="V499" s="94">
        <x:v>0</x:v>
      </x:c>
      <x:c r="W499" s="94">
        <x:v>0</x:v>
      </x:c>
      <x:c r="X499" s="94">
        <x:v>0</x:v>
      </x:c>
      <x:c r="Y499" s="94">
        <x:v>0</x:v>
      </x:c>
      <x:c r="Z499" s="94" t="n">
        <x:v>0</x:v>
      </x:c>
    </x:row>
    <x:row r="500" spans="1:26" s="378" customFormat="1" ht="12.75" customHeight="1" x14ac:dyDescent="0.25">
      <x:c r="A500" s="376"/>
      <x:c r="B500" s="376"/>
      <x:c r="C500" s="378"/>
      <x:c r="D500"/>
      <x:c r="E500" t="inlineStr">
        <x:is>
          <x:t>Vlr Intereses</x:t>
        </x:is>
      </x:c>
      <x:c r="F500" s="711" t="n">
        <x:v>24.87</x:v>
      </x:c>
      <x:c r="G500" s="378" t="n">
        <x:v>1.4</x:v>
      </x:c>
      <x:c r="H500" s="377" t="n">
        <x:v>0.79</x:v>
      </x:c>
      <x:c r="I500" s="377" t="n">
        <x:v>0.41</x:v>
      </x:c>
      <x:c r="J500" s="377" t="n">
        <x:v>5.32</x:v>
      </x:c>
      <x:c r="K500" s="377" t="n">
        <x:v>0.2</x:v>
      </x:c>
      <x:c r="L500" s="377" t="n">
        <x:v>0</x:v>
      </x:c>
      <x:c r="M500" s="377" t="n">
        <x:v>1.76</x:v>
      </x:c>
      <x:c r="N500" s="377" t="n">
        <x:v>1.72</x:v>
      </x:c>
      <x:c r="O500" s="377" t="n">
        <x:v>8.83</x:v>
      </x:c>
      <x:c r="P500" s="377" t="n">
        <x:v>4.11</x:v>
      </x:c>
      <x:c r="Q500" s="377" t="n">
        <x:v>0.33</x:v>
      </x:c>
      <x:c r="R500" s="377" t="n">
        <x:v>0</x:v>
      </x:c>
      <x:c r="S500" s="377" t="n">
        <x:v>0</x:v>
      </x:c>
      <x:c r="T500" s="378" t="n">
        <x:v>0</x:v>
      </x:c>
      <x:c r="U500" s="378">
        <x:v>0</x:v>
      </x:c>
      <x:c r="V500" s="378">
        <x:v>0</x:v>
      </x:c>
      <x:c r="W500" s="378">
        <x:v>0</x:v>
      </x:c>
      <x:c r="X500" s="378">
        <x:v>0</x:v>
      </x:c>
      <x:c r="Y500" s="378">
        <x:v>0</x:v>
      </x:c>
      <x:c r="Z500" s="378" t="n">
        <x:v>0</x:v>
      </x:c>
    </x:row>
    <x:row r="501" spans="1:26" ht="12.75" customHeight="1" x14ac:dyDescent="0.25">
      <x:c r="A501"/>
      <x:c r="B501"/>
      <x:c r="C501" s="89"/>
      <x:c r="D501" s="89" t="inlineStr">
        <x:is>
          <x:t>O</x:t>
        </x:is>
      </x:c>
      <x:c r="E501" t="inlineStr">
        <x:is>
          <x:t>Total</x:t>
        </x:is>
      </x:c>
      <x:c r="F501" s="371" t="n">
        <x:v>138652.93</x:v>
      </x:c>
      <x:c r="G501" s="90" t="n">
        <x:v>7329.48</x:v>
      </x:c>
      <x:c r="H501" s="90" t="n">
        <x:v>4106.71</x:v>
      </x:c>
      <x:c r="I501" s="90" t="n">
        <x:v>2172.05</x:v>
      </x:c>
      <x:c r="J501" s="90" t="n">
        <x:v>31217.14</x:v>
      </x:c>
      <x:c r="K501" s="90" t="n">
        <x:v>1126.1</x:v>
      </x:c>
      <x:c r="L501" s="90" t="n">
        <x:v>0</x:v>
      </x:c>
      <x:c r="M501" s="90" t="n">
        <x:v>9878</x:v>
      </x:c>
      <x:c r="N501" s="90" t="n">
        <x:v>9627.85</x:v>
      </x:c>
      <x:c r="O501" s="90" t="n">
        <x:v>49325.89</x:v>
      </x:c>
      <x:c r="P501" s="90" t="n">
        <x:v>22031.65</x:v>
      </x:c>
      <x:c r="Q501" s="90" t="n">
        <x:v>1837.32</x:v>
      </x:c>
      <x:c r="R501" s="90" t="n">
        <x:v>0.74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>
        <x:v>0</x:v>
      </x:c>
      <x:c r="Z501" t="n">
        <x:v>0</x:v>
      </x:c>
    </x:row>
    <x:row r="502" spans="1:26" ht="12.75" customHeight="1" x14ac:dyDescent="0.25">
      <x:c r="A502"/>
      <x:c r="B502"/>
      <x:c r="C502" s="89"/>
      <x:c r="D502" s="89"/>
      <x:c r="E502" t="inlineStr">
        <x:is>
          <x:t>Vlr Servicio</x:t>
        </x:is>
      </x:c>
      <x:c r="F502" s="90" t="n">
        <x:v>859724.64</x:v>
      </x:c>
      <x:c r="G502" s="90" t="n">
        <x:v>47230.86</x:v>
      </x:c>
      <x:c r="H502" s="90" t="n">
        <x:v>26534.93</x:v>
      </x:c>
      <x:c r="I502" s="90" t="n">
        <x:v>13952.62</x:v>
      </x:c>
      <x:c r="J502" s="90" t="n">
        <x:v>189819.67</x:v>
      </x:c>
      <x:c r="K502" s="90" t="n">
        <x:v>6799.21</x:v>
      </x:c>
      <x:c r="L502" s="90" t="n">
        <x:v>0</x:v>
      </x:c>
      <x:c r="M502" s="90" t="n">
        <x:v>59641.8</x:v>
      </x:c>
      <x:c r="N502" s="90" t="n">
        <x:v>59100.35</x:v>
      </x:c>
      <x:c r="O502" s="90" t="n">
        <x:v>303870.79</x:v>
      </x:c>
      <x:c r="P502" s="90" t="n">
        <x:v>141650.81</x:v>
      </x:c>
      <x:c r="Q502" s="90" t="n">
        <x:v>11093.44</x:v>
      </x:c>
      <x:c r="R502" s="90" t="n">
        <x:v>30.16</x:v>
      </x:c>
      <x:c r="S502" s="90" t="n">
        <x:v>0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>
        <x:v>0</x:v>
      </x:c>
      <x:c r="Z502" t="n">
        <x:v>0</x:v>
      </x:c>
    </x:row>
    <x:row r="503" spans="1:26" ht="12.75" customHeight="1" x14ac:dyDescent="0.25">
      <x:c r="A503"/>
      <x:c r="B503"/>
      <x:c r="C503"/>
      <x:c r="D503"/>
      <x:c r="E503" s="89" t="inlineStr">
        <x:is>
          <x:t>Vlr Intereses</x:t>
        </x:is>
      </x:c>
      <x:c r="F503" s="90" t="n">
        <x:v>974.03</x:v>
      </x:c>
      <x:c r="G503" s="90" t="n">
        <x:v>56.49</x:v>
      </x:c>
      <x:c r="H503" s="90" t="n">
        <x:v>31.83</x:v>
      </x:c>
      <x:c r="I503" s="90" t="n">
        <x:v>16.49</x:v>
      </x:c>
      <x:c r="J503" s="90" t="n">
        <x:v>206.55</x:v>
      </x:c>
      <x:c r="K503" s="90" t="n">
        <x:v>7.3</x:v>
      </x:c>
      <x:c r="L503" s="90" t="n">
        <x:v>0</x:v>
      </x:c>
      <x:c r="M503" s="90" t="n">
        <x:v>63.81</x:v>
      </x:c>
      <x:c r="N503" s="90" t="n">
        <x:v>67.2</x:v>
      </x:c>
      <x:c r="O503" s="90" t="n">
        <x:v>346.33</x:v>
      </x:c>
      <x:c r="P503" s="90" t="n">
        <x:v>166.25</x:v>
      </x:c>
      <x:c r="Q503" s="90" t="n">
        <x:v>11.86</x:v>
      </x:c>
      <x:c r="R503" s="90" t="n">
        <x:v>-0.08</x:v>
      </x:c>
      <x:c r="S503" s="90" t="n">
        <x:v>0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>
        <x:v>0</x:v>
      </x:c>
      <x:c r="Z503" t="n">
        <x:v>0</x:v>
      </x:c>
    </x:row>
    <x:row r="504" spans="1:26" s="657" customFormat="1" ht="12.75" customHeight="1" x14ac:dyDescent="0.25">
      <x:c r="A504" s="658"/>
      <x:c r="B504" s="658"/>
      <x:c r="C504" s="657"/>
      <x:c r="D504" s="657" t="inlineStr">
        <x:is>
          <x:t>T</x:t>
        </x:is>
      </x:c>
      <x:c r="E504" t="inlineStr">
        <x:is>
          <x:t>Total</x:t>
        </x:is>
      </x:c>
      <x:c r="F504" s="659" t="n">
        <x:v>860698.67</x:v>
      </x:c>
      <x:c r="G504" s="659" t="n">
        <x:v>47287.35</x:v>
      </x:c>
      <x:c r="H504" s="659" t="n">
        <x:v>26566.76</x:v>
      </x:c>
      <x:c r="I504" s="659" t="n">
        <x:v>13969.11</x:v>
      </x:c>
      <x:c r="J504" s="659" t="n">
        <x:v>190026.22</x:v>
      </x:c>
      <x:c r="K504" s="659" t="n">
        <x:v>6806.51</x:v>
      </x:c>
      <x:c r="L504" s="659" t="n">
        <x:v>0</x:v>
      </x:c>
      <x:c r="M504" s="659" t="n">
        <x:v>59705.61</x:v>
      </x:c>
      <x:c r="N504" s="659" t="n">
        <x:v>59167.55</x:v>
      </x:c>
      <x:c r="O504" s="659" t="n">
        <x:v>304217.12</x:v>
      </x:c>
      <x:c r="P504" s="659" t="n">
        <x:v>141817.06</x:v>
      </x:c>
      <x:c r="Q504" s="659" t="n">
        <x:v>11105.3</x:v>
      </x:c>
      <x:c r="R504" s="659" t="n">
        <x:v>30.08</x:v>
      </x:c>
      <x:c r="S504" s="659" t="n">
        <x:v>0</x:v>
      </x:c>
      <x:c r="T504" s="657" t="n">
        <x:v>0</x:v>
      </x:c>
      <x:c r="U504" s="657">
        <x:v>0</x:v>
      </x:c>
      <x:c r="V504" s="657">
        <x:v>0</x:v>
      </x:c>
      <x:c r="W504" s="657">
        <x:v>0</x:v>
      </x:c>
      <x:c r="X504" s="657">
        <x:v>0</x:v>
      </x:c>
      <x:c r="Y504" s="657">
        <x:v>0</x:v>
      </x:c>
      <x:c r="Z504" s="657" t="n">
        <x:v>0</x:v>
      </x:c>
    </x:row>
    <x:row r="505" spans="1:26" ht="12.75" customHeight="1" x14ac:dyDescent="0.25">
      <x:c r="A505"/>
      <x:c r="B505"/>
      <x:c r="C505" t="inlineStr">
        <x:is>
          <x:t>OCCIDENTE</x:t>
        </x:is>
      </x:c>
      <x:c r="D505" t="inlineStr">
        <x:is>
          <x:t>Total</x:t>
        </x:is>
      </x:c>
      <x:c r="E505" s="89"/>
      <x:c r="F505" s="90" t="n">
        <x:v>1666506.54</x:v>
      </x:c>
      <x:c r="G505" s="90" t="n">
        <x:v>89451.49</x:v>
      </x:c>
      <x:c r="H505" s="90" t="n">
        <x:v>50203.36</x:v>
      </x:c>
      <x:c r="I505" s="90" t="n">
        <x:v>26464.2</x:v>
      </x:c>
      <x:c r="J505" s="90" t="n">
        <x:v>371981.73</x:v>
      </x:c>
      <x:c r="K505" s="90" t="n">
        <x:v>13370.78</x:v>
      </x:c>
      <x:c r="L505" s="90" t="n">
        <x:v>0</x:v>
      </x:c>
      <x:c r="M505" s="90" t="n">
        <x:v>117292.3</x:v>
      </x:c>
      <x:c r="N505" s="90" t="n">
        <x:v>115277.54</x:v>
      </x:c>
      <x:c r="O505" s="90" t="n">
        <x:v>591928.6</x:v>
      </x:c>
      <x:c r="P505" s="90" t="n">
        <x:v>268663.04</x:v>
      </x:c>
      <x:c r="Q505" s="90" t="n">
        <x:v>21816.48</x:v>
      </x:c>
      <x:c r="R505" s="90" t="n">
        <x:v>57.02</x:v>
      </x:c>
      <x:c r="S505" s="90" t="n">
        <x:v>0</x:v>
      </x:c>
      <x:c r="T505" t="n">
        <x:v>0</x:v>
      </x:c>
      <x:c r="U505">
        <x:v>0</x:v>
      </x:c>
      <x:c r="V505">
        <x:v>0</x:v>
      </x:c>
      <x:c r="W505">
        <x:v>0</x:v>
      </x:c>
      <x:c r="X505">
        <x:v>0</x:v>
      </x:c>
      <x:c r="Y505">
        <x:v>0</x:v>
      </x:c>
      <x:c r="Z505" t="n">
        <x:v>0</x:v>
      </x:c>
    </x:row>
    <x:row r="506" spans="1:26" ht="12.75" customHeight="1" x14ac:dyDescent="0.25">
      <x:c r="A506"/>
      <x:c r="B506" t="inlineStr">
        <x:is>
          <x:t>Aplicacion nuevos x reversion</x:t>
        </x:is>
      </x:c>
      <x:c r="C506" t="inlineStr">
        <x:is>
          <x:t>Total</x:t>
        </x:is>
      </x:c>
      <x:c r="D506"/>
      <x:c r="E506" s="89"/>
      <x:c r="F506" s="371" t="n">
        <x:v>1666506.54</x:v>
      </x:c>
      <x:c r="G506" s="90" t="n">
        <x:v>89451.49</x:v>
      </x:c>
      <x:c r="H506" s="90" t="n">
        <x:v>50203.36</x:v>
      </x:c>
      <x:c r="I506" s="90" t="n">
        <x:v>26464.2</x:v>
      </x:c>
      <x:c r="J506" s="90" t="n">
        <x:v>371981.73</x:v>
      </x:c>
      <x:c r="K506" s="90" t="n">
        <x:v>13370.78</x:v>
      </x:c>
      <x:c r="L506" s="90" t="n">
        <x:v>0</x:v>
      </x:c>
      <x:c r="M506" s="90" t="n">
        <x:v>117292.3</x:v>
      </x:c>
      <x:c r="N506" s="90" t="n">
        <x:v>115277.54</x:v>
      </x:c>
      <x:c r="O506" s="90" t="n">
        <x:v>591928.6</x:v>
      </x:c>
      <x:c r="P506" s="90" t="n">
        <x:v>268663.04</x:v>
      </x:c>
      <x:c r="Q506" s="90" t="n">
        <x:v>21816.48</x:v>
      </x:c>
      <x:c r="R506" s="90" t="n">
        <x:v>57.02</x:v>
      </x:c>
      <x:c r="S506" s="90" t="n">
        <x:v>0</x:v>
      </x:c>
      <x:c r="T506" t="n">
        <x:v>0</x:v>
      </x:c>
      <x:c r="U506">
        <x:v>0</x:v>
      </x:c>
      <x:c r="V506">
        <x:v>0</x:v>
      </x:c>
      <x:c r="W506">
        <x:v>0</x:v>
      </x:c>
      <x:c r="X506">
        <x:v>0</x:v>
      </x:c>
      <x:c r="Y506">
        <x:v>0</x:v>
      </x:c>
      <x:c r="Z506" t="n">
        <x:v>0</x:v>
      </x:c>
    </x:row>
    <x:row r="507" spans="1:26" ht="12.75" customHeight="1" x14ac:dyDescent="0.25">
      <x:c r="A507"/>
      <x:c r="B507"/>
      <x:c r="C507"/>
      <x:c r="D507"/>
      <x:c r="E507" s="89" t="inlineStr">
        <x:is>
          <x:t>Vlr Servicio</x:t>
        </x:is>
      </x:c>
      <x:c r="F507" s="371" t="n">
        <x:v>13255784141.63</x:v>
      </x:c>
      <x:c r="G507" s="90" t="n">
        <x:v>687927857.95</x:v>
      </x:c>
      <x:c r="H507" s="90" t="n">
        <x:v>387836233.23</x:v>
      </x:c>
      <x:c r="I507" s="90" t="n">
        <x:v>203896299.5</x:v>
      </x:c>
      <x:c r="J507" s="90" t="n">
        <x:v>2973816389.32</x:v>
      </x:c>
      <x:c r="K507" s="90" t="n">
        <x:v>108079618.07</x:v>
      </x:c>
      <x:c r="L507" s="90" t="n">
        <x:v>8929700</x:v>
      </x:c>
      <x:c r="M507" s="90" t="n">
        <x:v>947751146.82</x:v>
      </x:c>
      <x:c r="N507" s="90" t="n">
        <x:v>918454732.63</x:v>
      </x:c>
      <x:c r="O507" s="90" t="n">
        <x:v>4762546642.12</x:v>
      </x:c>
      <x:c r="P507" s="90" t="n">
        <x:v>2080265361.7</x:v>
      </x:c>
      <x:c r="Q507" s="90" t="n">
        <x:v>176383169.25</x:v>
      </x:c>
      <x:c r="R507" s="90" t="n">
        <x:v>-103008.96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>
        <x:v>0</x:v>
      </x:c>
      <x:c r="Z507" t="n">
        <x:v>0</x:v>
      </x:c>
    </x:row>
    <x:row r="508" spans="1:26" s="740" customFormat="1" ht="12.75" customHeight="1" x14ac:dyDescent="0.25">
      <x:c r="A508"/>
      <x:c r="B508"/>
      <x:c r="C508" s="740"/>
      <x:c r="D508" s="740"/>
      <x:c r="E508" s="231" t="inlineStr">
        <x:is>
          <x:t>Vlr Intereses</x:t>
        </x:is>
      </x:c>
      <x:c r="F508" s="741" t="n">
        <x:v>4558820.76</x:v>
      </x:c>
      <x:c r="G508" s="232" t="n">
        <x:v>305210.49</x:v>
      </x:c>
      <x:c r="H508" s="232" t="n">
        <x:v>163400.69</x:v>
      </x:c>
      <x:c r="I508" s="232" t="n">
        <x:v>86289.08</x:v>
      </x:c>
      <x:c r="J508" s="232" t="n">
        <x:v>912263.18</x:v>
      </x:c>
      <x:c r="K508" s="232" t="n">
        <x:v>35740.44</x:v>
      </x:c>
      <x:c r="L508" s="232" t="n">
        <x:v>9085.51</x:v>
      </x:c>
      <x:c r="M508" s="232" t="n">
        <x:v>312822.94</x:v>
      </x:c>
      <x:c r="N508" s="232" t="n">
        <x:v>293680.57</x:v>
      </x:c>
      <x:c r="O508" s="232" t="n">
        <x:v>1478560.93</x:v>
      </x:c>
      <x:c r="P508" s="232" t="n">
        <x:v>903501.58</x:v>
      </x:c>
      <x:c r="Q508" s="232" t="n">
        <x:v>58264.46</x:v>
      </x:c>
      <x:c r="R508" s="232" t="n">
        <x:v>-5.04</x:v>
      </x:c>
      <x:c r="S508" s="232" t="n">
        <x:v>0.55</x:v>
      </x:c>
      <x:c r="T508" s="740" t="n">
        <x:v>5.38</x:v>
      </x:c>
      <x:c r="U508" s="740">
        <x:v>0</x:v>
      </x:c>
      <x:c r="V508" s="740">
        <x:v>0</x:v>
      </x:c>
      <x:c r="W508" s="740">
        <x:v>0</x:v>
      </x:c>
      <x:c r="X508" s="740">
        <x:v>0</x:v>
      </x:c>
      <x:c r="Y508" s="740">
        <x:v>0</x:v>
      </x:c>
      <x:c r="Z508" s="740" t="n">
        <x:v>0</x:v>
      </x:c>
    </x:row>
    <x:row r="509" spans="1:26" ht="12.75" customHeight="1" x14ac:dyDescent="0.25">
      <x:c r="A509"/>
      <x:c r="B509"/>
      <x:c r="C509"/>
      <x:c r="D509" t="inlineStr">
        <x:is>
          <x:t>E</x:t>
        </x:is>
      </x:c>
      <x:c r="E509" s="89" t="inlineStr">
        <x:is>
          <x:t>Total</x:t>
        </x:is>
      </x:c>
      <x:c r="F509" s="371" t="n">
        <x:v>13260342962.39</x:v>
      </x:c>
      <x:c r="G509" s="90" t="n">
        <x:v>688233068.44</x:v>
      </x:c>
      <x:c r="H509" s="90" t="n">
        <x:v>387999633.92</x:v>
      </x:c>
      <x:c r="I509" s="90" t="n">
        <x:v>203982588.58</x:v>
      </x:c>
      <x:c r="J509" s="90" t="n">
        <x:v>2974728652.5</x:v>
      </x:c>
      <x:c r="K509" s="90" t="n">
        <x:v>108115358.51</x:v>
      </x:c>
      <x:c r="L509" s="90" t="n">
        <x:v>8938785.51</x:v>
      </x:c>
      <x:c r="M509" s="90" t="n">
        <x:v>948063969.76</x:v>
      </x:c>
      <x:c r="N509" s="90" t="n">
        <x:v>918748413.2</x:v>
      </x:c>
      <x:c r="O509" s="90" t="n">
        <x:v>4764025203.05</x:v>
      </x:c>
      <x:c r="P509" s="90" t="n">
        <x:v>2081168863.28</x:v>
      </x:c>
      <x:c r="Q509" s="90" t="n">
        <x:v>176441433.71</x:v>
      </x:c>
      <x:c r="R509" s="90" t="n">
        <x:v>-103014</x:v>
      </x:c>
      <x:c r="S509" s="90" t="n">
        <x:v>0.55</x:v>
      </x:c>
      <x:c r="T509" t="n">
        <x:v>5.38</x:v>
      </x:c>
      <x:c r="U509">
        <x:v>0</x:v>
      </x:c>
      <x:c r="V509">
        <x:v>0</x:v>
      </x:c>
      <x:c r="W509">
        <x:v>0</x:v>
      </x:c>
      <x:c r="X509">
        <x:v>0</x:v>
      </x:c>
      <x:c r="Y509">
        <x:v>0</x:v>
      </x:c>
      <x:c r="Z509" t="n">
        <x:v>0</x:v>
      </x:c>
    </x:row>
    <x:row r="510" spans="1:26" ht="12.75" customHeight="1" x14ac:dyDescent="0.25">
      <x:c r="A510"/>
      <x:c r="B510"/>
      <x:c r="C510" t="inlineStr">
        <x:is>
          <x:t>ENEL</x:t>
        </x:is>
      </x:c>
      <x:c r="D510" t="inlineStr">
        <x:is>
          <x:t>Total</x:t>
        </x:is>
      </x:c>
      <x:c r="E510" s="89"/>
      <x:c r="F510" s="90" t="n">
        <x:v>13260342962.39</x:v>
      </x:c>
      <x:c r="G510" s="90" t="n">
        <x:v>688233068.44</x:v>
      </x:c>
      <x:c r="H510" s="90" t="n">
        <x:v>387999633.92</x:v>
      </x:c>
      <x:c r="I510" s="90" t="n">
        <x:v>203982588.58</x:v>
      </x:c>
      <x:c r="J510" s="90" t="n">
        <x:v>2974728652.5</x:v>
      </x:c>
      <x:c r="K510" s="90" t="n">
        <x:v>108115358.51</x:v>
      </x:c>
      <x:c r="L510" s="90" t="n">
        <x:v>8938785.51</x:v>
      </x:c>
      <x:c r="M510" s="90" t="n">
        <x:v>948063969.76</x:v>
      </x:c>
      <x:c r="N510" s="90" t="n">
        <x:v>918748413.2</x:v>
      </x:c>
      <x:c r="O510" s="90" t="n">
        <x:v>4764025203.05</x:v>
      </x:c>
      <x:c r="P510" s="90" t="n">
        <x:v>2081168863.28</x:v>
      </x:c>
      <x:c r="Q510" s="90" t="n">
        <x:v>176441433.71</x:v>
      </x:c>
      <x:c r="R510" s="90" t="n">
        <x:v>-103014</x:v>
      </x:c>
      <x:c r="S510" s="90" t="n">
        <x:v>0.55</x:v>
      </x:c>
      <x:c r="T510" t="n">
        <x:v>5.38</x:v>
      </x:c>
      <x:c r="U510">
        <x:v>0</x:v>
      </x:c>
      <x:c r="V510">
        <x:v>0</x:v>
      </x:c>
      <x:c r="W510">
        <x:v>0</x:v>
      </x:c>
      <x:c r="X510">
        <x:v>0</x:v>
      </x:c>
      <x:c r="Y510">
        <x:v>0</x:v>
      </x:c>
      <x:c r="Z510" t="n">
        <x:v>0</x:v>
      </x:c>
    </x:row>
    <x:row r="511" spans="1:26" ht="12.75" customHeight="1" x14ac:dyDescent="0.25">
      <x:c r="A511"/>
      <x:c r="B511"/>
      <x:c r="C511"/>
      <x:c r="D511" s="89"/>
      <x:c r="E511" s="89" t="inlineStr">
        <x:is>
          <x:t>Vlr Servicio</x:t>
        </x:is>
      </x:c>
      <x:c r="F511" s="90" t="n">
        <x:v>33381761.62</x:v>
      </x:c>
      <x:c r="G511" s="90" t="n">
        <x:v>1900600.5</x:v>
      </x:c>
      <x:c r="H511" s="90" t="n">
        <x:v>1060075.4</x:v>
      </x:c>
      <x:c r="I511" s="90" t="n">
        <x:v>571106.43</x:v>
      </x:c>
      <x:c r="J511" s="90" t="n">
        <x:v>7482062.73</x:v>
      </x:c>
      <x:c r="K511" s="90" t="n">
        <x:v>261091.53</x:v>
      </x:c>
      <x:c r="L511" s="90" t="n">
        <x:v>0</x:v>
      </x:c>
      <x:c r="M511" s="90" t="n">
        <x:v>2236718.68</x:v>
      </x:c>
      <x:c r="N511" s="90" t="n">
        <x:v>2240261.92</x:v>
      </x:c>
      <x:c r="O511" s="90" t="n">
        <x:v>11562961.56</x:v>
      </x:c>
      <x:c r="P511" s="90" t="n">
        <x:v>5641999.72</x:v>
      </x:c>
      <x:c r="Q511" s="90" t="n">
        <x:v>424763.54</x:v>
      </x:c>
      <x:c r="R511" s="90" t="n">
        <x:v>119.61</x:v>
      </x:c>
      <x:c r="S511" s="90" t="n">
        <x:v>0</x:v>
      </x:c>
      <x:c r="T511" t="n">
        <x:v>0</x:v>
      </x:c>
      <x:c r="U511">
        <x:v>0</x:v>
      </x:c>
      <x:c r="V511">
        <x:v>0</x:v>
      </x:c>
      <x:c r="W511">
        <x:v>0</x:v>
      </x:c>
      <x:c r="X511">
        <x:v>0</x:v>
      </x:c>
      <x:c r="Y511">
        <x:v>0</x:v>
      </x:c>
      <x:c r="Z511" t="n">
        <x:v>0</x:v>
      </x:c>
    </x:row>
    <x:row r="512" spans="1:26" ht="12.75" customHeight="1" x14ac:dyDescent="0.25">
      <x:c r="A512"/>
      <x:c r="B512"/>
      <x:c r="C512" s="89"/>
      <x:c r="D512" s="89"/>
      <x:c r="E512" t="inlineStr">
        <x:is>
          <x:t>Vlr Intereses</x:t>
        </x:is>
      </x:c>
      <x:c r="F512" s="90" t="n">
        <x:v>84123.48</x:v>
      </x:c>
      <x:c r="G512" s="90" t="n">
        <x:v>5035.05</x:v>
      </x:c>
      <x:c r="H512" s="90" t="n">
        <x:v>2705.49</x:v>
      </x:c>
      <x:c r="I512" s="90" t="n">
        <x:v>1487.08</x:v>
      </x:c>
      <x:c r="J512" s="90" t="n">
        <x:v>18901.43</x:v>
      </x:c>
      <x:c r="K512" s="90" t="n">
        <x:v>611.41</x:v>
      </x:c>
      <x:c r="L512" s="90" t="n">
        <x:v>0</x:v>
      </x:c>
      <x:c r="M512" s="90" t="n">
        <x:v>5314.35</x:v>
      </x:c>
      <x:c r="N512" s="90" t="n">
        <x:v>5615.28</x:v>
      </x:c>
      <x:c r="O512" s="90" t="n">
        <x:v>28670.6</x:v>
      </x:c>
      <x:c r="P512" s="90" t="n">
        <x:v>14780.46</x:v>
      </x:c>
      <x:c r="Q512" s="90" t="n">
        <x:v>1002.93</x:v>
      </x:c>
      <x:c r="R512" s="90" t="n">
        <x:v>-0.6</x:v>
      </x:c>
      <x:c r="S512" s="90" t="n">
        <x:v>0</x:v>
      </x:c>
      <x:c r="T512" t="n">
        <x:v>0</x:v>
      </x:c>
      <x:c r="U512">
        <x:v>0</x:v>
      </x:c>
      <x:c r="V512">
        <x:v>0</x:v>
      </x:c>
      <x:c r="W512">
        <x:v>0</x:v>
      </x:c>
      <x:c r="X512">
        <x:v>0</x:v>
      </x:c>
      <x:c r="Y512">
        <x:v>0</x:v>
      </x:c>
      <x:c r="Z512" t="n">
        <x:v>0</x:v>
      </x:c>
    </x:row>
    <x:row r="513" spans="1:26" ht="12.75" customHeight="1" x14ac:dyDescent="0.25">
      <x:c r="A513"/>
      <x:c r="B513" s="89"/>
      <x:c r="C513" s="89"/>
      <x:c r="D513" t="inlineStr">
        <x:is>
          <x:t>E</x:t>
        </x:is>
      </x:c>
      <x:c r="E513" t="inlineStr">
        <x:is>
          <x:t>Total</x:t>
        </x:is>
      </x:c>
      <x:c r="F513" s="90" t="n">
        <x:v>33465885.1</x:v>
      </x:c>
      <x:c r="G513" s="90" t="n">
        <x:v>1905635.55</x:v>
      </x:c>
      <x:c r="H513" s="90" t="n">
        <x:v>1062780.89</x:v>
      </x:c>
      <x:c r="I513" s="90" t="n">
        <x:v>572593.51</x:v>
      </x:c>
      <x:c r="J513" s="90" t="n">
        <x:v>7500964.16</x:v>
      </x:c>
      <x:c r="K513" s="90" t="n">
        <x:v>261702.94</x:v>
      </x:c>
      <x:c r="L513" s="90" t="n">
        <x:v>0</x:v>
      </x:c>
      <x:c r="M513" s="90" t="n">
        <x:v>2242033.03</x:v>
      </x:c>
      <x:c r="N513" s="90" t="n">
        <x:v>2245877.2</x:v>
      </x:c>
      <x:c r="O513" s="90" t="n">
        <x:v>11591632.16</x:v>
      </x:c>
      <x:c r="P513" s="90" t="n">
        <x:v>5656780.18</x:v>
      </x:c>
      <x:c r="Q513" s="90" t="n">
        <x:v>425766.47</x:v>
      </x:c>
      <x:c r="R513" s="90" t="n">
        <x:v>119.01</x:v>
      </x:c>
      <x:c r="S513" s="90" t="n">
        <x:v>0</x:v>
      </x:c>
      <x:c r="T513" t="n">
        <x:v>0</x:v>
      </x:c>
      <x:c r="U513">
        <x:v>0</x:v>
      </x:c>
      <x:c r="V513">
        <x:v>0</x:v>
      </x:c>
      <x:c r="W513">
        <x:v>0</x:v>
      </x:c>
      <x:c r="X513">
        <x:v>0</x:v>
      </x:c>
      <x:c r="Y513">
        <x:v>0</x:v>
      </x:c>
      <x:c r="Z513" t="n">
        <x:v>0</x:v>
      </x:c>
    </x:row>
    <x:row r="514" spans="1:26" ht="12.75" customHeight="1" x14ac:dyDescent="0.25">
      <x:c r="A514" s="89"/>
      <x:c r="B514" s="89"/>
      <x:c r="C514" t="inlineStr">
        <x:is>
          <x:t>ENERBIT</x:t>
        </x:is>
      </x:c>
      <x:c r="D514" t="inlineStr">
        <x:is>
          <x:t>Total</x:t>
        </x:is>
      </x:c>
      <x:c r="E514"/>
      <x:c r="F514" s="90" t="n">
        <x:v>33465885.1</x:v>
      </x:c>
      <x:c r="G514" s="90" t="n">
        <x:v>1905635.55</x:v>
      </x:c>
      <x:c r="H514" s="90" t="n">
        <x:v>1062780.89</x:v>
      </x:c>
      <x:c r="I514" s="90" t="n">
        <x:v>572593.51</x:v>
      </x:c>
      <x:c r="J514" s="90" t="n">
        <x:v>7500964.16</x:v>
      </x:c>
      <x:c r="K514" s="90" t="n">
        <x:v>261702.94</x:v>
      </x:c>
      <x:c r="L514" s="90" t="n">
        <x:v>0</x:v>
      </x:c>
      <x:c r="M514" s="90" t="n">
        <x:v>2242033.03</x:v>
      </x:c>
      <x:c r="N514" s="90" t="n">
        <x:v>2245877.2</x:v>
      </x:c>
      <x:c r="O514" s="90" t="n">
        <x:v>11591632.16</x:v>
      </x:c>
      <x:c r="P514" s="90" t="n">
        <x:v>5656780.18</x:v>
      </x:c>
      <x:c r="Q514" s="90" t="n">
        <x:v>425766.47</x:v>
      </x:c>
      <x:c r="R514" s="90" t="n">
        <x:v>119.01</x:v>
      </x:c>
      <x:c r="S514" s="90" t="n">
        <x:v>0</x:v>
      </x:c>
      <x:c r="T514" t="n">
        <x:v>0</x:v>
      </x:c>
      <x:c r="U514">
        <x:v>0</x:v>
      </x:c>
      <x:c r="V514">
        <x:v>0</x:v>
      </x:c>
      <x:c r="W514">
        <x:v>0</x:v>
      </x:c>
      <x:c r="X514">
        <x:v>0</x:v>
      </x:c>
      <x:c r="Y514">
        <x:v>0</x:v>
      </x:c>
      <x:c r="Z514" t="n">
        <x:v>0</x:v>
      </x:c>
    </x:row>
    <x:row r="515" spans="1:26" ht="12.75" customHeight="1" x14ac:dyDescent="0.25">
      <x:c r="A515"/>
      <x:c r="B515"/>
      <x:c r="C515"/>
      <x:c r="D515"/>
      <x:c r="E515" s="89" t="inlineStr">
        <x:is>
          <x:t>Vlr Servicio</x:t>
        </x:is>
      </x:c>
      <x:c r="F515" s="90" t="n">
        <x:v>25096831.1</x:v>
      </x:c>
      <x:c r="G515" s="90" t="n">
        <x:v>1425248.87</x:v>
      </x:c>
      <x:c r="H515" s="90" t="n">
        <x:v>791821.31</x:v>
      </x:c>
      <x:c r="I515" s="90" t="n">
        <x:v>419726.03</x:v>
      </x:c>
      <x:c r="J515" s="90" t="n">
        <x:v>4022105.97</x:v>
      </x:c>
      <x:c r="K515" s="90" t="n">
        <x:v>162197.22</x:v>
      </x:c>
      <x:c r="L515" s="90" t="n">
        <x:v>0</x:v>
      </x:c>
      <x:c r="M515" s="90" t="n">
        <x:v>1423897.48</x:v>
      </x:c>
      <x:c r="N515" s="90" t="n">
        <x:v>1936716.04</x:v>
      </x:c>
      <x:c r="O515" s="90" t="n">
        <x:v>10379284.19</x:v>
      </x:c>
      <x:c r="P515" s="90" t="n">
        <x:v>4258650.77</x:v>
      </x:c>
      <x:c r="Q515" s="90" t="n">
        <x:v>277635.52</x:v>
      </x:c>
      <x:c r="R515" s="90" t="n">
        <x:v>-452.3</x:v>
      </x:c>
      <x:c r="S515" s="90" t="n">
        <x:v>0</x:v>
      </x:c>
      <x:c r="T515" t="n">
        <x:v>0</x:v>
      </x:c>
      <x:c r="U515">
        <x:v>0</x:v>
      </x:c>
      <x:c r="V515">
        <x:v>0</x:v>
      </x:c>
      <x:c r="W515">
        <x:v>0</x:v>
      </x:c>
      <x:c r="X515">
        <x:v>0</x:v>
      </x:c>
      <x:c r="Y515">
        <x:v>0</x:v>
      </x:c>
      <x:c r="Z515" t="n">
        <x:v>0</x:v>
      </x:c>
    </x:row>
    <x:row r="516" spans="1:26" ht="12.75" customHeight="1" x14ac:dyDescent="0.25">
      <x:c r="A516" s="89"/>
      <x:c r="B516" s="89"/>
      <x:c r="C516"/>
      <x:c r="D516"/>
      <x:c r="E516" t="inlineStr">
        <x:is>
          <x:t>Vlr Intereses</x:t>
        </x:is>
      </x:c>
      <x:c r="F516" s="90" t="n">
        <x:v>811344.88</x:v>
      </x:c>
      <x:c r="G516" s="90" t="n">
        <x:v>54328.54</x:v>
      </x:c>
      <x:c r="H516" s="90" t="n">
        <x:v>25678.89</x:v>
      </x:c>
      <x:c r="I516" s="90" t="n">
        <x:v>12896.29</x:v>
      </x:c>
      <x:c r="J516" s="90" t="n">
        <x:v>154006.04</x:v>
      </x:c>
      <x:c r="K516" s="90" t="n">
        <x:v>6794.36</x:v>
      </x:c>
      <x:c r="L516" s="90" t="n">
        <x:v>0</x:v>
      </x:c>
      <x:c r="M516" s="90" t="n">
        <x:v>59546.72</x:v>
      </x:c>
      <x:c r="N516" s="90" t="n">
        <x:v>60090.46</x:v>
      </x:c>
      <x:c r="O516" s="90" t="n">
        <x:v>267889.17</x:v>
      </x:c>
      <x:c r="P516" s="90" t="n">
        <x:v>158972.74</x:v>
      </x:c>
      <x:c r="Q516" s="90" t="n">
        <x:v>11144.65</x:v>
      </x:c>
      <x:c r="R516" s="90" t="n">
        <x:v>-3.93</x:v>
      </x:c>
      <x:c r="S516" s="90" t="n">
        <x:v>0.16</x:v>
      </x:c>
      <x:c r="T516" t="n">
        <x:v>0.79</x:v>
      </x:c>
      <x:c r="U516">
        <x:v>0</x:v>
      </x:c>
      <x:c r="V516">
        <x:v>0</x:v>
      </x:c>
      <x:c r="W516">
        <x:v>0</x:v>
      </x:c>
      <x:c r="X516">
        <x:v>0</x:v>
      </x:c>
      <x:c r="Y516">
        <x:v>0</x:v>
      </x:c>
      <x:c r="Z516" t="n">
        <x:v>0</x:v>
      </x:c>
    </x:row>
    <x:row r="517" spans="1:26" ht="12.75" customHeight="1" x14ac:dyDescent="0.25">
      <x:c r="A517"/>
      <x:c r="B517"/>
      <x:c r="C517"/>
      <x:c r="D517" t="inlineStr">
        <x:is>
          <x:t>H</x:t>
        </x:is>
      </x:c>
      <x:c r="E517" s="89" t="inlineStr">
        <x:is>
          <x:t>Total</x:t>
        </x:is>
      </x:c>
      <x:c r="F517" s="90" t="n">
        <x:v>25908175.98</x:v>
      </x:c>
      <x:c r="G517" s="90" t="n">
        <x:v>1479577.41</x:v>
      </x:c>
      <x:c r="H517" s="90" t="n">
        <x:v>817500.2</x:v>
      </x:c>
      <x:c r="I517" s="90" t="n">
        <x:v>432622.32</x:v>
      </x:c>
      <x:c r="J517" s="90" t="n">
        <x:v>4176112.01</x:v>
      </x:c>
      <x:c r="K517" s="90" t="n">
        <x:v>168991.58</x:v>
      </x:c>
      <x:c r="L517" s="90" t="n">
        <x:v>0</x:v>
      </x:c>
      <x:c r="M517" s="90" t="n">
        <x:v>1483444.2</x:v>
      </x:c>
      <x:c r="N517" s="90" t="n">
        <x:v>1996806.5</x:v>
      </x:c>
      <x:c r="O517" s="90" t="n">
        <x:v>10647173.36</x:v>
      </x:c>
      <x:c r="P517" s="90" t="n">
        <x:v>4417623.51</x:v>
      </x:c>
      <x:c r="Q517" s="90" t="n">
        <x:v>288780.17</x:v>
      </x:c>
      <x:c r="R517" s="90" t="n">
        <x:v>-456.23</x:v>
      </x:c>
      <x:c r="S517" s="90" t="n">
        <x:v>0.16</x:v>
      </x:c>
      <x:c r="T517" t="n">
        <x:v>0.79</x:v>
      </x:c>
      <x:c r="U517">
        <x:v>0</x:v>
      </x:c>
      <x:c r="V517">
        <x:v>0</x:v>
      </x:c>
      <x:c r="W517">
        <x:v>0</x:v>
      </x:c>
      <x:c r="X517">
        <x:v>0</x:v>
      </x:c>
      <x:c r="Y517">
        <x:v>0</x:v>
      </x:c>
      <x:c r="Z517" t="n">
        <x:v>0</x:v>
      </x:c>
    </x:row>
    <x:row r="518" spans="1:26" s="94" customFormat="1" ht="12.75" customHeight="1" x14ac:dyDescent="0.25">
      <x:c r="A518" s="101"/>
      <x:c r="B518" s="101"/>
      <x:c r="C518" s="94"/>
      <x:c r="D518" s="94"/>
      <x:c r="E518" t="inlineStr">
        <x:is>
          <x:t>Vlr Servicio</x:t>
        </x:is>
      </x:c>
      <x:c r="F518" s="93" t="n">
        <x:v>34365004.17</x:v>
      </x:c>
      <x:c r="G518" s="93" t="n">
        <x:v>2199925.02</x:v>
      </x:c>
      <x:c r="H518" s="93" t="n">
        <x:v>1144630.48</x:v>
      </x:c>
      <x:c r="I518" s="93" t="n">
        <x:v>603029.86</x:v>
      </x:c>
      <x:c r="J518" s="93" t="n">
        <x:v>4451124.31</x:v>
      </x:c>
      <x:c r="K518" s="93" t="n">
        <x:v>298113.95</x:v>
      </x:c>
      <x:c r="L518" s="93" t="n">
        <x:v>0</x:v>
      </x:c>
      <x:c r="M518" s="93" t="n">
        <x:v>2608725.3</x:v>
      </x:c>
      <x:c r="N518" s="93" t="n">
        <x:v>2656144.59</x:v>
      </x:c>
      <x:c r="O518" s="93" t="n">
        <x:v>13357778.01</x:v>
      </x:c>
      <x:c r="P518" s="93" t="n">
        <x:v>6558253.61</x:v>
      </x:c>
      <x:c r="Q518" s="93" t="n">
        <x:v>487902.45</x:v>
      </x:c>
      <x:c r="R518" s="93" t="n">
        <x:v>-623.41</x:v>
      </x:c>
      <x:c r="S518" s="93" t="n">
        <x:v>0</x:v>
      </x:c>
      <x:c r="T518" s="94" t="n">
        <x:v>0</x:v>
      </x:c>
      <x:c r="U518" s="94">
        <x:v>0</x:v>
      </x:c>
      <x:c r="V518" s="94">
        <x:v>0</x:v>
      </x:c>
      <x:c r="W518" s="94">
        <x:v>0</x:v>
      </x:c>
      <x:c r="X518" s="94">
        <x:v>0</x:v>
      </x:c>
      <x:c r="Y518" s="94">
        <x:v>0</x:v>
      </x:c>
      <x:c r="Z518" s="94" t="n">
        <x:v>0</x:v>
      </x:c>
    </x:row>
    <x:row r="519" spans="1:26" s="226" customFormat="1" ht="12.75" customHeight="1" x14ac:dyDescent="0.25">
      <x:c r="A519"/>
      <x:c r="B519" s="226"/>
      <x:c r="C519" s="226"/>
      <x:c r="D519"/>
      <x:c r="E519" s="98" t="inlineStr">
        <x:is>
          <x:t>Vlr Intereses</x:t>
        </x:is>
      </x:c>
      <x:c r="F519" s="100" t="n">
        <x:v>2891406.9</x:v>
      </x:c>
      <x:c r="G519" s="100" t="n">
        <x:v>222856.07</x:v>
      </x:c>
      <x:c r="H519" s="100" t="n">
        <x:v>104956.2</x:v>
      </x:c>
      <x:c r="I519" s="100" t="n">
        <x:v>53676.56</x:v>
      </x:c>
      <x:c r="J519" s="100" t="n">
        <x:v>529773.05</x:v>
      </x:c>
      <x:c r="K519" s="100" t="n">
        <x:v>24791.47</x:v>
      </x:c>
      <x:c r="L519" s="100" t="n">
        <x:v>0</x:v>
      </x:c>
      <x:c r="M519" s="100" t="n">
        <x:v>216275.82</x:v>
      </x:c>
      <x:c r="N519" s="100" t="n">
        <x:v>193832.13</x:v>
      </x:c>
      <x:c r="O519" s="100" t="n">
        <x:v>850960.1</x:v>
      </x:c>
      <x:c r="P519" s="100" t="n">
        <x:v>653864.29</x:v>
      </x:c>
      <x:c r="Q519" s="100" t="n">
        <x:v>40458.46</x:v>
      </x:c>
      <x:c r="R519" s="100" t="n">
        <x:v>-1.29</x:v>
      </x:c>
      <x:c r="S519" s="100" t="n">
        <x:v>-0.01</x:v>
      </x:c>
      <x:c r="T519" s="226" t="n">
        <x:v>1.31</x:v>
      </x:c>
      <x:c r="U519" s="226">
        <x:v>0</x:v>
      </x:c>
      <x:c r="V519" s="226">
        <x:v>0</x:v>
      </x:c>
      <x:c r="W519" s="226">
        <x:v>0</x:v>
      </x:c>
      <x:c r="X519" s="226">
        <x:v>0</x:v>
      </x:c>
      <x:c r="Y519" s="226">
        <x:v>0</x:v>
      </x:c>
      <x:c r="Z519" s="226" t="n">
        <x:v>-37.26</x:v>
      </x:c>
    </x:row>
    <x:row r="520" spans="1:26" ht="13.5" customHeight="1" x14ac:dyDescent="0.25">
      <x:c r="A520"/>
      <x:c r="B520"/>
      <x:c r="C520"/>
      <x:c r="D520" t="inlineStr">
        <x:is>
          <x:t>O</x:t>
        </x:is>
      </x:c>
      <x:c r="E520" s="89" t="inlineStr">
        <x:is>
          <x:t>Total</x:t>
        </x:is>
      </x:c>
      <x:c r="F520" s="90" t="n">
        <x:v>37256411.07</x:v>
      </x:c>
      <x:c r="G520" s="90" t="n">
        <x:v>2422781.09</x:v>
      </x:c>
      <x:c r="H520" s="90" t="n">
        <x:v>1249586.68</x:v>
      </x:c>
      <x:c r="I520" s="90" t="n">
        <x:v>656706.42</x:v>
      </x:c>
      <x:c r="J520" s="90" t="n">
        <x:v>4980897.36</x:v>
      </x:c>
      <x:c r="K520" s="90" t="n">
        <x:v>322905.42</x:v>
      </x:c>
      <x:c r="L520" s="90" t="n">
        <x:v>0</x:v>
      </x:c>
      <x:c r="M520" s="90" t="n">
        <x:v>2825001.12</x:v>
      </x:c>
      <x:c r="N520" s="90" t="n">
        <x:v>2849976.72</x:v>
      </x:c>
      <x:c r="O520" s="90" t="n">
        <x:v>14208738.11</x:v>
      </x:c>
      <x:c r="P520" s="90" t="n">
        <x:v>7212117.9</x:v>
      </x:c>
      <x:c r="Q520" s="90" t="n">
        <x:v>528360.91</x:v>
      </x:c>
      <x:c r="R520" s="90" t="n">
        <x:v>-624.7</x:v>
      </x:c>
      <x:c r="S520" s="90" t="n">
        <x:v>-0.01</x:v>
      </x:c>
      <x:c r="T520" t="n">
        <x:v>1.31</x:v>
      </x:c>
      <x:c r="U520">
        <x:v>0</x:v>
      </x:c>
      <x:c r="V520">
        <x:v>0</x:v>
      </x:c>
      <x:c r="W520">
        <x:v>0</x:v>
      </x:c>
      <x:c r="X520">
        <x:v>0</x:v>
      </x:c>
      <x:c r="Y520">
        <x:v>0</x:v>
      </x:c>
      <x:c r="Z520" t="n">
        <x:v>-37.26</x:v>
      </x:c>
    </x:row>
    <x:row r="521" spans="1:26" ht="13.5" customHeight="1" x14ac:dyDescent="0.25">
      <x:c r="A521"/>
      <x:c r="B521"/>
      <x:c r="C521"/>
      <x:c r="D521"/>
      <x:c r="E521" s="89" t="inlineStr">
        <x:is>
          <x:t>Vlr Servicio</x:t>
        </x:is>
      </x:c>
      <x:c r="F521" s="90" t="n">
        <x:v>181087455.68</x:v>
      </x:c>
      <x:c r="G521" s="90" t="n">
        <x:v>27337307.19</x:v>
      </x:c>
      <x:c r="H521" s="90" t="n">
        <x:v>14979667.26</x:v>
      </x:c>
      <x:c r="I521" s="90" t="n">
        <x:v>7934140.26</x:v>
      </x:c>
      <x:c r="J521" s="90" t="n">
        <x:v>12054153.65</x:v>
      </x:c>
      <x:c r="K521" s="90" t="n">
        <x:v>398857.18</x:v>
      </x:c>
      <x:c r="L521" s="90" t="n">
        <x:v>1379993.45</x:v>
      </x:c>
      <x:c r="M521" s="90" t="n">
        <x:v>3522375.6</x:v>
      </x:c>
      <x:c r="N521" s="90" t="n">
        <x:v>4801079.3</x:v>
      </x:c>
      <x:c r="O521" s="90" t="n">
        <x:v>25599878.55</x:v>
      </x:c>
      <x:c r="P521" s="90" t="n">
        <x:v>82408783.94</x:v>
      </x:c>
      <x:c r="Q521" s="90" t="n">
        <x:v>673031</x:v>
      </x:c>
      <x:c r="R521" s="90" t="n">
        <x:v>-1811.7</x:v>
      </x:c>
      <x:c r="S521" s="90" t="n">
        <x:v>0</x:v>
      </x:c>
      <x:c r="T521" t="n">
        <x:v>0</x:v>
      </x:c>
      <x:c r="U521">
        <x:v>0</x:v>
      </x:c>
      <x:c r="V521">
        <x:v>0</x:v>
      </x:c>
      <x:c r="W521">
        <x:v>0</x:v>
      </x:c>
      <x:c r="X521">
        <x:v>0</x:v>
      </x:c>
      <x:c r="Y521">
        <x:v>0</x:v>
      </x:c>
      <x:c r="Z521" t="n">
        <x:v>0</x:v>
      </x:c>
    </x:row>
    <x:row r="522" spans="1:26" ht="13.5" customHeight="1" x14ac:dyDescent="0.25">
      <x:c r="A522"/>
      <x:c r="B522"/>
      <x:c r="C522"/>
      <x:c r="D522"/>
      <x:c r="E522" s="89" t="inlineStr">
        <x:is>
          <x:t>Vlr Intereses</x:t>
        </x:is>
      </x:c>
      <x:c r="F522" s="90" t="n">
        <x:v>8730783.56</x:v>
      </x:c>
      <x:c r="G522" s="90" t="n">
        <x:v>1669374.17</x:v>
      </x:c>
      <x:c r="H522" s="90" t="n">
        <x:v>770016.19</x:v>
      </x:c>
      <x:c r="I522" s="90" t="n">
        <x:v>421169.91</x:v>
      </x:c>
      <x:c r="J522" s="90" t="n">
        <x:v>273807.68</x:v>
      </x:c>
      <x:c r="K522" s="90" t="n">
        <x:v>8031.95</x:v>
      </x:c>
      <x:c r="L522" s="90" t="n">
        <x:v>0</x:v>
      </x:c>
      <x:c r="M522" s="90" t="n">
        <x:v>71780.37</x:v>
      </x:c>
      <x:c r="N522" s="90" t="n">
        <x:v>90025.35</x:v>
      </x:c>
      <x:c r="O522" s="90" t="n">
        <x:v>454389.02</x:v>
      </x:c>
      <x:c r="P522" s="90" t="n">
        <x:v>4958686.91</x:v>
      </x:c>
      <x:c r="Q522" s="90" t="n">
        <x:v>13500.5</x:v>
      </x:c>
      <x:c r="R522" s="90" t="n">
        <x:v>1.63</x:v>
      </x:c>
      <x:c r="S522" s="90" t="n">
        <x:v>-0.12</x:v>
      </x:c>
      <x:c r="T522" t="n">
        <x:v>0</x:v>
      </x:c>
      <x:c r="U522">
        <x:v>0</x:v>
      </x:c>
      <x:c r="V522">
        <x:v>0</x:v>
      </x:c>
      <x:c r="W522">
        <x:v>0</x:v>
      </x:c>
      <x:c r="X522">
        <x:v>0</x:v>
      </x:c>
      <x:c r="Y522">
        <x:v>0</x:v>
      </x:c>
      <x:c r="Z522" t="n">
        <x:v>0</x:v>
      </x:c>
    </x:row>
    <x:row r="523" spans="1:26" ht="13.5" customHeight="1" x14ac:dyDescent="0.25">
      <x:c r="A523"/>
      <x:c r="B523"/>
      <x:c r="C523"/>
      <x:c r="D523" t="inlineStr">
        <x:is>
          <x:t>T</x:t>
        </x:is>
      </x:c>
      <x:c r="E523" s="89" t="inlineStr">
        <x:is>
          <x:t>Total</x:t>
        </x:is>
      </x:c>
      <x:c r="F523" s="90" t="n">
        <x:v>189818239.24</x:v>
      </x:c>
      <x:c r="G523" s="90" t="n">
        <x:v>29006681.36</x:v>
      </x:c>
      <x:c r="H523" s="90" t="n">
        <x:v>15749683.45</x:v>
      </x:c>
      <x:c r="I523" s="90" t="n">
        <x:v>8355310.17</x:v>
      </x:c>
      <x:c r="J523" s="90" t="n">
        <x:v>12327961.33</x:v>
      </x:c>
      <x:c r="K523" s="90" t="n">
        <x:v>406889.13</x:v>
      </x:c>
      <x:c r="L523" s="90" t="n">
        <x:v>1379993.45</x:v>
      </x:c>
      <x:c r="M523" s="90" t="n">
        <x:v>3594155.97</x:v>
      </x:c>
      <x:c r="N523" s="90" t="n">
        <x:v>4891104.65</x:v>
      </x:c>
      <x:c r="O523" s="90" t="n">
        <x:v>26054267.57</x:v>
      </x:c>
      <x:c r="P523" s="90" t="n">
        <x:v>87367470.85</x:v>
      </x:c>
      <x:c r="Q523" s="90" t="n">
        <x:v>686531.5</x:v>
      </x:c>
      <x:c r="R523" s="90" t="n">
        <x:v>-1810.07</x:v>
      </x:c>
      <x:c r="S523" s="90" t="n">
        <x:v>-0.12</x:v>
      </x:c>
      <x:c r="T523" t="n">
        <x:v>0</x:v>
      </x:c>
      <x:c r="U523">
        <x:v>0</x:v>
      </x:c>
      <x:c r="V523">
        <x:v>0</x:v>
      </x:c>
      <x:c r="W523">
        <x:v>0</x:v>
      </x:c>
      <x:c r="X523">
        <x:v>0</x:v>
      </x:c>
      <x:c r="Y523">
        <x:v>0</x:v>
      </x:c>
      <x:c r="Z523" t="n">
        <x:v>0</x:v>
      </x:c>
    </x:row>
    <x:row r="524" spans="1:26" ht="13.5" customHeight="1" x14ac:dyDescent="0.25">
      <x:c r="A524"/>
      <x:c r="B524"/>
      <x:c r="C524" t="inlineStr">
        <x:is>
          <x:t>OCCIDENTE</x:t>
        </x:is>
      </x:c>
      <x:c r="D524" t="inlineStr">
        <x:is>
          <x:t>Total</x:t>
        </x:is>
      </x:c>
      <x:c r="E524" s="89"/>
      <x:c r="F524" s="90" t="n">
        <x:v>252982826.29</x:v>
      </x:c>
      <x:c r="G524" s="90" t="n">
        <x:v>32909039.86</x:v>
      </x:c>
      <x:c r="H524" s="90" t="n">
        <x:v>17816770.33</x:v>
      </x:c>
      <x:c r="I524" s="90" t="n">
        <x:v>9444638.91</x:v>
      </x:c>
      <x:c r="J524" s="90" t="n">
        <x:v>21484970.7</x:v>
      </x:c>
      <x:c r="K524" s="90" t="n">
        <x:v>898786.13</x:v>
      </x:c>
      <x:c r="L524" s="90" t="n">
        <x:v>1379993.45</x:v>
      </x:c>
      <x:c r="M524" s="90" t="n">
        <x:v>7902601.29</x:v>
      </x:c>
      <x:c r="N524" s="90" t="n">
        <x:v>9737887.87</x:v>
      </x:c>
      <x:c r="O524" s="90" t="n">
        <x:v>50910179.04</x:v>
      </x:c>
      <x:c r="P524" s="90" t="n">
        <x:v>98997212.26</x:v>
      </x:c>
      <x:c r="Q524" s="90" t="n">
        <x:v>1503672.58</x:v>
      </x:c>
      <x:c r="R524" s="90" t="n">
        <x:v>-2891</x:v>
      </x:c>
      <x:c r="S524" s="90" t="n">
        <x:v>0.03</x:v>
      </x:c>
      <x:c r="T524" t="n">
        <x:v>2.1</x:v>
      </x:c>
      <x:c r="U524">
        <x:v>0</x:v>
      </x:c>
      <x:c r="V524">
        <x:v>0</x:v>
      </x:c>
      <x:c r="W524">
        <x:v>0</x:v>
      </x:c>
      <x:c r="X524">
        <x:v>0</x:v>
      </x:c>
      <x:c r="Y524">
        <x:v>0</x:v>
      </x:c>
      <x:c r="Z524" t="n">
        <x:v>-37.26</x:v>
      </x:c>
    </x:row>
    <x:row r="525" spans="1:26" s="94" customFormat="1" ht="12.75" customHeight="1" x14ac:dyDescent="0.25">
      <x:c r="A525" s="101"/>
      <x:c r="B525" s="101" t="inlineStr">
        <x:is>
          <x:t>Mes</x:t>
        </x:is>
      </x:c>
      <x:c r="C525" s="94" t="inlineStr">
        <x:is>
          <x:t>Total</x:t>
        </x:is>
      </x:c>
      <x:c r="D525" s="94"/>
      <x:c r="E525"/>
      <x:c r="F525" s="93" t="n">
        <x:v>13546791673.78</x:v>
      </x:c>
      <x:c r="G525" s="93" t="n">
        <x:v>723047743.85</x:v>
      </x:c>
      <x:c r="H525" s="93" t="n">
        <x:v>406879185.14</x:v>
      </x:c>
      <x:c r="I525" s="93" t="n">
        <x:v>213999821</x:v>
      </x:c>
      <x:c r="J525" s="93" t="n">
        <x:v>3003714587.36</x:v>
      </x:c>
      <x:c r="K525" s="93" t="n">
        <x:v>109275847.58</x:v>
      </x:c>
      <x:c r="L525" s="93" t="n">
        <x:v>10318778.96</x:v>
      </x:c>
      <x:c r="M525" s="93" t="n">
        <x:v>958208604.08</x:v>
      </x:c>
      <x:c r="N525" s="93" t="n">
        <x:v>930732178.27</x:v>
      </x:c>
      <x:c r="O525" s="93" t="n">
        <x:v>4826527014.25</x:v>
      </x:c>
      <x:c r="P525" s="93" t="n">
        <x:v>2185822855.72</x:v>
      </x:c>
      <x:c r="Q525" s="93" t="n">
        <x:v>178370872.76</x:v>
      </x:c>
      <x:c r="R525" s="93" t="n">
        <x:v>-105785.99</x:v>
      </x:c>
      <x:c r="S525" s="93" t="n">
        <x:v>0.58</x:v>
      </x:c>
      <x:c r="T525" s="94" t="n">
        <x:v>7.48</x:v>
      </x:c>
      <x:c r="U525" s="94">
        <x:v>0</x:v>
      </x:c>
      <x:c r="V525" s="94">
        <x:v>0</x:v>
      </x:c>
      <x:c r="W525" s="94">
        <x:v>0</x:v>
      </x:c>
      <x:c r="X525" s="94">
        <x:v>0</x:v>
      </x:c>
      <x:c r="Y525" s="94">
        <x:v>0</x:v>
      </x:c>
      <x:c r="Z525" s="94" t="n">
        <x:v>-37.26</x:v>
      </x:c>
    </x:row>
    <x:row r="526" spans="1:26" s="378" customFormat="1" ht="12.75" customHeight="1" x14ac:dyDescent="0.25">
      <x:c r="A526" s="376" t="inlineStr">
        <x:is>
          <x:t>Componente</x:t>
        </x:is>
      </x:c>
      <x:c r="B526" s="376" t="inlineStr">
        <x:is>
          <x:t>Total</x:t>
        </x:is>
      </x:c>
      <x:c r="C526" s="378"/>
      <x:c r="D526"/>
      <x:c r="E526"/>
      <x:c r="F526" s="711" t="n">
        <x:v>13548458180.32</x:v>
      </x:c>
      <x:c r="G526" s="378" t="n">
        <x:v>723137195.34</x:v>
      </x:c>
      <x:c r="H526" s="377" t="n">
        <x:v>406929388.5</x:v>
      </x:c>
      <x:c r="I526" s="377" t="n">
        <x:v>214026285.2</x:v>
      </x:c>
      <x:c r="J526" s="377" t="n">
        <x:v>3004086569.09</x:v>
      </x:c>
      <x:c r="K526" s="377" t="n">
        <x:v>109289218.36</x:v>
      </x:c>
      <x:c r="L526" s="377" t="n">
        <x:v>10318778.96</x:v>
      </x:c>
      <x:c r="M526" s="377" t="n">
        <x:v>958325896.38</x:v>
      </x:c>
      <x:c r="N526" s="377" t="n">
        <x:v>930847455.81</x:v>
      </x:c>
      <x:c r="O526" s="377" t="n">
        <x:v>4827118942.85</x:v>
      </x:c>
      <x:c r="P526" s="377" t="n">
        <x:v>2186091518.76</x:v>
      </x:c>
      <x:c r="Q526" s="377" t="n">
        <x:v>178392689.24</x:v>
      </x:c>
      <x:c r="R526" s="377" t="n">
        <x:v>-105728.97</x:v>
      </x:c>
      <x:c r="S526" s="377" t="n">
        <x:v>0.58</x:v>
      </x:c>
      <x:c r="T526" s="378" t="n">
        <x:v>7.48</x:v>
      </x:c>
      <x:c r="U526" s="378">
        <x:v>0</x:v>
      </x:c>
      <x:c r="V526" s="378">
        <x:v>0</x:v>
      </x:c>
      <x:c r="W526" s="378">
        <x:v>0</x:v>
      </x:c>
      <x:c r="X526" s="378">
        <x:v>0</x:v>
      </x:c>
      <x:c r="Y526" s="378">
        <x:v>0</x:v>
      </x:c>
      <x:c r="Z526" s="378" t="n">
        <x:v>-37.26</x:v>
      </x:c>
    </x:row>
    <x:row r="527" spans="1:26" ht="12.75" customHeight="1" x14ac:dyDescent="0.25">
      <x:c r="A527"/>
      <x:c r="B527"/>
      <x:c r="C527"/>
      <x:c r="D527"/>
      <x:c r="E527" s="89" t="inlineStr">
        <x:is>
          <x:t>Subsidio(-)/Contribucion(+)</x:t>
        </x:is>
      </x:c>
      <x:c r="F527" s="371" t="n">
        <x:v>-211354.94</x:v>
      </x:c>
      <x:c r="G527" s="90" t="n">
        <x:v>-10982.4</x:v>
      </x:c>
      <x:c r="H527" s="90" t="n">
        <x:v>-6155.02</x:v>
      </x:c>
      <x:c r="I527" s="90" t="n">
        <x:v>-3254.64</x:v>
      </x:c>
      <x:c r="J527" s="90" t="n">
        <x:v>-47855.73</x:v>
      </x:c>
      <x:c r="K527" s="90" t="n">
        <x:v>-1726.4</x:v>
      </x:c>
      <x:c r="L527" s="90" t="n">
        <x:v>0</x:v>
      </x:c>
      <x:c r="M527" s="90" t="n">
        <x:v>-15143.54</x:v>
      </x:c>
      <x:c r="N527" s="90" t="n">
        <x:v>-14757.59</x:v>
      </x:c>
      <x:c r="O527" s="90" t="n">
        <x:v>-75637.5</x:v>
      </x:c>
      <x:c r="P527" s="90" t="n">
        <x:v>-33025.42</x:v>
      </x:c>
      <x:c r="Q527" s="90" t="n">
        <x:v>-2816.7</x:v>
      </x:c>
      <x:c r="R527" s="90" t="n">
        <x:v>0</x:v>
      </x:c>
      <x:c r="S527" s="90" t="n">
        <x:v>0</x:v>
      </x:c>
      <x:c r="T527" t="n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t="n">
        <x:v>0</x:v>
      </x:c>
    </x:row>
    <x:row r="528" spans="1:26" ht="12.75" customHeight="1" x14ac:dyDescent="0.25">
      <x:c r="A528"/>
      <x:c r="B528"/>
      <x:c r="C528"/>
      <x:c r="D528" t="inlineStr">
        <x:is>
          <x:t>H</x:t>
        </x:is>
      </x:c>
      <x:c r="E528" s="89" t="inlineStr">
        <x:is>
          <x:t>Total</x:t>
        </x:is>
      </x:c>
      <x:c r="F528" s="371" t="n">
        <x:v>-211354.94</x:v>
      </x:c>
      <x:c r="G528" s="90" t="n">
        <x:v>-10982.4</x:v>
      </x:c>
      <x:c r="H528" s="90" t="n">
        <x:v>-6155.02</x:v>
      </x:c>
      <x:c r="I528" s="90" t="n">
        <x:v>-3254.64</x:v>
      </x:c>
      <x:c r="J528" s="90" t="n">
        <x:v>-47855.73</x:v>
      </x:c>
      <x:c r="K528" s="90" t="n">
        <x:v>-1726.4</x:v>
      </x:c>
      <x:c r="L528" s="90" t="n">
        <x:v>0</x:v>
      </x:c>
      <x:c r="M528" s="90" t="n">
        <x:v>-15143.54</x:v>
      </x:c>
      <x:c r="N528" s="90" t="n">
        <x:v>-14757.59</x:v>
      </x:c>
      <x:c r="O528" s="90" t="n">
        <x:v>-75637.5</x:v>
      </x:c>
      <x:c r="P528" s="90" t="n">
        <x:v>-33025.42</x:v>
      </x:c>
      <x:c r="Q528" s="90" t="n">
        <x:v>-2816.7</x:v>
      </x:c>
      <x:c r="R528" s="90" t="n">
        <x:v>0</x:v>
      </x:c>
      <x:c r="S528" s="90" t="n">
        <x:v>0</x:v>
      </x:c>
      <x:c r="T528" t="n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t="n">
        <x:v>0</x:v>
      </x:c>
    </x:row>
    <x:row r="529" spans="1:26" s="657" customFormat="1" ht="12.75" customHeight="1" x14ac:dyDescent="0.25">
      <x:c r="A529" s="658"/>
      <x:c r="B529" s="658"/>
      <x:c r="C529" s="657"/>
      <x:c r="D529" s="657"/>
      <x:c r="E529" t="inlineStr">
        <x:is>
          <x:t>Subsidio(-)/Contribucion(+)</x:t>
        </x:is>
      </x:c>
      <x:c r="F529" s="659" t="n">
        <x:v>-32262.93</x:v>
      </x:c>
      <x:c r="G529" s="659" t="n">
        <x:v>-1692.72</x:v>
      </x:c>
      <x:c r="H529" s="659" t="n">
        <x:v>-948.43</x:v>
      </x:c>
      <x:c r="I529" s="659" t="n">
        <x:v>-501.64</x:v>
      </x:c>
      <x:c r="J529" s="659" t="n">
        <x:v>-7282.76</x:v>
      </x:c>
      <x:c r="K529" s="659" t="n">
        <x:v>-262.72</x:v>
      </x:c>
      <x:c r="L529" s="659" t="n">
        <x:v>0</x:v>
      </x:c>
      <x:c r="M529" s="659" t="n">
        <x:v>-2304.45</x:v>
      </x:c>
      <x:c r="N529" s="659" t="n">
        <x:v>-2246.08</x:v>
      </x:c>
      <x:c r="O529" s="659" t="n">
        <x:v>-11507.31</x:v>
      </x:c>
      <x:c r="P529" s="659" t="n">
        <x:v>-5088.19</x:v>
      </x:c>
      <x:c r="Q529" s="659" t="n">
        <x:v>-428.63</x:v>
      </x:c>
      <x:c r="R529" s="659" t="n">
        <x:v>0</x:v>
      </x:c>
      <x:c r="S529" s="659" t="n">
        <x:v>0</x:v>
      </x:c>
      <x:c r="T529" s="657" t="n">
        <x:v>0</x:v>
      </x:c>
      <x:c r="U529" s="657">
        <x:v>0</x:v>
      </x:c>
      <x:c r="V529" s="657">
        <x:v>0</x:v>
      </x:c>
      <x:c r="W529" s="657">
        <x:v>0</x:v>
      </x:c>
      <x:c r="X529" s="657">
        <x:v>0</x:v>
      </x:c>
      <x:c r="Y529" s="657">
        <x:v>0</x:v>
      </x:c>
      <x:c r="Z529" s="657" t="n">
        <x:v>0</x:v>
      </x:c>
    </x:row>
    <x:row r="530" spans="1:26" ht="12.75" customHeight="1" x14ac:dyDescent="0.25">
      <x:c r="A530"/>
      <x:c r="B530"/>
      <x:c r="C530"/>
      <x:c r="D530" t="inlineStr">
        <x:is>
          <x:t>O</x:t>
        </x:is>
      </x:c>
      <x:c r="E530" s="89" t="inlineStr">
        <x:is>
          <x:t>Total</x:t>
        </x:is>
      </x:c>
      <x:c r="F530" s="371" t="n">
        <x:v>-32262.93</x:v>
      </x:c>
      <x:c r="G530" s="90" t="n">
        <x:v>-1692.72</x:v>
      </x:c>
      <x:c r="H530" s="90" t="n">
        <x:v>-948.43</x:v>
      </x:c>
      <x:c r="I530" s="90" t="n">
        <x:v>-501.64</x:v>
      </x:c>
      <x:c r="J530" s="90" t="n">
        <x:v>-7282.76</x:v>
      </x:c>
      <x:c r="K530" s="90" t="n">
        <x:v>-262.72</x:v>
      </x:c>
      <x:c r="L530" s="90" t="n">
        <x:v>0</x:v>
      </x:c>
      <x:c r="M530" s="90" t="n">
        <x:v>-2304.45</x:v>
      </x:c>
      <x:c r="N530" s="90" t="n">
        <x:v>-2246.08</x:v>
      </x:c>
      <x:c r="O530" s="90" t="n">
        <x:v>-11507.31</x:v>
      </x:c>
      <x:c r="P530" s="90" t="n">
        <x:v>-5088.19</x:v>
      </x:c>
      <x:c r="Q530" s="90" t="n">
        <x:v>-428.63</x:v>
      </x:c>
      <x:c r="R530" s="90" t="n">
        <x:v>0</x:v>
      </x:c>
      <x:c r="S530" s="90" t="n">
        <x:v>0</x:v>
      </x:c>
      <x:c r="T530" t="n">
        <x:v>0</x:v>
      </x:c>
      <x:c r="U530">
        <x:v>0</x:v>
      </x:c>
      <x:c r="V530">
        <x:v>0</x:v>
      </x:c>
      <x:c r="W530">
        <x:v>0</x:v>
      </x:c>
      <x:c r="X530">
        <x:v>0</x:v>
      </x:c>
      <x:c r="Y530">
        <x:v>0</x:v>
      </x:c>
      <x:c r="Z530" t="n">
        <x:v>0</x:v>
      </x:c>
    </x:row>
    <x:row r="531" spans="1:26" ht="12.75" customHeight="1" x14ac:dyDescent="0.25">
      <x:c r="A531"/>
      <x:c r="B531"/>
      <x:c r="C531"/>
      <x:c r="D531"/>
      <x:c r="E531" s="89" t="inlineStr">
        <x:is>
          <x:t>Subsidio(-)/Contribucion(+)</x:t>
        </x:is>
      </x:c>
      <x:c r="F531" s="371" t="n">
        <x:v>-173078.67</x:v>
      </x:c>
      <x:c r="G531" s="90" t="n">
        <x:v>-8484.78</x:v>
      </x:c>
      <x:c r="H531" s="90" t="n">
        <x:v>-4752.31</x:v>
      </x:c>
      <x:c r="I531" s="90" t="n">
        <x:v>-2507.28</x:v>
      </x:c>
      <x:c r="J531" s="90" t="n">
        <x:v>-39622.8</x:v>
      </x:c>
      <x:c r="K531" s="90" t="n">
        <x:v>-1450.79</x:v>
      </x:c>
      <x:c r="L531" s="90" t="n">
        <x:v>0</x:v>
      </x:c>
      <x:c r="M531" s="90" t="n">
        <x:v>-12725.8</x:v>
      </x:c>
      <x:c r="N531" s="90" t="n">
        <x:v>-12429.48</x:v>
      </x:c>
      <x:c r="O531" s="90" t="n">
        <x:v>-63451.18</x:v>
      </x:c>
      <x:c r="P531" s="90" t="n">
        <x:v>-25287.26</x:v>
      </x:c>
      <x:c r="Q531" s="90" t="n">
        <x:v>-2366.99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>
        <x:v>0</x:v>
      </x:c>
      <x:c r="Z531" t="n">
        <x:v>0</x:v>
      </x:c>
    </x:row>
    <x:row r="532" spans="1:26" s="740" customFormat="1" ht="12.75" customHeight="1" x14ac:dyDescent="0.25">
      <x:c r="A532"/>
      <x:c r="B532"/>
      <x:c r="C532" s="740"/>
      <x:c r="D532" s="740" t="inlineStr">
        <x:is>
          <x:t>T</x:t>
        </x:is>
      </x:c>
      <x:c r="E532" s="231" t="inlineStr">
        <x:is>
          <x:t>Total</x:t>
        </x:is>
      </x:c>
      <x:c r="F532" s="741" t="n">
        <x:v>-173078.67</x:v>
      </x:c>
      <x:c r="G532" s="232" t="n">
        <x:v>-8484.78</x:v>
      </x:c>
      <x:c r="H532" s="232" t="n">
        <x:v>-4752.31</x:v>
      </x:c>
      <x:c r="I532" s="232" t="n">
        <x:v>-2507.28</x:v>
      </x:c>
      <x:c r="J532" s="232" t="n">
        <x:v>-39622.8</x:v>
      </x:c>
      <x:c r="K532" s="232" t="n">
        <x:v>-1450.79</x:v>
      </x:c>
      <x:c r="L532" s="232" t="n">
        <x:v>0</x:v>
      </x:c>
      <x:c r="M532" s="232" t="n">
        <x:v>-12725.8</x:v>
      </x:c>
      <x:c r="N532" s="232" t="n">
        <x:v>-12429.48</x:v>
      </x:c>
      <x:c r="O532" s="232" t="n">
        <x:v>-63451.18</x:v>
      </x:c>
      <x:c r="P532" s="232" t="n">
        <x:v>-25287.26</x:v>
      </x:c>
      <x:c r="Q532" s="232" t="n">
        <x:v>-2366.99</x:v>
      </x:c>
      <x:c r="R532" s="232" t="n">
        <x:v>0</x:v>
      </x:c>
      <x:c r="S532" s="232" t="n">
        <x:v>0</x:v>
      </x:c>
      <x:c r="T532" s="740" t="n">
        <x:v>0</x:v>
      </x:c>
      <x:c r="U532" s="740">
        <x:v>0</x:v>
      </x:c>
      <x:c r="V532" s="740">
        <x:v>0</x:v>
      </x:c>
      <x:c r="W532" s="740">
        <x:v>0</x:v>
      </x:c>
      <x:c r="X532" s="740">
        <x:v>0</x:v>
      </x:c>
      <x:c r="Y532" s="740">
        <x:v>0</x:v>
      </x:c>
      <x:c r="Z532" s="740" t="n">
        <x:v>0</x:v>
      </x:c>
    </x:row>
    <x:row r="533" spans="1:41" ht="12.75" customHeight="1" x14ac:dyDescent="0.25">
      <x:c r="A533"/>
      <x:c r="B533"/>
      <x:c r="C533" t="inlineStr">
        <x:is>
          <x:t>OCCIDENTE</x:t>
        </x:is>
      </x:c>
      <x:c r="D533" t="inlineStr">
        <x:is>
          <x:t>Total</x:t>
        </x:is>
      </x:c>
      <x:c r="E533" s="89"/>
      <x:c r="F533" s="371" t="n">
        <x:v>-416696.54</x:v>
      </x:c>
      <x:c r="G533" s="90" t="n">
        <x:v>-21159.9</x:v>
      </x:c>
      <x:c r="H533" s="90" t="n">
        <x:v>-11855.76</x:v>
      </x:c>
      <x:c r="I533" s="90" t="n">
        <x:v>-6263.56</x:v>
      </x:c>
      <x:c r="J533" s="90" t="n">
        <x:v>-94761.29</x:v>
      </x:c>
      <x:c r="K533" s="90" t="n">
        <x:v>-3439.91</x:v>
      </x:c>
      <x:c r="L533" s="90" t="n">
        <x:v>0</x:v>
      </x:c>
      <x:c r="M533" s="90" t="n">
        <x:v>-30173.79</x:v>
      </x:c>
      <x:c r="N533" s="90" t="n">
        <x:v>-29433.15</x:v>
      </x:c>
      <x:c r="O533" s="90" t="n">
        <x:v>-150595.99</x:v>
      </x:c>
      <x:c r="P533" s="90" t="n">
        <x:v>-63400.87</x:v>
      </x:c>
      <x:c r="Q533" s="90" t="n">
        <x:v>-5612.32</x:v>
      </x:c>
      <x:c r="R533" s="90" t="n">
        <x:v>0</x:v>
      </x:c>
      <x:c r="S533" s="90" t="n">
        <x:v>0</x:v>
      </x:c>
      <x:c r="T533" t="n">
        <x:v>0</x:v>
      </x:c>
      <x:c r="U533">
        <x:v>0</x:v>
      </x:c>
      <x:c r="V533">
        <x:v>0</x:v>
      </x:c>
      <x:c r="W533">
        <x:v>0</x:v>
      </x:c>
      <x:c r="X533">
        <x:v>0</x:v>
      </x:c>
      <x:c r="Y533">
        <x:v>0</x:v>
      </x:c>
      <x:c r="Z533" t="n">
        <x:v>0</x:v>
      </x:c>
    </x:row>
    <x:row r="534" spans="1:41" ht="12.75" customHeight="1" x14ac:dyDescent="0.25">
      <x:c r="A534"/>
      <x:c r="B534" t="inlineStr">
        <x:is>
          <x:t>Aplicacion nuevos x reversion</x:t>
        </x:is>
      </x:c>
      <x:c r="C534" t="inlineStr">
        <x:is>
          <x:t>Total</x:t>
        </x:is>
      </x:c>
      <x:c r="D534" s="89"/>
      <x:c r="E534" s="89"/>
      <x:c r="F534" s="90" t="n">
        <x:v>-416696.54</x:v>
      </x:c>
      <x:c r="G534" s="90" t="n">
        <x:v>-21159.9</x:v>
      </x:c>
      <x:c r="H534" s="90" t="n">
        <x:v>-11855.76</x:v>
      </x:c>
      <x:c r="I534" s="90" t="n">
        <x:v>-6263.56</x:v>
      </x:c>
      <x:c r="J534" s="90" t="n">
        <x:v>-94761.29</x:v>
      </x:c>
      <x:c r="K534" s="90" t="n">
        <x:v>-3439.91</x:v>
      </x:c>
      <x:c r="L534" s="90" t="n">
        <x:v>0</x:v>
      </x:c>
      <x:c r="M534" s="90" t="n">
        <x:v>-30173.79</x:v>
      </x:c>
      <x:c r="N534" s="90" t="n">
        <x:v>-29433.15</x:v>
      </x:c>
      <x:c r="O534" s="90" t="n">
        <x:v>-150595.99</x:v>
      </x:c>
      <x:c r="P534" s="90" t="n">
        <x:v>-63400.87</x:v>
      </x:c>
      <x:c r="Q534" s="90" t="n">
        <x:v>-5612.32</x:v>
      </x:c>
      <x:c r="R534" s="90" t="n">
        <x:v>0</x:v>
      </x:c>
      <x:c r="S534" s="90" t="n">
        <x:v>0</x:v>
      </x:c>
      <x:c r="T534" t="n">
        <x:v>0</x:v>
      </x:c>
      <x:c r="U534">
        <x:v>0</x:v>
      </x:c>
      <x:c r="V534">
        <x:v>0</x:v>
      </x:c>
      <x:c r="W534">
        <x:v>0</x:v>
      </x:c>
      <x:c r="X534">
        <x:v>0</x:v>
      </x:c>
      <x:c r="Y534">
        <x:v>0</x:v>
      </x:c>
      <x:c r="Z534" t="n">
        <x:v>0</x:v>
      </x:c>
    </x:row>
    <x:row r="535" spans="1:41" ht="12.75" customHeight="1" x14ac:dyDescent="0.25">
      <x:c r="A535"/>
      <x:c r="B535"/>
      <x:c r="C535"/>
      <x:c r="D535"/>
      <x:c r="E535" s="89" t="inlineStr">
        <x:is>
          <x:t>Subsidio(-)/Contribucion(+)</x:t>
        </x:is>
      </x:c>
      <x:c r="F535" s="90" t="n">
        <x:v>-1503008743.39</x:v>
      </x:c>
      <x:c r="G535" s="90" t="n">
        <x:v>-51719362.51</x:v>
      </x:c>
      <x:c r="H535" s="90" t="n">
        <x:v>-29217746.4</x:v>
      </x:c>
      <x:c r="I535" s="90" t="n">
        <x:v>-15317788.73</x:v>
      </x:c>
      <x:c r="J535" s="90" t="n">
        <x:v>-377999871.65</x:v>
      </x:c>
      <x:c r="K535" s="90" t="n">
        <x:v>-13619861.1</x:v>
      </x:c>
      <x:c r="L535" s="90" t="n">
        <x:v>0</x:v>
      </x:c>
      <x:c r="M535" s="90" t="n">
        <x:v>-119487553.37</x:v>
      </x:c>
      <x:c r="N535" s="90" t="n">
        <x:v>-116529083.1</x:v>
      </x:c>
      <x:c r="O535" s="90" t="n">
        <x:v>-601164335.61</x:v>
      </x:c>
      <x:c r="P535" s="90" t="n">
        <x:v>-155731761.06</x:v>
      </x:c>
      <x:c r="Q535" s="90" t="n">
        <x:v>-22221379.86</x:v>
      </x:c>
      <x:c r="R535" s="90" t="n">
        <x:v>0</x:v>
      </x:c>
      <x:c r="S535" s="90" t="n">
        <x:v>0</x:v>
      </x:c>
      <x:c r="T535" t="n">
        <x:v>0</x:v>
      </x:c>
      <x:c r="U535">
        <x:v>0</x:v>
      </x:c>
      <x:c r="V535">
        <x:v>0</x:v>
      </x:c>
      <x:c r="W535">
        <x:v>0</x:v>
      </x:c>
      <x:c r="X535">
        <x:v>0</x:v>
      </x:c>
      <x:c r="Y535">
        <x:v>0</x:v>
      </x:c>
      <x:c r="Z535" t="n">
        <x:v>0</x:v>
      </x:c>
    </x:row>
    <x:row r="536" spans="1:41" ht="12.75" customHeight="1" x14ac:dyDescent="0.25">
      <x:c r="A536"/>
      <x:c r="B536"/>
      <x:c r="C536"/>
      <x:c r="D536" s="89" t="inlineStr">
        <x:is>
          <x:t>E</x:t>
        </x:is>
      </x:c>
      <x:c r="E536" s="89" t="inlineStr">
        <x:is>
          <x:t>Total</x:t>
        </x:is>
      </x:c>
      <x:c r="F536" s="90" t="n">
        <x:v>-1503008743.39</x:v>
      </x:c>
      <x:c r="G536" s="90" t="n">
        <x:v>-51719362.51</x:v>
      </x:c>
      <x:c r="H536" s="90" t="n">
        <x:v>-29217746.4</x:v>
      </x:c>
      <x:c r="I536" s="90" t="n">
        <x:v>-15317788.73</x:v>
      </x:c>
      <x:c r="J536" s="90" t="n">
        <x:v>-377999871.65</x:v>
      </x:c>
      <x:c r="K536" s="90" t="n">
        <x:v>-13619861.1</x:v>
      </x:c>
      <x:c r="L536" s="90" t="n">
        <x:v>0</x:v>
      </x:c>
      <x:c r="M536" s="90" t="n">
        <x:v>-119487553.37</x:v>
      </x:c>
      <x:c r="N536" s="90" t="n">
        <x:v>-116529083.1</x:v>
      </x:c>
      <x:c r="O536" s="90" t="n">
        <x:v>-601164335.61</x:v>
      </x:c>
      <x:c r="P536" s="90" t="n">
        <x:v>-155731761.06</x:v>
      </x:c>
      <x:c r="Q536" s="90" t="n">
        <x:v>-22221379.86</x:v>
      </x:c>
      <x:c r="R536" s="90" t="n">
        <x:v>0</x:v>
      </x:c>
      <x:c r="S536" s="90" t="n">
        <x:v>0</x:v>
      </x:c>
      <x:c r="T536" t="n">
        <x:v>0</x:v>
      </x:c>
      <x:c r="U536">
        <x:v>0</x:v>
      </x:c>
      <x:c r="V536">
        <x:v>0</x:v>
      </x:c>
      <x:c r="W536">
        <x:v>0</x:v>
      </x:c>
      <x:c r="X536">
        <x:v>0</x:v>
      </x:c>
      <x:c r="Y536">
        <x:v>0</x:v>
      </x:c>
      <x:c r="Z536" t="n">
        <x:v>0</x:v>
      </x:c>
    </x:row>
    <x:row r="537" spans="1:41" ht="12.75" customHeight="1" x14ac:dyDescent="0.25">
      <x:c r="A537"/>
      <x:c r="B537"/>
      <x:c r="C537" t="inlineStr">
        <x:is>
          <x:t>ENEL</x:t>
        </x:is>
      </x:c>
      <x:c r="D537" t="inlineStr">
        <x:is>
          <x:t>Total</x:t>
        </x:is>
      </x:c>
      <x:c r="E537" s="89"/>
      <x:c r="F537" s="90" t="n">
        <x:v>-1503008743.39</x:v>
      </x:c>
      <x:c r="G537" s="90" t="n">
        <x:v>-51719362.51</x:v>
      </x:c>
      <x:c r="H537" s="90" t="n">
        <x:v>-29217746.4</x:v>
      </x:c>
      <x:c r="I537" s="90" t="n">
        <x:v>-15317788.73</x:v>
      </x:c>
      <x:c r="J537" s="90" t="n">
        <x:v>-377999871.65</x:v>
      </x:c>
      <x:c r="K537" s="90" t="n">
        <x:v>-13619861.1</x:v>
      </x:c>
      <x:c r="L537" s="90" t="n">
        <x:v>0</x:v>
      </x:c>
      <x:c r="M537" s="90" t="n">
        <x:v>-119487553.37</x:v>
      </x:c>
      <x:c r="N537" s="90" t="n">
        <x:v>-116529083.1</x:v>
      </x:c>
      <x:c r="O537" s="90" t="n">
        <x:v>-601164335.61</x:v>
      </x:c>
      <x:c r="P537" s="90" t="n">
        <x:v>-155731761.06</x:v>
      </x:c>
      <x:c r="Q537" s="90" t="n">
        <x:v>-22221379.86</x:v>
      </x:c>
      <x:c r="R537" s="90" t="n">
        <x:v>0</x:v>
      </x:c>
      <x:c r="S537" s="90" t="n">
        <x:v>0</x:v>
      </x:c>
      <x:c r="T537" t="n">
        <x:v>0</x:v>
      </x:c>
      <x:c r="U537">
        <x:v>0</x:v>
      </x:c>
      <x:c r="V537">
        <x:v>0</x:v>
      </x:c>
      <x:c r="W537">
        <x:v>0</x:v>
      </x:c>
      <x:c r="X537">
        <x:v>0</x:v>
      </x:c>
      <x:c r="Y537">
        <x:v>0</x:v>
      </x:c>
      <x:c r="Z537" t="n">
        <x:v>0</x:v>
      </x:c>
    </x:row>
    <x:row r="538" spans="1:41" ht="12.75" customHeight="1" x14ac:dyDescent="0.25">
      <x:c r="A538"/>
      <x:c r="B538"/>
      <x:c r="C538"/>
      <x:c r="D538" s="89"/>
      <x:c r="E538" s="89" t="inlineStr">
        <x:is>
          <x:t>Subsidio(-)/Contribucion(+)</x:t>
        </x:is>
      </x:c>
      <x:c r="F538" s="90" t="n">
        <x:v>-4681675.1</x:v>
      </x:c>
      <x:c r="G538" s="90" t="n">
        <x:v>-244127.96</x:v>
      </x:c>
      <x:c r="H538" s="90" t="n">
        <x:v>-137107.39</x:v>
      </x:c>
      <x:c r="I538" s="90" t="n">
        <x:v>-72125.75</x:v>
      </x:c>
      <x:c r="J538" s="90" t="n">
        <x:v>-1045942.88</x:v>
      </x:c>
      <x:c r="K538" s="90" t="n">
        <x:v>-37750.81</x:v>
      </x:c>
      <x:c r="L538" s="90" t="n">
        <x:v>0</x:v>
      </x:c>
      <x:c r="M538" s="90" t="n">
        <x:v>-331142.81</x:v>
      </x:c>
      <x:c r="N538" s="90" t="n">
        <x:v>-328472.61</x:v>
      </x:c>
      <x:c r="O538" s="90" t="n">
        <x:v>-1689995.8</x:v>
      </x:c>
      <x:c r="P538" s="90" t="n">
        <x:v>-733416.54</x:v>
      </x:c>
      <x:c r="Q538" s="90" t="n">
        <x:v>-61592.55</x:v>
      </x:c>
      <x:c r="R538" s="90" t="n">
        <x:v>0</x:v>
      </x:c>
      <x:c r="S538" s="90" t="n">
        <x:v>0</x:v>
      </x:c>
      <x:c r="T538" t="n">
        <x:v>0</x:v>
      </x:c>
      <x:c r="U538">
        <x:v>0</x:v>
      </x:c>
      <x:c r="V538">
        <x:v>0</x:v>
      </x:c>
      <x:c r="W538">
        <x:v>0</x:v>
      </x:c>
      <x:c r="X538">
        <x:v>0</x:v>
      </x:c>
      <x:c r="Y538">
        <x:v>0</x:v>
      </x:c>
      <x:c r="Z538" t="n">
        <x:v>0</x:v>
      </x:c>
    </x:row>
    <x:row r="539" spans="1:41" s="94" customFormat="1" ht="12.75" customHeight="1" x14ac:dyDescent="0.25">
      <x:c r="A539"/>
      <x:c r="B539"/>
      <x:c r="C539" s="94"/>
      <x:c r="D539" s="94" t="inlineStr">
        <x:is>
          <x:t>E</x:t>
        </x:is>
      </x:c>
      <x:c r="E539" s="101" t="inlineStr">
        <x:is>
          <x:t>Total</x:t>
        </x:is>
      </x:c>
      <x:c r="F539" s="93" t="n">
        <x:v>-4681675.1</x:v>
      </x:c>
      <x:c r="G539" s="93" t="n">
        <x:v>-244127.96</x:v>
      </x:c>
      <x:c r="H539" s="93" t="n">
        <x:v>-137107.39</x:v>
      </x:c>
      <x:c r="I539" s="93" t="n">
        <x:v>-72125.75</x:v>
      </x:c>
      <x:c r="J539" s="93" t="n">
        <x:v>-1045942.88</x:v>
      </x:c>
      <x:c r="K539" s="93" t="n">
        <x:v>-37750.81</x:v>
      </x:c>
      <x:c r="L539" s="93" t="n">
        <x:v>0</x:v>
      </x:c>
      <x:c r="M539" s="93" t="n">
        <x:v>-331142.81</x:v>
      </x:c>
      <x:c r="N539" s="93" t="n">
        <x:v>-328472.61</x:v>
      </x:c>
      <x:c r="O539" s="93" t="n">
        <x:v>-1689995.8</x:v>
      </x:c>
      <x:c r="P539" s="93" t="n">
        <x:v>-733416.54</x:v>
      </x:c>
      <x:c r="Q539" s="93" t="n">
        <x:v>-61592.55</x:v>
      </x:c>
      <x:c r="R539" s="93" t="n">
        <x:v>0</x:v>
      </x:c>
      <x:c r="S539" s="93" t="n">
        <x:v>0</x:v>
      </x:c>
      <x:c r="T539" s="94" t="n">
        <x:v>0</x:v>
      </x:c>
      <x:c r="U539" s="94">
        <x:v>0</x:v>
      </x:c>
      <x:c r="V539" s="94">
        <x:v>0</x:v>
      </x:c>
      <x:c r="W539" s="94">
        <x:v>0</x:v>
      </x:c>
      <x:c r="X539" s="94">
        <x:v>0</x:v>
      </x:c>
      <x:c r="Y539" s="94">
        <x:v>0</x:v>
      </x:c>
      <x:c r="Z539" s="94" t="n">
        <x:v>0</x:v>
      </x:c>
    </x:row>
    <x:row r="540" spans="1:41" s="226" customFormat="1" ht="12.75" customHeight="1" x14ac:dyDescent="0.25">
      <x:c r="A540"/>
      <x:c r="B540" s="98"/>
      <x:c r="C540" s="98" t="inlineStr">
        <x:is>
          <x:t>ENERBIT</x:t>
        </x:is>
      </x:c>
      <x:c r="D540" t="inlineStr">
        <x:is>
          <x:t>Total</x:t>
        </x:is>
      </x:c>
      <x:c r="E540"/>
      <x:c r="F540" s="100" t="n">
        <x:v>-4681675.1</x:v>
      </x:c>
      <x:c r="G540" s="100" t="n">
        <x:v>-244127.96</x:v>
      </x:c>
      <x:c r="H540" s="100" t="n">
        <x:v>-137107.39</x:v>
      </x:c>
      <x:c r="I540" s="100" t="n">
        <x:v>-72125.75</x:v>
      </x:c>
      <x:c r="J540" s="100" t="n">
        <x:v>-1045942.88</x:v>
      </x:c>
      <x:c r="K540" s="100" t="n">
        <x:v>-37750.81</x:v>
      </x:c>
      <x:c r="L540" s="100" t="n">
        <x:v>0</x:v>
      </x:c>
      <x:c r="M540" s="100" t="n">
        <x:v>-331142.81</x:v>
      </x:c>
      <x:c r="N540" s="100" t="n">
        <x:v>-328472.61</x:v>
      </x:c>
      <x:c r="O540" s="100" t="n">
        <x:v>-1689995.8</x:v>
      </x:c>
      <x:c r="P540" s="100" t="n">
        <x:v>-733416.54</x:v>
      </x:c>
      <x:c r="Q540" s="100" t="n">
        <x:v>-61592.55</x:v>
      </x:c>
      <x:c r="R540" s="100" t="n">
        <x:v>0</x:v>
      </x:c>
      <x:c r="S540" s="100" t="n">
        <x:v>0</x:v>
      </x:c>
      <x:c r="T540" s="226" t="n">
        <x:v>0</x:v>
      </x:c>
      <x:c r="U540" s="226">
        <x:v>0</x:v>
      </x:c>
      <x:c r="V540" s="226">
        <x:v>0</x:v>
      </x:c>
      <x:c r="W540" s="226">
        <x:v>0</x:v>
      </x:c>
      <x:c r="X540" s="226">
        <x:v>0</x:v>
      </x:c>
      <x:c r="Y540" s="226">
        <x:v>0</x:v>
      </x:c>
      <x:c r="Z540" s="226" t="n">
        <x:v>0</x:v>
      </x:c>
    </x:row>
    <x:row r="541" spans="1:41" ht="12.75" customHeight="1" x14ac:dyDescent="0.25">
      <x:c r="A541" s="89"/>
      <x:c r="B541" s="89"/>
      <x:c r="C541"/>
      <x:c r="D541"/>
      <x:c r="E541" t="inlineStr">
        <x:is>
          <x:t>Subsidio(-)/Contribucion(+)</x:t>
        </x:is>
      </x:c>
      <x:c r="F541" s="90" t="n">
        <x:v>976644.02</x:v>
      </x:c>
      <x:c r="G541" s="90" t="n">
        <x:v>269243.52</x:v>
      </x:c>
      <x:c r="H541" s="90" t="n">
        <x:v>147949.37</x:v>
      </x:c>
      <x:c r="I541" s="90" t="n">
        <x:v>77924.34</x:v>
      </x:c>
      <x:c r="J541" s="90" t="n">
        <x:v>31290.4</x:v>
      </x:c>
      <x:c r="K541" s="90" t="n">
        <x:v>-1352.25</x:v>
      </x:c>
      <x:c r="L541" s="90" t="n">
        <x:v>0</x:v>
      </x:c>
      <x:c r="M541" s="90" t="n">
        <x:v>-11868.83</x:v>
      </x:c>
      <x:c r="N541" s="90" t="n">
        <x:v>-44861.08</x:v>
      </x:c>
      <x:c r="O541" s="90" t="n">
        <x:v>-299524.12</x:v>
      </x:c>
      <x:c r="P541" s="90" t="n">
        <x:v>810050.72</x:v>
      </x:c>
      <x:c r="Q541" s="90" t="n">
        <x:v>-2208.05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>
        <x:v>0</x:v>
      </x:c>
      <x:c r="Z541" t="n">
        <x:v>0</x:v>
      </x:c>
    </x:row>
    <x:row r="542" spans="1:41" ht="12.75" customHeight="1" x14ac:dyDescent="0.25">
      <x:c r="A542" s="89"/>
      <x:c r="B542" s="89"/>
      <x:c r="C542"/>
      <x:c r="D542" t="inlineStr">
        <x:is>
          <x:t>H</x:t>
        </x:is>
      </x:c>
      <x:c r="E542" t="inlineStr">
        <x:is>
          <x:t>Total</x:t>
        </x:is>
      </x:c>
      <x:c r="F542" s="90" t="n">
        <x:v>976644.02</x:v>
      </x:c>
      <x:c r="G542" s="90" t="n">
        <x:v>269243.52</x:v>
      </x:c>
      <x:c r="H542" s="90" t="n">
        <x:v>147949.37</x:v>
      </x:c>
      <x:c r="I542" s="90" t="n">
        <x:v>77924.34</x:v>
      </x:c>
      <x:c r="J542" s="90" t="n">
        <x:v>31290.4</x:v>
      </x:c>
      <x:c r="K542" s="90" t="n">
        <x:v>-1352.25</x:v>
      </x:c>
      <x:c r="L542" s="90" t="n">
        <x:v>0</x:v>
      </x:c>
      <x:c r="M542" s="90" t="n">
        <x:v>-11868.83</x:v>
      </x:c>
      <x:c r="N542" s="90" t="n">
        <x:v>-44861.08</x:v>
      </x:c>
      <x:c r="O542" s="90" t="n">
        <x:v>-299524.12</x:v>
      </x:c>
      <x:c r="P542" s="90" t="n">
        <x:v>810050.72</x:v>
      </x:c>
      <x:c r="Q542" s="90" t="n">
        <x:v>-2208.05</x:v>
      </x:c>
      <x:c r="R542" s="90" t="n">
        <x:v>0</x:v>
      </x:c>
      <x:c r="S542" s="90" t="n">
        <x:v>0</x:v>
      </x:c>
      <x:c r="T542" t="n">
        <x:v>0</x:v>
      </x:c>
      <x:c r="U542"/>
      <x:c r="V542"/>
      <x:c r="W542"/>
      <x:c r="X542"/>
      <x:c r="Y542"/>
      <x:c r="Z542" t="n">
        <x:v>0</x:v>
      </x:c>
    </x:row>
    <x:row r="543" spans="1:41" ht="12.75" customHeight="1" x14ac:dyDescent="0.25">
      <x:c r="A543" s="89"/>
      <x:c r="B543" s="89"/>
      <x:c r="C543"/>
      <x:c r="D543"/>
      <x:c r="E543" t="inlineStr">
        <x:is>
          <x:t>Subsidio(-)/Contribucion(+)</x:t>
        </x:is>
      </x:c>
      <x:c r="F543" s="90" t="n">
        <x:v>1494214.94</x:v>
      </x:c>
      <x:c r="G543" s="90" t="n">
        <x:v>565976.69</x:v>
      </x:c>
      <x:c r="H543" s="90" t="n">
        <x:v>321267.04</x:v>
      </x:c>
      <x:c r="I543" s="90" t="n">
        <x:v>171735.87</x:v>
      </x:c>
      <x:c r="J543" s="90" t="n">
        <x:v>-338709.32</x:v>
      </x:c>
      <x:c r="K543" s="90" t="n">
        <x:v>-16652.29</x:v>
      </x:c>
      <x:c r="L543" s="90" t="n">
        <x:v>0</x:v>
      </x:c>
      <x:c r="M543" s="90" t="n">
        <x:v>-146879.7</x:v>
      </x:c>
      <x:c r="N543" s="90" t="n">
        <x:v>-135037.35</x:v>
      </x:c>
      <x:c r="O543" s="90" t="n">
        <x:v>-622145.95</x:v>
      </x:c>
      <x:c r="P543" s="90" t="n">
        <x:v>1721854.1</x:v>
      </x:c>
      <x:c r="Q543" s="90" t="n">
        <x:v>-27194.15</x:v>
      </x:c>
      <x:c r="R543" s="90" t="n">
        <x:v>0</x:v>
      </x:c>
      <x:c r="S543" s="90" t="n">
        <x:v>0</x:v>
      </x:c>
      <x:c r="T543" t="n">
        <x:v>0</x:v>
      </x:c>
      <x:c r="U543"/>
      <x:c r="V543"/>
      <x:c r="W543"/>
      <x:c r="X543"/>
      <x:c r="Y543"/>
      <x:c r="Z543" t="n">
        <x:v>0</x:v>
      </x:c>
    </x:row>
    <x:row r="544" spans="1:41" ht="12.75" customHeight="1" x14ac:dyDescent="0.25">
      <x:c r="A544" s="89"/>
      <x:c r="B544" s="89"/>
      <x:c r="C544"/>
      <x:c r="D544" t="inlineStr">
        <x:is>
          <x:t>O</x:t>
        </x:is>
      </x:c>
      <x:c r="E544" t="inlineStr">
        <x:is>
          <x:t>Total</x:t>
        </x:is>
      </x:c>
      <x:c r="F544" s="90" t="n">
        <x:v>1494214.94</x:v>
      </x:c>
      <x:c r="G544" s="90" t="n">
        <x:v>565976.69</x:v>
      </x:c>
      <x:c r="H544" s="90" t="n">
        <x:v>321267.04</x:v>
      </x:c>
      <x:c r="I544" s="90" t="n">
        <x:v>171735.87</x:v>
      </x:c>
      <x:c r="J544" s="90" t="n">
        <x:v>-338709.32</x:v>
      </x:c>
      <x:c r="K544" s="90" t="n">
        <x:v>-16652.29</x:v>
      </x:c>
      <x:c r="L544" s="90" t="n">
        <x:v>0</x:v>
      </x:c>
      <x:c r="M544" s="90" t="n">
        <x:v>-146879.7</x:v>
      </x:c>
      <x:c r="N544" s="90" t="n">
        <x:v>-135037.35</x:v>
      </x:c>
      <x:c r="O544" s="90" t="n">
        <x:v>-622145.95</x:v>
      </x:c>
      <x:c r="P544" s="90" t="n">
        <x:v>1721854.1</x:v>
      </x:c>
      <x:c r="Q544" s="90" t="n">
        <x:v>-27194.15</x:v>
      </x:c>
      <x:c r="R544" s="90" t="n">
        <x:v>0</x:v>
      </x:c>
      <x:c r="S544" s="90" t="n">
        <x:v>0</x:v>
      </x:c>
      <x:c r="T544" t="n">
        <x:v>0</x:v>
      </x:c>
      <x:c r="U544"/>
      <x:c r="V544"/>
      <x:c r="W544"/>
      <x:c r="X544"/>
      <x:c r="Y544"/>
      <x:c r="Z544" t="n">
        <x:v>0</x:v>
      </x:c>
    </x:row>
    <x:row r="545" spans="1:41" ht="12.75" customHeight="1" x14ac:dyDescent="0.25">
      <x:c r="A545" s="89"/>
      <x:c r="B545" s="89"/>
      <x:c r="C545"/>
      <x:c r="D545"/>
      <x:c r="E545" t="inlineStr">
        <x:is>
          <x:t>Subsidio(-)/Contribucion(+)</x:t>
        </x:is>
      </x:c>
      <x:c r="F545" s="90" t="n">
        <x:v>74209735.76</x:v>
      </x:c>
      <x:c r="G545" s="90" t="n">
        <x:v>14852099.67</x:v>
      </x:c>
      <x:c r="H545" s="90" t="n">
        <x:v>8278176.88</x:v>
      </x:c>
      <x:c r="I545" s="90" t="n">
        <x:v>4451003.36</x:v>
      </x:c>
      <x:c r="J545" s="90" t="n">
        <x:v>930214.95</x:v>
      </x:c>
      <x:c r="K545" s="90" t="n">
        <x:v>10409.77</x:v>
      </x:c>
      <x:c r="L545" s="90" t="n">
        <x:v>0</x:v>
      </x:c>
      <x:c r="M545" s="90" t="n">
        <x:v>86587.63</x:v>
      </x:c>
      <x:c r="N545" s="90" t="n">
        <x:v>144950.07</x:v>
      </x:c>
      <x:c r="O545" s="90" t="n">
        <x:v>720135.72</x:v>
      </x:c>
      <x:c r="P545" s="90" t="n">
        <x:v>44719176.18</x:v>
      </x:c>
      <x:c r="Q545" s="90" t="n">
        <x:v>16981.53</x:v>
      </x:c>
      <x:c r="R545" s="90" t="n">
        <x:v>0</x:v>
      </x:c>
      <x:c r="S545" s="90" t="n">
        <x:v>0</x:v>
      </x:c>
      <x:c r="T545" t="n">
        <x:v>0</x:v>
      </x:c>
      <x:c r="U545"/>
      <x:c r="V545"/>
      <x:c r="W545"/>
      <x:c r="X545"/>
      <x:c r="Y545"/>
      <x:c r="Z545" t="n">
        <x:v>0</x:v>
      </x:c>
    </x:row>
    <x:row r="546" spans="1:41" ht="12.75" customHeight="1" x14ac:dyDescent="0.25">
      <x:c r="A546" s="89"/>
      <x:c r="B546" s="89"/>
      <x:c r="C546"/>
      <x:c r="D546" t="inlineStr">
        <x:is>
          <x:t>T</x:t>
        </x:is>
      </x:c>
      <x:c r="E546" t="inlineStr">
        <x:is>
          <x:t>Total</x:t>
        </x:is>
      </x:c>
      <x:c r="F546" s="90" t="n">
        <x:v>74209735.76</x:v>
      </x:c>
      <x:c r="G546" s="90" t="n">
        <x:v>14852099.67</x:v>
      </x:c>
      <x:c r="H546" s="90" t="n">
        <x:v>8278176.88</x:v>
      </x:c>
      <x:c r="I546" s="90" t="n">
        <x:v>4451003.36</x:v>
      </x:c>
      <x:c r="J546" s="90" t="n">
        <x:v>930214.95</x:v>
      </x:c>
      <x:c r="K546" s="90" t="n">
        <x:v>10409.77</x:v>
      </x:c>
      <x:c r="L546" s="90" t="n">
        <x:v>0</x:v>
      </x:c>
      <x:c r="M546" s="90" t="n">
        <x:v>86587.63</x:v>
      </x:c>
      <x:c r="N546" s="90" t="n">
        <x:v>144950.07</x:v>
      </x:c>
      <x:c r="O546" s="90" t="n">
        <x:v>720135.72</x:v>
      </x:c>
      <x:c r="P546" s="90" t="n">
        <x:v>44719176.18</x:v>
      </x:c>
      <x:c r="Q546" s="90" t="n">
        <x:v>16981.53</x:v>
      </x:c>
      <x:c r="R546" s="90" t="n">
        <x:v>0</x:v>
      </x:c>
      <x:c r="S546" s="90" t="n">
        <x:v>0</x:v>
      </x:c>
      <x:c r="T546" t="n">
        <x:v>0</x:v>
      </x:c>
      <x:c r="U546"/>
      <x:c r="V546"/>
      <x:c r="W546"/>
      <x:c r="X546"/>
      <x:c r="Y546"/>
      <x:c r="Z546" t="n">
        <x:v>0</x:v>
      </x:c>
    </x:row>
    <x:row r="547" spans="1:41" ht="12.75" customHeight="1" x14ac:dyDescent="0.25">
      <x:c r="A547" s="89"/>
      <x:c r="B547" s="89"/>
      <x:c r="C547" t="inlineStr">
        <x:is>
          <x:t>OCCIDENTE</x:t>
        </x:is>
      </x:c>
      <x:c r="D547" t="inlineStr">
        <x:is>
          <x:t>Total</x:t>
        </x:is>
      </x:c>
      <x:c r="E547"/>
      <x:c r="F547" s="90" t="n">
        <x:v>76680594.72</x:v>
      </x:c>
      <x:c r="G547" s="90" t="n">
        <x:v>15687319.88</x:v>
      </x:c>
      <x:c r="H547" s="90" t="n">
        <x:v>8747393.29</x:v>
      </x:c>
      <x:c r="I547" s="90" t="n">
        <x:v>4700663.57</x:v>
      </x:c>
      <x:c r="J547" s="90" t="n">
        <x:v>622796.03</x:v>
      </x:c>
      <x:c r="K547" s="90" t="n">
        <x:v>-7594.77</x:v>
      </x:c>
      <x:c r="L547" s="90" t="n">
        <x:v>0</x:v>
      </x:c>
      <x:c r="M547" s="90" t="n">
        <x:v>-72160.9</x:v>
      </x:c>
      <x:c r="N547" s="90" t="n">
        <x:v>-34948.36</x:v>
      </x:c>
      <x:c r="O547" s="90" t="n">
        <x:v>-201534.35</x:v>
      </x:c>
      <x:c r="P547" s="90" t="n">
        <x:v>47251081</x:v>
      </x:c>
      <x:c r="Q547" s="90" t="n">
        <x:v>-12420.67</x:v>
      </x:c>
      <x:c r="R547" s="90" t="n">
        <x:v>0</x:v>
      </x:c>
      <x:c r="S547" s="90" t="n">
        <x:v>0</x:v>
      </x:c>
      <x:c r="T547" t="n">
        <x:v>0</x:v>
      </x:c>
      <x:c r="U547"/>
      <x:c r="V547"/>
      <x:c r="W547"/>
      <x:c r="X547"/>
      <x:c r="Y547"/>
      <x:c r="Z547" t="n">
        <x:v>0</x:v>
      </x:c>
    </x:row>
    <x:row r="548" spans="1:41" ht="12.75" customHeight="1" x14ac:dyDescent="0.25">
      <x:c r="A548" s="89"/>
      <x:c r="B548" s="89" t="inlineStr">
        <x:is>
          <x:t>Mes</x:t>
        </x:is>
      </x:c>
      <x:c r="C548" t="inlineStr">
        <x:is>
          <x:t>Total</x:t>
        </x:is>
      </x:c>
      <x:c r="D548"/>
      <x:c r="E548"/>
      <x:c r="F548" s="90" t="n">
        <x:v>-1431009823.77</x:v>
      </x:c>
      <x:c r="G548" s="90" t="n">
        <x:v>-36276170.59</x:v>
      </x:c>
      <x:c r="H548" s="90" t="n">
        <x:v>-20607460.5</x:v>
      </x:c>
      <x:c r="I548" s="90" t="n">
        <x:v>-10689250.91</x:v>
      </x:c>
      <x:c r="J548" s="90" t="n">
        <x:v>-378423018.5</x:v>
      </x:c>
      <x:c r="K548" s="90" t="n">
        <x:v>-13665206.68</x:v>
      </x:c>
      <x:c r="L548" s="90" t="n">
        <x:v>0</x:v>
      </x:c>
      <x:c r="M548" s="90" t="n">
        <x:v>-119890857.08</x:v>
      </x:c>
      <x:c r="N548" s="90" t="n">
        <x:v>-116892504.07</x:v>
      </x:c>
      <x:c r="O548" s="90" t="n">
        <x:v>-603055865.76</x:v>
      </x:c>
      <x:c r="P548" s="90" t="n">
        <x:v>-109214096.6</x:v>
      </x:c>
      <x:c r="Q548" s="90" t="n">
        <x:v>-22295393.08</x:v>
      </x:c>
      <x:c r="R548" s="90" t="n">
        <x:v>0</x:v>
      </x:c>
      <x:c r="S548" s="90" t="n">
        <x:v>0</x:v>
      </x:c>
      <x:c r="T548" t="n">
        <x:v>0</x:v>
      </x:c>
      <x:c r="U548"/>
      <x:c r="V548"/>
      <x:c r="W548"/>
      <x:c r="X548"/>
      <x:c r="Y548"/>
      <x:c r="Z548" t="n">
        <x:v>0</x:v>
      </x:c>
    </x:row>
    <x:row r="549" spans="1:41" ht="12.75" customHeight="1" x14ac:dyDescent="0.25">
      <x:c r="A549" s="89" t="inlineStr">
        <x:is>
          <x:t>Subs/Cont</x:t>
        </x:is>
      </x:c>
      <x:c r="B549" s="89" t="inlineStr">
        <x:is>
          <x:t>Total</x:t>
        </x:is>
      </x:c>
      <x:c r="C549"/>
      <x:c r="D549"/>
      <x:c r="E549"/>
      <x:c r="F549" s="90" t="n">
        <x:v>-1431426520.31</x:v>
      </x:c>
      <x:c r="G549" s="90" t="n">
        <x:v>-36297330.49</x:v>
      </x:c>
      <x:c r="H549" s="90" t="n">
        <x:v>-20619316.26</x:v>
      </x:c>
      <x:c r="I549" s="90" t="n">
        <x:v>-10695514.47</x:v>
      </x:c>
      <x:c r="J549" s="90" t="n">
        <x:v>-378517779.79</x:v>
      </x:c>
      <x:c r="K549" s="90" t="n">
        <x:v>-13668646.59</x:v>
      </x:c>
      <x:c r="L549" s="90" t="n">
        <x:v>0</x:v>
      </x:c>
      <x:c r="M549" s="90" t="n">
        <x:v>-119921030.87</x:v>
      </x:c>
      <x:c r="N549" s="90" t="n">
        <x:v>-116921937.22</x:v>
      </x:c>
      <x:c r="O549" s="90" t="n">
        <x:v>-603206461.75</x:v>
      </x:c>
      <x:c r="P549" s="90" t="n">
        <x:v>-109277497.47</x:v>
      </x:c>
      <x:c r="Q549" s="90" t="n">
        <x:v>-22301005.4</x:v>
      </x:c>
      <x:c r="R549" s="90" t="n">
        <x:v>0</x:v>
      </x:c>
      <x:c r="S549" s="90" t="n">
        <x:v>0</x:v>
      </x:c>
      <x:c r="T549" t="n">
        <x:v>0</x:v>
      </x:c>
      <x:c r="U549"/>
      <x:c r="V549"/>
      <x:c r="W549"/>
      <x:c r="X549"/>
      <x:c r="Y549"/>
      <x:c r="Z549" t="n">
        <x:v>0</x:v>
      </x:c>
    </x:row>
    <x:row r="550" spans="1:41" ht="12.75" customHeight="1" x14ac:dyDescent="0.25">
      <x:c r="A550" s="89" t="inlineStr">
        <x:is>
          <x:t>Total</x:t>
        </x:is>
      </x:c>
      <x:c r="B550"/>
      <x:c r="C550"/>
      <x:c r="D550"/>
      <x:c r="E550"/>
      <x:c r="F550" s="90" t="n">
        <x:v>12117027175</x:v>
      </x:c>
      <x:c r="G550" s="90" t="n">
        <x:v>686839509.29</x:v>
      </x:c>
      <x:c r="H550" s="90" t="n">
        <x:v>386309921.19</x:v>
      </x:c>
      <x:c r="I550" s="90" t="n">
        <x:v>203330704.75</x:v>
      </x:c>
      <x:c r="J550" s="90" t="n">
        <x:v>2625568019.69</x:v>
      </x:c>
      <x:c r="K550" s="90" t="n">
        <x:v>95620524.33</x:v>
      </x:c>
      <x:c r="L550" s="90" t="n">
        <x:v>10318778.96</x:v>
      </x:c>
      <x:c r="M550" s="90" t="n">
        <x:v>838404449.56</x:v>
      </x:c>
      <x:c r="N550" s="90" t="n">
        <x:v>813925169.96</x:v>
      </x:c>
      <x:c r="O550" s="90" t="n">
        <x:v>4223911206.82</x:v>
      </x:c>
      <x:c r="P550" s="90" t="n">
        <x:v>2076813042.15</x:v>
      </x:c>
      <x:c r="Q550" s="90" t="n">
        <x:v>156091606.47</x:v>
      </x:c>
      <x:c r="R550" s="90" t="n">
        <x:v>-105728.97</x:v>
      </x:c>
      <x:c r="S550" s="90" t="n">
        <x:v>0.58</x:v>
      </x:c>
      <x:c r="T550" t="n">
        <x:v>7.48</x:v>
      </x:c>
      <x:c r="U550">
        <x:v>0</x:v>
      </x:c>
      <x:c r="V550">
        <x:v>0</x:v>
      </x:c>
      <x:c r="W550">
        <x:v>0</x:v>
      </x:c>
      <x:c r="X550">
        <x:v>0</x:v>
      </x:c>
      <x:c r="Y550">
        <x:v>0</x:v>
      </x:c>
      <x:c r="Z550" t="n">
        <x:v>-37.26</x:v>
      </x:c>
    </x:row>
    <x:row r="551" spans="1:41" ht="12.75" customHeight="1" x14ac:dyDescent="0.25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  <x:c r="X551" s="150"/>
    </x:row>
    <x:row r="552" spans="1:41" ht="12.75" customHeight="1" x14ac:dyDescent="0.25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41" ht="12.75" customHeight="1" x14ac:dyDescent="0.25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41" ht="12.75" customHeight="1" x14ac:dyDescent="0.25">
      <x:c r="C554" s="774" t="s">
        <x:v>2</x:v>
      </x:c>
      <x:c r="D554" s="771" t="s">
        <x:v>132</x:v>
      </x:c>
      <x:c r="E554" s="98" t="s">
        <x:v>70</x:v>
      </x:c>
      <x:c r="F554" s="100">
        <x:f>F540+F519-L519</x:f>
        <x:v>12033011685.710001</x:v>
      </x:c>
      <x:c r="G554" s="100">
        <x:f>G519</x:f>
        <x:v>728817640.58000004</x:v>
      </x:c>
      <x:c r="H554" s="100">
        <x:f t="shared" ref="H554:AO554" si="29">H519</x:f>
        <x:v>410843194.33999997</x:v>
      </x:c>
      <x:c r="I554" s="100">
        <x:f t="shared" si="29"/>
        <x:v>215464172.38</x:v>
      </x:c>
      <x:c r="J554" s="100">
        <x:f t="shared" si="29"/>
        <x:v>2764649544.23</x:v>
      </x:c>
      <x:c r="K554" s="100">
        <x:f t="shared" si="29"/>
        <x:v>105636037.55</x:v>
      </x:c>
      <x:c r="L554" s="100">
        <x:f t="shared" si="29"/>
        <x:v>14901729.33</x:v>
      </x:c>
      <x:c r="M554" s="100">
        <x:f t="shared" si="29"/>
        <x:v>926158791.84000003</x:v>
      </x:c>
      <x:c r="N554" s="100">
        <x:f t="shared" si="29"/>
        <x:v>908897384.00999999</x:v>
      </x:c>
      <x:c r="O554" s="100">
        <x:f t="shared" si="29"/>
        <x:v>4671478931.3900003</x:v>
      </x:c>
      <x:c r="P554" s="100">
        <x:f t="shared" si="29"/>
        <x:v>2165115703.0500002</x:v>
      </x:c>
      <x:c r="Q554" s="100">
        <x:f t="shared" si="29"/>
        <x:v>172418576.05000001</x:v>
      </x:c>
      <x:c r="R554" s="100">
        <x:f t="shared" si="29"/>
        <x:v>-147734.32999999999</x:v>
      </x:c>
      <x:c r="S554" s="100">
        <x:f t="shared" si="29"/>
        <x:v>-0.19</x:v>
      </x:c>
      <x:c r="T554" s="100">
        <x:f t="shared" si="29"/>
        <x:v>7.58</x:v>
      </x:c>
      <x:c r="U554" s="100">
        <x:f t="shared" si="29"/>
        <x:v>0</x:v>
      </x:c>
      <x:c r="V554" s="100">
        <x:f t="shared" si="29"/>
        <x:v>0</x:v>
      </x:c>
      <x:c r="W554" s="100">
        <x:f t="shared" si="29"/>
        <x:v>0</x:v>
      </x:c>
      <x:c r="X554" s="100">
        <x:f t="shared" si="29"/>
        <x:v>0</x:v>
      </x:c>
      <x:c r="Y554" s="100">
        <x:f t="shared" si="29"/>
        <x:v>0</x:v>
      </x:c>
      <x:c r="Z554" s="100">
        <x:f t="shared" si="29"/>
        <x:v>-40.369999999999997</x:v>
      </x:c>
      <x:c r="AA554" s="100">
        <x:f t="shared" si="29"/>
        <x:v>0</x:v>
      </x:c>
      <x:c r="AB554" s="100">
        <x:f t="shared" si="29"/>
        <x:v>0</x:v>
      </x:c>
      <x:c r="AC554" s="100">
        <x:f t="shared" si="29"/>
        <x:v>0</x:v>
      </x:c>
      <x:c r="AD554" s="100">
        <x:f t="shared" si="29"/>
        <x:v>0</x:v>
      </x:c>
      <x:c r="AE554" s="100">
        <x:f t="shared" si="29"/>
        <x:v>0</x:v>
      </x:c>
      <x:c r="AF554" s="100">
        <x:f t="shared" si="29"/>
        <x:v>0</x:v>
      </x:c>
      <x:c r="AG554" s="100">
        <x:f t="shared" si="29"/>
        <x:v>0</x:v>
      </x:c>
      <x:c r="AH554" s="100">
        <x:f t="shared" si="29"/>
        <x:v>0</x:v>
      </x:c>
      <x:c r="AI554" s="100">
        <x:f t="shared" si="29"/>
        <x:v>0</x:v>
      </x:c>
      <x:c r="AJ554" s="100">
        <x:f t="shared" si="29"/>
        <x:v>0</x:v>
      </x:c>
      <x:c r="AK554" s="100">
        <x:f t="shared" si="29"/>
        <x:v>0</x:v>
      </x:c>
      <x:c r="AL554" s="100">
        <x:f t="shared" si="29"/>
        <x:v>0</x:v>
      </x:c>
      <x:c r="AM554" s="100">
        <x:f t="shared" si="29"/>
        <x:v>0</x:v>
      </x:c>
      <x:c r="AN554" s="100">
        <x:f t="shared" si="29"/>
        <x:v>0</x:v>
      </x:c>
      <x:c r="AO554" s="100">
        <x:f t="shared" si="29"/>
        <x:v>0</x:v>
      </x:c>
    </x:row>
    <x:row r="555" spans="1:41" ht="12.75" customHeight="1" x14ac:dyDescent="0.25">
      <x:c r="C555" s="774"/>
      <x:c r="D555" s="771"/>
      <x:c r="E555" s="98" t="s">
        <x:v>73</x:v>
      </x:c>
      <x:c r="F555" s="100">
        <x:f>F540</x:f>
        <x:v>-1036320522.4</x:v>
      </x:c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41" ht="12.75" customHeight="1" x14ac:dyDescent="0.25">
      <x:c r="C556" s="774"/>
      <x:c r="D556" s="771" t="s">
        <x:v>133</x:v>
      </x:c>
      <x:c r="E556" s="233" t="s">
        <x:v>70</x:v>
      </x:c>
      <x:c r="F556" s="234">
        <x:f>F526+F500-L500</x:f>
        <x:v>441849</x:v>
      </x:c>
      <x:c r="G556" s="234">
        <x:f>G500</x:f>
        <x:v>26657.43</x:v>
      </x:c>
      <x:c r="H556" s="234">
        <x:f t="shared" ref="H556:AO556" si="30">H500</x:f>
        <x:v>14138.02</x:v>
      </x:c>
      <x:c r="I556" s="234">
        <x:f t="shared" si="30"/>
        <x:v>7723.27</x:v>
      </x:c>
      <x:c r="J556" s="234">
        <x:f t="shared" si="30"/>
        <x:v>93911.73</x:v>
      </x:c>
      <x:c r="K556" s="234">
        <x:f t="shared" si="30"/>
        <x:v>2290.29</x:v>
      </x:c>
      <x:c r="L556" s="234">
        <x:f t="shared" si="30"/>
        <x:v>0</x:v>
      </x:c>
      <x:c r="M556" s="234">
        <x:f t="shared" si="30"/>
        <x:v>20089.34</x:v>
      </x:c>
      <x:c r="N556" s="234">
        <x:f t="shared" si="30"/>
        <x:v>28092.36</x:v>
      </x:c>
      <x:c r="O556" s="234">
        <x:f t="shared" si="30"/>
        <x:v>141333</x:v>
      </x:c>
      <x:c r="P556" s="234">
        <x:f t="shared" si="30"/>
        <x:v>79544.789999999994</x:v>
      </x:c>
      <x:c r="Q556" s="234">
        <x:f t="shared" si="30"/>
        <x:v>3736.7</x:v>
      </x:c>
      <x:c r="R556" s="234">
        <x:f t="shared" si="30"/>
        <x:v>2.69</x:v>
      </x:c>
      <x:c r="S556" s="234">
        <x:f t="shared" si="30"/>
        <x:v>0</x:v>
      </x:c>
      <x:c r="T556" s="234">
        <x:f t="shared" si="30"/>
        <x:v>0</x:v>
      </x:c>
      <x:c r="U556" s="234">
        <x:f t="shared" si="30"/>
        <x:v>0</x:v>
      </x:c>
      <x:c r="V556" s="234">
        <x:f t="shared" si="30"/>
        <x:v>0</x:v>
      </x:c>
      <x:c r="W556" s="234">
        <x:f t="shared" si="30"/>
        <x:v>0</x:v>
      </x:c>
      <x:c r="X556" s="234">
        <x:f t="shared" si="30"/>
        <x:v>0</x:v>
      </x:c>
      <x:c r="Y556" s="234">
        <x:f t="shared" si="30"/>
        <x:v>0</x:v>
      </x:c>
      <x:c r="Z556" s="234">
        <x:f t="shared" si="30"/>
        <x:v>0</x:v>
      </x:c>
      <x:c r="AA556" s="234">
        <x:f t="shared" si="30"/>
        <x:v>0</x:v>
      </x:c>
      <x:c r="AB556" s="234">
        <x:f t="shared" si="30"/>
        <x:v>0</x:v>
      </x:c>
      <x:c r="AC556" s="234">
        <x:f t="shared" si="30"/>
        <x:v>0</x:v>
      </x:c>
      <x:c r="AD556" s="234">
        <x:f t="shared" si="30"/>
        <x:v>0</x:v>
      </x:c>
      <x:c r="AE556" s="234">
        <x:f t="shared" si="30"/>
        <x:v>0</x:v>
      </x:c>
      <x:c r="AF556" s="234">
        <x:f t="shared" si="30"/>
        <x:v>0</x:v>
      </x:c>
      <x:c r="AG556" s="234">
        <x:f t="shared" si="30"/>
        <x:v>0</x:v>
      </x:c>
      <x:c r="AH556" s="234">
        <x:f t="shared" si="30"/>
        <x:v>0</x:v>
      </x:c>
      <x:c r="AI556" s="234">
        <x:f t="shared" si="30"/>
        <x:v>0</x:v>
      </x:c>
      <x:c r="AJ556" s="234">
        <x:f t="shared" si="30"/>
        <x:v>0</x:v>
      </x:c>
      <x:c r="AK556" s="234">
        <x:f t="shared" si="30"/>
        <x:v>0</x:v>
      </x:c>
      <x:c r="AL556" s="234">
        <x:f t="shared" si="30"/>
        <x:v>0</x:v>
      </x:c>
      <x:c r="AM556" s="234">
        <x:f t="shared" si="30"/>
        <x:v>0</x:v>
      </x:c>
      <x:c r="AN556" s="234">
        <x:f t="shared" si="30"/>
        <x:v>0</x:v>
      </x:c>
      <x:c r="AO556" s="234">
        <x:f t="shared" si="30"/>
        <x:v>0</x:v>
      </x:c>
    </x:row>
    <x:row r="557" spans="1:41" ht="12.75" customHeight="1" x14ac:dyDescent="0.25">
      <x:c r="C557" s="774"/>
      <x:c r="D557" s="771"/>
      <x:c r="E557" s="233" t="s">
        <x:v>73</x:v>
      </x:c>
      <x:c r="F557" s="234">
        <x:f>F526</x:f>
        <x:v>24329.38</x:v>
      </x:c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</x:row>
    <x:row r="558" spans="1:41" ht="12.75" customHeight="1" x14ac:dyDescent="0.3">
      <x:c r="A558" s="89"/>
      <x:c r="C558" s="97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41" ht="12.75" customHeight="1" x14ac:dyDescent="0.25">
      <x:c r="C559" s="774" t="s">
        <x:v>160</x:v>
      </x:c>
      <x:c r="D559" s="771" t="s">
        <x:v>132</x:v>
      </x:c>
      <x:c r="E559" s="223" t="s">
        <x:v>70</x:v>
      </x:c>
      <x:c r="F559" s="225">
        <x:v>0</x:v>
      </x:c>
      <x:c r="G559" s="225">
        <x:v>0</x:v>
      </x:c>
      <x:c r="H559" s="225">
        <x:v>0</x:v>
      </x:c>
      <x:c r="I559" s="225">
        <x:v>0</x:v>
      </x:c>
      <x:c r="J559" s="225">
        <x:v>0</x:v>
      </x:c>
      <x:c r="K559" s="225">
        <x:v>0</x:v>
      </x:c>
      <x:c r="L559" s="225">
        <x:v>0</x:v>
      </x:c>
      <x:c r="M559" s="225">
        <x:v>0</x:v>
      </x:c>
      <x:c r="N559" s="225">
        <x:v>0</x:v>
      </x:c>
      <x:c r="O559" s="225">
        <x:v>0</x:v>
      </x:c>
      <x:c r="P559" s="225">
        <x:v>0</x:v>
      </x:c>
      <x:c r="Q559" s="225">
        <x:v>0</x:v>
      </x:c>
      <x:c r="R559" s="225">
        <x:v>0</x:v>
      </x:c>
      <x:c r="S559" s="225">
        <x:v>0</x:v>
      </x:c>
      <x:c r="T559" s="225">
        <x:v>0</x:v>
      </x:c>
      <x:c r="U559" s="225"/>
      <x:c r="V559" s="225"/>
      <x:c r="W559" s="225"/>
      <x:c r="X559" s="225">
        <x:v>0</x:v>
      </x:c>
      <x:c r="Y559" s="225">
        <x:v>0</x:v>
      </x:c>
      <x:c r="Z559" s="225">
        <x:v>0</x:v>
      </x:c>
      <x:c r="AA559" s="225">
        <x:v>0</x:v>
      </x:c>
      <x:c r="AB559" s="225">
        <x:v>0</x:v>
      </x:c>
      <x:c r="AC559" s="225">
        <x:v>0</x:v>
      </x:c>
      <x:c r="AD559" s="225">
        <x:v>0</x:v>
      </x:c>
      <x:c r="AE559" s="225">
        <x:v>0</x:v>
      </x:c>
      <x:c r="AF559" s="225">
        <x:v>0</x:v>
      </x:c>
      <x:c r="AG559" s="225">
        <x:v>0</x:v>
      </x:c>
      <x:c r="AH559" s="225">
        <x:v>0</x:v>
      </x:c>
      <x:c r="AI559" s="225">
        <x:v>0</x:v>
      </x:c>
      <x:c r="AJ559" s="225">
        <x:v>0</x:v>
      </x:c>
      <x:c r="AK559" s="225">
        <x:v>0</x:v>
      </x:c>
      <x:c r="AL559" s="225">
        <x:v>0</x:v>
      </x:c>
      <x:c r="AM559" s="225">
        <x:v>0</x:v>
      </x:c>
      <x:c r="AN559" s="225">
        <x:v>0</x:v>
      </x:c>
      <x:c r="AO559" s="225">
        <x:v>0</x:v>
      </x:c>
    </x:row>
    <x:row r="560" spans="1:41" ht="12.75" customHeight="1" x14ac:dyDescent="0.25">
      <x:c r="C560" s="774"/>
      <x:c r="D560" s="771"/>
      <x:c r="E560" s="223" t="s">
        <x:v>73</x:v>
      </x:c>
      <x:c r="F560" s="225">
        <x:v>0</x:v>
      </x:c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customHeight="1" x14ac:dyDescent="0.25">
      <x:c r="C561" s="774"/>
      <x:c r="D561" s="771" t="s">
        <x:v>133</x:v>
      </x:c>
      <x:c r="E561" s="227" t="s">
        <x:v>70</x:v>
      </x:c>
      <x:c r="F561" s="228">
        <x:v>0</x:v>
      </x:c>
      <x:c r="G561" s="228">
        <x:v>0</x:v>
      </x:c>
      <x:c r="H561" s="228">
        <x:v>0</x:v>
      </x:c>
      <x:c r="I561" s="228">
        <x:v>0</x:v>
      </x:c>
      <x:c r="J561" s="228">
        <x:v>0</x:v>
      </x:c>
      <x:c r="K561" s="228">
        <x:v>0</x:v>
      </x:c>
      <x:c r="L561" s="228">
        <x:v>0</x:v>
      </x:c>
      <x:c r="M561" s="228">
        <x:v>0</x:v>
      </x:c>
      <x:c r="N561" s="228">
        <x:v>0</x:v>
      </x:c>
      <x:c r="O561" s="228">
        <x:v>0</x:v>
      </x:c>
      <x:c r="P561" s="228">
        <x:v>0</x:v>
      </x:c>
      <x:c r="Q561" s="228">
        <x:v>0</x:v>
      </x:c>
      <x:c r="R561" s="228">
        <x:v>0</x:v>
      </x:c>
      <x:c r="S561" s="228">
        <x:v>0</x:v>
      </x:c>
      <x:c r="T561" s="228">
        <x:v>0</x:v>
      </x:c>
      <x:c r="U561" s="228"/>
      <x:c r="V561" s="228"/>
      <x:c r="W561" s="228"/>
      <x:c r="X561" s="228">
        <x:v>0</x:v>
      </x:c>
      <x:c r="Y561" s="228">
        <x:v>0</x:v>
      </x:c>
      <x:c r="Z561" s="228">
        <x:v>0</x:v>
      </x:c>
      <x:c r="AA561" s="228">
        <x:v>0</x:v>
      </x:c>
      <x:c r="AB561" s="228">
        <x:v>0</x:v>
      </x:c>
      <x:c r="AC561" s="228">
        <x:v>0</x:v>
      </x:c>
      <x:c r="AD561" s="228">
        <x:v>0</x:v>
      </x:c>
      <x:c r="AE561" s="228">
        <x:v>0</x:v>
      </x:c>
      <x:c r="AF561" s="228">
        <x:v>0</x:v>
      </x:c>
      <x:c r="AG561" s="228">
        <x:v>0</x:v>
      </x:c>
      <x:c r="AH561" s="228">
        <x:v>0</x:v>
      </x:c>
      <x:c r="AI561" s="228">
        <x:v>0</x:v>
      </x:c>
      <x:c r="AJ561" s="228">
        <x:v>0</x:v>
      </x:c>
      <x:c r="AK561" s="228">
        <x:v>0</x:v>
      </x:c>
      <x:c r="AL561" s="228">
        <x:v>0</x:v>
      </x:c>
      <x:c r="AM561" s="228">
        <x:v>0</x:v>
      </x:c>
      <x:c r="AN561" s="228">
        <x:v>0</x:v>
      </x:c>
      <x:c r="AO561" s="228">
        <x:v>0</x:v>
      </x:c>
    </x:row>
    <x:row r="562" spans="1:41" ht="12.75" customHeight="1" x14ac:dyDescent="0.25">
      <x:c r="C562" s="774"/>
      <x:c r="D562" s="771"/>
      <x:c r="E562" s="227" t="s">
        <x:v>73</x:v>
      </x:c>
      <x:c r="F562" s="228">
        <x:v>0</x:v>
      </x:c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</x:row>
    <x:row r="563" spans="1:41" ht="12.75" customHeight="1" x14ac:dyDescent="0.3">
      <x:c r="A563" s="89"/>
      <x:c r="C563" s="97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customHeight="1" x14ac:dyDescent="0.25">
      <x:c r="C564" s="774" t="s">
        <x:v>155</x:v>
      </x:c>
      <x:c r="D564" s="771" t="s">
        <x:v>132</x:v>
      </x:c>
      <x:c r="E564" s="221" t="s">
        <x:v>70</x:v>
      </x:c>
      <x:c r="F564" s="222">
        <x:f>F529+F504-L504</x:f>
        <x:v>11701157844.9</x:v>
      </x:c>
      <x:c r="G564" s="222">
        <x:f>G504</x:f>
        <x:v>696844795.02999997</x:v>
      </x:c>
      <x:c r="H564" s="222">
        <x:f t="shared" ref="H564:AO564" si="31">H504</x:f>
        <x:v>392989640.31</x:v>
      </x:c>
      <x:c r="I564" s="222">
        <x:f t="shared" si="31"/>
        <x:v>206069582.44999999</x:v>
      </x:c>
      <x:c r="J564" s="222">
        <x:f t="shared" si="31"/>
        <x:v>2740722350.5100002</x:v>
      </x:c>
      <x:c r="K564" s="222">
        <x:f t="shared" si="31"/>
        <x:v>104578894.56</x:v>
      </x:c>
      <x:c r="L564" s="222">
        <x:f t="shared" si="31"/>
        <x:v>8997077.0999999996</x:v>
      </x:c>
      <x:c r="M564" s="222">
        <x:f t="shared" si="31"/>
        <x:v>916904609.30999994</x:v>
      </x:c>
      <x:c r="N564" s="222">
        <x:f t="shared" si="31"/>
        <x:v>898289087.46000004</x:v>
      </x:c>
      <x:c r="O564" s="222">
        <x:f t="shared" si="31"/>
        <x:v>4616985820.4700003</x:v>
      </x:c>
      <x:c r="P564" s="222">
        <x:f t="shared" si="31"/>
        <x:v>2070281460.76</x:v>
      </x:c>
      <x:c r="Q564" s="222">
        <x:f t="shared" si="31"/>
        <x:v>170680332.09999999</x:v>
      </x:c>
      <x:c r="R564" s="222">
        <x:f t="shared" si="31"/>
        <x:v>-147148.47</x:v>
      </x:c>
      <x:c r="S564" s="222">
        <x:f t="shared" si="31"/>
        <x:v>0</x:v>
      </x:c>
      <x:c r="T564" s="222">
        <x:f t="shared" si="31"/>
        <x:v>7.04</x:v>
      </x:c>
      <x:c r="U564" s="222">
        <x:f t="shared" si="31"/>
        <x:v>0</x:v>
      </x:c>
      <x:c r="V564" s="222">
        <x:f t="shared" si="31"/>
        <x:v>0</x:v>
      </x:c>
      <x:c r="W564" s="222">
        <x:f t="shared" si="31"/>
        <x:v>0</x:v>
      </x:c>
      <x:c r="X564" s="222">
        <x:f t="shared" si="31"/>
        <x:v>0</x:v>
      </x:c>
      <x:c r="Y564" s="222">
        <x:f t="shared" si="31"/>
        <x:v>0</x:v>
      </x:c>
      <x:c r="Z564" s="222">
        <x:f t="shared" si="31"/>
        <x:v>-40.369999999999997</x:v>
      </x:c>
      <x:c r="AA564" s="222">
        <x:f t="shared" si="31"/>
        <x:v>0</x:v>
      </x:c>
      <x:c r="AB564" s="222">
        <x:f t="shared" si="31"/>
        <x:v>0</x:v>
      </x:c>
      <x:c r="AC564" s="222">
        <x:f t="shared" si="31"/>
        <x:v>0</x:v>
      </x:c>
      <x:c r="AD564" s="222">
        <x:f t="shared" si="31"/>
        <x:v>0</x:v>
      </x:c>
      <x:c r="AE564" s="222">
        <x:f t="shared" si="31"/>
        <x:v>0</x:v>
      </x:c>
      <x:c r="AF564" s="222">
        <x:f t="shared" si="31"/>
        <x:v>0</x:v>
      </x:c>
      <x:c r="AG564" s="222">
        <x:f t="shared" si="31"/>
        <x:v>0</x:v>
      </x:c>
      <x:c r="AH564" s="222">
        <x:f t="shared" si="31"/>
        <x:v>0</x:v>
      </x:c>
      <x:c r="AI564" s="222">
        <x:f t="shared" si="31"/>
        <x:v>0</x:v>
      </x:c>
      <x:c r="AJ564" s="222">
        <x:f t="shared" si="31"/>
        <x:v>0</x:v>
      </x:c>
      <x:c r="AK564" s="222">
        <x:f t="shared" si="31"/>
        <x:v>0</x:v>
      </x:c>
      <x:c r="AL564" s="222">
        <x:f t="shared" si="31"/>
        <x:v>0</x:v>
      </x:c>
      <x:c r="AM564" s="222">
        <x:f t="shared" si="31"/>
        <x:v>0</x:v>
      </x:c>
      <x:c r="AN564" s="222">
        <x:f t="shared" si="31"/>
        <x:v>0</x:v>
      </x:c>
      <x:c r="AO564" s="222">
        <x:f t="shared" si="31"/>
        <x:v>0</x:v>
      </x:c>
    </x:row>
    <x:row r="565" spans="1:41" ht="12.75" customHeight="1" x14ac:dyDescent="0.25">
      <x:c r="C565" s="774"/>
      <x:c r="D565" s="771"/>
      <x:c r="E565" s="221" t="s">
        <x:v>73</x:v>
      </x:c>
      <x:c r="F565" s="222">
        <x:f>F529</x:f>
        <x:v>-1113041546.26</x:v>
      </x:c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customHeight="1" x14ac:dyDescent="0.25">
      <x:c r="C566" s="774"/>
      <x:c r="D566" s="771" t="s">
        <x:v>133</x:v>
      </x:c>
      <x:c r="E566" s="242" t="s">
        <x:v>70</x:v>
      </x:c>
      <x:c r="F566" s="243">
        <x:v>0</x:v>
      </x:c>
      <x:c r="G566" s="243">
        <x:v>0</x:v>
      </x:c>
      <x:c r="H566" s="243">
        <x:v>0</x:v>
      </x:c>
      <x:c r="I566" s="243">
        <x:v>0</x:v>
      </x:c>
      <x:c r="J566" s="243">
        <x:v>0</x:v>
      </x:c>
      <x:c r="K566" s="243">
        <x:v>0</x:v>
      </x:c>
      <x:c r="L566" s="243">
        <x:v>0</x:v>
      </x:c>
      <x:c r="M566" s="243">
        <x:v>0</x:v>
      </x:c>
      <x:c r="N566" s="243">
        <x:v>0</x:v>
      </x:c>
      <x:c r="O566" s="243">
        <x:v>0</x:v>
      </x:c>
      <x:c r="P566" s="243">
        <x:v>0</x:v>
      </x:c>
      <x:c r="Q566" s="243">
        <x:v>0</x:v>
      </x:c>
      <x:c r="R566" s="243">
        <x:v>0</x:v>
      </x:c>
      <x:c r="S566" s="243">
        <x:v>0</x:v>
      </x:c>
      <x:c r="T566" s="243">
        <x:v>0</x:v>
      </x:c>
      <x:c r="U566" s="243">
        <x:v>0</x:v>
      </x:c>
      <x:c r="V566" s="243">
        <x:v>0</x:v>
      </x:c>
      <x:c r="W566" s="243">
        <x:v>0</x:v>
      </x:c>
      <x:c r="X566" s="243">
        <x:v>0</x:v>
      </x:c>
      <x:c r="Y566" s="243">
        <x:v>0</x:v>
      </x:c>
      <x:c r="Z566" s="243">
        <x:v>0</x:v>
      </x:c>
      <x:c r="AA566" s="243">
        <x:v>0</x:v>
      </x:c>
      <x:c r="AB566" s="243">
        <x:v>0</x:v>
      </x:c>
      <x:c r="AC566" s="243">
        <x:v>0</x:v>
      </x:c>
      <x:c r="AD566" s="243">
        <x:v>0</x:v>
      </x:c>
      <x:c r="AE566" s="243">
        <x:v>0</x:v>
      </x:c>
      <x:c r="AF566" s="243">
        <x:v>0</x:v>
      </x:c>
      <x:c r="AG566" s="243">
        <x:v>0</x:v>
      </x:c>
      <x:c r="AH566" s="243">
        <x:v>0</x:v>
      </x:c>
      <x:c r="AI566" s="243">
        <x:v>0</x:v>
      </x:c>
      <x:c r="AJ566" s="243">
        <x:v>0</x:v>
      </x:c>
      <x:c r="AK566" s="243">
        <x:v>0</x:v>
      </x:c>
      <x:c r="AL566" s="243">
        <x:v>0</x:v>
      </x:c>
      <x:c r="AM566" s="243">
        <x:v>0</x:v>
      </x:c>
      <x:c r="AN566" s="243">
        <x:v>0</x:v>
      </x:c>
      <x:c r="AO566" s="243">
        <x:v>0</x:v>
      </x:c>
    </x:row>
    <x:row r="567" spans="1:41" ht="12.75" customHeight="1" x14ac:dyDescent="0.25">
      <x:c r="C567" s="774"/>
      <x:c r="D567" s="771"/>
      <x:c r="E567" s="242" t="s">
        <x:v>73</x:v>
      </x:c>
      <x:c r="F567" s="243">
        <x:v>0</x:v>
      </x:c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</x:row>
    <x:row r="568" spans="1:41" ht="12.75" customHeight="1" x14ac:dyDescent="0.3">
      <x:c r="A568" s="89"/>
      <x:c r="C568" s="97"/>
      <x:c r="F568" s="90"/>
      <x:c r="G568" s="90"/>
      <x:c r="H568" s="90"/>
      <x:c r="I568" s="90"/>
      <x:c r="J568" s="90"/>
      <x:c r="K568" s="90"/>
      <x:c r="L568" s="90"/>
      <x:c r="M568" s="90"/>
      <x:c r="N568" s="90"/>
      <x:c r="O568" s="90"/>
      <x:c r="P568" s="90"/>
      <x:c r="Q568" s="90"/>
      <x:c r="R568" s="90"/>
      <x:c r="S568" s="90"/>
    </x:row>
    <x:row r="569" spans="1:41" ht="12.75" customHeight="1" x14ac:dyDescent="0.25">
      <x:c r="C569" s="772" t="s">
        <x:v>328</x:v>
      </x:c>
      <x:c r="D569" s="771" t="s">
        <x:v>132</x:v>
      </x:c>
      <x:c r="E569" s="373" t="s">
        <x:v>70</x:v>
      </x:c>
      <x:c r="F569" s="374">
        <x:f>F532+F508-L508</x:f>
        <x:v>26864220</x:v>
      </x:c>
      <x:c r="G569" s="374">
        <x:f>G508</x:f>
        <x:v>1901488.25</x:v>
      </x:c>
      <x:c r="H569" s="374">
        <x:f t="shared" ref="H569:AO569" si="32">H508</x:f>
        <x:v>1046824.27</x:v>
      </x:c>
      <x:c r="I569" s="374">
        <x:f t="shared" si="32"/>
        <x:v>567773.57999999996</x:v>
      </x:c>
      <x:c r="J569" s="374">
        <x:f t="shared" si="32"/>
        <x:v>6845302.7000000002</x:v>
      </x:c>
      <x:c r="K569" s="374">
        <x:f t="shared" si="32"/>
        <x:v>247794.92</x:v>
      </x:c>
      <x:c r="L569" s="374">
        <x:f>L508</x:f>
        <x:v>0</x:v>
      </x:c>
      <x:c r="M569" s="374">
        <x:f t="shared" si="32"/>
        <x:v>2162004.0299999998</x:v>
      </x:c>
      <x:c r="N569" s="374">
        <x:f t="shared" si="32"/>
        <x:v>2129267.87</x:v>
      </x:c>
      <x:c r="O569" s="374">
        <x:f t="shared" si="32"/>
        <x:v>11087908.49</x:v>
      </x:c>
      <x:c r="P569" s="374">
        <x:f t="shared" si="32"/>
        <x:v>5438800.2300000004</x:v>
      </x:c>
      <x:c r="Q569" s="374">
        <x:f t="shared" si="32"/>
        <x:v>407765.67</x:v>
      </x:c>
      <x:c r="R569" s="374">
        <x:f t="shared" si="32"/>
        <x:v>87.55</x:v>
      </x:c>
      <x:c r="S569" s="374">
        <x:f t="shared" si="32"/>
        <x:v>0</x:v>
      </x:c>
      <x:c r="T569" s="374">
        <x:f t="shared" si="32"/>
        <x:v>0</x:v>
      </x:c>
      <x:c r="U569" s="374">
        <x:f t="shared" si="32"/>
        <x:v>0</x:v>
      </x:c>
      <x:c r="V569" s="374">
        <x:f t="shared" si="32"/>
        <x:v>0</x:v>
      </x:c>
      <x:c r="W569" s="374">
        <x:f t="shared" si="32"/>
        <x:v>0</x:v>
      </x:c>
      <x:c r="X569" s="374">
        <x:f t="shared" si="32"/>
        <x:v>0</x:v>
      </x:c>
      <x:c r="Y569" s="374">
        <x:f t="shared" si="32"/>
        <x:v>0</x:v>
      </x:c>
      <x:c r="Z569" s="374">
        <x:f t="shared" si="32"/>
        <x:v>0</x:v>
      </x:c>
      <x:c r="AA569" s="374">
        <x:f t="shared" si="32"/>
        <x:v>0</x:v>
      </x:c>
      <x:c r="AB569" s="374">
        <x:f t="shared" si="32"/>
        <x:v>0</x:v>
      </x:c>
      <x:c r="AC569" s="374">
        <x:f t="shared" si="32"/>
        <x:v>0</x:v>
      </x:c>
      <x:c r="AD569" s="374">
        <x:f t="shared" si="32"/>
        <x:v>0</x:v>
      </x:c>
      <x:c r="AE569" s="374">
        <x:f t="shared" si="32"/>
        <x:v>0</x:v>
      </x:c>
      <x:c r="AF569" s="374">
        <x:f t="shared" si="32"/>
        <x:v>0</x:v>
      </x:c>
      <x:c r="AG569" s="374">
        <x:f t="shared" si="32"/>
        <x:v>0</x:v>
      </x:c>
      <x:c r="AH569" s="374">
        <x:f t="shared" si="32"/>
        <x:v>0</x:v>
      </x:c>
      <x:c r="AI569" s="374">
        <x:f t="shared" si="32"/>
        <x:v>0</x:v>
      </x:c>
      <x:c r="AJ569" s="374">
        <x:f t="shared" si="32"/>
        <x:v>0</x:v>
      </x:c>
      <x:c r="AK569" s="374">
        <x:f t="shared" si="32"/>
        <x:v>0</x:v>
      </x:c>
      <x:c r="AL569" s="374">
        <x:f t="shared" si="32"/>
        <x:v>0</x:v>
      </x:c>
      <x:c r="AM569" s="374">
        <x:f t="shared" si="32"/>
        <x:v>0</x:v>
      </x:c>
      <x:c r="AN569" s="374">
        <x:f t="shared" si="32"/>
        <x:v>0</x:v>
      </x:c>
      <x:c r="AO569" s="374">
        <x:f t="shared" si="32"/>
        <x:v>0</x:v>
      </x:c>
    </x:row>
    <x:row r="570" spans="1:41" ht="12.75" customHeight="1" x14ac:dyDescent="0.25">
      <x:c r="C570" s="772"/>
      <x:c r="D570" s="771"/>
      <x:c r="E570" s="373" t="s">
        <x:v>73</x:v>
      </x:c>
      <x:c r="F570" s="374">
        <x:f>F532</x:f>
        <x:v>-4970797.5599999996</x:v>
      </x:c>
      <x:c r="G570" s="90"/>
      <x:c r="H570" s="90"/>
      <x:c r="I570" s="90"/>
      <x:c r="J570" s="90"/>
      <x:c r="K570" s="90"/>
      <x:c r="L570" s="90"/>
      <x:c r="M570" s="90"/>
      <x:c r="N570" s="90"/>
      <x:c r="O570" s="90"/>
      <x:c r="P570" s="90"/>
      <x:c r="Q570" s="90"/>
      <x:c r="R570" s="90"/>
      <x:c r="S570" s="90"/>
    </x:row>
    <x:row r="571" spans="1:41" ht="12.75" customHeight="1" x14ac:dyDescent="0.25">
      <x:c r="C571" s="772"/>
      <x:c r="D571" s="771" t="s">
        <x:v>133</x:v>
      </x:c>
      <x:c r="E571" s="242" t="s">
        <x:v>70</x:v>
      </x:c>
      <x:c r="F571" s="243">
        <x:v>0</x:v>
      </x:c>
      <x:c r="G571" s="243">
        <x:v>0</x:v>
      </x:c>
      <x:c r="H571" s="243">
        <x:v>0</x:v>
      </x:c>
      <x:c r="I571" s="243">
        <x:v>0</x:v>
      </x:c>
      <x:c r="J571" s="243">
        <x:v>0</x:v>
      </x:c>
      <x:c r="K571" s="243">
        <x:v>0</x:v>
      </x:c>
      <x:c r="L571" s="243">
        <x:v>0</x:v>
      </x:c>
      <x:c r="M571" s="243">
        <x:v>0</x:v>
      </x:c>
      <x:c r="N571" s="243">
        <x:v>0</x:v>
      </x:c>
      <x:c r="O571" s="243">
        <x:v>0</x:v>
      </x:c>
      <x:c r="P571" s="243">
        <x:v>0</x:v>
      </x:c>
      <x:c r="Q571" s="243">
        <x:v>0</x:v>
      </x:c>
      <x:c r="R571" s="243">
        <x:v>0</x:v>
      </x:c>
      <x:c r="S571" s="243">
        <x:v>0</x:v>
      </x:c>
      <x:c r="T571" s="243">
        <x:v>0</x:v>
      </x:c>
      <x:c r="U571" s="243">
        <x:v>0</x:v>
      </x:c>
      <x:c r="V571" s="243">
        <x:v>0</x:v>
      </x:c>
      <x:c r="W571" s="243">
        <x:v>0</x:v>
      </x:c>
      <x:c r="X571" s="243">
        <x:v>0</x:v>
      </x:c>
      <x:c r="Y571" s="243">
        <x:v>0</x:v>
      </x:c>
      <x:c r="Z571" s="243">
        <x:v>0</x:v>
      </x:c>
      <x:c r="AA571" s="243">
        <x:v>0</x:v>
      </x:c>
      <x:c r="AB571" s="243">
        <x:v>0</x:v>
      </x:c>
      <x:c r="AC571" s="243">
        <x:v>0</x:v>
      </x:c>
      <x:c r="AD571" s="243">
        <x:v>0</x:v>
      </x:c>
      <x:c r="AE571" s="243">
        <x:v>0</x:v>
      </x:c>
      <x:c r="AF571" s="243">
        <x:v>0</x:v>
      </x:c>
      <x:c r="AG571" s="243">
        <x:v>0</x:v>
      </x:c>
      <x:c r="AH571" s="243">
        <x:v>0</x:v>
      </x:c>
      <x:c r="AI571" s="243">
        <x:v>0</x:v>
      </x:c>
      <x:c r="AJ571" s="243">
        <x:v>0</x:v>
      </x:c>
      <x:c r="AK571" s="243">
        <x:v>0</x:v>
      </x:c>
      <x:c r="AL571" s="243">
        <x:v>0</x:v>
      </x:c>
      <x:c r="AM571" s="243">
        <x:v>0</x:v>
      </x:c>
      <x:c r="AN571" s="243">
        <x:v>0</x:v>
      </x:c>
      <x:c r="AO571" s="243">
        <x:v>0</x:v>
      </x:c>
    </x:row>
    <x:row r="572" spans="1:41" ht="12.75" customHeight="1" x14ac:dyDescent="0.25">
      <x:c r="C572" s="772"/>
      <x:c r="D572" s="771"/>
      <x:c r="E572" s="242" t="s">
        <x:v>73</x:v>
      </x:c>
      <x:c r="F572" s="243">
        <x:v>0</x:v>
      </x:c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</x:row>
    <x:row r="573" spans="1:41" ht="12.75" customHeight="1" x14ac:dyDescent="0.25">
      <x:c r="C573" s="720"/>
      <x:c r="D573" s="220"/>
      <x:c r="E573" s="89"/>
      <x:c r="F573" s="90"/>
      <x:c r="G573" s="90"/>
      <x:c r="H573" s="90"/>
      <x:c r="I573" s="90"/>
      <x:c r="J573" s="90"/>
      <x:c r="K573" s="90"/>
      <x:c r="L573" s="90"/>
      <x:c r="M573" s="90"/>
      <x:c r="N573" s="90"/>
      <x:c r="O573" s="90"/>
      <x:c r="P573" s="90"/>
      <x:c r="Q573" s="90"/>
      <x:c r="R573" s="90"/>
    </x:row>
    <x:row r="574" spans="1:41" ht="12.75" customHeight="1" x14ac:dyDescent="0.25">
      <x:c r="C574" s="774" t="s">
        <x:v>119</x:v>
      </x:c>
      <x:c r="D574" s="771" t="s">
        <x:v>132</x:v>
      </x:c>
      <x:c r="E574" s="101" t="s">
        <x:v>70</x:v>
      </x:c>
      <x:c r="F574" s="93">
        <x:f>F518+F539-L518</x:f>
        <x:v>304989620.81</x:v>
      </x:c>
      <x:c r="G574" s="93">
        <x:f>G518</x:f>
        <x:v>30071357.300000001</x:v>
      </x:c>
      <x:c r="H574" s="93">
        <x:f t="shared" ref="H574:AO574" si="33">H518</x:f>
        <x:v>16806729.760000002</x:v>
      </x:c>
      <x:c r="I574" s="93">
        <x:f t="shared" si="33"/>
        <x:v>8826816.3499999996</x:v>
      </x:c>
      <x:c r="J574" s="93">
        <x:f t="shared" si="33"/>
        <x:v>17081891.02</x:v>
      </x:c>
      <x:c r="K574" s="93">
        <x:f t="shared" si="33"/>
        <x:v>809348.07</x:v>
      </x:c>
      <x:c r="L574" s="93">
        <x:f t="shared" si="33"/>
        <x:v>5904652.2300000004</x:v>
      </x:c>
      <x:c r="M574" s="93">
        <x:f t="shared" si="33"/>
        <x:v>7092178.5</x:v>
      </x:c>
      <x:c r="N574" s="93">
        <x:f t="shared" si="33"/>
        <x:v>8479028.6799999997</x:v>
      </x:c>
      <x:c r="O574" s="93">
        <x:f t="shared" si="33"/>
        <x:v>43405202.43</x:v>
      </x:c>
      <x:c r="P574" s="93">
        <x:f t="shared" si="33"/>
        <x:v>89395442.060000002</x:v>
      </x:c>
      <x:c r="Q574" s="93">
        <x:f t="shared" si="33"/>
        <x:v>1330478.28</x:v>
      </x:c>
      <x:c r="R574" s="93">
        <x:f t="shared" si="33"/>
        <x:v>-673.41</x:v>
      </x:c>
      <x:c r="S574" s="93">
        <x:f t="shared" si="33"/>
        <x:v>-0.19</x:v>
      </x:c>
      <x:c r="T574" s="93">
        <x:f t="shared" si="33"/>
        <x:v>0.54</x:v>
      </x:c>
      <x:c r="U574" s="93">
        <x:f t="shared" si="33"/>
        <x:v>0</x:v>
      </x:c>
      <x:c r="V574" s="93">
        <x:f t="shared" si="33"/>
        <x:v>0</x:v>
      </x:c>
      <x:c r="W574" s="93">
        <x:f t="shared" si="33"/>
        <x:v>0</x:v>
      </x:c>
      <x:c r="X574" s="93">
        <x:f t="shared" si="33"/>
        <x:v>0</x:v>
      </x:c>
      <x:c r="Y574" s="93">
        <x:f t="shared" si="33"/>
        <x:v>0</x:v>
      </x:c>
      <x:c r="Z574" s="93">
        <x:f t="shared" si="33"/>
        <x:v>0</x:v>
      </x:c>
      <x:c r="AA574" s="93">
        <x:f t="shared" si="33"/>
        <x:v>0</x:v>
      </x:c>
      <x:c r="AB574" s="93">
        <x:f t="shared" si="33"/>
        <x:v>0</x:v>
      </x:c>
      <x:c r="AC574" s="93">
        <x:f t="shared" si="33"/>
        <x:v>0</x:v>
      </x:c>
      <x:c r="AD574" s="93">
        <x:f t="shared" si="33"/>
        <x:v>0</x:v>
      </x:c>
      <x:c r="AE574" s="93">
        <x:f t="shared" si="33"/>
        <x:v>0</x:v>
      </x:c>
      <x:c r="AF574" s="93">
        <x:f t="shared" si="33"/>
        <x:v>0</x:v>
      </x:c>
      <x:c r="AG574" s="93">
        <x:f t="shared" si="33"/>
        <x:v>0</x:v>
      </x:c>
      <x:c r="AH574" s="93">
        <x:f t="shared" si="33"/>
        <x:v>0</x:v>
      </x:c>
      <x:c r="AI574" s="93">
        <x:f t="shared" si="33"/>
        <x:v>0</x:v>
      </x:c>
      <x:c r="AJ574" s="93">
        <x:f t="shared" si="33"/>
        <x:v>0</x:v>
      </x:c>
      <x:c r="AK574" s="93">
        <x:f t="shared" si="33"/>
        <x:v>0</x:v>
      </x:c>
      <x:c r="AL574" s="93">
        <x:f t="shared" si="33"/>
        <x:v>0</x:v>
      </x:c>
      <x:c r="AM574" s="93">
        <x:f t="shared" si="33"/>
        <x:v>0</x:v>
      </x:c>
      <x:c r="AN574" s="93">
        <x:f t="shared" si="33"/>
        <x:v>0</x:v>
      </x:c>
      <x:c r="AO574" s="93">
        <x:f t="shared" si="33"/>
        <x:v>0</x:v>
      </x:c>
    </x:row>
    <x:row r="575" spans="1:41" ht="12.75" customHeight="1" x14ac:dyDescent="0.25">
      <x:c r="C575" s="774"/>
      <x:c r="D575" s="771"/>
      <x:c r="E575" s="101" t="s">
        <x:v>73</x:v>
      </x:c>
      <x:c r="F575" s="93">
        <x:f>F539</x:f>
        <x:v>81691821.420000002</x:v>
      </x:c>
      <x:c r="G575" s="90"/>
      <x:c r="H575" s="90"/>
      <x:c r="I575" s="90"/>
      <x:c r="J575" s="90"/>
      <x:c r="K575" s="90"/>
      <x:c r="L575" s="90"/>
      <x:c r="M575" s="90"/>
      <x:c r="N575" s="90"/>
      <x:c r="O575" s="90"/>
      <x:c r="P575" s="90"/>
      <x:c r="Q575" s="90"/>
      <x:c r="R575" s="90"/>
      <x:c r="S575" s="90"/>
    </x:row>
    <x:row r="576" spans="1:41" ht="12.75" customHeight="1" x14ac:dyDescent="0.25">
      <x:c r="C576" s="774"/>
      <x:c r="D576" s="771" t="s">
        <x:v>133</x:v>
      </x:c>
      <x:c r="E576" s="235" t="s">
        <x:v>70</x:v>
      </x:c>
      <x:c r="F576" s="236">
        <x:f>F525+F499-L499</x:f>
        <x:v>441849</x:v>
      </x:c>
      <x:c r="G576" s="236">
        <x:f>G499</x:f>
        <x:v>26657.43</x:v>
      </x:c>
      <x:c r="H576" s="236">
        <x:f t="shared" ref="H576:AO576" si="34">H499</x:f>
        <x:v>14138.02</x:v>
      </x:c>
      <x:c r="I576" s="236">
        <x:f t="shared" si="34"/>
        <x:v>7723.27</x:v>
      </x:c>
      <x:c r="J576" s="236">
        <x:f t="shared" si="34"/>
        <x:v>93911.73</x:v>
      </x:c>
      <x:c r="K576" s="236">
        <x:f t="shared" si="34"/>
        <x:v>2290.29</x:v>
      </x:c>
      <x:c r="L576" s="236">
        <x:f t="shared" si="34"/>
        <x:v>0</x:v>
      </x:c>
      <x:c r="M576" s="236">
        <x:f t="shared" si="34"/>
        <x:v>20089.34</x:v>
      </x:c>
      <x:c r="N576" s="236">
        <x:f t="shared" si="34"/>
        <x:v>28092.36</x:v>
      </x:c>
      <x:c r="O576" s="236">
        <x:f t="shared" si="34"/>
        <x:v>141333</x:v>
      </x:c>
      <x:c r="P576" s="236">
        <x:f t="shared" si="34"/>
        <x:v>79544.789999999994</x:v>
      </x:c>
      <x:c r="Q576" s="236">
        <x:f t="shared" si="34"/>
        <x:v>3736.7</x:v>
      </x:c>
      <x:c r="R576" s="236">
        <x:f t="shared" si="34"/>
        <x:v>2.69</x:v>
      </x:c>
      <x:c r="S576" s="236">
        <x:f t="shared" si="34"/>
        <x:v>0</x:v>
      </x:c>
      <x:c r="T576" s="236">
        <x:f t="shared" si="34"/>
        <x:v>0</x:v>
      </x:c>
      <x:c r="U576" s="236">
        <x:f t="shared" si="34"/>
        <x:v>0</x:v>
      </x:c>
      <x:c r="V576" s="236">
        <x:f t="shared" si="34"/>
        <x:v>0</x:v>
      </x:c>
      <x:c r="W576" s="236">
        <x:f t="shared" si="34"/>
        <x:v>0</x:v>
      </x:c>
      <x:c r="X576" s="236">
        <x:f t="shared" si="34"/>
        <x:v>0</x:v>
      </x:c>
      <x:c r="Y576" s="236">
        <x:f t="shared" si="34"/>
        <x:v>0</x:v>
      </x:c>
      <x:c r="Z576" s="236">
        <x:f t="shared" si="34"/>
        <x:v>0</x:v>
      </x:c>
      <x:c r="AA576" s="236">
        <x:f t="shared" si="34"/>
        <x:v>0</x:v>
      </x:c>
      <x:c r="AB576" s="236">
        <x:f t="shared" si="34"/>
        <x:v>0</x:v>
      </x:c>
      <x:c r="AC576" s="236">
        <x:f t="shared" si="34"/>
        <x:v>0</x:v>
      </x:c>
      <x:c r="AD576" s="236">
        <x:f t="shared" si="34"/>
        <x:v>0</x:v>
      </x:c>
      <x:c r="AE576" s="236">
        <x:f t="shared" si="34"/>
        <x:v>0</x:v>
      </x:c>
      <x:c r="AF576" s="236">
        <x:f t="shared" si="34"/>
        <x:v>0</x:v>
      </x:c>
      <x:c r="AG576" s="236">
        <x:f t="shared" si="34"/>
        <x:v>0</x:v>
      </x:c>
      <x:c r="AH576" s="236">
        <x:f t="shared" si="34"/>
        <x:v>0</x:v>
      </x:c>
      <x:c r="AI576" s="236">
        <x:f t="shared" si="34"/>
        <x:v>0</x:v>
      </x:c>
      <x:c r="AJ576" s="236">
        <x:f t="shared" si="34"/>
        <x:v>0</x:v>
      </x:c>
      <x:c r="AK576" s="236">
        <x:f t="shared" si="34"/>
        <x:v>0</x:v>
      </x:c>
      <x:c r="AL576" s="236">
        <x:f t="shared" si="34"/>
        <x:v>0</x:v>
      </x:c>
      <x:c r="AM576" s="236">
        <x:f t="shared" si="34"/>
        <x:v>0</x:v>
      </x:c>
      <x:c r="AN576" s="236">
        <x:f t="shared" si="34"/>
        <x:v>0</x:v>
      </x:c>
      <x:c r="AO576" s="236">
        <x:f t="shared" si="34"/>
        <x:v>0</x:v>
      </x:c>
    </x:row>
    <x:row r="577" spans="1:41" ht="12.75" customHeight="1" x14ac:dyDescent="0.25">
      <x:c r="C577" s="774"/>
      <x:c r="D577" s="771"/>
      <x:c r="E577" s="235" t="s">
        <x:v>73</x:v>
      </x:c>
      <x:c r="F577" s="236">
        <x:f>F525</x:f>
        <x:v>24329.38</x:v>
      </x:c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</x:row>
    <x:row r="578" spans="1:41" ht="12.75" customHeight="1" x14ac:dyDescent="0.3">
      <x:c r="A578" s="89"/>
      <x:c r="C578" s="97"/>
      <x:c r="F578" s="90"/>
      <x:c r="G578" s="90"/>
      <x:c r="H578" s="90"/>
      <x:c r="I578" s="90"/>
      <x:c r="J578" s="90"/>
      <x:c r="K578" s="90"/>
      <x:c r="L578" s="90"/>
      <x:c r="M578" s="90"/>
      <x:c r="N578" s="90"/>
      <x:c r="O578" s="90"/>
      <x:c r="P578" s="90"/>
      <x:c r="Q578" s="90"/>
      <x:c r="R578" s="90"/>
      <x:c r="S578" s="90"/>
    </x:row>
    <x:row r="579" spans="1:41" ht="12.75" customHeight="1" x14ac:dyDescent="0.25">
      <x:c r="C579" s="773" t="s">
        <x:v>161</x:v>
      </x:c>
      <x:c r="D579" s="771" t="s">
        <x:v>132</x:v>
      </x:c>
      <x:c r="E579" s="231" t="s">
        <x:v>70</x:v>
      </x:c>
      <x:c r="F579" s="232">
        <x:v>0</x:v>
      </x:c>
      <x:c r="G579" s="232">
        <x:v>0</x:v>
      </x:c>
      <x:c r="H579" s="232">
        <x:v>0</x:v>
      </x:c>
      <x:c r="I579" s="232">
        <x:v>0</x:v>
      </x:c>
      <x:c r="J579" s="232">
        <x:v>0</x:v>
      </x:c>
      <x:c r="K579" s="232">
        <x:v>0</x:v>
      </x:c>
      <x:c r="L579" s="232">
        <x:v>0</x:v>
      </x:c>
      <x:c r="M579" s="232">
        <x:v>0</x:v>
      </x:c>
      <x:c r="N579" s="232">
        <x:v>0</x:v>
      </x:c>
      <x:c r="O579" s="232">
        <x:v>0</x:v>
      </x:c>
      <x:c r="P579" s="232">
        <x:v>0</x:v>
      </x:c>
      <x:c r="Q579" s="232">
        <x:v>0</x:v>
      </x:c>
      <x:c r="R579" s="232">
        <x:v>0</x:v>
      </x:c>
      <x:c r="S579" s="232">
        <x:v>0</x:v>
      </x:c>
      <x:c r="T579" s="232">
        <x:v>0</x:v>
      </x:c>
      <x:c r="U579" s="232"/>
      <x:c r="V579" s="232"/>
      <x:c r="W579" s="232"/>
      <x:c r="X579" s="232">
        <x:v>0</x:v>
      </x:c>
      <x:c r="Y579" s="232">
        <x:v>0</x:v>
      </x:c>
      <x:c r="Z579" s="232">
        <x:v>0</x:v>
      </x:c>
      <x:c r="AA579" s="232">
        <x:v>0</x:v>
      </x:c>
      <x:c r="AB579" s="232">
        <x:v>0</x:v>
      </x:c>
      <x:c r="AC579" s="232">
        <x:v>0</x:v>
      </x:c>
      <x:c r="AD579" s="232">
        <x:v>0</x:v>
      </x:c>
      <x:c r="AE579" s="232">
        <x:v>0</x:v>
      </x:c>
      <x:c r="AF579" s="232">
        <x:v>0</x:v>
      </x:c>
      <x:c r="AG579" s="232">
        <x:v>0</x:v>
      </x:c>
      <x:c r="AH579" s="232">
        <x:v>0</x:v>
      </x:c>
      <x:c r="AI579" s="232">
        <x:v>0</x:v>
      </x:c>
      <x:c r="AJ579" s="232">
        <x:v>0</x:v>
      </x:c>
      <x:c r="AK579" s="232">
        <x:v>0</x:v>
      </x:c>
      <x:c r="AL579" s="232">
        <x:v>0</x:v>
      </x:c>
      <x:c r="AM579" s="232">
        <x:v>0</x:v>
      </x:c>
      <x:c r="AN579" s="232">
        <x:v>0</x:v>
      </x:c>
      <x:c r="AO579" s="232">
        <x:v>0</x:v>
      </x:c>
    </x:row>
    <x:row r="580" spans="1:41" ht="12.75" customHeight="1" x14ac:dyDescent="0.25">
      <x:c r="C580" s="773"/>
      <x:c r="D580" s="771"/>
      <x:c r="E580" s="231" t="s">
        <x:v>73</x:v>
      </x:c>
      <x:c r="F580" s="232">
        <x:v>0</x:v>
      </x:c>
      <x:c r="G580" s="90"/>
      <x:c r="H580" s="90"/>
      <x:c r="I580" s="90"/>
      <x:c r="J580" s="90"/>
      <x:c r="K580" s="90"/>
      <x:c r="L580" s="90"/>
      <x:c r="M580" s="90"/>
      <x:c r="N580" s="90"/>
      <x:c r="O580" s="90"/>
      <x:c r="P580" s="90"/>
      <x:c r="Q580" s="90"/>
      <x:c r="R580" s="90"/>
      <x:c r="S580" s="90"/>
    </x:row>
    <x:row r="581" spans="1:41" ht="12.75" customHeight="1" x14ac:dyDescent="0.25">
      <x:c r="C581" s="773"/>
      <x:c r="E581" s="148" t="s">
        <x:v>70</x:v>
      </x:c>
      <x:c r="F581" s="149">
        <x:v>0</x:v>
      </x:c>
      <x:c r="G581" s="149">
        <x:v>0</x:v>
      </x:c>
      <x:c r="H581" s="149">
        <x:v>0</x:v>
      </x:c>
      <x:c r="I581" s="149">
        <x:v>0</x:v>
      </x:c>
      <x:c r="J581" s="149">
        <x:v>0</x:v>
      </x:c>
      <x:c r="K581" s="149">
        <x:v>0</x:v>
      </x:c>
      <x:c r="L581" s="149">
        <x:v>0</x:v>
      </x:c>
      <x:c r="M581" s="149">
        <x:v>0</x:v>
      </x:c>
      <x:c r="N581" s="149">
        <x:v>0</x:v>
      </x:c>
      <x:c r="O581" s="149">
        <x:v>0</x:v>
      </x:c>
      <x:c r="P581" s="149">
        <x:v>0</x:v>
      </x:c>
      <x:c r="Q581" s="149">
        <x:v>0</x:v>
      </x:c>
      <x:c r="R581" s="149">
        <x:v>0</x:v>
      </x:c>
      <x:c r="S581" s="149">
        <x:v>0</x:v>
      </x:c>
      <x:c r="T581" s="149">
        <x:v>0</x:v>
      </x:c>
      <x:c r="U581" s="149"/>
      <x:c r="V581" s="149"/>
      <x:c r="W581" s="149"/>
      <x:c r="X581" s="149">
        <x:v>0</x:v>
      </x:c>
      <x:c r="Y581" s="149">
        <x:v>0</x:v>
      </x:c>
      <x:c r="Z581" s="149">
        <x:v>0</x:v>
      </x:c>
      <x:c r="AA581" s="149">
        <x:v>0</x:v>
      </x:c>
    </x:row>
    <x:row r="582" spans="1:41" ht="12.75" customHeight="1" x14ac:dyDescent="0.25">
      <x:c r="C582" s="773"/>
      <x:c r="D582" s="220" t="s">
        <x:v>132</x:v>
      </x:c>
      <x:c r="E582" s="148" t="s">
        <x:v>73</x:v>
      </x:c>
      <x:c r="F582" s="149">
        <x:v>0</x:v>
      </x:c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</x:row>
    <x:row r="583" spans="1:41" ht="12.75" customHeight="1" x14ac:dyDescent="0.25">
      <x:c r="C583" s="388"/>
      <x:c r="D583" s="220"/>
      <x:c r="E583" s="89"/>
      <x:c r="F583" s="90"/>
      <x:c r="G583" s="90"/>
      <x:c r="H583" s="90"/>
      <x:c r="I583" s="90"/>
      <x:c r="J583" s="90"/>
      <x:c r="K583" s="90"/>
      <x:c r="L583" s="90"/>
      <x:c r="M583" s="90"/>
      <x:c r="N583" s="90"/>
      <x:c r="O583" s="90"/>
      <x:c r="P583" s="90"/>
      <x:c r="Q583" s="90"/>
      <x:c r="R583" s="90"/>
    </x:row>
    <x:row r="584" spans="1:41" ht="12.75" customHeight="1" x14ac:dyDescent="0.25">
      <x:c r="D584" s="458" t="s">
        <x:v>186</x:v>
      </x:c>
      <x:c r="E584" s="459" t="s">
        <x:v>70</x:v>
      </x:c>
      <x:c r="F584" s="460">
        <x:v>0</x:v>
      </x:c>
      <x:c r="G584" s="460">
        <x:v>0</x:v>
      </x:c>
      <x:c r="H584" s="460">
        <x:v>0</x:v>
      </x:c>
      <x:c r="I584" s="460">
        <x:v>0</x:v>
      </x:c>
      <x:c r="J584" s="460">
        <x:v>0</x:v>
      </x:c>
      <x:c r="K584" s="460">
        <x:v>0</x:v>
      </x:c>
      <x:c r="L584" s="460">
        <x:v>0</x:v>
      </x:c>
      <x:c r="M584" s="460">
        <x:v>0</x:v>
      </x:c>
      <x:c r="N584" s="460">
        <x:v>0</x:v>
      </x:c>
      <x:c r="O584" s="460">
        <x:v>0</x:v>
      </x:c>
      <x:c r="P584" s="460">
        <x:v>0</x:v>
      </x:c>
      <x:c r="Q584" s="460">
        <x:v>0</x:v>
      </x:c>
      <x:c r="R584" s="460">
        <x:v>0</x:v>
      </x:c>
      <x:c r="S584" s="460">
        <x:v>0</x:v>
      </x:c>
      <x:c r="T584" s="460">
        <x:v>0</x:v>
      </x:c>
      <x:c r="U584" s="460">
        <x:v>0</x:v>
      </x:c>
      <x:c r="V584" s="460">
        <x:v>0</x:v>
      </x:c>
      <x:c r="W584" s="460">
        <x:v>0</x:v>
      </x:c>
      <x:c r="X584" s="460">
        <x:v>0</x:v>
      </x:c>
      <x:c r="Y584" s="460">
        <x:v>0</x:v>
      </x:c>
      <x:c r="Z584" s="460">
        <x:v>0</x:v>
      </x:c>
      <x:c r="AA584" s="460">
        <x:v>0</x:v>
      </x:c>
    </x:row>
    <x:row r="585" spans="1:41" ht="12.75" customHeight="1" x14ac:dyDescent="0.25">
      <x:c r="C585" s="388"/>
      <x:c r="D585" s="220"/>
      <x:c r="E585" s="89"/>
      <x:c r="F585" s="90"/>
      <x:c r="G585" s="90"/>
      <x:c r="H585" s="90"/>
      <x:c r="I585" s="90"/>
      <x:c r="J585" s="90"/>
      <x:c r="K585" s="90"/>
      <x:c r="L585" s="90"/>
      <x:c r="M585" s="90"/>
      <x:c r="N585" s="90"/>
      <x:c r="O585" s="90"/>
      <x:c r="P585" s="90"/>
      <x:c r="Q585" s="90"/>
      <x:c r="R585" s="90"/>
    </x:row>
    <x:row r="586" spans="1:41" s="238" customFormat="1" ht="12.75" customHeight="1" x14ac:dyDescent="0.25">
      <x:c r="D586" s="239"/>
      <x:c r="E586" s="240"/>
      <x:c r="F586" s="240"/>
      <x:c r="G586" s="240"/>
      <x:c r="H586" s="240"/>
      <x:c r="I586" s="240"/>
      <x:c r="J586" s="240"/>
      <x:c r="K586" s="240"/>
      <x:c r="L586" s="240"/>
      <x:c r="M586" s="240"/>
      <x:c r="N586" s="240"/>
      <x:c r="O586" s="240"/>
      <x:c r="P586" s="240"/>
      <x:c r="Q586" s="240"/>
    </x:row>
  </x:sheetData>
  <x:mergeCells count="87">
    <x:mergeCell ref="D571:D572"/>
    <x:mergeCell ref="C481:C484"/>
    <x:mergeCell ref="C461:C464"/>
    <x:mergeCell ref="D461:D462"/>
    <x:mergeCell ref="D463:D464"/>
    <x:mergeCell ref="C466:C469"/>
    <x:mergeCell ref="D466:D467"/>
    <x:mergeCell ref="D468:D469"/>
    <x:mergeCell ref="C476:C479"/>
    <x:mergeCell ref="D476:D477"/>
    <x:mergeCell ref="D478:D479"/>
    <x:mergeCell ref="D481:D482"/>
    <x:mergeCell ref="C471:C474"/>
    <x:mergeCell ref="D471:D472"/>
    <x:mergeCell ref="D473:D474"/>
    <x:mergeCell ref="C456:C459"/>
    <x:mergeCell ref="D456:D457"/>
    <x:mergeCell ref="D458:D459"/>
    <x:mergeCell ref="C330:C333"/>
    <x:mergeCell ref="D330:D331"/>
    <x:mergeCell ref="D332:D333"/>
    <x:mergeCell ref="C335:C338"/>
    <x:mergeCell ref="D335:D336"/>
    <x:mergeCell ref="D337:D338"/>
    <x:mergeCell ref="C345:C348"/>
    <x:mergeCell ref="D345:D346"/>
    <x:mergeCell ref="D347:D348"/>
    <x:mergeCell ref="C350:C353"/>
    <x:mergeCell ref="D350:D351"/>
    <x:mergeCell ref="D352:D353"/>
    <x:mergeCell ref="C340:C343"/>
    <x:mergeCell ref="D72:D73"/>
    <x:mergeCell ref="C55:C58"/>
    <x:mergeCell ref="C60:C63"/>
    <x:mergeCell ref="D201:D202"/>
    <x:mergeCell ref="C50:C53"/>
    <x:mergeCell ref="D50:D51"/>
    <x:mergeCell ref="D52:D53"/>
    <x:mergeCell ref="C70:C73"/>
    <x:mergeCell ref="D55:D56"/>
    <x:mergeCell ref="D57:D58"/>
    <x:mergeCell ref="D60:D61"/>
    <x:mergeCell ref="D62:D63"/>
    <x:mergeCell ref="D70:D71"/>
    <x:mergeCell ref="C65:C68"/>
    <x:mergeCell ref="D65:D66"/>
    <x:mergeCell ref="D67:D68"/>
    <x:mergeCell ref="D206:D207"/>
    <x:mergeCell ref="D216:D217"/>
    <x:mergeCell ref="C75:C78"/>
    <x:mergeCell ref="D75:D76"/>
    <x:mergeCell ref="D77:D78"/>
    <x:mergeCell ref="C194:C197"/>
    <x:mergeCell ref="D194:D195"/>
    <x:mergeCell ref="D196:D197"/>
    <x:mergeCell ref="C199:C202"/>
    <x:mergeCell ref="D199:D200"/>
    <x:mergeCell ref="D204:D205"/>
    <x:mergeCell ref="C204:C207"/>
    <x:mergeCell ref="C214:C217"/>
    <x:mergeCell ref="D214:D215"/>
    <x:mergeCell ref="C579:C582"/>
    <x:mergeCell ref="C554:C557"/>
    <x:mergeCell ref="D554:D555"/>
    <x:mergeCell ref="D556:D557"/>
    <x:mergeCell ref="C559:C562"/>
    <x:mergeCell ref="D559:D560"/>
    <x:mergeCell ref="D561:D562"/>
    <x:mergeCell ref="C564:C567"/>
    <x:mergeCell ref="D564:D565"/>
    <x:mergeCell ref="D566:D567"/>
    <x:mergeCell ref="C574:C577"/>
    <x:mergeCell ref="D574:D575"/>
    <x:mergeCell ref="D576:D577"/>
    <x:mergeCell ref="D579:D580"/>
    <x:mergeCell ref="C569:C572"/>
    <x:mergeCell ref="D569:D570"/>
    <x:mergeCell ref="D340:D341"/>
    <x:mergeCell ref="D342:D343"/>
    <x:mergeCell ref="C209:C212"/>
    <x:mergeCell ref="D209:D210"/>
    <x:mergeCell ref="D211:D212"/>
    <x:mergeCell ref="C219:C222"/>
    <x:mergeCell ref="D219:D220"/>
    <x:mergeCell ref="C325:C328"/>
    <x:mergeCell ref="D325:D326"/>
    <x:mergeCell ref="D327:D328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55"/>
  <x:sheetViews>
    <x:sheetView zoomScaleNormal="100" workbookViewId="0">
      <x:pane ySplit="2" topLeftCell="A3" activePane="bottomLeft" state="frozen"/>
      <x:selection activeCell="A6" sqref="A6"/>
      <x:selection pane="bottomLeft" activeCell="A3" sqref="A3"/>
    </x:sheetView>
  </x:sheetViews>
  <x:sheetFormatPr baseColWidth="10" defaultRowHeight="12.5" x14ac:dyDescent="0.25"/>
  <x:cols>
    <x:col min="2" max="2" width="22.453125" bestFit="1" customWidth="1"/>
    <x:col min="3" max="3" width="18.81640625" customWidth="1"/>
    <x:col min="4" max="4" width="23.1796875" bestFit="1" customWidth="1"/>
    <x:col min="5" max="5" width="15.1796875" bestFit="1" customWidth="1"/>
    <x:col min="6" max="6" width="15.453125" bestFit="1" customWidth="1"/>
    <x:col min="7" max="8" width="16.1796875" bestFit="1" customWidth="1"/>
    <x:col min="9" max="9" width="15.1796875" bestFit="1" customWidth="1"/>
    <x:col min="10" max="10" width="17" bestFit="1" customWidth="1"/>
    <x:col min="11" max="11" width="13.54296875" bestFit="1" customWidth="1"/>
    <x:col min="12" max="12" width="15.54296875" bestFit="1" customWidth="1"/>
    <x:col min="13" max="15" width="15.1796875" bestFit="1" customWidth="1"/>
    <x:col min="16" max="16" width="20.453125" bestFit="1" customWidth="1"/>
    <x:col min="17" max="17" width="11.54296875" customWidth="1"/>
    <x:col min="18" max="18" width="13.54296875" bestFit="1" customWidth="1"/>
  </x:cols>
  <x:sheetData>
    <x:row r="1" spans="2:18" ht="13" x14ac:dyDescent="0.3">
      <x:c r="B1" s="97" t="s">
        <x:v>74</x:v>
      </x:c>
    </x:row>
    <x:row r="2" spans="2:18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227</x:v>
      </x:c>
    </x:row>
    <x:row r="3" spans="2:18" ht="12.75" customHeight="1" x14ac:dyDescent="0.25">
      <x:c r="D3" t="s">
        <x:v>72</x:v>
      </x:c>
      <x:c r="E3" s="384">
        <x:v>104754634.94</x:v>
      </x:c>
      <x:c r="F3" s="89">
        <x:v>6975298.6900000004</x:v>
      </x:c>
      <x:c r="G3" s="89">
        <x:v>3988878.11</x:v>
      </x:c>
      <x:c r="H3" s="384">
        <x:v>1891710.46</x:v>
      </x:c>
      <x:c r="I3" s="89">
        <x:v>21813833.059999999</x:v>
      </x:c>
      <x:c r="J3" s="89">
        <x:v>885097.78</x:v>
      </x:c>
      <x:c r="K3" s="89">
        <x:v>0</x:v>
      </x:c>
      <x:c r="L3" s="89">
        <x:v>8065770.6100000003</x:v>
      </x:c>
      <x:c r="M3" s="89">
        <x:v>7536469.1200000001</x:v>
      </x:c>
      <x:c r="N3" s="89">
        <x:v>33213003.719999999</x:v>
      </x:c>
      <x:c r="O3" s="89">
        <x:v>19115514.460000001</x:v>
      </x:c>
      <x:c r="P3" s="89">
        <x:v>1269059.56</x:v>
      </x:c>
      <x:c r="Q3" s="89">
        <x:v>-0.63</x:v>
      </x:c>
      <x:c r="R3">
        <x:v>0</x:v>
      </x:c>
    </x:row>
    <x:row r="4" spans="2:18" ht="12.75" customHeight="1" x14ac:dyDescent="0.25">
      <x:c r="D4" t="s">
        <x:v>81</x:v>
      </x:c>
      <x:c r="E4">
        <x:v>15816.77</x:v>
      </x:c>
      <x:c r="F4">
        <x:v>1163.3800000000001</x:v>
      </x:c>
      <x:c r="G4">
        <x:v>642.32000000000005</x:v>
      </x:c>
      <x:c r="H4">
        <x:v>341.55</x:v>
      </x:c>
      <x:c r="I4">
        <x:v>3027.69</x:v>
      </x:c>
      <x:c r="J4">
        <x:v>126.06</x:v>
      </x:c>
      <x:c r="K4">
        <x:v>0</x:v>
      </x:c>
      <x:c r="L4">
        <x:v>1110.6099999999999</x:v>
      </x:c>
      <x:c r="M4">
        <x:v>1054.19</x:v>
      </x:c>
      <x:c r="N4">
        <x:v>4963.7299999999996</x:v>
      </x:c>
      <x:c r="O4">
        <x:v>3181.55</x:v>
      </x:c>
      <x:c r="P4">
        <x:v>205.61</x:v>
      </x:c>
      <x:c r="Q4">
        <x:v>0.08</x:v>
      </x:c>
      <x:c r="R4">
        <x:v>0</x:v>
      </x:c>
    </x:row>
    <x:row r="5" spans="2:18" ht="12.75" customHeight="1" x14ac:dyDescent="0.25">
      <x:c r="C5" t="s">
        <x:v>156</x:v>
      </x:c>
      <x:c r="D5" t="s">
        <x:v>70</x:v>
      </x:c>
      <x:c r="E5">
        <x:v>104770451.70999999</x:v>
      </x:c>
      <x:c r="F5">
        <x:v>6976462.0700000003</x:v>
      </x:c>
      <x:c r="G5">
        <x:v>3989520.43</x:v>
      </x:c>
      <x:c r="H5">
        <x:v>1892052.01</x:v>
      </x:c>
      <x:c r="I5">
        <x:v>21816860.75</x:v>
      </x:c>
      <x:c r="J5">
        <x:v>885223.84</x:v>
      </x:c>
      <x:c r="K5">
        <x:v>0</x:v>
      </x:c>
      <x:c r="L5">
        <x:v>8066881.2199999997</x:v>
      </x:c>
      <x:c r="M5">
        <x:v>7537523.3099999996</x:v>
      </x:c>
      <x:c r="N5">
        <x:v>33217967.449999999</x:v>
      </x:c>
      <x:c r="O5">
        <x:v>19118696.010000002</x:v>
      </x:c>
      <x:c r="P5">
        <x:v>1269265.17</x:v>
      </x:c>
      <x:c r="Q5">
        <x:v>-0.55000000000000004</x:v>
      </x:c>
      <x:c r="R5">
        <x:v>0</x:v>
      </x:c>
    </x:row>
    <x:row r="6" spans="2:18" s="286" customFormat="1" ht="12.75" customHeight="1" x14ac:dyDescent="0.25">
      <x:c r="B6" s="286" t="s">
        <x:v>155</x:v>
      </x:c>
      <x:c r="C6" s="286" t="s">
        <x:v>70</x:v>
      </x:c>
      <x:c r="E6" s="286">
        <x:v>104770451.70999999</x:v>
      </x:c>
      <x:c r="F6" s="286">
        <x:v>6976462.0700000003</x:v>
      </x:c>
      <x:c r="G6" s="286">
        <x:v>3989520.43</x:v>
      </x:c>
      <x:c r="H6" s="286">
        <x:v>1892052.01</x:v>
      </x:c>
      <x:c r="I6" s="286">
        <x:v>21816860.75</x:v>
      </x:c>
      <x:c r="J6" s="286">
        <x:v>885223.84</x:v>
      </x:c>
      <x:c r="K6" s="286">
        <x:v>0</x:v>
      </x:c>
      <x:c r="L6" s="286">
        <x:v>8066881.2199999997</x:v>
      </x:c>
      <x:c r="M6" s="286">
        <x:v>7537523.3099999996</x:v>
      </x:c>
      <x:c r="N6" s="286">
        <x:v>33217967.449999999</x:v>
      </x:c>
      <x:c r="O6" s="286">
        <x:v>19118696.010000002</x:v>
      </x:c>
      <x:c r="P6" s="286">
        <x:v>1269265.17</x:v>
      </x:c>
      <x:c r="Q6" s="286">
        <x:v>-0.55000000000000004</x:v>
      </x:c>
      <x:c r="R6" s="286">
        <x:v>0</x:v>
      </x:c>
    </x:row>
    <x:row r="7" spans="2:18" ht="12.75" customHeight="1" x14ac:dyDescent="0.25">
      <x:c r="B7" s="142"/>
      <x:c r="D7" t="s">
        <x:v>72</x:v>
      </x:c>
      <x:c r="E7" s="142">
        <x:v>2066328.15</x:v>
      </x:c>
      <x:c r="F7">
        <x:v>95509.13</x:v>
      </x:c>
      <x:c r="G7">
        <x:v>53786.6</x:v>
      </x:c>
      <x:c r="H7">
        <x:v>25807.38</x:v>
      </x:c>
      <x:c r="I7">
        <x:v>498516.51</x:v>
      </x:c>
      <x:c r="J7">
        <x:v>14869.65</x:v>
      </x:c>
      <x:c r="K7">
        <x:v>0</x:v>
      </x:c>
      <x:c r="L7">
        <x:v>154839.34</x:v>
      </x:c>
      <x:c r="M7">
        <x:v>178346.64</x:v>
      </x:c>
      <x:c r="N7">
        <x:v>760377.7</x:v>
      </x:c>
      <x:c r="O7">
        <x:v>261105.9</x:v>
      </x:c>
      <x:c r="P7">
        <x:v>23181.14</x:v>
      </x:c>
      <x:c r="Q7">
        <x:v>-11.84</x:v>
      </x:c>
      <x:c r="R7">
        <x:v>0</x:v>
      </x:c>
    </x:row>
    <x:row r="8" spans="2:18" ht="12.75" customHeight="1" x14ac:dyDescent="0.25">
      <x:c r="B8" s="142"/>
      <x:c r="D8" t="s">
        <x:v>81</x:v>
      </x:c>
      <x:c r="E8" s="142">
        <x:v>53.09</x:v>
      </x:c>
      <x:c r="F8">
        <x:v>2.2000000000000002</x:v>
      </x:c>
      <x:c r="G8">
        <x:v>1.21</x:v>
      </x:c>
      <x:c r="H8">
        <x:v>0.66</x:v>
      </x:c>
      <x:c r="I8">
        <x:v>13.81</x:v>
      </x:c>
      <x:c r="J8">
        <x:v>0.47</x:v>
      </x:c>
      <x:c r="K8">
        <x:v>0</x:v>
      </x:c>
      <x:c r="L8">
        <x:v>4.1100000000000003</x:v>
      </x:c>
      <x:c r="M8">
        <x:v>4.2</x:v>
      </x:c>
      <x:c r="N8">
        <x:v>19.61</x:v>
      </x:c>
      <x:c r="O8">
        <x:v>6.05</x:v>
      </x:c>
      <x:c r="P8">
        <x:v>0.77</x:v>
      </x:c>
      <x:c r="Q8">
        <x:v>0</x:v>
      </x:c>
      <x:c r="R8">
        <x:v>0</x:v>
      </x:c>
    </x:row>
    <x:row r="9" spans="2:18" ht="12.75" customHeight="1" x14ac:dyDescent="0.25">
      <x:c r="B9" s="142"/>
      <x:c r="C9" t="s">
        <x:v>82</x:v>
      </x:c>
      <x:c r="D9" t="s">
        <x:v>70</x:v>
      </x:c>
      <x:c r="E9" s="142">
        <x:v>2066381.24</x:v>
      </x:c>
      <x:c r="F9">
        <x:v>95511.33</x:v>
      </x:c>
      <x:c r="G9">
        <x:v>53787.81</x:v>
      </x:c>
      <x:c r="H9">
        <x:v>25808.04</x:v>
      </x:c>
      <x:c r="I9">
        <x:v>498530.32</x:v>
      </x:c>
      <x:c r="J9">
        <x:v>14870.12</x:v>
      </x:c>
      <x:c r="K9">
        <x:v>0</x:v>
      </x:c>
      <x:c r="L9">
        <x:v>154843.45000000001</x:v>
      </x:c>
      <x:c r="M9">
        <x:v>178350.84</x:v>
      </x:c>
      <x:c r="N9">
        <x:v>760397.31</x:v>
      </x:c>
      <x:c r="O9">
        <x:v>261111.95</x:v>
      </x:c>
      <x:c r="P9">
        <x:v>23181.91</x:v>
      </x:c>
      <x:c r="Q9">
        <x:v>-11.84</x:v>
      </x:c>
      <x:c r="R9">
        <x:v>0</x:v>
      </x:c>
    </x:row>
    <x:row r="10" spans="2:18" ht="12.75" customHeight="1" x14ac:dyDescent="0.25">
      <x:c r="B10" s="142"/>
      <x:c r="D10" t="s">
        <x:v>72</x:v>
      </x:c>
      <x:c r="E10">
        <x:v>1667705.29</x:v>
      </x:c>
      <x:c r="F10">
        <x:v>94831.21</x:v>
      </x:c>
      <x:c r="G10">
        <x:v>53653.37</x:v>
      </x:c>
      <x:c r="H10">
        <x:v>23974.41</x:v>
      </x:c>
      <x:c r="I10">
        <x:v>360931.98</x:v>
      </x:c>
      <x:c r="J10">
        <x:v>13656.23</x:v>
      </x:c>
      <x:c r="K10">
        <x:v>0</x:v>
      </x:c>
      <x:c r="L10">
        <x:v>118901.31</x:v>
      </x:c>
      <x:c r="M10">
        <x:v>135021.65</x:v>
      </x:c>
      <x:c r="N10">
        <x:v>589240.87</x:v>
      </x:c>
      <x:c r="O10">
        <x:v>258802.75</x:v>
      </x:c>
      <x:c r="P10">
        <x:v>18683.400000000001</x:v>
      </x:c>
      <x:c r="Q10">
        <x:v>8.11</x:v>
      </x:c>
      <x:c r="R10">
        <x:v>0</x:v>
      </x:c>
    </x:row>
    <x:row r="11" spans="2:18" ht="12.75" customHeight="1" x14ac:dyDescent="0.25">
      <x:c r="B11" s="142"/>
      <x:c r="D11" t="s">
        <x:v>81</x:v>
      </x:c>
      <x:c r="E11">
        <x:v>534.46</x:v>
      </x:c>
      <x:c r="F11">
        <x:v>31.52</x:v>
      </x:c>
      <x:c r="G11">
        <x:v>17.829999999999998</x:v>
      </x:c>
      <x:c r="H11">
        <x:v>9.34</x:v>
      </x:c>
      <x:c r="I11">
        <x:v>118.64</x:v>
      </x:c>
      <x:c r="J11">
        <x:v>4.45</x:v>
      </x:c>
      <x:c r="K11">
        <x:v>0</x:v>
      </x:c>
      <x:c r="L11">
        <x:v>39.04</x:v>
      </x:c>
      <x:c r="M11">
        <x:v>38.33</x:v>
      </x:c>
      <x:c r="N11">
        <x:v>181.9</x:v>
      </x:c>
      <x:c r="O11">
        <x:v>86.11</x:v>
      </x:c>
      <x:c r="P11">
        <x:v>7.3</x:v>
      </x:c>
      <x:c r="Q11">
        <x:v>0</x:v>
      </x:c>
      <x:c r="R11">
        <x:v>0</x:v>
      </x:c>
    </x:row>
    <x:row r="12" spans="2:18" ht="12.75" customHeight="1" x14ac:dyDescent="0.25">
      <x:c r="B12" s="142"/>
      <x:c r="C12" t="s">
        <x:v>86</x:v>
      </x:c>
      <x:c r="D12" t="s">
        <x:v>70</x:v>
      </x:c>
      <x:c r="E12" s="142">
        <x:v>1668239.75</x:v>
      </x:c>
      <x:c r="F12">
        <x:v>94862.73</x:v>
      </x:c>
      <x:c r="G12">
        <x:v>53671.199999999997</x:v>
      </x:c>
      <x:c r="H12">
        <x:v>23983.75</x:v>
      </x:c>
      <x:c r="I12">
        <x:v>361050.62</x:v>
      </x:c>
      <x:c r="J12">
        <x:v>13660.68</x:v>
      </x:c>
      <x:c r="K12">
        <x:v>0</x:v>
      </x:c>
      <x:c r="L12">
        <x:v>118940.35</x:v>
      </x:c>
      <x:c r="M12">
        <x:v>135059.98000000001</x:v>
      </x:c>
      <x:c r="N12">
        <x:v>589422.77</x:v>
      </x:c>
      <x:c r="O12">
        <x:v>258888.86</x:v>
      </x:c>
      <x:c r="P12">
        <x:v>18690.7</x:v>
      </x:c>
      <x:c r="Q12">
        <x:v>8.11</x:v>
      </x:c>
      <x:c r="R12">
        <x:v>0</x:v>
      </x:c>
    </x:row>
    <x:row r="13" spans="2:18" ht="12.75" customHeight="1" x14ac:dyDescent="0.25">
      <x:c r="B13" s="142"/>
      <x:c r="D13" t="s">
        <x:v>72</x:v>
      </x:c>
      <x:c r="E13" s="142">
        <x:v>18251249.02</x:v>
      </x:c>
      <x:c r="F13">
        <x:v>2466979.2999999998</x:v>
      </x:c>
      <x:c r="G13">
        <x:v>1389961.36</x:v>
      </x:c>
      <x:c r="H13">
        <x:v>841642.79</x:v>
      </x:c>
      <x:c r="I13">
        <x:v>1865966.03</x:v>
      </x:c>
      <x:c r="J13">
        <x:v>51082.32</x:v>
      </x:c>
      <x:c r="K13">
        <x:v>0</x:v>
      </x:c>
      <x:c r="L13">
        <x:v>482981.31</x:v>
      </x:c>
      <x:c r="M13">
        <x:v>671717.75</x:v>
      </x:c>
      <x:c r="N13">
        <x:v>3043351.32</x:v>
      </x:c>
      <x:c r="O13">
        <x:v>7354815.6399999997</x:v>
      </x:c>
      <x:c r="P13">
        <x:v>82820.66</x:v>
      </x:c>
      <x:c r="Q13">
        <x:v>-69.459999999999994</x:v>
      </x:c>
      <x:c r="R13">
        <x:v>0</x:v>
      </x:c>
    </x:row>
    <x:row r="14" spans="2:18" ht="12.75" customHeight="1" x14ac:dyDescent="0.25">
      <x:c r="B14" s="142"/>
      <x:c r="D14" t="s">
        <x:v>81</x:v>
      </x:c>
      <x:c r="E14" s="142">
        <x:v>35670.699999999997</x:v>
      </x:c>
      <x:c r="F14">
        <x:v>6587.48</x:v>
      </x:c>
      <x:c r="G14">
        <x:v>3721.93</x:v>
      </x:c>
      <x:c r="H14">
        <x:v>1963.44</x:v>
      </x:c>
      <x:c r="I14">
        <x:v>1660.15</x:v>
      </x:c>
      <x:c r="J14">
        <x:v>49.7</x:v>
      </x:c>
      <x:c r="K14">
        <x:v>0</x:v>
      </x:c>
      <x:c r="L14">
        <x:v>436.97</x:v>
      </x:c>
      <x:c r="M14">
        <x:v>541.21</x:v>
      </x:c>
      <x:c r="N14">
        <x:v>2526.1</x:v>
      </x:c>
      <x:c r="O14">
        <x:v>18102.54</x:v>
      </x:c>
      <x:c r="P14">
        <x:v>81.19</x:v>
      </x:c>
      <x:c r="Q14">
        <x:v>-0.01</x:v>
      </x:c>
      <x:c r="R14">
        <x:v>0</x:v>
      </x:c>
    </x:row>
    <x:row r="15" spans="2:18" ht="12.75" customHeight="1" x14ac:dyDescent="0.25">
      <x:c r="B15" s="142"/>
      <x:c r="C15" s="89" t="s">
        <x:v>87</x:v>
      </x:c>
      <x:c r="D15" s="89" t="s">
        <x:v>70</x:v>
      </x:c>
      <x:c r="E15" s="90">
        <x:v>18286919.719999999</x:v>
      </x:c>
      <x:c r="F15" s="90">
        <x:v>2473566.7799999998</x:v>
      </x:c>
      <x:c r="G15" s="90">
        <x:v>1393683.29</x:v>
      </x:c>
      <x:c r="H15" s="90">
        <x:v>843606.23</x:v>
      </x:c>
      <x:c r="I15" s="90">
        <x:v>1867626.18</x:v>
      </x:c>
      <x:c r="J15" s="90">
        <x:v>51132.02</x:v>
      </x:c>
      <x:c r="K15" s="90">
        <x:v>0</x:v>
      </x:c>
      <x:c r="L15" s="90">
        <x:v>483418.28</x:v>
      </x:c>
      <x:c r="M15" s="90">
        <x:v>672258.96</x:v>
      </x:c>
      <x:c r="N15" s="90">
        <x:v>3045877.42</x:v>
      </x:c>
      <x:c r="O15" s="90">
        <x:v>7372918.1799999997</x:v>
      </x:c>
      <x:c r="P15" s="90">
        <x:v>82901.850000000006</x:v>
      </x:c>
      <x:c r="Q15" s="90">
        <x:v>-69.47</x:v>
      </x:c>
      <x:c r="R15">
        <x:v>0</x:v>
      </x:c>
    </x:row>
    <x:row r="16" spans="2:18" s="94" customFormat="1" ht="12.75" customHeight="1" x14ac:dyDescent="0.25">
      <x:c r="B16" s="101" t="s">
        <x:v>119</x:v>
      </x:c>
      <x:c r="C16" s="101" t="s">
        <x:v>70</x:v>
      </x:c>
      <x:c r="E16" s="93">
        <x:v>22021540.710000001</x:v>
      </x:c>
      <x:c r="F16" s="93">
        <x:v>2663940.84</x:v>
      </x:c>
      <x:c r="G16" s="93">
        <x:v>1501142.3</x:v>
      </x:c>
      <x:c r="H16" s="93">
        <x:v>893398.02</x:v>
      </x:c>
      <x:c r="I16" s="93">
        <x:v>2727207.12</x:v>
      </x:c>
      <x:c r="J16" s="93">
        <x:v>79662.820000000007</x:v>
      </x:c>
      <x:c r="K16" s="93">
        <x:v>0</x:v>
      </x:c>
      <x:c r="L16" s="93">
        <x:v>757202.08</x:v>
      </x:c>
      <x:c r="M16" s="93">
        <x:v>985669.78</x:v>
      </x:c>
      <x:c r="N16" s="93">
        <x:v>4395697.5</x:v>
      </x:c>
      <x:c r="O16" s="93">
        <x:v>7892918.9900000002</x:v>
      </x:c>
      <x:c r="P16" s="93">
        <x:v>124774.46</x:v>
      </x:c>
      <x:c r="Q16" s="93">
        <x:v>-73.2</x:v>
      </x:c>
      <x:c r="R16" s="94">
        <x:v>0</x:v>
      </x:c>
    </x:row>
    <x:row r="17" spans="1:18" s="226" customFormat="1" ht="12.75" customHeight="1" x14ac:dyDescent="0.25">
      <x:c r="A17" s="98" t="s">
        <x:v>78</x:v>
      </x:c>
      <x:c r="B17" s="98" t="s">
        <x:v>70</x:v>
      </x:c>
      <x:c r="E17" s="100" t="n">
        <x:v>93477927.32</x:v>
      </x:c>
      <x:c r="F17" s="100">
        <x:v>9640402.9100000001</x:v>
      </x:c>
      <x:c r="G17" s="100">
        <x:v>5490662.7300000004</x:v>
      </x:c>
      <x:c r="H17" s="100">
        <x:v>2785450.03</x:v>
      </x:c>
      <x:c r="I17" s="100">
        <x:v>24544067.870000001</x:v>
      </x:c>
      <x:c r="J17" s="100">
        <x:v>964886.66</x:v>
      </x:c>
      <x:c r="K17" s="100" t="n">
        <x:v>144941.68</x:v>
      </x:c>
      <x:c r="L17" s="100">
        <x:v>8824083.3000000007</x:v>
      </x:c>
      <x:c r="M17" s="100">
        <x:v>8523193.0899999999</x:v>
      </x:c>
      <x:c r="N17" s="100">
        <x:v>37613664.950000003</x:v>
      </x:c>
      <x:c r="O17" s="100">
        <x:v>27011615</x:v>
      </x:c>
      <x:c r="P17" s="100">
        <x:v>1394039.63</x:v>
      </x:c>
      <x:c r="Q17" s="100">
        <x:v>-73.75</x:v>
      </x:c>
      <x:c r="R17" s="226">
        <x:v>0</x:v>
      </x:c>
    </x:row>
    <x:row r="18" spans="1:18" ht="12.75" customHeight="1" x14ac:dyDescent="0.25">
      <x:c r="D18" s="89" t="s">
        <x:v>73</x:v>
      </x:c>
      <x:c r="E18" s="371">
        <x:v>-7679309.1900000004</x:v>
      </x:c>
      <x:c r="F18" s="90">
        <x:v>637875.65</x:v>
      </x:c>
      <x:c r="G18" s="90">
        <x:v>341985.27</x:v>
      </x:c>
      <x:c r="H18" s="90">
        <x:v>179997</x:v>
      </x:c>
      <x:c r="I18" s="90">
        <x:v>-2784147.34</x:v>
      </x:c>
      <x:c r="J18" s="90">
        <x:v>-136924.32</x:v>
      </x:c>
      <x:c r="K18" s="90">
        <x:v>0</x:v>
      </x:c>
      <x:c r="L18" s="90">
        <x:v>-1201987.1299999999</x:v>
      </x:c>
      <x:c r="M18" s="90">
        <x:v>-1088414.75</x:v>
      </x:c>
      <x:c r="N18" s="90">
        <x:v>-5141699.01</x:v>
      </x:c>
      <x:c r="O18" s="90">
        <x:v>1734349.59</x:v>
      </x:c>
      <x:c r="P18" s="90">
        <x:v>-220344.15</x:v>
      </x:c>
      <x:c r="Q18" s="90">
        <x:v>0</x:v>
      </x:c>
      <x:c r="R18">
        <x:v>0</x:v>
      </x:c>
    </x:row>
    <x:row r="19" spans="1:18" ht="12.75" customHeight="1" x14ac:dyDescent="0.25">
      <x:c r="C19" s="89" t="s">
        <x:v>156</x:v>
      </x:c>
      <x:c r="D19" s="89" t="s">
        <x:v>70</x:v>
      </x:c>
      <x:c r="E19" s="90">
        <x:v>-7679309.1900000004</x:v>
      </x:c>
      <x:c r="F19" s="90">
        <x:v>637875.65</x:v>
      </x:c>
      <x:c r="G19" s="90">
        <x:v>341985.27</x:v>
      </x:c>
      <x:c r="H19" s="90">
        <x:v>179997</x:v>
      </x:c>
      <x:c r="I19" s="90">
        <x:v>-2784147.34</x:v>
      </x:c>
      <x:c r="J19" s="90">
        <x:v>-136924.32</x:v>
      </x:c>
      <x:c r="K19" s="90">
        <x:v>0</x:v>
      </x:c>
      <x:c r="L19" s="90">
        <x:v>-1201987.1299999999</x:v>
      </x:c>
      <x:c r="M19" s="90">
        <x:v>-1088414.75</x:v>
      </x:c>
      <x:c r="N19" s="90">
        <x:v>-5141699.01</x:v>
      </x:c>
      <x:c r="O19" s="90">
        <x:v>1734349.59</x:v>
      </x:c>
      <x:c r="P19" s="90">
        <x:v>-220344.15</x:v>
      </x:c>
      <x:c r="Q19" s="90">
        <x:v>0</x:v>
      </x:c>
      <x:c r="R19">
        <x:v>0</x:v>
      </x:c>
    </x:row>
    <x:row r="20" spans="1:18" s="286" customFormat="1" ht="12.75" customHeight="1" x14ac:dyDescent="0.25">
      <x:c r="B20" s="286" t="s">
        <x:v>155</x:v>
      </x:c>
      <x:c r="C20" s="286" t="s">
        <x:v>70</x:v>
      </x:c>
      <x:c r="E20" s="286">
        <x:v>-7679309.1900000004</x:v>
      </x:c>
      <x:c r="F20" s="286">
        <x:v>637875.65</x:v>
      </x:c>
      <x:c r="G20" s="286">
        <x:v>341985.27</x:v>
      </x:c>
      <x:c r="H20" s="286">
        <x:v>179997</x:v>
      </x:c>
      <x:c r="I20" s="286">
        <x:v>-2784147.34</x:v>
      </x:c>
      <x:c r="J20" s="286">
        <x:v>-136924.32</x:v>
      </x:c>
      <x:c r="K20" s="286">
        <x:v>0</x:v>
      </x:c>
      <x:c r="L20" s="286">
        <x:v>-1201987.1299999999</x:v>
      </x:c>
      <x:c r="M20" s="286">
        <x:v>-1088414.75</x:v>
      </x:c>
      <x:c r="N20" s="286">
        <x:v>-5141699.01</x:v>
      </x:c>
      <x:c r="O20" s="286">
        <x:v>1734349.59</x:v>
      </x:c>
      <x:c r="P20" s="286">
        <x:v>-220344.15</x:v>
      </x:c>
      <x:c r="Q20" s="286">
        <x:v>0</x:v>
      </x:c>
      <x:c r="R20" s="286">
        <x:v>0</x:v>
      </x:c>
    </x:row>
    <x:row r="21" spans="1:18" ht="12.75" customHeight="1" x14ac:dyDescent="0.25">
      <x:c r="D21" s="89" t="s">
        <x:v>73</x:v>
      </x:c>
      <x:c r="E21" s="371">
        <x:v>-50554.720000000001</x:v>
      </x:c>
      <x:c r="F21" s="90">
        <x:v>4736.1099999999997</x:v>
      </x:c>
      <x:c r="G21" s="90">
        <x:v>2674.07</x:v>
      </x:c>
      <x:c r="H21" s="90">
        <x:v>345.4</x:v>
      </x:c>
      <x:c r="I21" s="90">
        <x:v>-23429.040000000001</x:v>
      </x:c>
      <x:c r="J21" s="90">
        <x:v>-1776.06</x:v>
      </x:c>
      <x:c r="K21" s="90">
        <x:v>0</x:v>
      </x:c>
      <x:c r="L21" s="90">
        <x:v>-14634.19</x:v>
      </x:c>
      <x:c r="M21" s="90">
        <x:v>-5072.07</x:v>
      </x:c>
      <x:c r="N21" s="90">
        <x:v>-23919.85</x:v>
      </x:c>
      <x:c r="O21" s="90">
        <x:v>13249.96</x:v>
      </x:c>
      <x:c r="P21" s="90">
        <x:v>-2729.05</x:v>
      </x:c>
      <x:c r="Q21" s="90">
        <x:v>0</x:v>
      </x:c>
      <x:c r="R21">
        <x:v>0</x:v>
      </x:c>
    </x:row>
    <x:row r="22" spans="1:18" ht="12.75" customHeight="1" x14ac:dyDescent="0.25">
      <x:c r="C22" s="89" t="s">
        <x:v>82</x:v>
      </x:c>
      <x:c r="D22" s="89" t="s">
        <x:v>70</x:v>
      </x:c>
      <x:c r="E22" s="90">
        <x:v>-50554.720000000001</x:v>
      </x:c>
      <x:c r="F22" s="90">
        <x:v>4736.1099999999997</x:v>
      </x:c>
      <x:c r="G22" s="90">
        <x:v>2674.07</x:v>
      </x:c>
      <x:c r="H22" s="90">
        <x:v>345.4</x:v>
      </x:c>
      <x:c r="I22" s="90">
        <x:v>-23429.040000000001</x:v>
      </x:c>
      <x:c r="J22" s="90">
        <x:v>-1776.06</x:v>
      </x:c>
      <x:c r="K22" s="90">
        <x:v>0</x:v>
      </x:c>
      <x:c r="L22" s="90">
        <x:v>-14634.19</x:v>
      </x:c>
      <x:c r="M22" s="90">
        <x:v>-5072.07</x:v>
      </x:c>
      <x:c r="N22" s="90">
        <x:v>-23919.85</x:v>
      </x:c>
      <x:c r="O22" s="90">
        <x:v>13249.96</x:v>
      </x:c>
      <x:c r="P22" s="90">
        <x:v>-2729.05</x:v>
      </x:c>
      <x:c r="Q22" s="90">
        <x:v>0</x:v>
      </x:c>
      <x:c r="R22">
        <x:v>0</x:v>
      </x:c>
    </x:row>
    <x:row r="23" spans="1:18" ht="12.75" customHeight="1" x14ac:dyDescent="0.25">
      <x:c r="D23" s="89" t="s">
        <x:v>73</x:v>
      </x:c>
      <x:c r="E23" s="90">
        <x:v>-41372.31</x:v>
      </x:c>
      <x:c r="F23" s="90">
        <x:v>12793.71</x:v>
      </x:c>
      <x:c r="G23" s="90">
        <x:v>7223.37</x:v>
      </x:c>
      <x:c r="H23" s="90">
        <x:v>821.96</x:v>
      </x:c>
      <x:c r="I23" s="90">
        <x:v>-13378.5</x:v>
      </x:c>
      <x:c r="J23" s="90">
        <x:v>-1510.5</x:v>
      </x:c>
      <x:c r="K23" s="90">
        <x:v>0</x:v>
      </x:c>
      <x:c r="L23" s="90">
        <x:v>-12344.21</x:v>
      </x:c>
      <x:c r="M23" s="90">
        <x:v>-12400.64</x:v>
      </x:c>
      <x:c r="N23" s="90">
        <x:v>-55249.52</x:v>
      </x:c>
      <x:c r="O23" s="90">
        <x:v>35136.410000000003</x:v>
      </x:c>
      <x:c r="P23" s="90">
        <x:v>-2464.39</x:v>
      </x:c>
      <x:c r="Q23" s="90">
        <x:v>0</x:v>
      </x:c>
      <x:c r="R23">
        <x:v>0</x:v>
      </x:c>
    </x:row>
    <x:row r="24" spans="1:18" ht="12.75" customHeight="1" x14ac:dyDescent="0.25">
      <x:c r="C24" s="89" t="s">
        <x:v>86</x:v>
      </x:c>
      <x:c r="D24" s="89" t="s">
        <x:v>70</x:v>
      </x:c>
      <x:c r="E24" s="90">
        <x:v>-41372.31</x:v>
      </x:c>
      <x:c r="F24" s="90">
        <x:v>12793.71</x:v>
      </x:c>
      <x:c r="G24" s="90">
        <x:v>7223.37</x:v>
      </x:c>
      <x:c r="H24" s="90">
        <x:v>821.96</x:v>
      </x:c>
      <x:c r="I24" s="90">
        <x:v>-13378.5</x:v>
      </x:c>
      <x:c r="J24" s="90">
        <x:v>-1510.5</x:v>
      </x:c>
      <x:c r="K24" s="90">
        <x:v>0</x:v>
      </x:c>
      <x:c r="L24" s="90">
        <x:v>-12344.21</x:v>
      </x:c>
      <x:c r="M24" s="90">
        <x:v>-12400.64</x:v>
      </x:c>
      <x:c r="N24" s="90">
        <x:v>-55249.52</x:v>
      </x:c>
      <x:c r="O24" s="90">
        <x:v>35136.410000000003</x:v>
      </x:c>
      <x:c r="P24" s="90">
        <x:v>-2464.39</x:v>
      </x:c>
      <x:c r="Q24" s="90">
        <x:v>0</x:v>
      </x:c>
      <x:c r="R24">
        <x:v>0</x:v>
      </x:c>
    </x:row>
    <x:row r="25" spans="1:18" ht="12.75" customHeight="1" x14ac:dyDescent="0.25">
      <x:c r="D25" s="89" t="s">
        <x:v>73</x:v>
      </x:c>
      <x:c r="E25" s="90">
        <x:v>6927796.9199999999</x:v>
      </x:c>
      <x:c r="F25" s="90">
        <x:v>1130170.6499999999</x:v>
      </x:c>
      <x:c r="G25" s="90">
        <x:v>623361.6</x:v>
      </x:c>
      <x:c r="H25" s="90">
        <x:v>304609.90999999997</x:v>
      </x:c>
      <x:c r="I25" s="90">
        <x:v>533203.52</x:v>
      </x:c>
      <x:c r="J25" s="90">
        <x:v>13692.34</x:v>
      </x:c>
      <x:c r="K25" s="90">
        <x:v>0</x:v>
      </x:c>
      <x:c r="L25" s="90">
        <x:v>126469.3</x:v>
      </x:c>
      <x:c r="M25" s="90">
        <x:v>172463.37</x:v>
      </x:c>
      <x:c r="N25" s="90">
        <x:v>810419.93</x:v>
      </x:c>
      <x:c r="O25" s="90">
        <x:v>3191349.94</x:v>
      </x:c>
      <x:c r="P25" s="90">
        <x:v>22056.36</x:v>
      </x:c>
      <x:c r="Q25" s="90">
        <x:v>0</x:v>
      </x:c>
      <x:c r="R25">
        <x:v>0</x:v>
      </x:c>
    </x:row>
    <x:row r="26" spans="1:18" ht="12.75" customHeight="1" x14ac:dyDescent="0.25">
      <x:c r="C26" s="89" t="s">
        <x:v>87</x:v>
      </x:c>
      <x:c r="D26" s="89" t="s">
        <x:v>70</x:v>
      </x:c>
      <x:c r="E26" s="90">
        <x:v>6927796.9199999999</x:v>
      </x:c>
      <x:c r="F26" s="90">
        <x:v>1130170.6499999999</x:v>
      </x:c>
      <x:c r="G26" s="90">
        <x:v>623361.6</x:v>
      </x:c>
      <x:c r="H26" s="90">
        <x:v>304609.90999999997</x:v>
      </x:c>
      <x:c r="I26" s="90">
        <x:v>533203.52</x:v>
      </x:c>
      <x:c r="J26" s="90">
        <x:v>13692.34</x:v>
      </x:c>
      <x:c r="K26" s="90">
        <x:v>0</x:v>
      </x:c>
      <x:c r="L26" s="90">
        <x:v>126469.3</x:v>
      </x:c>
      <x:c r="M26" s="90">
        <x:v>172463.37</x:v>
      </x:c>
      <x:c r="N26" s="90">
        <x:v>810419.93</x:v>
      </x:c>
      <x:c r="O26" s="90">
        <x:v>3191349.94</x:v>
      </x:c>
      <x:c r="P26" s="90">
        <x:v>22056.36</x:v>
      </x:c>
      <x:c r="Q26" s="90">
        <x:v>0</x:v>
      </x:c>
      <x:c r="R26">
        <x:v>0</x:v>
      </x:c>
    </x:row>
    <x:row r="27" spans="1:18" s="94" customFormat="1" ht="12.75" customHeight="1" x14ac:dyDescent="0.25">
      <x:c r="B27" s="101" t="s">
        <x:v>119</x:v>
      </x:c>
      <x:c r="C27" s="101" t="s">
        <x:v>70</x:v>
      </x:c>
      <x:c r="E27" s="93">
        <x:v>6835869.8899999997</x:v>
      </x:c>
      <x:c r="F27" s="93">
        <x:v>1147700.47</x:v>
      </x:c>
      <x:c r="G27" s="93">
        <x:v>633259.04</x:v>
      </x:c>
      <x:c r="H27" s="93">
        <x:v>305777.27</x:v>
      </x:c>
      <x:c r="I27" s="93">
        <x:v>496395.98</x:v>
      </x:c>
      <x:c r="J27" s="93">
        <x:v>10405.780000000001</x:v>
      </x:c>
      <x:c r="K27" s="93">
        <x:v>0</x:v>
      </x:c>
      <x:c r="L27" s="93">
        <x:v>99490.9</x:v>
      </x:c>
      <x:c r="M27" s="93">
        <x:v>154990.66</x:v>
      </x:c>
      <x:c r="N27" s="93">
        <x:v>731250.56</x:v>
      </x:c>
      <x:c r="O27" s="93">
        <x:v>3239736.31</x:v>
      </x:c>
      <x:c r="P27" s="93">
        <x:v>16862.919999999998</x:v>
      </x:c>
      <x:c r="Q27" s="93">
        <x:v>0</x:v>
      </x:c>
      <x:c r="R27" s="94">
        <x:v>0</x:v>
      </x:c>
    </x:row>
    <x:row r="28" spans="1:18" s="226" customFormat="1" ht="12.75" customHeight="1" x14ac:dyDescent="0.25">
      <x:c r="A28" s="98" t="s">
        <x:v>79</x:v>
      </x:c>
      <x:c r="B28" s="98" t="s">
        <x:v>70</x:v>
      </x:c>
      <x:c r="E28" s="100" t="n">
        <x:v>-13972083.45</x:v>
      </x:c>
      <x:c r="F28" s="100">
        <x:v>1785576.12</x:v>
      </x:c>
      <x:c r="G28" s="100">
        <x:v>975244.31</x:v>
      </x:c>
      <x:c r="H28" s="100">
        <x:v>485774.27</x:v>
      </x:c>
      <x:c r="I28" s="100">
        <x:v>-2287751.36</x:v>
      </x:c>
      <x:c r="J28" s="100">
        <x:v>-126518.54</x:v>
      </x:c>
      <x:c r="K28" s="100">
        <x:v>0</x:v>
      </x:c>
      <x:c r="L28" s="100">
        <x:v>-1102496.23</x:v>
      </x:c>
      <x:c r="M28" s="100">
        <x:v>-933424.09</x:v>
      </x:c>
      <x:c r="N28" s="100">
        <x:v>-4410448.45</x:v>
      </x:c>
      <x:c r="O28" s="100">
        <x:v>4974085.9000000004</x:v>
      </x:c>
      <x:c r="P28" s="100">
        <x:v>-203481.23</x:v>
      </x:c>
      <x:c r="Q28" s="100">
        <x:v>0</x:v>
      </x:c>
      <x:c r="R28" s="226">
        <x:v>0</x:v>
      </x:c>
    </x:row>
    <x:row r="29" spans="1:18" ht="12.75" customHeight="1" x14ac:dyDescent="0.25">
      <x:c r="A29" s="89" t="s">
        <x:v>70</x:v>
      </x:c>
      <x:c r="E29" s="90">
        <x:v>125948553.12</x:v>
      </x:c>
      <x:c r="F29" s="90">
        <x:v>11425979.029999999</x:v>
      </x:c>
      <x:c r="G29" s="90">
        <x:v>6465907.04</x:v>
      </x:c>
      <x:c r="H29" s="90">
        <x:v>3271224.3</x:v>
      </x:c>
      <x:c r="I29" s="90">
        <x:v>22256316.510000002</x:v>
      </x:c>
      <x:c r="J29" s="90">
        <x:v>838368.12</x:v>
      </x:c>
      <x:c r="K29" s="90">
        <x:v>0</x:v>
      </x:c>
      <x:c r="L29" s="90">
        <x:v>7721587.0700000003</x:v>
      </x:c>
      <x:c r="M29" s="90">
        <x:v>7589769</x:v>
      </x:c>
      <x:c r="N29" s="90">
        <x:v>33203216.5</x:v>
      </x:c>
      <x:c r="O29" s="90">
        <x:v>31985700.899999999</x:v>
      </x:c>
      <x:c r="P29" s="90">
        <x:v>1190558.3999999999</x:v>
      </x:c>
      <x:c r="Q29" s="90">
        <x:v>-73.75</x:v>
      </x:c>
      <x:c r="R29" s="144">
        <x:v>0</x:v>
      </x:c>
    </x:row>
    <x:row r="30" spans="1:18" ht="12.75" customHeight="1" x14ac:dyDescent="0.25">
      <x:c r="A30" s="89"/>
      <x:c r="E30" s="90"/>
      <x:c r="F30" s="90"/>
      <x:c r="G30" s="90"/>
      <x:c r="H30" s="90"/>
      <x:c r="I30" s="90"/>
      <x:c r="J30" s="90"/>
      <x:c r="K30" s="90"/>
      <x:c r="L30" s="90"/>
      <x:c r="M30" s="90"/>
      <x:c r="N30" s="90"/>
      <x:c r="O30" s="90"/>
      <x:c r="P30" s="90"/>
      <x:c r="Q30" s="90"/>
    </x:row>
    <x:row r="31" spans="1:18" ht="12.75" customHeight="1" x14ac:dyDescent="0.25">
      <x:c r="A31" s="89"/>
      <x:c r="E31" s="90"/>
      <x:c r="F31" s="90"/>
      <x:c r="G31" s="90"/>
      <x:c r="H31" s="90"/>
      <x:c r="I31" s="90"/>
      <x:c r="J31" s="90"/>
      <x:c r="K31" s="90"/>
      <x:c r="L31" s="90"/>
      <x:c r="M31" s="90"/>
      <x:c r="N31" s="90"/>
      <x:c r="O31" s="90"/>
      <x:c r="P31" s="90"/>
      <x:c r="Q31" s="90"/>
    </x:row>
    <x:row r="32" spans="1:18" ht="12.75" hidden="1" customHeight="1" x14ac:dyDescent="0.25">
      <x:c r="A32" s="89"/>
      <x:c r="E32" s="90"/>
      <x:c r="F32" s="90"/>
      <x:c r="G32" s="90"/>
      <x:c r="H32" s="90"/>
      <x:c r="I32" s="90"/>
      <x:c r="J32" s="90"/>
      <x:c r="K32" s="90"/>
      <x:c r="L32" s="90"/>
      <x:c r="M32" s="90"/>
      <x:c r="N32" s="90"/>
      <x:c r="O32" s="90"/>
      <x:c r="P32" s="90"/>
      <x:c r="Q32" s="90"/>
    </x:row>
    <x:row r="33" spans="1:19" ht="12.75" hidden="1" customHeight="1" x14ac:dyDescent="0.25">
      <x:c r="A33" s="89"/>
      <x:c r="E33" s="90"/>
      <x:c r="F33" s="90"/>
      <x:c r="G33" s="90"/>
      <x:c r="H33" s="90"/>
      <x:c r="I33" s="90"/>
      <x:c r="J33" s="90"/>
      <x:c r="K33" s="90"/>
      <x:c r="L33" s="90"/>
      <x:c r="M33" s="90"/>
      <x:c r="N33" s="90"/>
      <x:c r="O33" s="90"/>
      <x:c r="P33" s="90"/>
      <x:c r="Q33" s="90"/>
    </x:row>
    <x:row r="34" spans="1:19" ht="12.75" hidden="1" customHeight="1" x14ac:dyDescent="0.25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hidden="1" customHeight="1" x14ac:dyDescent="0.25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5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5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5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5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5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customHeight="1" x14ac:dyDescent="0.25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customHeight="1" x14ac:dyDescent="0.25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customHeight="1" x14ac:dyDescent="0.25">
      <x:c r="B43" s="774" t="s">
        <x:v>2</x:v>
      </x:c>
      <x:c r="C43" s="771" t="s">
        <x:v>132</x:v>
      </x:c>
      <x:c r="D43" s="98" t="s">
        <x:v>70</x:v>
      </x:c>
      <x:c r="E43" s="100">
        <x:f>E17+E28-K17</x:f>
        <x:v>125948553.12</x:v>
      </x:c>
      <x:c r="F43" s="100">
        <x:f>F17</x:f>
        <x:v>9640402.9100000001</x:v>
      </x:c>
      <x:c r="G43" s="100">
        <x:f t="shared" ref="G43:S43" si="0">G17</x:f>
        <x:v>5490662.7300000004</x:v>
      </x:c>
      <x:c r="H43" s="100">
        <x:f t="shared" si="0"/>
        <x:v>2785450.03</x:v>
      </x:c>
      <x:c r="I43" s="100">
        <x:f t="shared" si="0"/>
        <x:v>24544067.870000001</x:v>
      </x:c>
      <x:c r="J43" s="100">
        <x:f t="shared" si="0"/>
        <x:v>964886.66</x:v>
      </x:c>
      <x:c r="K43" s="100">
        <x:f t="shared" si="0"/>
        <x:v>0</x:v>
      </x:c>
      <x:c r="L43" s="100">
        <x:f t="shared" si="0"/>
        <x:v>8824083.3000000007</x:v>
      </x:c>
      <x:c r="M43" s="100">
        <x:f t="shared" si="0"/>
        <x:v>8523193.0899999999</x:v>
      </x:c>
      <x:c r="N43" s="100">
        <x:f t="shared" si="0"/>
        <x:v>37613664.950000003</x:v>
      </x:c>
      <x:c r="O43" s="100">
        <x:f t="shared" si="0"/>
        <x:v>27011615</x:v>
      </x:c>
      <x:c r="P43" s="100">
        <x:f t="shared" si="0"/>
        <x:v>1394039.63</x:v>
      </x:c>
      <x:c r="Q43" s="100">
        <x:f t="shared" si="0"/>
        <x:v>-73.75</x:v>
      </x:c>
      <x:c r="R43" s="100">
        <x:f t="shared" si="0"/>
        <x:v>0</x:v>
      </x:c>
      <x:c r="S43" s="100">
        <x:f t="shared" si="0"/>
        <x:v>0</x:v>
      </x:c>
    </x:row>
    <x:row r="44" spans="1:19" ht="12.75" customHeight="1" x14ac:dyDescent="0.25">
      <x:c r="B44" s="774"/>
      <x:c r="C44" s="771"/>
      <x:c r="D44" s="98" t="s">
        <x:v>73</x:v>
      </x:c>
      <x:c r="E44" s="100">
        <x:f>E28</x:f>
        <x:v>-843439.3</x:v>
      </x:c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  <x:c r="R44" s="90"/>
      <x:c r="S44" s="90"/>
    </x:row>
    <x:row r="45" spans="1:19" ht="12.75" customHeight="1" x14ac:dyDescent="0.3">
      <x:c r="A45" s="89"/>
      <x:c r="B45" s="97"/>
      <x:c r="E45" s="371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  <x:c r="R45" s="90"/>
      <x:c r="S45" s="90"/>
    </x:row>
    <x:row r="46" spans="1:19" ht="12.75" customHeight="1" x14ac:dyDescent="0.25">
      <x:c r="B46" s="774" t="s">
        <x:v>160</x:v>
      </x:c>
      <x:c r="C46" s="771" t="s">
        <x:v>132</x:v>
      </x:c>
      <x:c r="D46" s="223" t="s">
        <x:v>70</x:v>
      </x:c>
      <x:c r="E46" s="225">
        <x:v>0</x:v>
      </x:c>
      <x:c r="F46" s="225">
        <x:v>0</x:v>
      </x:c>
      <x:c r="G46" s="225">
        <x:v>0</x:v>
      </x:c>
      <x:c r="H46" s="225">
        <x:v>0</x:v>
      </x:c>
      <x:c r="I46" s="225">
        <x:v>0</x:v>
      </x:c>
      <x:c r="J46" s="225">
        <x:v>0</x:v>
      </x:c>
      <x:c r="K46" s="225">
        <x:v>0</x:v>
      </x:c>
      <x:c r="L46" s="225">
        <x:v>0</x:v>
      </x:c>
      <x:c r="M46" s="225">
        <x:v>0</x:v>
      </x:c>
      <x:c r="N46" s="225">
        <x:v>0</x:v>
      </x:c>
      <x:c r="O46" s="225">
        <x:v>0</x:v>
      </x:c>
      <x:c r="P46" s="225">
        <x:v>0</x:v>
      </x:c>
      <x:c r="Q46" s="225">
        <x:v>0</x:v>
      </x:c>
      <x:c r="R46" s="225">
        <x:v>0</x:v>
      </x:c>
      <x:c r="S46" s="225">
        <x:v>0</x:v>
      </x:c>
    </x:row>
    <x:row r="47" spans="1:19" ht="12.75" customHeight="1" x14ac:dyDescent="0.25">
      <x:c r="B47" s="774"/>
      <x:c r="C47" s="771"/>
      <x:c r="D47" s="223" t="s">
        <x:v>73</x:v>
      </x:c>
      <x:c r="E47" s="225">
        <x:v>0</x:v>
      </x:c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  <x:c r="R47" s="90"/>
      <x:c r="S47" s="90"/>
    </x:row>
    <x:row r="48" spans="1:19" ht="12.75" customHeight="1" x14ac:dyDescent="0.3">
      <x:c r="A48" s="89"/>
      <x:c r="B48" s="97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5">
      <x:c r="B49" s="774" t="s">
        <x:v>155</x:v>
      </x:c>
      <x:c r="C49" s="771" t="s">
        <x:v>132</x:v>
      </x:c>
      <x:c r="D49" s="221" t="s">
        <x:v>70</x:v>
      </x:c>
      <x:c r="E49" s="222">
        <x:f>E20+E6-K6</x:f>
        <x:v>97091142.519999996</x:v>
      </x:c>
      <x:c r="F49" s="222">
        <x:f>F6</x:f>
        <x:v>6976462.0700000003</x:v>
      </x:c>
      <x:c r="G49" s="222">
        <x:f t="shared" ref="G49:S49" si="1">G6</x:f>
        <x:v>3989520.43</x:v>
      </x:c>
      <x:c r="H49" s="222">
        <x:f t="shared" si="1"/>
        <x:v>1892052.01</x:v>
      </x:c>
      <x:c r="I49" s="222">
        <x:f t="shared" si="1"/>
        <x:v>21816860.75</x:v>
      </x:c>
      <x:c r="J49" s="222">
        <x:f t="shared" si="1"/>
        <x:v>885223.84</x:v>
      </x:c>
      <x:c r="K49" s="222">
        <x:f t="shared" si="1"/>
        <x:v>0</x:v>
      </x:c>
      <x:c r="L49" s="222">
        <x:f t="shared" si="1"/>
        <x:v>8066881.2199999997</x:v>
      </x:c>
      <x:c r="M49" s="222">
        <x:f t="shared" si="1"/>
        <x:v>7537523.3099999996</x:v>
      </x:c>
      <x:c r="N49" s="222">
        <x:f t="shared" si="1"/>
        <x:v>33217967.449999999</x:v>
      </x:c>
      <x:c r="O49" s="222">
        <x:f t="shared" si="1"/>
        <x:v>19118696.010000002</x:v>
      </x:c>
      <x:c r="P49" s="222">
        <x:f t="shared" si="1"/>
        <x:v>1269265.17</x:v>
      </x:c>
      <x:c r="Q49" s="222">
        <x:f t="shared" si="1"/>
        <x:v>-0.55000000000000004</x:v>
      </x:c>
      <x:c r="R49" s="222">
        <x:f t="shared" si="1"/>
        <x:v>0</x:v>
      </x:c>
      <x:c r="S49" s="222">
        <x:f t="shared" si="1"/>
        <x:v>0</x:v>
      </x:c>
    </x:row>
    <x:row r="50" spans="1:19" ht="12.75" customHeight="1" x14ac:dyDescent="0.25">
      <x:c r="B50" s="774"/>
      <x:c r="C50" s="771"/>
      <x:c r="D50" s="221" t="s">
        <x:v>73</x:v>
      </x:c>
      <x:c r="E50" s="222">
        <x:f>E20</x:f>
        <x:v>-7679309.1900000004</x:v>
      </x:c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  <x:c r="R50" s="90"/>
      <x:c r="S50" s="90"/>
    </x:row>
    <x:row r="51" spans="1:19" ht="12.75" customHeight="1" x14ac:dyDescent="0.3">
      <x:c r="A51" s="89"/>
      <x:c r="B51" s="97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5">
      <x:c r="B52" s="772" t="s">
        <x:v>328</x:v>
      </x:c>
      <x:c r="C52" s="771" t="s">
        <x:v>132</x:v>
      </x:c>
      <x:c r="D52" s="373" t="s">
        <x:v>70</x:v>
      </x:c>
      <x:c r="E52" s="374">
        <x:v>0</x:v>
      </x:c>
      <x:c r="F52" s="374">
        <x:v>0</x:v>
      </x:c>
      <x:c r="G52" s="374">
        <x:v>0</x:v>
      </x:c>
      <x:c r="H52" s="374">
        <x:v>0</x:v>
      </x:c>
      <x:c r="I52" s="374">
        <x:v>0</x:v>
      </x:c>
      <x:c r="J52" s="374">
        <x:v>0</x:v>
      </x:c>
      <x:c r="K52" s="374">
        <x:v>0</x:v>
      </x:c>
      <x:c r="L52" s="374">
        <x:v>0</x:v>
      </x:c>
      <x:c r="M52" s="374">
        <x:v>0</x:v>
      </x:c>
      <x:c r="N52" s="374">
        <x:v>0</x:v>
      </x:c>
      <x:c r="O52" s="374">
        <x:v>0</x:v>
      </x:c>
      <x:c r="P52" s="374">
        <x:v>0</x:v>
      </x:c>
      <x:c r="Q52" s="374">
        <x:v>0</x:v>
      </x:c>
      <x:c r="R52" s="374">
        <x:v>0</x:v>
      </x:c>
    </x:row>
    <x:row r="53" spans="1:19" ht="12.75" customHeight="1" x14ac:dyDescent="0.25">
      <x:c r="B53" s="772"/>
      <x:c r="C53" s="771"/>
      <x:c r="D53" s="373" t="s">
        <x:v>73</x:v>
      </x:c>
      <x:c r="E53" s="374">
        <x:v>0</x:v>
      </x:c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  <x:c r="R53" s="90"/>
    </x:row>
    <x:row r="54" spans="1:19" ht="12.75" customHeight="1" x14ac:dyDescent="0.3">
      <x:c r="A54" s="89"/>
      <x:c r="B54" s="97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5">
      <x:c r="B55" s="774" t="s">
        <x:v>119</x:v>
      </x:c>
      <x:c r="C55" s="771" t="s">
        <x:v>132</x:v>
      </x:c>
      <x:c r="D55" s="101" t="s">
        <x:v>70</x:v>
      </x:c>
      <x:c r="E55" s="93">
        <x:f>E16+E27-K16</x:f>
        <x:v>28857410.600000001</x:v>
      </x:c>
      <x:c r="F55" s="93">
        <x:f>F16</x:f>
        <x:v>2663940.84</x:v>
      </x:c>
      <x:c r="G55" s="93">
        <x:f t="shared" ref="G55:S55" si="2">G16</x:f>
        <x:v>1501142.3</x:v>
      </x:c>
      <x:c r="H55" s="93">
        <x:f t="shared" si="2"/>
        <x:v>893398.02</x:v>
      </x:c>
      <x:c r="I55" s="93">
        <x:f t="shared" si="2"/>
        <x:v>2727207.12</x:v>
      </x:c>
      <x:c r="J55" s="93">
        <x:f t="shared" si="2"/>
        <x:v>79662.820000000007</x:v>
      </x:c>
      <x:c r="K55" s="93">
        <x:f t="shared" si="2"/>
        <x:v>0</x:v>
      </x:c>
      <x:c r="L55" s="93">
        <x:f t="shared" si="2"/>
        <x:v>757202.08</x:v>
      </x:c>
      <x:c r="M55" s="93">
        <x:f t="shared" si="2"/>
        <x:v>985669.78</x:v>
      </x:c>
      <x:c r="N55" s="93">
        <x:f t="shared" si="2"/>
        <x:v>4395697.5</x:v>
      </x:c>
      <x:c r="O55" s="93">
        <x:f t="shared" si="2"/>
        <x:v>7892918.9900000002</x:v>
      </x:c>
      <x:c r="P55" s="93">
        <x:f t="shared" si="2"/>
        <x:v>124774.46</x:v>
      </x:c>
      <x:c r="Q55" s="93">
        <x:f t="shared" si="2"/>
        <x:v>-73.2</x:v>
      </x:c>
      <x:c r="R55" s="93">
        <x:f t="shared" si="2"/>
        <x:v>0</x:v>
      </x:c>
      <x:c r="S55" s="93">
        <x:f t="shared" si="2"/>
        <x:v>0</x:v>
      </x:c>
    </x:row>
    <x:row r="56" spans="1:19" ht="12.75" customHeight="1" x14ac:dyDescent="0.25">
      <x:c r="B56" s="774"/>
      <x:c r="C56" s="771"/>
      <x:c r="D56" s="101" t="s">
        <x:v>73</x:v>
      </x:c>
      <x:c r="E56" s="93">
        <x:f>E27</x:f>
        <x:v>6835869.8899999997</x:v>
      </x:c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  <x:c r="R56" s="90"/>
      <x:c r="S56" s="90"/>
    </x:row>
    <x:row r="57" spans="1:19" ht="12.75" customHeight="1" x14ac:dyDescent="0.3">
      <x:c r="A57" s="89"/>
      <x:c r="B57" s="97"/>
      <x:c r="E57" s="90"/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  <x:c r="S57" s="90"/>
    </x:row>
    <x:row r="58" spans="1:19" ht="12.75" customHeight="1" x14ac:dyDescent="0.25">
      <x:c r="B58" s="773" t="s">
        <x:v>161</x:v>
      </x:c>
      <x:c r="C58" s="771" t="s">
        <x:v>132</x:v>
      </x:c>
      <x:c r="D58" s="231" t="s">
        <x:v>70</x:v>
      </x:c>
      <x:c r="E58" s="232">
        <x:v>0</x:v>
      </x:c>
      <x:c r="F58" s="232">
        <x:v>0</x:v>
      </x:c>
      <x:c r="G58" s="232">
        <x:v>0</x:v>
      </x:c>
      <x:c r="H58" s="232">
        <x:v>0</x:v>
      </x:c>
      <x:c r="I58" s="232">
        <x:v>0</x:v>
      </x:c>
      <x:c r="J58" s="232">
        <x:v>0</x:v>
      </x:c>
      <x:c r="K58" s="232">
        <x:v>0</x:v>
      </x:c>
      <x:c r="L58" s="232">
        <x:v>0</x:v>
      </x:c>
      <x:c r="M58" s="232">
        <x:v>0</x:v>
      </x:c>
      <x:c r="N58" s="232">
        <x:v>0</x:v>
      </x:c>
      <x:c r="O58" s="232">
        <x:v>0</x:v>
      </x:c>
      <x:c r="P58" s="232">
        <x:v>0</x:v>
      </x:c>
      <x:c r="Q58" s="232">
        <x:v>0</x:v>
      </x:c>
      <x:c r="R58" s="232">
        <x:v>0</x:v>
      </x:c>
      <x:c r="S58" s="232">
        <x:v>0</x:v>
      </x:c>
    </x:row>
    <x:row r="59" spans="1:19" ht="12.75" customHeight="1" x14ac:dyDescent="0.25">
      <x:c r="B59" s="773"/>
      <x:c r="C59" s="771"/>
      <x:c r="D59" s="231" t="s">
        <x:v>73</x:v>
      </x:c>
      <x:c r="E59" s="232">
        <x:v>0</x:v>
      </x:c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</x:row>
    <x:row r="60" spans="1:19" s="238" customFormat="1" x14ac:dyDescent="0.25"/>
    <x:row r="61" spans="1:19" ht="13" x14ac:dyDescent="0.3">
      <x:c r="B61" s="97" t="s">
        <x:v>75</x:v>
      </x:c>
    </x:row>
    <x:row r="62" spans="1:19" ht="12.75" customHeight="1" x14ac:dyDescent="0.25">
      <x:c r="E62" s="89" t="s">
        <x:v>70</x:v>
      </x:c>
      <x:c r="F62" s="89" t="s">
        <x:v>64</x:v>
      </x:c>
      <x:c r="G62" s="89" t="s">
        <x:v>65</x:v>
      </x:c>
      <x:c r="H62" s="219" t="s">
        <x:v>164</x:v>
      </x:c>
      <x:c r="I62" s="89" t="s">
        <x:v>69</x:v>
      </x:c>
      <x:c r="J62" s="89" t="s">
        <x:v>68</x:v>
      </x:c>
      <x:c r="K62" s="89" t="s">
        <x:v>83</x:v>
      </x:c>
      <x:c r="L62" s="89" t="s">
        <x:v>66</x:v>
      </x:c>
      <x:c r="M62" s="89" t="s">
        <x:v>63</x:v>
      </x:c>
      <x:c r="N62" s="89" t="s">
        <x:v>61</x:v>
      </x:c>
      <x:c r="O62" s="89" t="s">
        <x:v>62</x:v>
      </x:c>
      <x:c r="P62" s="89" t="s">
        <x:v>67</x:v>
      </x:c>
      <x:c r="Q62" s="89" t="s">
        <x:v>84</x:v>
      </x:c>
      <x:c r="R62" s="384" t="s">
        <x:v>227</x:v>
      </x:c>
    </x:row>
    <x:row r="63" spans="1:19" ht="12.75" customHeight="1" x14ac:dyDescent="0.25">
      <x:c r="B63" s="142"/>
      <x:c r="D63" s="89" t="s">
        <x:v>72</x:v>
      </x:c>
      <x:c r="E63" s="90">
        <x:v>71702408.709999993</x:v>
      </x:c>
      <x:c r="F63" s="90">
        <x:v>4119196.88</x:v>
      </x:c>
      <x:c r="G63" s="90">
        <x:v>2445784.34</x:v>
      </x:c>
      <x:c r="H63" s="90">
        <x:v>988499.28</x:v>
      </x:c>
      <x:c r="I63" s="90">
        <x:v>18958221.460000001</x:v>
      </x:c>
      <x:c r="J63" s="90">
        <x:v>632942.16</x:v>
      </x:c>
      <x:c r="K63" s="90">
        <x:v>0</x:v>
      </x:c>
      <x:c r="L63" s="90">
        <x:v>5923929.5</x:v>
      </x:c>
      <x:c r="M63" s="90">
        <x:v>5752498.0499999998</x:v>
      </x:c>
      <x:c r="N63" s="90">
        <x:v>23264098.649999999</x:v>
      </x:c>
      <x:c r="O63" s="90">
        <x:v>8731555.5600000005</x:v>
      </x:c>
      <x:c r="P63" s="90">
        <x:v>885560.39</x:v>
      </x:c>
      <x:c r="Q63" s="90">
        <x:v>122.44</x:v>
      </x:c>
      <x:c r="R63">
        <x:v>0</x:v>
      </x:c>
    </x:row>
    <x:row r="64" spans="1:19" ht="12.75" customHeight="1" x14ac:dyDescent="0.25">
      <x:c r="B64" s="142"/>
      <x:c r="D64" s="89" t="s">
        <x:v>81</x:v>
      </x:c>
      <x:c r="E64" s="90">
        <x:v>95038.85</x:v>
      </x:c>
      <x:c r="F64" s="90">
        <x:v>9024.33</x:v>
      </x:c>
      <x:c r="G64" s="90">
        <x:v>4730.41</x:v>
      </x:c>
      <x:c r="H64" s="90">
        <x:v>2571.8200000000002</x:v>
      </x:c>
      <x:c r="I64" s="90">
        <x:v>19131.48</x:v>
      </x:c>
      <x:c r="J64" s="90">
        <x:v>648.99</x:v>
      </x:c>
      <x:c r="K64" s="90">
        <x:v>0</x:v>
      </x:c>
      <x:c r="L64" s="90">
        <x:v>5659.74</x:v>
      </x:c>
      <x:c r="M64" s="90">
        <x:v>6117.92</x:v>
      </x:c>
      <x:c r="N64" s="90">
        <x:v>28047</x:v>
      </x:c>
      <x:c r="O64" s="90">
        <x:v>18026.080000000002</x:v>
      </x:c>
      <x:c r="P64" s="90">
        <x:v>1059.27</x:v>
      </x:c>
      <x:c r="Q64" s="90">
        <x:v>21.81</x:v>
      </x:c>
      <x:c r="R64">
        <x:v>0</x:v>
      </x:c>
    </x:row>
    <x:row r="65" spans="2:18" ht="12.75" customHeight="1" x14ac:dyDescent="0.25">
      <x:c r="B65" s="142"/>
      <x:c r="C65" t="s">
        <x:v>156</x:v>
      </x:c>
      <x:c r="D65" s="89" t="s">
        <x:v>70</x:v>
      </x:c>
      <x:c r="E65" s="371">
        <x:v>71797447.560000002</x:v>
      </x:c>
      <x:c r="F65" s="90">
        <x:v>4128221.21</x:v>
      </x:c>
      <x:c r="G65" s="90">
        <x:v>2450514.75</x:v>
      </x:c>
      <x:c r="H65" s="90">
        <x:v>991071.1</x:v>
      </x:c>
      <x:c r="I65" s="90">
        <x:v>18977352.940000001</x:v>
      </x:c>
      <x:c r="J65" s="90">
        <x:v>633591.15</x:v>
      </x:c>
      <x:c r="K65" s="90">
        <x:v>0</x:v>
      </x:c>
      <x:c r="L65" s="90">
        <x:v>5929589.2400000002</x:v>
      </x:c>
      <x:c r="M65" s="90">
        <x:v>5758615.9699999997</x:v>
      </x:c>
      <x:c r="N65" s="90">
        <x:v>23292145.649999999</x:v>
      </x:c>
      <x:c r="O65" s="90">
        <x:v>8749581.6400000006</x:v>
      </x:c>
      <x:c r="P65" s="90">
        <x:v>886619.66</x:v>
      </x:c>
      <x:c r="Q65" s="90">
        <x:v>144.25</x:v>
      </x:c>
      <x:c r="R65">
        <x:v>0</x:v>
      </x:c>
    </x:row>
    <x:row r="66" spans="2:18" s="286" customFormat="1" ht="12.75" customHeight="1" x14ac:dyDescent="0.25">
      <x:c r="B66" s="752" t="s">
        <x:v>155</x:v>
      </x:c>
      <x:c r="C66" s="286" t="s">
        <x:v>70</x:v>
      </x:c>
      <x:c r="D66" s="229"/>
      <x:c r="E66" s="753">
        <x:v>71797447.560000002</x:v>
      </x:c>
      <x:c r="F66" s="230">
        <x:v>4128221.21</x:v>
      </x:c>
      <x:c r="G66" s="230">
        <x:v>2450514.75</x:v>
      </x:c>
      <x:c r="H66" s="230">
        <x:v>991071.1</x:v>
      </x:c>
      <x:c r="I66" s="230">
        <x:v>18977352.940000001</x:v>
      </x:c>
      <x:c r="J66" s="230">
        <x:v>633591.15</x:v>
      </x:c>
      <x:c r="K66" s="230">
        <x:v>0</x:v>
      </x:c>
      <x:c r="L66" s="230">
        <x:v>5929589.2400000002</x:v>
      </x:c>
      <x:c r="M66" s="230">
        <x:v>5758615.9699999997</x:v>
      </x:c>
      <x:c r="N66" s="230">
        <x:v>23292145.649999999</x:v>
      </x:c>
      <x:c r="O66" s="230">
        <x:v>8749581.6400000006</x:v>
      </x:c>
      <x:c r="P66" s="230">
        <x:v>886619.66</x:v>
      </x:c>
      <x:c r="Q66" s="230">
        <x:v>144.25</x:v>
      </x:c>
      <x:c r="R66" s="286">
        <x:v>0</x:v>
      </x:c>
    </x:row>
    <x:row r="67" spans="2:18" ht="12.65" customHeight="1" x14ac:dyDescent="0.25">
      <x:c r="B67" s="142"/>
      <x:c r="D67" s="89" t="s">
        <x:v>72</x:v>
      </x:c>
      <x:c r="E67" s="371">
        <x:v>22093258.93</x:v>
      </x:c>
      <x:c r="F67" s="90">
        <x:v>1421141.73</x:v>
      </x:c>
      <x:c r="G67" s="90">
        <x:v>778144.37</x:v>
      </x:c>
      <x:c r="H67" s="90">
        <x:v>342749</x:v>
      </x:c>
      <x:c r="I67" s="90">
        <x:v>6034872.3399999999</x:v>
      </x:c>
      <x:c r="J67" s="90">
        <x:v>158457.39000000001</x:v>
      </x:c>
      <x:c r="K67" s="90">
        <x:v>0</x:v>
      </x:c>
      <x:c r="L67" s="90">
        <x:v>1458906.22</x:v>
      </x:c>
      <x:c r="M67" s="90">
        <x:v>1770857.01</x:v>
      </x:c>
      <x:c r="N67" s="90">
        <x:v>5515356.04</x:v>
      </x:c>
      <x:c r="O67" s="90">
        <x:v>4418000.63</x:v>
      </x:c>
      <x:c r="P67" s="90">
        <x:v>194910.48</x:v>
      </x:c>
      <x:c r="Q67" s="90">
        <x:v>-136.28</x:v>
      </x:c>
      <x:c r="R67">
        <x:v>0</x:v>
      </x:c>
    </x:row>
    <x:row r="68" spans="2:18" ht="12.75" customHeight="1" x14ac:dyDescent="0.25">
      <x:c r="B68" s="142"/>
      <x:c r="D68" s="89" t="s">
        <x:v>81</x:v>
      </x:c>
      <x:c r="E68" s="371">
        <x:v>17021.45</x:v>
      </x:c>
      <x:c r="F68" s="90">
        <x:v>1413.33</x:v>
      </x:c>
      <x:c r="G68" s="90">
        <x:v>751.77</x:v>
      </x:c>
      <x:c r="H68" s="90">
        <x:v>431.98</x:v>
      </x:c>
      <x:c r="I68" s="90">
        <x:v>3886.9</x:v>
      </x:c>
      <x:c r="J68" s="90">
        <x:v>91.78</x:v>
      </x:c>
      <x:c r="K68" s="90">
        <x:v>0</x:v>
      </x:c>
      <x:c r="L68" s="90">
        <x:v>805.04</x:v>
      </x:c>
      <x:c r="M68" s="90">
        <x:v>1177.57</x:v>
      </x:c>
      <x:c r="N68" s="90">
        <x:v>5500.97</x:v>
      </x:c>
      <x:c r="O68" s="90">
        <x:v>2812.31</x:v>
      </x:c>
      <x:c r="P68" s="90">
        <x:v>149.78</x:v>
      </x:c>
      <x:c r="Q68" s="90">
        <x:v>0.02</x:v>
      </x:c>
      <x:c r="R68">
        <x:v>0</x:v>
      </x:c>
    </x:row>
    <x:row r="69" spans="2:18" ht="12.75" customHeight="1" x14ac:dyDescent="0.25">
      <x:c r="B69" s="142"/>
      <x:c r="C69" t="s">
        <x:v>115</x:v>
      </x:c>
      <x:c r="D69" s="89" t="s">
        <x:v>70</x:v>
      </x:c>
      <x:c r="E69" s="90">
        <x:v>22110280.379999999</x:v>
      </x:c>
      <x:c r="F69" s="90">
        <x:v>1422555.06</x:v>
      </x:c>
      <x:c r="G69" s="90">
        <x:v>778896.14</x:v>
      </x:c>
      <x:c r="H69" s="90">
        <x:v>343180.98</x:v>
      </x:c>
      <x:c r="I69" s="90">
        <x:v>6038759.2400000002</x:v>
      </x:c>
      <x:c r="J69" s="90">
        <x:v>158549.17000000001</x:v>
      </x:c>
      <x:c r="K69" s="90">
        <x:v>0</x:v>
      </x:c>
      <x:c r="L69" s="90">
        <x:v>1459711.26</x:v>
      </x:c>
      <x:c r="M69" s="90">
        <x:v>1772034.58</x:v>
      </x:c>
      <x:c r="N69" s="90">
        <x:v>5520857.0099999998</x:v>
      </x:c>
      <x:c r="O69" s="90">
        <x:v>4420812.9400000004</x:v>
      </x:c>
      <x:c r="P69" s="90">
        <x:v>195060.26</x:v>
      </x:c>
      <x:c r="Q69" s="90">
        <x:v>-136.26</x:v>
      </x:c>
      <x:c r="R69">
        <x:v>0</x:v>
      </x:c>
    </x:row>
    <x:row r="70" spans="2:18" ht="12.75" customHeight="1" x14ac:dyDescent="0.25">
      <x:c r="B70" s="142"/>
      <x:c r="D70" s="89" t="s">
        <x:v>72</x:v>
      </x:c>
      <x:c r="E70" s="90">
        <x:v>1616173.63</x:v>
      </x:c>
      <x:c r="F70" s="90">
        <x:v>90529.5</x:v>
      </x:c>
      <x:c r="G70" s="90">
        <x:v>47826.83</x:v>
      </x:c>
      <x:c r="H70" s="90">
        <x:v>24108.87</x:v>
      </x:c>
      <x:c r="I70" s="90">
        <x:v>433611.64</x:v>
      </x:c>
      <x:c r="J70" s="90">
        <x:v>13309</x:v>
      </x:c>
      <x:c r="K70" s="90">
        <x:v>0</x:v>
      </x:c>
      <x:c r="L70" s="90">
        <x:v>100420.03</x:v>
      </x:c>
      <x:c r="M70" s="90">
        <x:v>121133.57</x:v>
      </x:c>
      <x:c r="N70" s="90">
        <x:v>423371.69</x:v>
      </x:c>
      <x:c r="O70" s="90">
        <x:v>346736.28</x:v>
      </x:c>
      <x:c r="P70" s="90">
        <x:v>15115.46</x:v>
      </x:c>
      <x:c r="Q70" s="90">
        <x:v>10.76</x:v>
      </x:c>
      <x:c r="R70">
        <x:v>0</x:v>
      </x:c>
    </x:row>
    <x:row r="71" spans="2:18" ht="12.75" customHeight="1" x14ac:dyDescent="0.25">
      <x:c r="B71" s="142"/>
      <x:c r="C71" s="89"/>
      <x:c r="D71" s="89" t="s">
        <x:v>81</x:v>
      </x:c>
      <x:c r="E71" s="371">
        <x:v>406.42</x:v>
      </x:c>
      <x:c r="F71" s="90">
        <x:v>41.47</x:v>
      </x:c>
      <x:c r="G71" s="90">
        <x:v>21.23</x:v>
      </x:c>
      <x:c r="H71" s="90">
        <x:v>12.67</x:v>
      </x:c>
      <x:c r="I71" s="90">
        <x:v>83.96</x:v>
      </x:c>
      <x:c r="J71" s="90">
        <x:v>1.95</x:v>
      </x:c>
      <x:c r="K71" s="90">
        <x:v>0</x:v>
      </x:c>
      <x:c r="L71" s="90">
        <x:v>17.12</x:v>
      </x:c>
      <x:c r="M71" s="90">
        <x:v>25.02</x:v>
      </x:c>
      <x:c r="N71" s="90">
        <x:v>117.24</x:v>
      </x:c>
      <x:c r="O71" s="90">
        <x:v>82.58</x:v>
      </x:c>
      <x:c r="P71" s="90">
        <x:v>3.19</x:v>
      </x:c>
      <x:c r="Q71" s="90">
        <x:v>-0.01</x:v>
      </x:c>
      <x:c r="R71">
        <x:v>0</x:v>
      </x:c>
    </x:row>
    <x:row r="72" spans="2:18" ht="12.75" customHeight="1" x14ac:dyDescent="0.25">
      <x:c r="B72" s="142"/>
      <x:c r="C72" s="89" t="s">
        <x:v>116</x:v>
      </x:c>
      <x:c r="D72" s="89" t="s">
        <x:v>70</x:v>
      </x:c>
      <x:c r="E72" s="371">
        <x:v>1616580.05</x:v>
      </x:c>
      <x:c r="F72" s="90">
        <x:v>90570.97</x:v>
      </x:c>
      <x:c r="G72" s="90">
        <x:v>47848.06</x:v>
      </x:c>
      <x:c r="H72" s="90">
        <x:v>24121.54</x:v>
      </x:c>
      <x:c r="I72" s="90">
        <x:v>433695.6</x:v>
      </x:c>
      <x:c r="J72" s="90">
        <x:v>13310.95</x:v>
      </x:c>
      <x:c r="K72" s="90">
        <x:v>0</x:v>
      </x:c>
      <x:c r="L72" s="90">
        <x:v>100437.15</x:v>
      </x:c>
      <x:c r="M72" s="90">
        <x:v>121158.59</x:v>
      </x:c>
      <x:c r="N72" s="90">
        <x:v>423488.93</x:v>
      </x:c>
      <x:c r="O72" s="90">
        <x:v>346818.86</x:v>
      </x:c>
      <x:c r="P72" s="90">
        <x:v>15118.65</x:v>
      </x:c>
      <x:c r="Q72" s="90">
        <x:v>10.75</x:v>
      </x:c>
      <x:c r="R72">
        <x:v>0</x:v>
      </x:c>
    </x:row>
    <x:row r="73" spans="2:18" ht="12.75" customHeight="1" x14ac:dyDescent="0.25">
      <x:c r="B73" s="142"/>
      <x:c r="C73" s="89"/>
      <x:c r="D73" s="89" t="s">
        <x:v>72</x:v>
      </x:c>
      <x:c r="E73" s="371">
        <x:v>27690465.370000001</x:v>
      </x:c>
      <x:c r="F73" s="90">
        <x:v>1701572.26</x:v>
      </x:c>
      <x:c r="G73" s="90">
        <x:v>971553.65</x:v>
      </x:c>
      <x:c r="H73" s="90">
        <x:v>405189.21</x:v>
      </x:c>
      <x:c r="I73" s="90">
        <x:v>7839404.5700000003</x:v>
      </x:c>
      <x:c r="J73" s="90">
        <x:v>234550.49</x:v>
      </x:c>
      <x:c r="K73" s="90">
        <x:v>0</x:v>
      </x:c>
      <x:c r="L73" s="90">
        <x:v>2072653.22</x:v>
      </x:c>
      <x:c r="M73" s="90">
        <x:v>2236559.98</x:v>
      </x:c>
      <x:c r="N73" s="90">
        <x:v>8259845.4400000004</x:v>
      </x:c>
      <x:c r="O73" s="90">
        <x:v>3677240.61</x:v>
      </x:c>
      <x:c r="P73" s="90">
        <x:v>291796.3</x:v>
      </x:c>
      <x:c r="Q73" s="90">
        <x:v>99.64</x:v>
      </x:c>
      <x:c r="R73">
        <x:v>0</x:v>
      </x:c>
    </x:row>
    <x:row r="74" spans="2:18" ht="12.75" customHeight="1" x14ac:dyDescent="0.25">
      <x:c r="B74" s="142"/>
      <x:c r="C74" s="89"/>
      <x:c r="D74" s="89" t="s">
        <x:v>81</x:v>
      </x:c>
      <x:c r="E74" s="371">
        <x:v>220606.32</x:v>
      </x:c>
      <x:c r="F74" s="90">
        <x:v>2079.3000000000002</x:v>
      </x:c>
      <x:c r="G74" s="90">
        <x:v>1101.5999999999999</x:v>
      </x:c>
      <x:c r="H74" s="90">
        <x:v>634.08000000000004</x:v>
      </x:c>
      <x:c r="I74" s="90">
        <x:v>4056.19</x:v>
      </x:c>
      <x:c r="J74" s="90">
        <x:v>100.05</x:v>
      </x:c>
      <x:c r="K74" s="90">
        <x:v>0</x:v>
      </x:c>
      <x:c r="L74" s="90">
        <x:v>31497.06</x:v>
      </x:c>
      <x:c r="M74" s="90">
        <x:v>39422.949999999997</x:v>
      </x:c>
      <x:c r="N74" s="90">
        <x:v>118658.47</x:v>
      </x:c>
      <x:c r="O74" s="90">
        <x:v>22893.4</x:v>
      </x:c>
      <x:c r="P74" s="90">
        <x:v>163.27000000000001</x:v>
      </x:c>
      <x:c r="Q74" s="90">
        <x:v>-0.05</x:v>
      </x:c>
      <x:c r="R74">
        <x:v>0</x:v>
      </x:c>
    </x:row>
    <x:row r="75" spans="2:18" ht="12.75" customHeight="1" x14ac:dyDescent="0.25">
      <x:c r="B75" s="142"/>
      <x:c r="C75" s="89" t="s">
        <x:v>118</x:v>
      </x:c>
      <x:c r="D75" s="89" t="s">
        <x:v>70</x:v>
      </x:c>
      <x:c r="E75" s="371">
        <x:v>27911071.690000001</x:v>
      </x:c>
      <x:c r="F75" s="90">
        <x:v>1703651.56</x:v>
      </x:c>
      <x:c r="G75" s="90">
        <x:v>972655.25</x:v>
      </x:c>
      <x:c r="H75" s="90">
        <x:v>405823.29</x:v>
      </x:c>
      <x:c r="I75" s="90">
        <x:v>7843460.7599999998</x:v>
      </x:c>
      <x:c r="J75" s="90">
        <x:v>234650.54</x:v>
      </x:c>
      <x:c r="K75" s="90">
        <x:v>0</x:v>
      </x:c>
      <x:c r="L75" s="90">
        <x:v>2104150.2799999998</x:v>
      </x:c>
      <x:c r="M75" s="90">
        <x:v>2275982.9300000002</x:v>
      </x:c>
      <x:c r="N75" s="90">
        <x:v>8378503.9100000001</x:v>
      </x:c>
      <x:c r="O75" s="90">
        <x:v>3700134.01</x:v>
      </x:c>
      <x:c r="P75" s="90">
        <x:v>291959.57</x:v>
      </x:c>
      <x:c r="Q75" s="90">
        <x:v>99.59</x:v>
      </x:c>
      <x:c r="R75">
        <x:v>0</x:v>
      </x:c>
    </x:row>
    <x:row r="76" spans="2:18" ht="12.75" customHeight="1" x14ac:dyDescent="0.25">
      <x:c r="B76" s="142"/>
      <x:c r="C76" s="89"/>
      <x:c r="D76" s="89" t="s">
        <x:v>72</x:v>
      </x:c>
      <x:c r="E76" s="371">
        <x:v>831919.29</x:v>
      </x:c>
      <x:c r="F76" s="90">
        <x:v>0</x:v>
      </x:c>
      <x:c r="G76" s="90">
        <x:v>0</x:v>
      </x:c>
      <x:c r="H76" s="90">
        <x:v>0</x:v>
      </x:c>
      <x:c r="I76" s="90">
        <x:v>0</x:v>
      </x:c>
      <x:c r="J76" s="90">
        <x:v>0</x:v>
      </x:c>
      <x:c r="K76" s="90">
        <x:v>0</x:v>
      </x:c>
      <x:c r="L76" s="90">
        <x:v>4321.1400000000003</x:v>
      </x:c>
      <x:c r="M76" s="90">
        <x:v>6126.52</x:v>
      </x:c>
      <x:c r="N76" s="90">
        <x:v>6629.52</x:v>
      </x:c>
      <x:c r="O76" s="90">
        <x:v>814845.14</x:v>
      </x:c>
      <x:c r="P76" s="90">
        <x:v>0</x:v>
      </x:c>
      <x:c r="Q76" s="90">
        <x:v>-3.03</x:v>
      </x:c>
      <x:c r="R76">
        <x:v>0</x:v>
      </x:c>
    </x:row>
    <x:row r="77" spans="2:18" ht="12.75" customHeight="1" x14ac:dyDescent="0.25">
      <x:c r="B77" s="142"/>
      <x:c r="C77" s="89" t="s">
        <x:v>334</x:v>
      </x:c>
      <x:c r="D77" s="89" t="s">
        <x:v>70</x:v>
      </x:c>
      <x:c r="E77" s="371">
        <x:v>831919.29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4321.1400000000003</x:v>
      </x:c>
      <x:c r="M77" s="90">
        <x:v>6126.52</x:v>
      </x:c>
      <x:c r="N77" s="90">
        <x:v>6629.52</x:v>
      </x:c>
      <x:c r="O77" s="90">
        <x:v>814845.14</x:v>
      </x:c>
      <x:c r="P77" s="90">
        <x:v>0</x:v>
      </x:c>
      <x:c r="Q77" s="90">
        <x:v>-3.03</x:v>
      </x:c>
      <x:c r="R77">
        <x:v>0</x:v>
      </x:c>
    </x:row>
    <x:row r="78" spans="2:18" s="224" customFormat="1" ht="12.75" customHeight="1" x14ac:dyDescent="0.25">
      <x:c r="B78" s="224" t="s">
        <x:v>120</x:v>
      </x:c>
      <x:c r="C78" s="224" t="s">
        <x:v>70</x:v>
      </x:c>
      <x:c r="E78" s="224">
        <x:v>52469851.409999996</x:v>
      </x:c>
      <x:c r="F78" s="224">
        <x:v>3216777.59</x:v>
      </x:c>
      <x:c r="G78" s="224">
        <x:v>1799399.45</x:v>
      </x:c>
      <x:c r="H78" s="224">
        <x:v>773125.81</x:v>
      </x:c>
      <x:c r="I78" s="224">
        <x:v>14315915.6</x:v>
      </x:c>
      <x:c r="J78" s="224">
        <x:v>406510.66</x:v>
      </x:c>
      <x:c r="K78" s="224">
        <x:v>0</x:v>
      </x:c>
      <x:c r="L78" s="224">
        <x:v>3668619.83</x:v>
      </x:c>
      <x:c r="M78" s="224">
        <x:v>4175302.62</x:v>
      </x:c>
      <x:c r="N78" s="224">
        <x:v>14329479.369999999</x:v>
      </x:c>
      <x:c r="O78" s="224">
        <x:v>9282610.9499999993</x:v>
      </x:c>
      <x:c r="P78" s="224">
        <x:v>502138.48</x:v>
      </x:c>
      <x:c r="Q78" s="224">
        <x:v>-28.95</x:v>
      </x:c>
      <x:c r="R78" s="224">
        <x:v>0</x:v>
      </x:c>
    </x:row>
    <x:row r="79" spans="2:18" ht="12.75" customHeight="1" x14ac:dyDescent="0.25">
      <x:c r="D79" t="s">
        <x:v>72</x:v>
      </x:c>
      <x:c r="E79" s="142">
        <x:v>11075334.51</x:v>
      </x:c>
      <x:c r="F79">
        <x:v>821378.55</x:v>
      </x:c>
      <x:c r="G79">
        <x:v>465927.35</x:v>
      </x:c>
      <x:c r="H79">
        <x:v>215214.87</x:v>
      </x:c>
      <x:c r="I79">
        <x:v>2963943.27</x:v>
      </x:c>
      <x:c r="J79">
        <x:v>82515.34</x:v>
      </x:c>
      <x:c r="K79">
        <x:v>0</x:v>
      </x:c>
      <x:c r="L79">
        <x:v>658290.51</x:v>
      </x:c>
      <x:c r="M79">
        <x:v>834824.5</x:v>
      </x:c>
      <x:c r="N79">
        <x:v>3348380.91</x:v>
      </x:c>
      <x:c r="O79">
        <x:v>1591238.38</x:v>
      </x:c>
      <x:c r="P79">
        <x:v>93600.37</x:v>
      </x:c>
      <x:c r="Q79">
        <x:v>20.46</x:v>
      </x:c>
      <x:c r="R79">
        <x:v>0</x:v>
      </x:c>
    </x:row>
    <x:row r="80" spans="2:18" ht="12.75" customHeight="1" x14ac:dyDescent="0.25">
      <x:c r="D80" t="s">
        <x:v>81</x:v>
      </x:c>
      <x:c r="E80" s="142">
        <x:v>20136.060000000001</x:v>
      </x:c>
      <x:c r="F80">
        <x:v>2455.33</x:v>
      </x:c>
      <x:c r="G80">
        <x:v>1132.97</x:v>
      </x:c>
      <x:c r="H80">
        <x:v>675.49</x:v>
      </x:c>
      <x:c r="I80">
        <x:v>3924.78</x:v>
      </x:c>
      <x:c r="J80">
        <x:v>92.44</x:v>
      </x:c>
      <x:c r="K80">
        <x:v>0</x:v>
      </x:c>
      <x:c r="L80">
        <x:v>810.75</x:v>
      </x:c>
      <x:c r="M80">
        <x:v>1058.05</x:v>
      </x:c>
      <x:c r="N80">
        <x:v>4906.9799999999996</x:v>
      </x:c>
      <x:c r="O80">
        <x:v>4928.45</x:v>
      </x:c>
      <x:c r="P80">
        <x:v>150.80000000000001</x:v>
      </x:c>
      <x:c r="Q80">
        <x:v>0.02</x:v>
      </x:c>
      <x:c r="R80">
        <x:v>0</x:v>
      </x:c>
    </x:row>
    <x:row r="81" spans="1:18" ht="12.75" customHeight="1" x14ac:dyDescent="0.25">
      <x:c r="C81" t="s">
        <x:v>82</x:v>
      </x:c>
      <x:c r="D81" t="s">
        <x:v>70</x:v>
      </x:c>
      <x:c r="E81" s="142">
        <x:v>11095470.57</x:v>
      </x:c>
      <x:c r="F81">
        <x:v>823833.88</x:v>
      </x:c>
      <x:c r="G81">
        <x:v>467060.32</x:v>
      </x:c>
      <x:c r="H81">
        <x:v>215890.36</x:v>
      </x:c>
      <x:c r="I81">
        <x:v>2967868.05</x:v>
      </x:c>
      <x:c r="J81">
        <x:v>82607.78</x:v>
      </x:c>
      <x:c r="K81">
        <x:v>0</x:v>
      </x:c>
      <x:c r="L81">
        <x:v>659101.26</x:v>
      </x:c>
      <x:c r="M81">
        <x:v>835882.55</x:v>
      </x:c>
      <x:c r="N81">
        <x:v>3353287.89</x:v>
      </x:c>
      <x:c r="O81">
        <x:v>1596166.83</x:v>
      </x:c>
      <x:c r="P81">
        <x:v>93751.17</x:v>
      </x:c>
      <x:c r="Q81">
        <x:v>20.48</x:v>
      </x:c>
      <x:c r="R81">
        <x:v>0</x:v>
      </x:c>
    </x:row>
    <x:row r="82" spans="1:18" ht="12.75" customHeight="1" x14ac:dyDescent="0.25">
      <x:c r="D82" t="s">
        <x:v>72</x:v>
      </x:c>
      <x:c r="E82" s="142">
        <x:v>38346937.409999996</x:v>
      </x:c>
      <x:c r="F82">
        <x:v>3218428.18</x:v>
      </x:c>
      <x:c r="G82">
        <x:v>1802927.88</x:v>
      </x:c>
      <x:c r="H82">
        <x:v>864947.8</x:v>
      </x:c>
      <x:c r="I82">
        <x:v>8956303.5800000001</x:v>
      </x:c>
      <x:c r="J82">
        <x:v>272835.84999999998</x:v>
      </x:c>
      <x:c r="K82">
        <x:v>0</x:v>
      </x:c>
      <x:c r="L82">
        <x:v>2439524.5499999998</x:v>
      </x:c>
      <x:c r="M82">
        <x:v>2783253.06</x:v>
      </x:c>
      <x:c r="N82">
        <x:v>10966064.279999999</x:v>
      </x:c>
      <x:c r="O82">
        <x:v>6668396.54</x:v>
      </x:c>
      <x:c r="P82">
        <x:v>374240.28</x:v>
      </x:c>
      <x:c r="Q82">
        <x:v>15.41</x:v>
      </x:c>
      <x:c r="R82">
        <x:v>0</x:v>
      </x:c>
    </x:row>
    <x:row r="83" spans="1:18" ht="12.75" customHeight="1" x14ac:dyDescent="0.25">
      <x:c r="D83" t="s">
        <x:v>81</x:v>
      </x:c>
      <x:c r="E83" s="142">
        <x:v>435116.55</x:v>
      </x:c>
      <x:c r="F83">
        <x:v>47759.13</x:v>
      </x:c>
      <x:c r="G83">
        <x:v>22622.799999999999</x:v>
      </x:c>
      <x:c r="H83">
        <x:v>11464.99</x:v>
      </x:c>
      <x:c r="I83">
        <x:v>86745.59</x:v>
      </x:c>
      <x:c r="J83">
        <x:v>2665.2</x:v>
      </x:c>
      <x:c r="K83">
        <x:v>0</x:v>
      </x:c>
      <x:c r="L83">
        <x:v>22811.78</x:v>
      </x:c>
      <x:c r="M83">
        <x:v>28601.42</x:v>
      </x:c>
      <x:c r="N83">
        <x:v>113175.65</x:v>
      </x:c>
      <x:c r="O83">
        <x:v>94916.98</x:v>
      </x:c>
      <x:c r="P83">
        <x:v>4352.25</x:v>
      </x:c>
      <x:c r="Q83">
        <x:v>0.76</x:v>
      </x:c>
      <x:c r="R83">
        <x:v>0</x:v>
      </x:c>
    </x:row>
    <x:row r="84" spans="1:18" ht="12.75" customHeight="1" x14ac:dyDescent="0.25">
      <x:c r="C84" t="s">
        <x:v>86</x:v>
      </x:c>
      <x:c r="D84" t="s">
        <x:v>70</x:v>
      </x:c>
      <x:c r="E84">
        <x:v>38782053.960000001</x:v>
      </x:c>
      <x:c r="F84">
        <x:v>3266187.31</x:v>
      </x:c>
      <x:c r="G84">
        <x:v>1825550.68</x:v>
      </x:c>
      <x:c r="H84">
        <x:v>876412.79</x:v>
      </x:c>
      <x:c r="I84">
        <x:v>9043049.1699999999</x:v>
      </x:c>
      <x:c r="J84">
        <x:v>275501.05</x:v>
      </x:c>
      <x:c r="K84">
        <x:v>0</x:v>
      </x:c>
      <x:c r="L84">
        <x:v>2462336.33</x:v>
      </x:c>
      <x:c r="M84">
        <x:v>2811854.48</x:v>
      </x:c>
      <x:c r="N84">
        <x:v>11079239.93</x:v>
      </x:c>
      <x:c r="O84">
        <x:v>6763313.5199999996</x:v>
      </x:c>
      <x:c r="P84">
        <x:v>378592.53</x:v>
      </x:c>
      <x:c r="Q84">
        <x:v>16.170000000000002</x:v>
      </x:c>
      <x:c r="R84">
        <x:v>0</x:v>
      </x:c>
    </x:row>
    <x:row r="85" spans="1:18" ht="12.75" customHeight="1" x14ac:dyDescent="0.25">
      <x:c r="D85" t="s">
        <x:v>72</x:v>
      </x:c>
      <x:c r="E85">
        <x:v>42498048.93</x:v>
      </x:c>
      <x:c r="F85">
        <x:v>5756619.9299999997</x:v>
      </x:c>
      <x:c r="G85">
        <x:v>3216233.52</x:v>
      </x:c>
      <x:c r="H85">
        <x:v>1817946.33</x:v>
      </x:c>
      <x:c r="I85">
        <x:v>1910670.24</x:v>
      </x:c>
      <x:c r="J85">
        <x:v>53108.69</x:v>
      </x:c>
      <x:c r="K85">
        <x:v>0</x:v>
      </x:c>
      <x:c r="L85">
        <x:v>473073.31</x:v>
      </x:c>
      <x:c r="M85">
        <x:v>611269.16</x:v>
      </x:c>
      <x:c r="N85">
        <x:v>2270384.89</x:v>
      </x:c>
      <x:c r="O85">
        <x:v>26329366.120000001</x:v>
      </x:c>
      <x:c r="P85">
        <x:v>59347.07</x:v>
      </x:c>
      <x:c r="Q85">
        <x:v>29.67</x:v>
      </x:c>
      <x:c r="R85">
        <x:v>0</x:v>
      </x:c>
    </x:row>
    <x:row r="86" spans="1:18" ht="12.75" customHeight="1" x14ac:dyDescent="0.25">
      <x:c r="D86" t="s">
        <x:v>81</x:v>
      </x:c>
      <x:c r="E86" s="142">
        <x:v>9526.39</x:v>
      </x:c>
      <x:c r="F86">
        <x:v>1485.4</x:v>
      </x:c>
      <x:c r="G86">
        <x:v>831.8</x:v>
      </x:c>
      <x:c r="H86">
        <x:v>440.06</x:v>
      </x:c>
      <x:c r="I86">
        <x:v>1225.21</x:v>
      </x:c>
      <x:c r="J86">
        <x:v>39.880000000000003</x:v>
      </x:c>
      <x:c r="K86">
        <x:v>0</x:v>
      </x:c>
      <x:c r="L86">
        <x:v>349.95</x:v>
      </x:c>
      <x:c r="M86">
        <x:v>378.78</x:v>
      </x:c>
      <x:c r="N86">
        <x:v>1754.01</x:v>
      </x:c>
      <x:c r="O86">
        <x:v>2956.22</x:v>
      </x:c>
      <x:c r="P86">
        <x:v>65.09</x:v>
      </x:c>
      <x:c r="Q86">
        <x:v>-0.01</x:v>
      </x:c>
      <x:c r="R86">
        <x:v>0</x:v>
      </x:c>
    </x:row>
    <x:row r="87" spans="1:18" ht="12.75" customHeight="1" x14ac:dyDescent="0.25">
      <x:c r="C87" s="89" t="s">
        <x:v>87</x:v>
      </x:c>
      <x:c r="D87" s="89" t="s">
        <x:v>70</x:v>
      </x:c>
      <x:c r="E87" s="90">
        <x:v>42507575.32</x:v>
      </x:c>
      <x:c r="F87" s="90">
        <x:v>5758105.3300000001</x:v>
      </x:c>
      <x:c r="G87" s="90">
        <x:v>3217065.32</x:v>
      </x:c>
      <x:c r="H87" s="90">
        <x:v>1818386.39</x:v>
      </x:c>
      <x:c r="I87" s="90">
        <x:v>1911895.45</x:v>
      </x:c>
      <x:c r="J87" s="90">
        <x:v>53148.57</x:v>
      </x:c>
      <x:c r="K87" s="90">
        <x:v>0</x:v>
      </x:c>
      <x:c r="L87" s="90">
        <x:v>473423.26</x:v>
      </x:c>
      <x:c r="M87" s="90">
        <x:v>611647.93999999994</x:v>
      </x:c>
      <x:c r="N87" s="90">
        <x:v>2272138.9</x:v>
      </x:c>
      <x:c r="O87" s="90">
        <x:v>26332322.34</x:v>
      </x:c>
      <x:c r="P87" s="90">
        <x:v>59412.160000000003</x:v>
      </x:c>
      <x:c r="Q87" s="90">
        <x:v>29.66</x:v>
      </x:c>
      <x:c r="R87">
        <x:v>0</x:v>
      </x:c>
    </x:row>
    <x:row r="88" spans="1:18" s="94" customFormat="1" ht="12.75" customHeight="1" x14ac:dyDescent="0.25">
      <x:c r="B88" s="94" t="s">
        <x:v>119</x:v>
      </x:c>
      <x:c r="C88" s="101" t="s">
        <x:v>70</x:v>
      </x:c>
      <x:c r="D88" s="101"/>
      <x:c r="E88" s="93">
        <x:v>92385099.849999994</x:v>
      </x:c>
      <x:c r="F88" s="93">
        <x:v>9848126.5199999996</x:v>
      </x:c>
      <x:c r="G88" s="93">
        <x:v>5509676.3200000003</x:v>
      </x:c>
      <x:c r="H88" s="93">
        <x:v>2910689.54</x:v>
      </x:c>
      <x:c r="I88" s="93">
        <x:v>13922812.67</x:v>
      </x:c>
      <x:c r="J88" s="93">
        <x:v>411257.4</x:v>
      </x:c>
      <x:c r="K88" s="93">
        <x:v>0</x:v>
      </x:c>
      <x:c r="L88" s="93">
        <x:v>3594860.85</x:v>
      </x:c>
      <x:c r="M88" s="93">
        <x:v>4259384.97</x:v>
      </x:c>
      <x:c r="N88" s="93">
        <x:v>16704666.720000001</x:v>
      </x:c>
      <x:c r="O88" s="93">
        <x:v>34691802.689999998</x:v>
      </x:c>
      <x:c r="P88" s="93">
        <x:v>531755.86</x:v>
      </x:c>
      <x:c r="Q88" s="93">
        <x:v>66.31</x:v>
      </x:c>
      <x:c r="R88" s="94">
        <x:v>0</x:v>
      </x:c>
    </x:row>
    <x:row r="89" spans="1:18" s="226" customFormat="1" ht="12.75" customHeight="1" x14ac:dyDescent="0.25">
      <x:c r="A89" s="98" t="s">
        <x:v>78</x:v>
      </x:c>
      <x:c r="B89" s="98" t="s">
        <x:v>70</x:v>
      </x:c>
      <x:c r="E89" s="100" t="n">
        <x:v>183322120.6</x:v>
      </x:c>
      <x:c r="F89" s="100">
        <x:v>17193125.32</x:v>
      </x:c>
      <x:c r="G89" s="100">
        <x:v>9759590.5199999996</x:v>
      </x:c>
      <x:c r="H89" s="100">
        <x:v>4674886.45</x:v>
      </x:c>
      <x:c r="I89" s="100">
        <x:v>47216081.210000001</x:v>
      </x:c>
      <x:c r="J89" s="100">
        <x:v>1451359.21</x:v>
      </x:c>
      <x:c r="K89" s="100" t="n">
        <x:v>28554.96</x:v>
      </x:c>
      <x:c r="L89" s="100">
        <x:v>13193069.92</x:v>
      </x:c>
      <x:c r="M89" s="100">
        <x:v>14193303.560000001</x:v>
      </x:c>
      <x:c r="N89" s="100">
        <x:v>54326291.740000002</x:v>
      </x:c>
      <x:c r="O89" s="100">
        <x:v>52723995.280000001</x:v>
      </x:c>
      <x:c r="P89" s="100">
        <x:v>1920514</x:v>
      </x:c>
      <x:c r="Q89" s="100">
        <x:v>181.61</x:v>
      </x:c>
      <x:c r="R89" s="226">
        <x:v>0</x:v>
      </x:c>
    </x:row>
    <x:row r="90" spans="1:18" ht="12.75" customHeight="1" x14ac:dyDescent="0.25">
      <x:c r="C90" s="89"/>
      <x:c r="D90" s="89" t="s">
        <x:v>73</x:v>
      </x:c>
      <x:c r="E90" s="90">
        <x:v>-16121294.859999999</x:v>
      </x:c>
      <x:c r="F90" s="90">
        <x:v>-535197.18999999994</x:v>
      </x:c>
      <x:c r="G90" s="90">
        <x:v>-315094.83</x:v>
      </x:c>
      <x:c r="H90" s="90">
        <x:v>-189104.93</x:v>
      </x:c>
      <x:c r="I90" s="90">
        <x:v>-4617623.13</x:v>
      </x:c>
      <x:c r="J90" s="90">
        <x:v>-160785.5</x:v>
      </x:c>
      <x:c r="K90" s="90">
        <x:v>0</x:v>
      </x:c>
      <x:c r="L90" s="90">
        <x:v>-1360058.01</x:v>
      </x:c>
      <x:c r="M90" s="90">
        <x:v>-1315487.9099999999</x:v>
      </x:c>
      <x:c r="N90" s="90">
        <x:v>-6434917.6900000004</x:v>
      </x:c>
      <x:c r="O90" s="90">
        <x:v>-931826.69</x:v>
      </x:c>
      <x:c r="P90" s="90">
        <x:v>-261198.98</x:v>
      </x:c>
      <x:c r="Q90" s="90">
        <x:v>0</x:v>
      </x:c>
      <x:c r="R90">
        <x:v>0</x:v>
      </x:c>
    </x:row>
    <x:row r="91" spans="1:18" ht="12.75" customHeight="1" x14ac:dyDescent="0.25">
      <x:c r="C91" s="89" t="s">
        <x:v>156</x:v>
      </x:c>
      <x:c r="D91" s="89" t="s">
        <x:v>70</x:v>
      </x:c>
      <x:c r="E91" s="371">
        <x:v>-16121294.859999999</x:v>
      </x:c>
      <x:c r="F91" s="90">
        <x:v>-535197.18999999994</x:v>
      </x:c>
      <x:c r="G91" s="90">
        <x:v>-315094.83</x:v>
      </x:c>
      <x:c r="H91" s="90">
        <x:v>-189104.93</x:v>
      </x:c>
      <x:c r="I91" s="90">
        <x:v>-4617623.13</x:v>
      </x:c>
      <x:c r="J91" s="90">
        <x:v>-160785.5</x:v>
      </x:c>
      <x:c r="K91" s="90">
        <x:v>0</x:v>
      </x:c>
      <x:c r="L91" s="90">
        <x:v>-1360058.01</x:v>
      </x:c>
      <x:c r="M91" s="90">
        <x:v>-1315487.9099999999</x:v>
      </x:c>
      <x:c r="N91" s="90">
        <x:v>-6434917.6900000004</x:v>
      </x:c>
      <x:c r="O91" s="90">
        <x:v>-931826.69</x:v>
      </x:c>
      <x:c r="P91" s="90">
        <x:v>-261198.98</x:v>
      </x:c>
      <x:c r="Q91" s="90">
        <x:v>0</x:v>
      </x:c>
      <x:c r="R91">
        <x:v>0</x:v>
      </x:c>
    </x:row>
    <x:row r="92" spans="1:18" s="286" customFormat="1" ht="12.75" customHeight="1" x14ac:dyDescent="0.25">
      <x:c r="B92" s="286" t="s">
        <x:v>155</x:v>
      </x:c>
      <x:c r="C92" s="229" t="s">
        <x:v>70</x:v>
      </x:c>
      <x:c r="D92" s="229"/>
      <x:c r="E92" s="753">
        <x:v>-16121294.859999999</x:v>
      </x:c>
      <x:c r="F92" s="230">
        <x:v>-535197.18999999994</x:v>
      </x:c>
      <x:c r="G92" s="230">
        <x:v>-315094.83</x:v>
      </x:c>
      <x:c r="H92" s="230">
        <x:v>-189104.93</x:v>
      </x:c>
      <x:c r="I92" s="230">
        <x:v>-4617623.13</x:v>
      </x:c>
      <x:c r="J92" s="230">
        <x:v>-160785.5</x:v>
      </x:c>
      <x:c r="K92" s="230">
        <x:v>0</x:v>
      </x:c>
      <x:c r="L92" s="230">
        <x:v>-1360058.01</x:v>
      </x:c>
      <x:c r="M92" s="230">
        <x:v>-1315487.9099999999</x:v>
      </x:c>
      <x:c r="N92" s="230">
        <x:v>-6434917.6900000004</x:v>
      </x:c>
      <x:c r="O92" s="230">
        <x:v>-931826.69</x:v>
      </x:c>
      <x:c r="P92" s="230">
        <x:v>-261198.98</x:v>
      </x:c>
      <x:c r="Q92" s="230">
        <x:v>0</x:v>
      </x:c>
      <x:c r="R92" s="286">
        <x:v>0</x:v>
      </x:c>
    </x:row>
    <x:row r="93" spans="1:18" ht="12.75" customHeight="1" x14ac:dyDescent="0.25">
      <x:c r="C93" s="89"/>
      <x:c r="D93" s="89" t="s">
        <x:v>73</x:v>
      </x:c>
      <x:c r="E93" s="371">
        <x:v>-7006158.79</x:v>
      </x:c>
      <x:c r="F93" s="90">
        <x:v>-282130</x:v>
      </x:c>
      <x:c r="G93" s="90">
        <x:v>-165135.70000000001</x:v>
      </x:c>
      <x:c r="H93" s="90">
        <x:v>-90452.73</x:v>
      </x:c>
      <x:c r="I93" s="90">
        <x:v>-1975334.97</x:v>
      </x:c>
      <x:c r="J93" s="90">
        <x:v>-54298.01</x:v>
      </x:c>
      <x:c r="K93" s="90">
        <x:v>0</x:v>
      </x:c>
      <x:c r="L93" s="90">
        <x:v>-461440.15</x:v>
      </x:c>
      <x:c r="M93" s="90">
        <x:v>-581546.05000000005</x:v>
      </x:c>
      <x:c r="N93" s="90">
        <x:v>-2784117.01</x:v>
      </x:c>
      <x:c r="O93" s="90">
        <x:v>-524106.95</x:v>
      </x:c>
      <x:c r="P93" s="90">
        <x:v>-87597.22</x:v>
      </x:c>
      <x:c r="Q93" s="90">
        <x:v>0</x:v>
      </x:c>
      <x:c r="R93">
        <x:v>0</x:v>
      </x:c>
    </x:row>
    <x:row r="94" spans="1:18" ht="12.75" customHeight="1" x14ac:dyDescent="0.25">
      <x:c r="C94" s="89" t="s">
        <x:v>115</x:v>
      </x:c>
      <x:c r="D94" s="89" t="s">
        <x:v>70</x:v>
      </x:c>
      <x:c r="E94" s="90">
        <x:v>-7006158.79</x:v>
      </x:c>
      <x:c r="F94" s="90">
        <x:v>-282130</x:v>
      </x:c>
      <x:c r="G94" s="90">
        <x:v>-165135.70000000001</x:v>
      </x:c>
      <x:c r="H94" s="90">
        <x:v>-90452.73</x:v>
      </x:c>
      <x:c r="I94" s="90">
        <x:v>-1975334.97</x:v>
      </x:c>
      <x:c r="J94" s="90">
        <x:v>-54298.01</x:v>
      </x:c>
      <x:c r="K94" s="90">
        <x:v>0</x:v>
      </x:c>
      <x:c r="L94" s="90">
        <x:v>-461440.15</x:v>
      </x:c>
      <x:c r="M94" s="90">
        <x:v>-581546.05000000005</x:v>
      </x:c>
      <x:c r="N94" s="90">
        <x:v>-2784117.01</x:v>
      </x:c>
      <x:c r="O94" s="90">
        <x:v>-524106.95</x:v>
      </x:c>
      <x:c r="P94" s="90">
        <x:v>-87597.22</x:v>
      </x:c>
      <x:c r="Q94" s="90">
        <x:v>0</x:v>
      </x:c>
      <x:c r="R94">
        <x:v>0</x:v>
      </x:c>
    </x:row>
    <x:row r="95" spans="1:18" ht="12.75" customHeight="1" x14ac:dyDescent="0.25">
      <x:c r="C95" s="89"/>
      <x:c r="D95" s="89" t="s">
        <x:v>73</x:v>
      </x:c>
      <x:c r="E95" s="90">
        <x:v>-413701.38</x:v>
      </x:c>
      <x:c r="F95" s="90">
        <x:v>-13440.26</x:v>
      </x:c>
      <x:c r="G95" s="90">
        <x:v>-10533.25</x:v>
      </x:c>
      <x:c r="H95" s="90">
        <x:v>-5516.47</x:v>
      </x:c>
      <x:c r="I95" s="90">
        <x:v>-126463.9</x:v>
      </x:c>
      <x:c r="J95" s="90">
        <x:v>-3757.16</x:v>
      </x:c>
      <x:c r="K95" s="90">
        <x:v>0</x:v>
      </x:c>
      <x:c r="L95" s="90">
        <x:v>-30796.66</x:v>
      </x:c>
      <x:c r="M95" s="90">
        <x:v>-32644.48</x:v>
      </x:c>
      <x:c r="N95" s="90">
        <x:v>-158503.21</x:v>
      </x:c>
      <x:c r="O95" s="90">
        <x:v>-25915.95</x:v>
      </x:c>
      <x:c r="P95" s="90">
        <x:v>-6130.04</x:v>
      </x:c>
      <x:c r="Q95" s="90">
        <x:v>0</x:v>
      </x:c>
      <x:c r="R95">
        <x:v>0</x:v>
      </x:c>
    </x:row>
    <x:row r="96" spans="1:18" ht="12.75" customHeight="1" x14ac:dyDescent="0.25">
      <x:c r="C96" s="89" t="s">
        <x:v>116</x:v>
      </x:c>
      <x:c r="D96" s="89" t="s">
        <x:v>70</x:v>
      </x:c>
      <x:c r="E96" s="90">
        <x:v>-413701.38</x:v>
      </x:c>
      <x:c r="F96" s="90">
        <x:v>-13440.26</x:v>
      </x:c>
      <x:c r="G96" s="90">
        <x:v>-10533.25</x:v>
      </x:c>
      <x:c r="H96" s="90">
        <x:v>-5516.47</x:v>
      </x:c>
      <x:c r="I96" s="90">
        <x:v>-126463.9</x:v>
      </x:c>
      <x:c r="J96" s="90">
        <x:v>-3757.16</x:v>
      </x:c>
      <x:c r="K96" s="90">
        <x:v>0</x:v>
      </x:c>
      <x:c r="L96" s="90">
        <x:v>-30796.66</x:v>
      </x:c>
      <x:c r="M96" s="90">
        <x:v>-32644.48</x:v>
      </x:c>
      <x:c r="N96" s="90">
        <x:v>-158503.21</x:v>
      </x:c>
      <x:c r="O96" s="90">
        <x:v>-25915.95</x:v>
      </x:c>
      <x:c r="P96" s="90">
        <x:v>-6130.04</x:v>
      </x:c>
      <x:c r="Q96" s="90">
        <x:v>0</x:v>
      </x:c>
      <x:c r="R96">
        <x:v>0</x:v>
      </x:c>
    </x:row>
    <x:row r="97" spans="1:19" ht="12.75" customHeight="1" x14ac:dyDescent="0.25">
      <x:c r="C97" s="89"/>
      <x:c r="D97" s="89" t="s">
        <x:v>73</x:v>
      </x:c>
      <x:c r="E97" s="371">
        <x:v>-9635661.9499999993</x:v>
      </x:c>
      <x:c r="F97" s="90">
        <x:v>-380166.3</x:v>
      </x:c>
      <x:c r="G97" s="90">
        <x:v>-217737.2</x:v>
      </x:c>
      <x:c r="H97" s="90">
        <x:v>-115469.42</x:v>
      </x:c>
      <x:c r="I97" s="90">
        <x:v>-2737350.45</x:v>
      </x:c>
      <x:c r="J97" s="90">
        <x:v>-82659.66</x:v>
      </x:c>
      <x:c r="K97" s="90">
        <x:v>0</x:v>
      </x:c>
      <x:c r="L97" s="90">
        <x:v>-722316.87</x:v>
      </x:c>
      <x:c r="M97" s="90">
        <x:v>-795775.12</x:v>
      </x:c>
      <x:c r="N97" s="90">
        <x:v>-3736800.42</x:v>
      </x:c>
      <x:c r="O97" s="90">
        <x:v>-713130.36</x:v>
      </x:c>
      <x:c r="P97" s="90">
        <x:v>-134256.15</x:v>
      </x:c>
      <x:c r="Q97" s="90">
        <x:v>0</x:v>
      </x:c>
      <x:c r="R97">
        <x:v>0</x:v>
      </x:c>
    </x:row>
    <x:row r="98" spans="1:19" ht="12.75" customHeight="1" x14ac:dyDescent="0.25">
      <x:c r="C98" s="89" t="s">
        <x:v>118</x:v>
      </x:c>
      <x:c r="D98" s="89" t="s">
        <x:v>70</x:v>
      </x:c>
      <x:c r="E98" s="371">
        <x:v>-9635661.9499999993</x:v>
      </x:c>
      <x:c r="F98" s="90">
        <x:v>-380166.3</x:v>
      </x:c>
      <x:c r="G98" s="90">
        <x:v>-217737.2</x:v>
      </x:c>
      <x:c r="H98" s="90">
        <x:v>-115469.42</x:v>
      </x:c>
      <x:c r="I98" s="90">
        <x:v>-2737350.45</x:v>
      </x:c>
      <x:c r="J98" s="90">
        <x:v>-82659.66</x:v>
      </x:c>
      <x:c r="K98" s="90">
        <x:v>0</x:v>
      </x:c>
      <x:c r="L98" s="90">
        <x:v>-722316.87</x:v>
      </x:c>
      <x:c r="M98" s="90">
        <x:v>-795775.12</x:v>
      </x:c>
      <x:c r="N98" s="90">
        <x:v>-3736800.42</x:v>
      </x:c>
      <x:c r="O98" s="90">
        <x:v>-713130.36</x:v>
      </x:c>
      <x:c r="P98" s="90">
        <x:v>-134256.15</x:v>
      </x:c>
      <x:c r="Q98" s="90">
        <x:v>0</x:v>
      </x:c>
      <x:c r="R98">
        <x:v>0</x:v>
      </x:c>
    </x:row>
    <x:row r="99" spans="1:19" s="224" customFormat="1" ht="12.75" customHeight="1" x14ac:dyDescent="0.25">
      <x:c r="B99" s="223" t="s">
        <x:v>120</x:v>
      </x:c>
      <x:c r="C99" s="223" t="s">
        <x:v>70</x:v>
      </x:c>
      <x:c r="E99" s="225">
        <x:v>-17055522.120000001</x:v>
      </x:c>
      <x:c r="F99" s="225">
        <x:v>-675736.56</x:v>
      </x:c>
      <x:c r="G99" s="225">
        <x:v>-393406.15</x:v>
      </x:c>
      <x:c r="H99" s="225">
        <x:v>-211438.62</x:v>
      </x:c>
      <x:c r="I99" s="225">
        <x:v>-4839149.32</x:v>
      </x:c>
      <x:c r="J99" s="225">
        <x:v>-140714.82999999999</x:v>
      </x:c>
      <x:c r="K99" s="225">
        <x:v>0</x:v>
      </x:c>
      <x:c r="L99" s="225">
        <x:v>-1214553.68</x:v>
      </x:c>
      <x:c r="M99" s="225">
        <x:v>-1409965.65</x:v>
      </x:c>
      <x:c r="N99" s="225">
        <x:v>-6679420.6399999997</x:v>
      </x:c>
      <x:c r="O99" s="225">
        <x:v>-1263153.26</x:v>
      </x:c>
      <x:c r="P99" s="225">
        <x:v>-227983.41</x:v>
      </x:c>
      <x:c r="Q99" s="225">
        <x:v>0</x:v>
      </x:c>
      <x:c r="R99" s="224">
        <x:v>0</x:v>
      </x:c>
    </x:row>
    <x:row r="100" spans="1:19" ht="12.75" customHeight="1" x14ac:dyDescent="0.25">
      <x:c r="D100" s="89" t="s">
        <x:v>73</x:v>
      </x:c>
      <x:c r="E100" s="371">
        <x:v>-2195603.12</x:v>
      </x:c>
      <x:c r="F100" s="90">
        <x:v>-15588.17</x:v>
      </x:c>
      <x:c r="G100" s="90">
        <x:v>-50720.73</x:v>
      </x:c>
      <x:c r="H100" s="90">
        <x:v>1774.73</x:v>
      </x:c>
      <x:c r="I100" s="90">
        <x:v>-677747.58</x:v>
      </x:c>
      <x:c r="J100" s="90">
        <x:v>-19775.439999999999</x:v>
      </x:c>
      <x:c r="K100" s="90">
        <x:v>0</x:v>
      </x:c>
      <x:c r="L100" s="90">
        <x:v>-165236.81</x:v>
      </x:c>
      <x:c r="M100" s="90">
        <x:v>-211413.62</x:v>
      </x:c>
      <x:c r="N100" s="90">
        <x:v>-1031747.22</x:v>
      </x:c>
      <x:c r="O100" s="90">
        <x:v>5802.43</x:v>
      </x:c>
      <x:c r="P100" s="90">
        <x:v>-30950.71</x:v>
      </x:c>
      <x:c r="Q100" s="90">
        <x:v>0</x:v>
      </x:c>
      <x:c r="R100">
        <x:v>0</x:v>
      </x:c>
    </x:row>
    <x:row r="101" spans="1:19" ht="12.75" customHeight="1" x14ac:dyDescent="0.25">
      <x:c r="C101" t="s">
        <x:v>82</x:v>
      </x:c>
      <x:c r="D101" s="89" t="s">
        <x:v>70</x:v>
      </x:c>
      <x:c r="E101" s="371">
        <x:v>-2195603.12</x:v>
      </x:c>
      <x:c r="F101" s="90">
        <x:v>-15588.17</x:v>
      </x:c>
      <x:c r="G101" s="90">
        <x:v>-50720.73</x:v>
      </x:c>
      <x:c r="H101" s="90">
        <x:v>1774.73</x:v>
      </x:c>
      <x:c r="I101" s="90">
        <x:v>-677747.58</x:v>
      </x:c>
      <x:c r="J101" s="90">
        <x:v>-19775.439999999999</x:v>
      </x:c>
      <x:c r="K101" s="90">
        <x:v>0</x:v>
      </x:c>
      <x:c r="L101" s="90">
        <x:v>-165236.81</x:v>
      </x:c>
      <x:c r="M101" s="90">
        <x:v>-211413.62</x:v>
      </x:c>
      <x:c r="N101" s="90">
        <x:v>-1031747.22</x:v>
      </x:c>
      <x:c r="O101" s="90">
        <x:v>5802.43</x:v>
      </x:c>
      <x:c r="P101" s="90">
        <x:v>-30950.71</x:v>
      </x:c>
      <x:c r="Q101" s="90">
        <x:v>0</x:v>
      </x:c>
      <x:c r="R101">
        <x:v>0</x:v>
      </x:c>
    </x:row>
    <x:row r="102" spans="1:19" ht="12.75" customHeight="1" x14ac:dyDescent="0.25">
      <x:c r="D102" s="89" t="s">
        <x:v>73</x:v>
      </x:c>
      <x:c r="E102" s="371">
        <x:v>-3983459.54</x:v>
      </x:c>
      <x:c r="F102" s="90">
        <x:v>385104.44</x:v>
      </x:c>
      <x:c r="G102" s="90">
        <x:v>177913.53</x:v>
      </x:c>
      <x:c r="H102" s="90">
        <x:v>79365.09</x:v>
      </x:c>
      <x:c r="I102" s="90">
        <x:v>-1770775.18</x:v>
      </x:c>
      <x:c r="J102" s="90">
        <x:v>-54327.37</x:v>
      </x:c>
      <x:c r="K102" s="90">
        <x:v>0</x:v>
      </x:c>
      <x:c r="L102" s="90">
        <x:v>-463238.89</x:v>
      </x:c>
      <x:c r="M102" s="90">
        <x:v>-534634.66</x:v>
      </x:c>
      <x:c r="N102" s="90">
        <x:v>-2522494.73</x:v>
      </x:c>
      <x:c r="O102" s="90">
        <x:v>806737.08</x:v>
      </x:c>
      <x:c r="P102" s="90">
        <x:v>-87108.85</x:v>
      </x:c>
      <x:c r="Q102" s="90">
        <x:v>0</x:v>
      </x:c>
      <x:c r="R102">
        <x:v>0</x:v>
      </x:c>
    </x:row>
    <x:row r="103" spans="1:19" ht="12.75" customHeight="1" x14ac:dyDescent="0.25">
      <x:c r="C103" t="s">
        <x:v>86</x:v>
      </x:c>
      <x:c r="D103" s="89" t="s">
        <x:v>70</x:v>
      </x:c>
      <x:c r="E103" s="371">
        <x:v>-3983459.54</x:v>
      </x:c>
      <x:c r="F103" s="90">
        <x:v>385104.44</x:v>
      </x:c>
      <x:c r="G103" s="90">
        <x:v>177913.53</x:v>
      </x:c>
      <x:c r="H103" s="90">
        <x:v>79365.09</x:v>
      </x:c>
      <x:c r="I103" s="90">
        <x:v>-1770775.18</x:v>
      </x:c>
      <x:c r="J103" s="90">
        <x:v>-54327.37</x:v>
      </x:c>
      <x:c r="K103" s="90">
        <x:v>0</x:v>
      </x:c>
      <x:c r="L103" s="90">
        <x:v>-463238.89</x:v>
      </x:c>
      <x:c r="M103" s="90">
        <x:v>-534634.66</x:v>
      </x:c>
      <x:c r="N103" s="90">
        <x:v>-2522494.73</x:v>
      </x:c>
      <x:c r="O103" s="90">
        <x:v>806737.08</x:v>
      </x:c>
      <x:c r="P103" s="90">
        <x:v>-87108.85</x:v>
      </x:c>
      <x:c r="Q103" s="90">
        <x:v>0</x:v>
      </x:c>
      <x:c r="R103">
        <x:v>0</x:v>
      </x:c>
    </x:row>
    <x:row r="104" spans="1:19" ht="12.75" customHeight="1" x14ac:dyDescent="0.25">
      <x:c r="D104" s="89" t="s">
        <x:v>73</x:v>
      </x:c>
      <x:c r="E104" s="371">
        <x:v>1242572.98</x:v>
      </x:c>
      <x:c r="F104" s="90">
        <x:v>343686.51</x:v>
      </x:c>
      <x:c r="G104" s="90">
        <x:v>192507.93</x:v>
      </x:c>
      <x:c r="H104" s="90">
        <x:v>97880.49</x:v>
      </x:c>
      <x:c r="I104" s="90">
        <x:v>-39549.620000000003</x:v>
      </x:c>
      <x:c r="J104" s="90">
        <x:v>-1348.98</x:v>
      </x:c>
      <x:c r="K104" s="90">
        <x:v>0</x:v>
      </x:c>
      <x:c r="L104" s="90">
        <x:v>-4691</x:v>
      </x:c>
      <x:c r="M104" s="90">
        <x:v>-3711.96</x:v>
      </x:c>
      <x:c r="N104" s="90">
        <x:v>-23147.87</x:v>
      </x:c>
      <x:c r="O104" s="90">
        <x:v>682556.78</x:v>
      </x:c>
      <x:c r="P104" s="90">
        <x:v>-1609.3</x:v>
      </x:c>
      <x:c r="Q104" s="90">
        <x:v>0</x:v>
      </x:c>
      <x:c r="R104">
        <x:v>0</x:v>
      </x:c>
    </x:row>
    <x:row r="105" spans="1:19" ht="12.75" customHeight="1" x14ac:dyDescent="0.25">
      <x:c r="C105" t="s">
        <x:v>87</x:v>
      </x:c>
      <x:c r="D105" s="89" t="s">
        <x:v>70</x:v>
      </x:c>
      <x:c r="E105" s="90">
        <x:v>1242572.98</x:v>
      </x:c>
      <x:c r="F105" s="90">
        <x:v>343686.51</x:v>
      </x:c>
      <x:c r="G105" s="90">
        <x:v>192507.93</x:v>
      </x:c>
      <x:c r="H105" s="90">
        <x:v>97880.49</x:v>
      </x:c>
      <x:c r="I105" s="90">
        <x:v>-39549.620000000003</x:v>
      </x:c>
      <x:c r="J105" s="90">
        <x:v>-1348.98</x:v>
      </x:c>
      <x:c r="K105" s="90">
        <x:v>0</x:v>
      </x:c>
      <x:c r="L105" s="90">
        <x:v>-4691</x:v>
      </x:c>
      <x:c r="M105" s="90">
        <x:v>-3711.96</x:v>
      </x:c>
      <x:c r="N105" s="90">
        <x:v>-23147.87</x:v>
      </x:c>
      <x:c r="O105" s="90">
        <x:v>682556.78</x:v>
      </x:c>
      <x:c r="P105" s="90">
        <x:v>-1609.3</x:v>
      </x:c>
      <x:c r="Q105" s="90">
        <x:v>0</x:v>
      </x:c>
      <x:c r="R105">
        <x:v>0</x:v>
      </x:c>
    </x:row>
    <x:row r="106" spans="1:19" s="94" customFormat="1" ht="12.75" customHeight="1" x14ac:dyDescent="0.25">
      <x:c r="B106" s="101" t="s">
        <x:v>119</x:v>
      </x:c>
      <x:c r="C106" s="101" t="s">
        <x:v>70</x:v>
      </x:c>
      <x:c r="E106" s="93">
        <x:v>-4936489.68</x:v>
      </x:c>
      <x:c r="F106" s="93">
        <x:v>713202.78</x:v>
      </x:c>
      <x:c r="G106" s="93">
        <x:v>319700.73</x:v>
      </x:c>
      <x:c r="H106" s="93">
        <x:v>179020.31</x:v>
      </x:c>
      <x:c r="I106" s="93">
        <x:v>-2488072.38</x:v>
      </x:c>
      <x:c r="J106" s="93">
        <x:v>-75451.789999999994</x:v>
      </x:c>
      <x:c r="K106" s="93">
        <x:v>0</x:v>
      </x:c>
      <x:c r="L106" s="93">
        <x:v>-633166.69999999995</x:v>
      </x:c>
      <x:c r="M106" s="93">
        <x:v>-749760.24</x:v>
      </x:c>
      <x:c r="N106" s="93">
        <x:v>-3577389.82</x:v>
      </x:c>
      <x:c r="O106" s="93">
        <x:v>1495096.29</x:v>
      </x:c>
      <x:c r="P106" s="93">
        <x:v>-119668.86</x:v>
      </x:c>
      <x:c r="Q106" s="93">
        <x:v>0</x:v>
      </x:c>
      <x:c r="R106" s="94">
        <x:v>0</x:v>
      </x:c>
    </x:row>
    <x:row r="107" spans="1:19" s="226" customFormat="1" ht="12.75" customHeight="1" x14ac:dyDescent="0.25">
      <x:c r="A107" s="98" t="s">
        <x:v>79</x:v>
      </x:c>
      <x:c r="B107" s="98" t="s">
        <x:v>70</x:v>
      </x:c>
      <x:c r="E107" s="100" t="n">
        <x:v>-35128653.25</x:v>
      </x:c>
      <x:c r="F107" s="100">
        <x:v>-497730.97</x:v>
      </x:c>
      <x:c r="G107" s="100">
        <x:v>-388800.25</x:v>
      </x:c>
      <x:c r="H107" s="100">
        <x:v>-221523.24</x:v>
      </x:c>
      <x:c r="I107" s="100">
        <x:v>-11944844.83</x:v>
      </x:c>
      <x:c r="J107" s="100">
        <x:v>-376952.12</x:v>
      </x:c>
      <x:c r="K107" s="100">
        <x:v>0</x:v>
      </x:c>
      <x:c r="L107" s="100">
        <x:v>-3207778.39</x:v>
      </x:c>
      <x:c r="M107" s="100">
        <x:v>-3475213.8</x:v>
      </x:c>
      <x:c r="N107" s="100">
        <x:v>-16691728.15</x:v>
      </x:c>
      <x:c r="O107" s="100">
        <x:v>-699883.66</x:v>
      </x:c>
      <x:c r="P107" s="100">
        <x:v>-608851.25</x:v>
      </x:c>
      <x:c r="Q107" s="100">
        <x:v>0</x:v>
      </x:c>
      <x:c r="R107" s="226">
        <x:v>0</x:v>
      </x:c>
    </x:row>
    <x:row r="108" spans="1:19" ht="12.75" customHeight="1" x14ac:dyDescent="0.25">
      <x:c r="A108" s="89" t="s">
        <x:v>70</x:v>
      </x:c>
      <x:c r="E108" s="90">
        <x:v>178539092.16</x:v>
      </x:c>
      <x:c r="F108" s="90">
        <x:v>16695394.35</x:v>
      </x:c>
      <x:c r="G108" s="90">
        <x:v>9370790.2699999996</x:v>
      </x:c>
      <x:c r="H108" s="90">
        <x:v>4453363.21</x:v>
      </x:c>
      <x:c r="I108" s="90">
        <x:v>35271236.380000003</x:v>
      </x:c>
      <x:c r="J108" s="90">
        <x:v>1074407.0900000001</x:v>
      </x:c>
      <x:c r="K108" s="90">
        <x:v>0</x:v>
      </x:c>
      <x:c r="L108" s="90">
        <x:v>9985291.5299999993</x:v>
      </x:c>
      <x:c r="M108" s="90">
        <x:v>10718089.76</x:v>
      </x:c>
      <x:c r="N108" s="90">
        <x:v>37634563.590000004</x:v>
      </x:c>
      <x:c r="O108" s="90">
        <x:v>52024111.619999997</x:v>
      </x:c>
      <x:c r="P108" s="90">
        <x:v>1311662.75</x:v>
      </x:c>
      <x:c r="Q108" s="90">
        <x:v>181.61</x:v>
      </x:c>
      <x:c r="R108">
        <x:v>0</x:v>
      </x:c>
    </x:row>
    <x:row r="109" spans="1:19" ht="12.75" customHeight="1" x14ac:dyDescent="0.25">
      <x:c r="A109" s="89"/>
      <x:c r="E109" s="90"/>
      <x:c r="F109" s="90"/>
      <x:c r="G109" s="90"/>
      <x:c r="H109" s="90"/>
      <x:c r="I109" s="90"/>
      <x:c r="J109" s="90"/>
      <x:c r="K109" s="90"/>
      <x:c r="L109" s="90"/>
      <x:c r="M109" s="90"/>
      <x:c r="N109" s="90"/>
      <x:c r="O109" s="90"/>
      <x:c r="P109" s="90"/>
      <x:c r="Q109" s="90"/>
      <x:c r="R109" s="90"/>
      <x:c r="S109" s="90"/>
    </x:row>
    <x:row r="110" spans="1:19" ht="12.75" hidden="1" customHeight="1" x14ac:dyDescent="0.25">
      <x:c r="A110" s="89"/>
      <x:c r="E110" s="90"/>
      <x:c r="F110" s="90"/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19" ht="12.75" hidden="1" customHeight="1" x14ac:dyDescent="0.25">
      <x:c r="A111" s="89"/>
      <x:c r="E111" s="90"/>
      <x:c r="F111" s="90"/>
      <x:c r="G111" s="90"/>
      <x:c r="H111" s="90"/>
      <x:c r="I111" s="90"/>
      <x:c r="J111" s="90"/>
      <x:c r="K111" s="90"/>
      <x:c r="L111" s="90"/>
      <x:c r="M111" s="90"/>
      <x:c r="N111" s="90"/>
      <x:c r="O111" s="90"/>
      <x:c r="P111" s="90"/>
      <x:c r="Q111" s="90"/>
      <x:c r="R111" s="90"/>
      <x:c r="S111" s="90"/>
    </x:row>
    <x:row r="112" spans="1:19" ht="12.75" hidden="1" customHeight="1" x14ac:dyDescent="0.25">
      <x:c r="A112" s="89"/>
      <x:c r="E112" s="90"/>
      <x:c r="F112" s="90"/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  <x:c r="S112" s="90"/>
    </x:row>
    <x:row r="113" spans="1:19" ht="12.75" hidden="1" customHeight="1" x14ac:dyDescent="0.25">
      <x:c r="A113" s="89"/>
      <x:c r="E113" s="90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19" ht="12.75" hidden="1" customHeight="1" x14ac:dyDescent="0.25">
      <x:c r="A114" s="89"/>
      <x:c r="E114" s="90"/>
      <x:c r="F114" s="90"/>
      <x:c r="G114" s="90"/>
      <x:c r="H114" s="90"/>
      <x:c r="I114" s="90"/>
      <x:c r="J114" s="90"/>
      <x:c r="K114" s="90"/>
      <x:c r="L114" s="90"/>
      <x:c r="M114" s="90"/>
      <x:c r="N114" s="90"/>
      <x:c r="O114" s="90"/>
      <x:c r="P114" s="90"/>
      <x:c r="Q114" s="90"/>
      <x:c r="R114" s="90"/>
      <x:c r="S114" s="90"/>
    </x:row>
    <x:row r="115" spans="1:19" ht="12.75" hidden="1" customHeight="1" x14ac:dyDescent="0.25">
      <x:c r="A115" s="89"/>
      <x:c r="E115" s="90"/>
      <x:c r="F115" s="90"/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19" ht="12.75" hidden="1" customHeight="1" x14ac:dyDescent="0.25">
      <x:c r="A116" s="89"/>
      <x:c r="E116" s="90"/>
      <x:c r="F116" s="90"/>
      <x:c r="G116" s="90"/>
      <x:c r="H116" s="90"/>
      <x:c r="I116" s="90"/>
      <x:c r="J116" s="90"/>
      <x:c r="K116" s="90"/>
      <x:c r="L116" s="90"/>
      <x:c r="M116" s="90"/>
      <x:c r="N116" s="90"/>
      <x:c r="O116" s="90"/>
      <x:c r="P116" s="90"/>
      <x:c r="Q116" s="90"/>
      <x:c r="R116" s="90"/>
      <x:c r="S116" s="90"/>
    </x:row>
    <x:row r="117" spans="1:19" ht="12.75" hidden="1" customHeight="1" x14ac:dyDescent="0.25">
      <x:c r="A117" s="89"/>
      <x:c r="E117" s="90"/>
      <x:c r="F117" s="90"/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  <x:c r="S117" s="90"/>
    </x:row>
    <x:row r="118" spans="1:19" ht="12.75" hidden="1" customHeight="1" x14ac:dyDescent="0.25">
      <x:c r="A118" s="89"/>
      <x:c r="E118" s="90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  <x:c r="S118" s="90"/>
    </x:row>
    <x:row r="119" spans="1:19" ht="12.75" hidden="1" customHeight="1" x14ac:dyDescent="0.25">
      <x:c r="A119" s="89"/>
      <x:c r="E119" s="90"/>
      <x:c r="F119" s="90"/>
      <x:c r="G119" s="90"/>
      <x:c r="H119" s="90"/>
      <x:c r="I119" s="90"/>
      <x:c r="J119" s="90"/>
      <x:c r="K119" s="90"/>
      <x:c r="L119" s="90"/>
      <x:c r="M119" s="90"/>
      <x:c r="N119" s="90"/>
      <x:c r="O119" s="90"/>
      <x:c r="P119" s="90"/>
      <x:c r="Q119" s="90"/>
      <x:c r="R119" s="90"/>
      <x:c r="S119" s="90"/>
    </x:row>
    <x:row r="120" spans="1:19" ht="12.75" hidden="1" customHeight="1" x14ac:dyDescent="0.25">
      <x:c r="A120" s="89"/>
      <x:c r="E120" s="90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  <x:c r="S120" s="90"/>
    </x:row>
    <x:row r="121" spans="1:19" ht="12.75" hidden="1" customHeight="1" x14ac:dyDescent="0.25">
      <x:c r="A121" s="89"/>
      <x:c r="E121" s="90"/>
      <x:c r="F121" s="90"/>
      <x:c r="G121" s="90"/>
      <x:c r="H121" s="90"/>
      <x:c r="I121" s="90"/>
      <x:c r="J121" s="90"/>
      <x:c r="K121" s="90"/>
      <x:c r="L121" s="90"/>
      <x:c r="M121" s="90"/>
      <x:c r="N121" s="90"/>
      <x:c r="O121" s="90"/>
      <x:c r="P121" s="90"/>
      <x:c r="Q121" s="90"/>
      <x:c r="R121" s="90"/>
      <x:c r="S121" s="90"/>
    </x:row>
    <x:row r="122" spans="1:19" ht="12.75" hidden="1" customHeight="1" x14ac:dyDescent="0.25">
      <x:c r="A122" s="89"/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  <x:c r="S122" s="90"/>
    </x:row>
    <x:row r="123" spans="1:19" ht="12.75" hidden="1" customHeight="1" x14ac:dyDescent="0.25">
      <x:c r="A123" s="89"/>
      <x:c r="E123" s="90"/>
      <x:c r="F123" s="90"/>
      <x:c r="G123" s="90"/>
      <x:c r="H123" s="90"/>
      <x:c r="I123" s="90"/>
      <x:c r="J123" s="90"/>
      <x:c r="K123" s="90"/>
      <x:c r="L123" s="90"/>
      <x:c r="M123" s="90"/>
      <x:c r="N123" s="90"/>
      <x:c r="O123" s="90"/>
      <x:c r="P123" s="90"/>
      <x:c r="Q123" s="90"/>
      <x:c r="R123" s="90"/>
      <x:c r="S123" s="90"/>
    </x:row>
    <x:row r="124" spans="1:19" ht="12.75" hidden="1" customHeight="1" x14ac:dyDescent="0.25">
      <x:c r="A124" s="89"/>
      <x:c r="E124" s="90"/>
      <x:c r="F124" s="90"/>
      <x:c r="G124" s="90"/>
      <x:c r="H124" s="90"/>
      <x:c r="I124" s="90"/>
      <x:c r="J124" s="90"/>
      <x:c r="K124" s="90"/>
      <x:c r="L124" s="90"/>
      <x:c r="M124" s="90"/>
      <x:c r="N124" s="90"/>
      <x:c r="O124" s="90"/>
      <x:c r="P124" s="90"/>
      <x:c r="Q124" s="90"/>
      <x:c r="R124" s="90"/>
      <x:c r="S124" s="90"/>
    </x:row>
    <x:row r="125" spans="1:19" ht="12.75" hidden="1" customHeight="1" x14ac:dyDescent="0.25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5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5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5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5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5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5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5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5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5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5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5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5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customHeight="1" x14ac:dyDescent="0.25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customHeight="1" x14ac:dyDescent="0.25">
      <x:c r="B139" s="774" t="s">
        <x:v>2</x:v>
      </x:c>
      <x:c r="C139" s="771" t="s">
        <x:v>132</x:v>
      </x:c>
      <x:c r="D139" s="98" t="s">
        <x:v>70</x:v>
      </x:c>
      <x:c r="E139" s="100">
        <x:f>E89+E107-K89</x:f>
        <x:v>178539092.16</x:v>
      </x:c>
      <x:c r="F139" s="100">
        <x:f t="shared" ref="F139:R139" si="3">F89</x:f>
        <x:v>17193125.32</x:v>
      </x:c>
      <x:c r="G139" s="100">
        <x:f t="shared" si="3"/>
        <x:v>9759590.5199999996</x:v>
      </x:c>
      <x:c r="H139" s="100">
        <x:f t="shared" si="3"/>
        <x:v>4674886.45</x:v>
      </x:c>
      <x:c r="I139" s="100">
        <x:f t="shared" si="3"/>
        <x:v>47216081.210000001</x:v>
      </x:c>
      <x:c r="J139" s="100">
        <x:f t="shared" si="3"/>
        <x:v>1451359.21</x:v>
      </x:c>
      <x:c r="K139" s="100">
        <x:f t="shared" si="3"/>
        <x:v>0</x:v>
      </x:c>
      <x:c r="L139" s="100">
        <x:f t="shared" si="3"/>
        <x:v>13193069.92</x:v>
      </x:c>
      <x:c r="M139" s="100">
        <x:f t="shared" si="3"/>
        <x:v>14193303.560000001</x:v>
      </x:c>
      <x:c r="N139" s="100">
        <x:f t="shared" si="3"/>
        <x:v>54326291.740000002</x:v>
      </x:c>
      <x:c r="O139" s="100">
        <x:f t="shared" si="3"/>
        <x:v>52723995.280000001</x:v>
      </x:c>
      <x:c r="P139" s="100">
        <x:f t="shared" si="3"/>
        <x:v>1920514</x:v>
      </x:c>
      <x:c r="Q139" s="100">
        <x:f t="shared" si="3"/>
        <x:v>181.61</x:v>
      </x:c>
      <x:c r="R139" s="100">
        <x:f t="shared" si="3"/>
        <x:v>0</x:v>
      </x:c>
    </x:row>
    <x:row r="140" spans="1:19" ht="12.75" customHeight="1" x14ac:dyDescent="0.25">
      <x:c r="B140" s="774"/>
      <x:c r="C140" s="771"/>
      <x:c r="D140" s="98" t="s">
        <x:v>73</x:v>
      </x:c>
      <x:c r="E140" s="100">
        <x:f>E107</x:f>
        <x:v>-38113306.659999996</x:v>
      </x:c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</x:row>
    <x:row r="141" spans="1:19" ht="12.75" customHeight="1" x14ac:dyDescent="0.3">
      <x:c r="A141" s="89"/>
      <x:c r="B141" s="97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</x:row>
    <x:row r="142" spans="1:19" ht="12.75" customHeight="1" x14ac:dyDescent="0.25">
      <x:c r="B142" s="774" t="s">
        <x:v>160</x:v>
      </x:c>
      <x:c r="C142" s="771" t="s">
        <x:v>132</x:v>
      </x:c>
      <x:c r="D142" s="223" t="s">
        <x:v>70</x:v>
      </x:c>
      <x:c r="E142" s="225">
        <x:f>E99+E78-K78</x:f>
        <x:v>35414329.289999992</x:v>
      </x:c>
      <x:c r="F142" s="225">
        <x:f t="shared" ref="F142:R142" si="4">F78</x:f>
        <x:v>3216777.59</x:v>
      </x:c>
      <x:c r="G142" s="225">
        <x:f t="shared" si="4"/>
        <x:v>1799399.45</x:v>
      </x:c>
      <x:c r="H142" s="225">
        <x:f t="shared" si="4"/>
        <x:v>773125.81</x:v>
      </x:c>
      <x:c r="I142" s="225">
        <x:f t="shared" si="4"/>
        <x:v>14315915.6</x:v>
      </x:c>
      <x:c r="J142" s="225">
        <x:f t="shared" si="4"/>
        <x:v>406510.66</x:v>
      </x:c>
      <x:c r="K142" s="225">
        <x:f t="shared" si="4"/>
        <x:v>0</x:v>
      </x:c>
      <x:c r="L142" s="225">
        <x:f t="shared" si="4"/>
        <x:v>3668619.83</x:v>
      </x:c>
      <x:c r="M142" s="225">
        <x:f t="shared" si="4"/>
        <x:v>4175302.62</x:v>
      </x:c>
      <x:c r="N142" s="225">
        <x:f t="shared" si="4"/>
        <x:v>14329479.369999999</x:v>
      </x:c>
      <x:c r="O142" s="225">
        <x:f t="shared" si="4"/>
        <x:v>9282610.9499999993</x:v>
      </x:c>
      <x:c r="P142" s="225">
        <x:f t="shared" si="4"/>
        <x:v>502138.48</x:v>
      </x:c>
      <x:c r="Q142" s="225">
        <x:f t="shared" si="4"/>
        <x:v>-28.95</x:v>
      </x:c>
      <x:c r="R142" s="225">
        <x:f t="shared" si="4"/>
        <x:v>0</x:v>
      </x:c>
    </x:row>
    <x:row r="143" spans="1:19" ht="12.75" customHeight="1" x14ac:dyDescent="0.25">
      <x:c r="B143" s="774"/>
      <x:c r="C143" s="771"/>
      <x:c r="D143" s="223" t="s">
        <x:v>73</x:v>
      </x:c>
      <x:c r="E143" s="225">
        <x:f>E99</x:f>
        <x:v>-17055522.120000001</x:v>
      </x:c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</x:row>
    <x:row r="144" spans="1:19" ht="12.65" customHeight="1" x14ac:dyDescent="0.3">
      <x:c r="A144" s="89"/>
      <x:c r="B144" s="97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</x:row>
    <x:row r="145" spans="1:18" ht="12.75" customHeight="1" x14ac:dyDescent="0.25">
      <x:c r="B145" s="774" t="s">
        <x:v>155</x:v>
      </x:c>
      <x:c r="C145" s="771" t="s">
        <x:v>132</x:v>
      </x:c>
      <x:c r="D145" s="221" t="s">
        <x:v>70</x:v>
      </x:c>
      <x:c r="E145" s="222">
        <x:f>E92+E66-K66</x:f>
        <x:v>55676152.700000003</x:v>
      </x:c>
      <x:c r="F145" s="222">
        <x:f t="shared" ref="F145:R145" si="5">F66</x:f>
        <x:v>4128221.21</x:v>
      </x:c>
      <x:c r="G145" s="222">
        <x:f t="shared" si="5"/>
        <x:v>2450514.75</x:v>
      </x:c>
      <x:c r="H145" s="222">
        <x:f t="shared" si="5"/>
        <x:v>991071.1</x:v>
      </x:c>
      <x:c r="I145" s="222">
        <x:f t="shared" si="5"/>
        <x:v>18977352.940000001</x:v>
      </x:c>
      <x:c r="J145" s="222">
        <x:f t="shared" si="5"/>
        <x:v>633591.15</x:v>
      </x:c>
      <x:c r="K145" s="222">
        <x:f t="shared" si="5"/>
        <x:v>0</x:v>
      </x:c>
      <x:c r="L145" s="222">
        <x:f t="shared" si="5"/>
        <x:v>5929589.2400000002</x:v>
      </x:c>
      <x:c r="M145" s="222">
        <x:f t="shared" si="5"/>
        <x:v>5758615.9699999997</x:v>
      </x:c>
      <x:c r="N145" s="222">
        <x:f t="shared" si="5"/>
        <x:v>23292145.649999999</x:v>
      </x:c>
      <x:c r="O145" s="222">
        <x:f t="shared" si="5"/>
        <x:v>8749581.6400000006</x:v>
      </x:c>
      <x:c r="P145" s="222">
        <x:f t="shared" si="5"/>
        <x:v>886619.66</x:v>
      </x:c>
      <x:c r="Q145" s="222">
        <x:f t="shared" si="5"/>
        <x:v>144.25</x:v>
      </x:c>
      <x:c r="R145" s="222">
        <x:f t="shared" si="5"/>
        <x:v>0</x:v>
      </x:c>
    </x:row>
    <x:row r="146" spans="1:18" ht="12.75" customHeight="1" x14ac:dyDescent="0.25">
      <x:c r="B146" s="774"/>
      <x:c r="C146" s="771"/>
      <x:c r="D146" s="221" t="s">
        <x:v>73</x:v>
      </x:c>
      <x:c r="E146" s="222">
        <x:f>E92</x:f>
        <x:v>-16121294.859999999</x:v>
      </x:c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</x:row>
    <x:row r="147" spans="1:18" ht="12.75" customHeight="1" x14ac:dyDescent="0.3">
      <x:c r="A147" s="89"/>
      <x:c r="B147" s="97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</x:row>
    <x:row r="148" spans="1:18" ht="12.75" customHeight="1" x14ac:dyDescent="0.25">
      <x:c r="B148" s="772" t="s">
        <x:v>328</x:v>
      </x:c>
      <x:c r="C148" s="771" t="s">
        <x:v>132</x:v>
      </x:c>
      <x:c r="D148" s="373" t="s">
        <x:v>70</x:v>
      </x:c>
      <x:c r="E148" s="374">
        <x:v>0</x:v>
      </x:c>
      <x:c r="F148" s="374">
        <x:v>0</x:v>
      </x:c>
      <x:c r="G148" s="374">
        <x:v>0</x:v>
      </x:c>
      <x:c r="H148" s="374">
        <x:v>0</x:v>
      </x:c>
      <x:c r="I148" s="374">
        <x:v>0</x:v>
      </x:c>
      <x:c r="J148" s="374">
        <x:v>0</x:v>
      </x:c>
      <x:c r="K148" s="374">
        <x:v>0</x:v>
      </x:c>
      <x:c r="L148" s="374">
        <x:v>0</x:v>
      </x:c>
      <x:c r="M148" s="374">
        <x:v>0</x:v>
      </x:c>
      <x:c r="N148" s="374">
        <x:v>0</x:v>
      </x:c>
      <x:c r="O148" s="374">
        <x:v>0</x:v>
      </x:c>
      <x:c r="P148" s="374">
        <x:v>0</x:v>
      </x:c>
      <x:c r="Q148" s="374">
        <x:v>0</x:v>
      </x:c>
      <x:c r="R148" s="374">
        <x:v>0</x:v>
      </x:c>
    </x:row>
    <x:row r="149" spans="1:18" ht="12.75" customHeight="1" x14ac:dyDescent="0.25">
      <x:c r="B149" s="772"/>
      <x:c r="C149" s="771"/>
      <x:c r="D149" s="373" t="s">
        <x:v>73</x:v>
      </x:c>
      <x:c r="E149" s="374">
        <x:v>0</x:v>
      </x:c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</x:row>
    <x:row r="150" spans="1:18" ht="12.75" customHeight="1" x14ac:dyDescent="0.3">
      <x:c r="A150" s="89"/>
      <x:c r="B150" s="97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</x:row>
    <x:row r="151" spans="1:18" ht="12.75" customHeight="1" x14ac:dyDescent="0.25">
      <x:c r="B151" s="774" t="s">
        <x:v>119</x:v>
      </x:c>
      <x:c r="C151" s="771" t="s">
        <x:v>132</x:v>
      </x:c>
      <x:c r="D151" s="101" t="s">
        <x:v>70</x:v>
      </x:c>
      <x:c r="E151" s="93">
        <x:f>E88+E106-K88</x:f>
        <x:v>87448610.169999987</x:v>
      </x:c>
      <x:c r="F151" s="93">
        <x:f t="shared" ref="F151:R151" si="6">F88</x:f>
        <x:v>9848126.5199999996</x:v>
      </x:c>
      <x:c r="G151" s="93">
        <x:f t="shared" si="6"/>
        <x:v>5509676.3200000003</x:v>
      </x:c>
      <x:c r="H151" s="93">
        <x:f t="shared" si="6"/>
        <x:v>2910689.54</x:v>
      </x:c>
      <x:c r="I151" s="93">
        <x:f t="shared" si="6"/>
        <x:v>13922812.67</x:v>
      </x:c>
      <x:c r="J151" s="93">
        <x:f t="shared" si="6"/>
        <x:v>411257.4</x:v>
      </x:c>
      <x:c r="K151" s="93">
        <x:f t="shared" si="6"/>
        <x:v>0</x:v>
      </x:c>
      <x:c r="L151" s="93">
        <x:f t="shared" si="6"/>
        <x:v>3594860.85</x:v>
      </x:c>
      <x:c r="M151" s="93">
        <x:f t="shared" si="6"/>
        <x:v>4259384.97</x:v>
      </x:c>
      <x:c r="N151" s="93">
        <x:f t="shared" si="6"/>
        <x:v>16704666.720000001</x:v>
      </x:c>
      <x:c r="O151" s="93">
        <x:f t="shared" si="6"/>
        <x:v>34691802.689999998</x:v>
      </x:c>
      <x:c r="P151" s="93">
        <x:f t="shared" si="6"/>
        <x:v>531755.86</x:v>
      </x:c>
      <x:c r="Q151" s="93">
        <x:f t="shared" si="6"/>
        <x:v>66.31</x:v>
      </x:c>
      <x:c r="R151" s="93">
        <x:f t="shared" si="6"/>
        <x:v>0</x:v>
      </x:c>
    </x:row>
    <x:row r="152" spans="1:18" ht="12.75" customHeight="1" x14ac:dyDescent="0.25">
      <x:c r="B152" s="774"/>
      <x:c r="C152" s="771"/>
      <x:c r="D152" s="101" t="s">
        <x:v>73</x:v>
      </x:c>
      <x:c r="E152" s="93">
        <x:f>E106</x:f>
        <x:v>-4936489.68</x:v>
      </x:c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</x:row>
    <x:row r="153" spans="1:18" ht="12.75" customHeight="1" x14ac:dyDescent="0.3">
      <x:c r="A153" s="89"/>
      <x:c r="B153" s="97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</x:row>
    <x:row r="154" spans="1:18" ht="12.75" customHeight="1" x14ac:dyDescent="0.25">
      <x:c r="B154" s="773" t="s">
        <x:v>161</x:v>
      </x:c>
      <x:c r="C154" s="771" t="s">
        <x:v>132</x:v>
      </x:c>
      <x:c r="D154" s="231" t="s">
        <x:v>70</x:v>
      </x:c>
      <x:c r="E154" s="232">
        <x:v>0</x:v>
      </x:c>
      <x:c r="F154" s="232">
        <x:v>0</x:v>
      </x:c>
      <x:c r="G154" s="232">
        <x:v>0</x:v>
      </x:c>
      <x:c r="H154" s="232">
        <x:v>0</x:v>
      </x:c>
      <x:c r="I154" s="232">
        <x:v>0</x:v>
      </x:c>
      <x:c r="J154" s="232">
        <x:v>0</x:v>
      </x:c>
      <x:c r="K154" s="232">
        <x:v>0</x:v>
      </x:c>
      <x:c r="L154" s="232">
        <x:v>0</x:v>
      </x:c>
      <x:c r="M154" s="232">
        <x:v>0</x:v>
      </x:c>
      <x:c r="N154" s="232">
        <x:v>0</x:v>
      </x:c>
      <x:c r="O154" s="232">
        <x:v>0</x:v>
      </x:c>
      <x:c r="P154" s="232">
        <x:v>0</x:v>
      </x:c>
      <x:c r="Q154" s="232">
        <x:v>0</x:v>
      </x:c>
      <x:c r="R154" s="232">
        <x:v>0</x:v>
      </x:c>
    </x:row>
    <x:row r="155" spans="1:18" ht="12.75" customHeight="1" x14ac:dyDescent="0.25">
      <x:c r="B155" s="773"/>
      <x:c r="C155" s="771"/>
      <x:c r="D155" s="231" t="s">
        <x:v>73</x:v>
      </x:c>
      <x:c r="E155" s="232">
        <x:v>0</x:v>
      </x:c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</x:row>
    <x:row r="156" spans="1:18" s="238" customFormat="1" x14ac:dyDescent="0.25"/>
    <x:row r="157" spans="1:18" ht="13" x14ac:dyDescent="0.3">
      <x:c r="B157" s="97" t="s">
        <x:v>76</x:v>
      </x:c>
    </x:row>
    <x:row r="158" spans="1:18" ht="12.65" customHeight="1" x14ac:dyDescent="0.25">
      <x:c r="E158" s="89" t="s">
        <x:v>70</x:v>
      </x:c>
      <x:c r="F158" s="89" t="s">
        <x:v>64</x:v>
      </x:c>
      <x:c r="G158" s="89" t="s">
        <x:v>65</x:v>
      </x:c>
      <x:c r="H158" s="219" t="s">
        <x:v>164</x:v>
      </x:c>
      <x:c r="I158" s="89" t="s">
        <x:v>69</x:v>
      </x:c>
      <x:c r="J158" s="89" t="s">
        <x:v>68</x:v>
      </x:c>
      <x:c r="K158" s="89" t="s">
        <x:v>83</x:v>
      </x:c>
      <x:c r="L158" s="89" t="s">
        <x:v>66</x:v>
      </x:c>
      <x:c r="M158" s="89" t="s">
        <x:v>63</x:v>
      </x:c>
      <x:c r="N158" s="89" t="s">
        <x:v>61</x:v>
      </x:c>
      <x:c r="O158" s="89" t="s">
        <x:v>62</x:v>
      </x:c>
      <x:c r="P158" s="89" t="s">
        <x:v>67</x:v>
      </x:c>
      <x:c r="Q158" s="89" t="s">
        <x:v>84</x:v>
      </x:c>
      <x:c r="R158" s="384" t="s">
        <x:v>227</x:v>
      </x:c>
    </x:row>
    <x:row r="159" spans="1:18" ht="12.75" customHeight="1" x14ac:dyDescent="0.25">
      <x:c r="D159" s="89" t="s">
        <x:v>72</x:v>
      </x:c>
      <x:c r="E159" s="371">
        <x:v>73523.100000000006</x:v>
      </x:c>
      <x:c r="F159" s="90">
        <x:v>9264.07</x:v>
      </x:c>
      <x:c r="G159" s="90">
        <x:v>5230.51</x:v>
      </x:c>
      <x:c r="H159" s="90">
        <x:v>2745.35</x:v>
      </x:c>
      <x:c r="I159" s="90">
        <x:v>13953.55</x:v>
      </x:c>
      <x:c r="J159" s="90">
        <x:v>241.72</x:v>
      </x:c>
      <x:c r="K159" s="90">
        <x:v>0</x:v>
      </x:c>
      <x:c r="L159" s="90">
        <x:v>2120.39</x:v>
      </x:c>
      <x:c r="M159" s="90">
        <x:v>3083.67</x:v>
      </x:c>
      <x:c r="N159" s="90">
        <x:v>14598.9</x:v>
      </x:c>
      <x:c r="O159" s="90">
        <x:v>21890.54</x:v>
      </x:c>
      <x:c r="P159" s="90">
        <x:v>394.4</x:v>
      </x:c>
      <x:c r="Q159" s="90">
        <x:v>0</x:v>
      </x:c>
      <x:c r="R159">
        <x:v>0</x:v>
      </x:c>
    </x:row>
    <x:row r="160" spans="1:18" ht="12.75" customHeight="1" x14ac:dyDescent="0.25">
      <x:c r="C160" t="s">
        <x:v>335</x:v>
      </x:c>
      <x:c r="D160" s="89" t="s">
        <x:v>70</x:v>
      </x:c>
      <x:c r="E160" s="371">
        <x:v>73523.100000000006</x:v>
      </x:c>
      <x:c r="F160" s="90">
        <x:v>9264.07</x:v>
      </x:c>
      <x:c r="G160" s="90">
        <x:v>5230.51</x:v>
      </x:c>
      <x:c r="H160" s="90">
        <x:v>2745.35</x:v>
      </x:c>
      <x:c r="I160" s="90">
        <x:v>13953.55</x:v>
      </x:c>
      <x:c r="J160" s="90">
        <x:v>241.72</x:v>
      </x:c>
      <x:c r="K160" s="90">
        <x:v>0</x:v>
      </x:c>
      <x:c r="L160" s="90">
        <x:v>2120.39</x:v>
      </x:c>
      <x:c r="M160" s="90">
        <x:v>3083.67</x:v>
      </x:c>
      <x:c r="N160" s="90">
        <x:v>14598.9</x:v>
      </x:c>
      <x:c r="O160" s="90">
        <x:v>21890.54</x:v>
      </x:c>
      <x:c r="P160" s="90">
        <x:v>394.4</x:v>
      </x:c>
      <x:c r="Q160" s="90">
        <x:v>0</x:v>
      </x:c>
      <x:c r="R160">
        <x:v>0</x:v>
      </x:c>
    </x:row>
    <x:row r="161" spans="1:18" s="740" customFormat="1" ht="12.75" customHeight="1" x14ac:dyDescent="0.25">
      <x:c r="B161" s="740" t="s">
        <x:v>85</x:v>
      </x:c>
      <x:c r="C161" s="740" t="s">
        <x:v>70</x:v>
      </x:c>
      <x:c r="D161" s="231"/>
      <x:c r="E161" s="741">
        <x:v>73523.100000000006</x:v>
      </x:c>
      <x:c r="F161" s="232">
        <x:v>9264.07</x:v>
      </x:c>
      <x:c r="G161" s="232">
        <x:v>5230.51</x:v>
      </x:c>
      <x:c r="H161" s="232">
        <x:v>2745.35</x:v>
      </x:c>
      <x:c r="I161" s="232">
        <x:v>13953.55</x:v>
      </x:c>
      <x:c r="J161" s="232">
        <x:v>241.72</x:v>
      </x:c>
      <x:c r="K161" s="232">
        <x:v>0</x:v>
      </x:c>
      <x:c r="L161" s="232">
        <x:v>2120.39</x:v>
      </x:c>
      <x:c r="M161" s="232">
        <x:v>3083.67</x:v>
      </x:c>
      <x:c r="N161" s="232">
        <x:v>14598.9</x:v>
      </x:c>
      <x:c r="O161" s="232">
        <x:v>21890.54</x:v>
      </x:c>
      <x:c r="P161" s="232">
        <x:v>394.4</x:v>
      </x:c>
      <x:c r="Q161" s="232">
        <x:v>0</x:v>
      </x:c>
      <x:c r="R161" s="740">
        <x:v>0</x:v>
      </x:c>
    </x:row>
    <x:row r="162" spans="1:18" ht="12.65" customHeight="1" x14ac:dyDescent="0.25">
      <x:c r="D162" t="s">
        <x:v>72</x:v>
      </x:c>
      <x:c r="E162">
        <x:v>10207291.73</x:v>
      </x:c>
      <x:c r="F162">
        <x:v>691727.66</x:v>
      </x:c>
      <x:c r="G162">
        <x:v>397192.92</x:v>
      </x:c>
      <x:c r="H162">
        <x:v>197980.04</x:v>
      </x:c>
      <x:c r="I162">
        <x:v>2063996.04</x:v>
      </x:c>
      <x:c r="J162">
        <x:v>75420.05</x:v>
      </x:c>
      <x:c r="K162">
        <x:v>22742.37</x:v>
      </x:c>
      <x:c r="L162">
        <x:v>669158.80000000005</x:v>
      </x:c>
      <x:c r="M162">
        <x:v>682630.8</x:v>
      </x:c>
      <x:c r="N162">
        <x:v>3576274.42</x:v>
      </x:c>
      <x:c r="O162">
        <x:v>1725169.95</x:v>
      </x:c>
      <x:c r="P162">
        <x:v>104984.24</x:v>
      </x:c>
      <x:c r="Q162">
        <x:v>14.44</x:v>
      </x:c>
      <x:c r="R162">
        <x:v>0</x:v>
      </x:c>
    </x:row>
    <x:row r="163" spans="1:18" ht="12.75" customHeight="1" x14ac:dyDescent="0.25">
      <x:c r="D163" t="s">
        <x:v>81</x:v>
      </x:c>
      <x:c r="E163">
        <x:v>10777.75</x:v>
      </x:c>
      <x:c r="F163">
        <x:v>739.4</x:v>
      </x:c>
      <x:c r="G163">
        <x:v>426.95</x:v>
      </x:c>
      <x:c r="H163">
        <x:v>220.46</x:v>
      </x:c>
      <x:c r="I163">
        <x:v>2409.2399999999998</x:v>
      </x:c>
      <x:c r="J163">
        <x:v>88.57</x:v>
      </x:c>
      <x:c r="K163">
        <x:v>0</x:v>
      </x:c>
      <x:c r="L163">
        <x:v>743.28</x:v>
      </x:c>
      <x:c r="M163">
        <x:v>730.41</x:v>
      </x:c>
      <x:c r="N163">
        <x:v>3555.68</x:v>
      </x:c>
      <x:c r="O163">
        <x:v>1718.33</x:v>
      </x:c>
      <x:c r="P163">
        <x:v>145.30000000000001</x:v>
      </x:c>
      <x:c r="Q163">
        <x:v>0.13</x:v>
      </x:c>
      <x:c r="R163">
        <x:v>0</x:v>
      </x:c>
    </x:row>
    <x:row r="164" spans="1:18" ht="12.75" customHeight="1" x14ac:dyDescent="0.25">
      <x:c r="C164" t="s">
        <x:v>156</x:v>
      </x:c>
      <x:c r="D164" s="89" t="s">
        <x:v>70</x:v>
      </x:c>
      <x:c r="E164" s="371">
        <x:v>10218069.48</x:v>
      </x:c>
      <x:c r="F164" s="90">
        <x:v>692467.06</x:v>
      </x:c>
      <x:c r="G164" s="90">
        <x:v>397619.87</x:v>
      </x:c>
      <x:c r="H164" s="90">
        <x:v>198200.5</x:v>
      </x:c>
      <x:c r="I164" s="90">
        <x:v>2066405.28</x:v>
      </x:c>
      <x:c r="J164" s="90">
        <x:v>75508.62</x:v>
      </x:c>
      <x:c r="K164" s="90">
        <x:v>22742.37</x:v>
      </x:c>
      <x:c r="L164" s="90">
        <x:v>669902.07999999996</x:v>
      </x:c>
      <x:c r="M164" s="90">
        <x:v>683361.21</x:v>
      </x:c>
      <x:c r="N164" s="90">
        <x:v>3579830.1</x:v>
      </x:c>
      <x:c r="O164" s="90">
        <x:v>1726888.28</x:v>
      </x:c>
      <x:c r="P164" s="90">
        <x:v>105129.54</x:v>
      </x:c>
      <x:c r="Q164" s="90">
        <x:v>14.57</x:v>
      </x:c>
      <x:c r="R164">
        <x:v>0</x:v>
      </x:c>
    </x:row>
    <x:row r="165" spans="1:18" s="657" customFormat="1" ht="12.75" customHeight="1" x14ac:dyDescent="0.25">
      <x:c r="B165" s="657" t="s">
        <x:v>155</x:v>
      </x:c>
      <x:c r="C165" s="657" t="s">
        <x:v>70</x:v>
      </x:c>
      <x:c r="E165" s="742">
        <x:v>10218069.48</x:v>
      </x:c>
      <x:c r="F165" s="657">
        <x:v>692467.06</x:v>
      </x:c>
      <x:c r="G165" s="657">
        <x:v>397619.87</x:v>
      </x:c>
      <x:c r="H165" s="657">
        <x:v>198200.5</x:v>
      </x:c>
      <x:c r="I165" s="657">
        <x:v>2066405.28</x:v>
      </x:c>
      <x:c r="J165" s="657">
        <x:v>75508.62</x:v>
      </x:c>
      <x:c r="K165" s="657">
        <x:v>22742.37</x:v>
      </x:c>
      <x:c r="L165" s="657">
        <x:v>669902.07999999996</x:v>
      </x:c>
      <x:c r="M165" s="657">
        <x:v>683361.21</x:v>
      </x:c>
      <x:c r="N165" s="657">
        <x:v>3579830.1</x:v>
      </x:c>
      <x:c r="O165" s="657">
        <x:v>1726888.28</x:v>
      </x:c>
      <x:c r="P165" s="657">
        <x:v>105129.54</x:v>
      </x:c>
      <x:c r="Q165" s="657">
        <x:v>14.57</x:v>
      </x:c>
      <x:c r="R165" s="657">
        <x:v>0</x:v>
      </x:c>
    </x:row>
    <x:row r="166" spans="1:18" ht="12.75" customHeight="1" x14ac:dyDescent="0.25">
      <x:c r="D166" t="s">
        <x:v>72</x:v>
      </x:c>
      <x:c r="E166" s="142">
        <x:v>1272712.9099999999</x:v>
      </x:c>
      <x:c r="F166">
        <x:v>67036.89</x:v>
      </x:c>
      <x:c r="G166">
        <x:v>39501.06</x:v>
      </x:c>
      <x:c r="H166">
        <x:v>23477.74</x:v>
      </x:c>
      <x:c r="I166">
        <x:v>289895.21000000002</x:v>
      </x:c>
      <x:c r="J166">
        <x:v>8195.0499999999993</x:v>
      </x:c>
      <x:c r="K166">
        <x:v>0</x:v>
      </x:c>
      <x:c r="L166">
        <x:v>74764.14</x:v>
      </x:c>
      <x:c r="M166">
        <x:v>110184.35</x:v>
      </x:c>
      <x:c r="N166">
        <x:v>481645.44</x:v>
      </x:c>
      <x:c r="O166">
        <x:v>163596.31</x:v>
      </x:c>
      <x:c r="P166">
        <x:v>14405.04</x:v>
      </x:c>
      <x:c r="Q166">
        <x:v>11.68</x:v>
      </x:c>
      <x:c r="R166">
        <x:v>0</x:v>
      </x:c>
    </x:row>
    <x:row r="167" spans="1:18" ht="12.75" customHeight="1" x14ac:dyDescent="0.25">
      <x:c r="D167" t="s">
        <x:v>81</x:v>
      </x:c>
      <x:c r="E167" s="142">
        <x:v>12.81</x:v>
      </x:c>
      <x:c r="F167">
        <x:v>0.52</x:v>
      </x:c>
      <x:c r="G167">
        <x:v>0.28999999999999998</x:v>
      </x:c>
      <x:c r="H167">
        <x:v>0.15</x:v>
      </x:c>
      <x:c r="I167">
        <x:v>3.5</x:v>
      </x:c>
      <x:c r="J167">
        <x:v>0.08</x:v>
      </x:c>
      <x:c r="K167">
        <x:v>0</x:v>
      </x:c>
      <x:c r="L167">
        <x:v>0.73</x:v>
      </x:c>
      <x:c r="M167">
        <x:v>1.08</x:v>
      </x:c>
      <x:c r="N167">
        <x:v>5.1100000000000003</x:v>
      </x:c>
      <x:c r="O167">
        <x:v>1.21</x:v>
      </x:c>
      <x:c r="P167">
        <x:v>0.14000000000000001</x:v>
      </x:c>
      <x:c r="Q167">
        <x:v>0</x:v>
      </x:c>
      <x:c r="R167">
        <x:v>0</x:v>
      </x:c>
    </x:row>
    <x:row r="168" spans="1:18" ht="12.75" customHeight="1" x14ac:dyDescent="0.25">
      <x:c r="C168" t="s">
        <x:v>82</x:v>
      </x:c>
      <x:c r="D168" t="s">
        <x:v>70</x:v>
      </x:c>
      <x:c r="E168" s="142">
        <x:v>1272725.72</x:v>
      </x:c>
      <x:c r="F168">
        <x:v>67037.41</x:v>
      </x:c>
      <x:c r="G168">
        <x:v>39501.35</x:v>
      </x:c>
      <x:c r="H168">
        <x:v>23477.89</x:v>
      </x:c>
      <x:c r="I168">
        <x:v>289898.71000000002</x:v>
      </x:c>
      <x:c r="J168">
        <x:v>8195.1299999999992</x:v>
      </x:c>
      <x:c r="K168">
        <x:v>0</x:v>
      </x:c>
      <x:c r="L168">
        <x:v>74764.87</x:v>
      </x:c>
      <x:c r="M168">
        <x:v>110185.43</x:v>
      </x:c>
      <x:c r="N168">
        <x:v>481650.55</x:v>
      </x:c>
      <x:c r="O168">
        <x:v>163597.51999999999</x:v>
      </x:c>
      <x:c r="P168">
        <x:v>14405.18</x:v>
      </x:c>
      <x:c r="Q168">
        <x:v>11.68</x:v>
      </x:c>
      <x:c r="R168">
        <x:v>0</x:v>
      </x:c>
    </x:row>
    <x:row r="169" spans="1:18" ht="12.75" customHeight="1" x14ac:dyDescent="0.25">
      <x:c r="D169" t="s">
        <x:v>72</x:v>
      </x:c>
      <x:c r="E169" s="142">
        <x:v>983440.41</x:v>
      </x:c>
      <x:c r="F169">
        <x:v>68653.41</x:v>
      </x:c>
      <x:c r="G169">
        <x:v>38553.57</x:v>
      </x:c>
      <x:c r="H169">
        <x:v>20740.34</x:v>
      </x:c>
      <x:c r="I169">
        <x:v>220594.68</x:v>
      </x:c>
      <x:c r="J169">
        <x:v>4977.4799999999996</x:v>
      </x:c>
      <x:c r="K169">
        <x:v>0</x:v>
      </x:c>
      <x:c r="L169">
        <x:v>53236.89</x:v>
      </x:c>
      <x:c r="M169">
        <x:v>65079.83</x:v>
      </x:c>
      <x:c r="N169">
        <x:v>340285.14</x:v>
      </x:c>
      <x:c r="O169">
        <x:v>162040.31</x:v>
      </x:c>
      <x:c r="P169">
        <x:v>9295.93</x:v>
      </x:c>
      <x:c r="Q169">
        <x:v>-17.170000000000002</x:v>
      </x:c>
      <x:c r="R169">
        <x:v>0</x:v>
      </x:c>
    </x:row>
    <x:row r="170" spans="1:18" ht="12.75" customHeight="1" x14ac:dyDescent="0.25">
      <x:c r="D170" t="s">
        <x:v>81</x:v>
      </x:c>
      <x:c r="E170" s="142">
        <x:v>593.62</x:v>
      </x:c>
      <x:c r="F170">
        <x:v>4.2</x:v>
      </x:c>
      <x:c r="G170">
        <x:v>2.37</x:v>
      </x:c>
      <x:c r="H170">
        <x:v>1.25</x:v>
      </x:c>
      <x:c r="I170">
        <x:v>0</x:v>
      </x:c>
      <x:c r="J170">
        <x:v>9.5399999999999991</x:v>
      </x:c>
      <x:c r="K170">
        <x:v>0</x:v>
      </x:c>
      <x:c r="L170">
        <x:v>83.75</x:v>
      </x:c>
      <x:c r="M170">
        <x:v>82.2</x:v>
      </x:c>
      <x:c r="N170">
        <x:v>385.01</x:v>
      </x:c>
      <x:c r="O170">
        <x:v>9.75</x:v>
      </x:c>
      <x:c r="P170">
        <x:v>15.58</x:v>
      </x:c>
      <x:c r="Q170">
        <x:v>-0.03</x:v>
      </x:c>
      <x:c r="R170">
        <x:v>0</x:v>
      </x:c>
    </x:row>
    <x:row r="171" spans="1:18" ht="12.75" customHeight="1" x14ac:dyDescent="0.25">
      <x:c r="C171" t="s">
        <x:v>86</x:v>
      </x:c>
      <x:c r="D171" t="s">
        <x:v>70</x:v>
      </x:c>
      <x:c r="E171" s="142">
        <x:v>984034.03</x:v>
      </x:c>
      <x:c r="F171">
        <x:v>68657.61</x:v>
      </x:c>
      <x:c r="G171">
        <x:v>38555.94</x:v>
      </x:c>
      <x:c r="H171">
        <x:v>20741.59</x:v>
      </x:c>
      <x:c r="I171">
        <x:v>220594.68</x:v>
      </x:c>
      <x:c r="J171">
        <x:v>4987.0200000000004</x:v>
      </x:c>
      <x:c r="K171">
        <x:v>0</x:v>
      </x:c>
      <x:c r="L171">
        <x:v>53320.639999999999</x:v>
      </x:c>
      <x:c r="M171">
        <x:v>65162.03</x:v>
      </x:c>
      <x:c r="N171">
        <x:v>340670.15</x:v>
      </x:c>
      <x:c r="O171">
        <x:v>162050.06</x:v>
      </x:c>
      <x:c r="P171">
        <x:v>9311.51</x:v>
      </x:c>
      <x:c r="Q171">
        <x:v>-17.2</x:v>
      </x:c>
      <x:c r="R171">
        <x:v>0</x:v>
      </x:c>
    </x:row>
    <x:row r="172" spans="1:18" ht="12.75" customHeight="1" x14ac:dyDescent="0.25">
      <x:c r="D172" t="s">
        <x:v>72</x:v>
      </x:c>
      <x:c r="E172" s="142">
        <x:v>10889834.800000001</x:v>
      </x:c>
      <x:c r="F172">
        <x:v>1776974.67</x:v>
      </x:c>
      <x:c r="G172">
        <x:v>603192.44999999995</x:v>
      </x:c>
      <x:c r="H172">
        <x:v>505061.73</x:v>
      </x:c>
      <x:c r="I172">
        <x:v>1046769.67</x:v>
      </x:c>
      <x:c r="J172">
        <x:v>28744.59</x:v>
      </x:c>
      <x:c r="K172">
        <x:v>0</x:v>
      </x:c>
      <x:c r="L172">
        <x:v>266799.07</x:v>
      </x:c>
      <x:c r="M172">
        <x:v>384022.27</x:v>
      </x:c>
      <x:c r="N172">
        <x:v>1863093.08</x:v>
      </x:c>
      <x:c r="O172">
        <x:v>4364983.13</x:v>
      </x:c>
      <x:c r="P172">
        <x:v>50156.58</x:v>
      </x:c>
      <x:c r="Q172">
        <x:v>37.56</x:v>
      </x:c>
      <x:c r="R172">
        <x:v>0</x:v>
      </x:c>
    </x:row>
    <x:row r="173" spans="1:18" ht="12.75" customHeight="1" x14ac:dyDescent="0.25">
      <x:c r="D173" t="s">
        <x:v>81</x:v>
      </x:c>
      <x:c r="E173" s="142">
        <x:v>269071.07</x:v>
      </x:c>
      <x:c r="F173">
        <x:v>55015.17</x:v>
      </x:c>
      <x:c r="G173">
        <x:v>31018.76</x:v>
      </x:c>
      <x:c r="H173">
        <x:v>16363.81</x:v>
      </x:c>
      <x:c r="I173">
        <x:v>12244.44</x:v>
      </x:c>
      <x:c r="J173">
        <x:v>300.42</x:v>
      </x:c>
      <x:c r="K173">
        <x:v>0</x:v>
      </x:c>
      <x:c r="L173">
        <x:v>2679.67</x:v>
      </x:c>
      <x:c r="M173">
        <x:v>3831.33</x:v>
      </x:c>
      <x:c r="N173">
        <x:v>17411.71</x:v>
      </x:c>
      <x:c r="O173">
        <x:v>129718.24</x:v>
      </x:c>
      <x:c r="P173">
        <x:v>487.91</x:v>
      </x:c>
      <x:c r="Q173">
        <x:v>-0.39</x:v>
      </x:c>
      <x:c r="R173">
        <x:v>0</x:v>
      </x:c>
    </x:row>
    <x:row r="174" spans="1:18" ht="12.75" customHeight="1" x14ac:dyDescent="0.25">
      <x:c r="A174" s="89"/>
      <x:c r="B174" s="89"/>
      <x:c r="C174" t="s">
        <x:v>87</x:v>
      </x:c>
      <x:c r="D174" t="s">
        <x:v>70</x:v>
      </x:c>
      <x:c r="E174" s="90">
        <x:v>11158905.869999999</x:v>
      </x:c>
      <x:c r="F174" s="90">
        <x:v>1831989.84</x:v>
      </x:c>
      <x:c r="G174" s="90">
        <x:v>634211.21</x:v>
      </x:c>
      <x:c r="H174" s="90">
        <x:v>521425.54</x:v>
      </x:c>
      <x:c r="I174" s="90">
        <x:v>1059014.1100000001</x:v>
      </x:c>
      <x:c r="J174" s="90">
        <x:v>29045.01</x:v>
      </x:c>
      <x:c r="K174" s="90">
        <x:v>0</x:v>
      </x:c>
      <x:c r="L174" s="90">
        <x:v>269478.74</x:v>
      </x:c>
      <x:c r="M174" s="90">
        <x:v>387853.6</x:v>
      </x:c>
      <x:c r="N174" s="90">
        <x:v>1880504.79</x:v>
      </x:c>
      <x:c r="O174" s="90">
        <x:v>4494701.37</x:v>
      </x:c>
      <x:c r="P174" s="90">
        <x:v>50644.49</x:v>
      </x:c>
      <x:c r="Q174" s="90">
        <x:v>37.17</x:v>
      </x:c>
      <x:c r="R174">
        <x:v>0</x:v>
      </x:c>
    </x:row>
    <x:row r="175" spans="1:18" s="94" customFormat="1" ht="12.75" customHeight="1" x14ac:dyDescent="0.25">
      <x:c r="A175" s="101"/>
      <x:c r="B175" s="101" t="s">
        <x:v>119</x:v>
      </x:c>
      <x:c r="C175" s="94" t="s">
        <x:v>70</x:v>
      </x:c>
      <x:c r="E175" s="93">
        <x:v>13415665.619999999</x:v>
      </x:c>
      <x:c r="F175" s="93">
        <x:v>1967684.86</x:v>
      </x:c>
      <x:c r="G175" s="93">
        <x:v>712268.5</x:v>
      </x:c>
      <x:c r="H175" s="93">
        <x:v>565645.02</x:v>
      </x:c>
      <x:c r="I175" s="93">
        <x:v>1569507.5</x:v>
      </x:c>
      <x:c r="J175" s="93">
        <x:v>42227.16</x:v>
      </x:c>
      <x:c r="K175" s="93">
        <x:v>0</x:v>
      </x:c>
      <x:c r="L175" s="93">
        <x:v>397564.25</x:v>
      </x:c>
      <x:c r="M175" s="93">
        <x:v>563201.06000000006</x:v>
      </x:c>
      <x:c r="N175" s="93">
        <x:v>2702825.49</x:v>
      </x:c>
      <x:c r="O175" s="93">
        <x:v>4820348.95</x:v>
      </x:c>
      <x:c r="P175" s="93">
        <x:v>74361.179999999993</x:v>
      </x:c>
      <x:c r="Q175" s="93">
        <x:v>31.65</x:v>
      </x:c>
      <x:c r="R175" s="94">
        <x:v>0</x:v>
      </x:c>
    </x:row>
    <x:row r="176" spans="1:18" s="226" customFormat="1" ht="12.75" customHeight="1" x14ac:dyDescent="0.25">
      <x:c r="A176" s="226" t="s">
        <x:v>78</x:v>
      </x:c>
      <x:c r="B176" s="226" t="s">
        <x:v>70</x:v>
      </x:c>
      <x:c r="D176" s="98"/>
      <x:c r="E176" s="100" t="n">
        <x:v>31231390.27</x:v>
      </x:c>
      <x:c r="F176" s="100">
        <x:v>2669415.9900000002</x:v>
      </x:c>
      <x:c r="G176" s="100">
        <x:v>1115118.8799999999</x:v>
      </x:c>
      <x:c r="H176" s="100">
        <x:v>766590.87</x:v>
      </x:c>
      <x:c r="I176" s="100">
        <x:v>3649866.33</x:v>
      </x:c>
      <x:c r="J176" s="100">
        <x:v>117977.5</x:v>
      </x:c>
      <x:c r="K176" s="100" t="n">
        <x:v>156736.31</x:v>
      </x:c>
      <x:c r="L176" s="100">
        <x:v>1069586.72</x:v>
      </x:c>
      <x:c r="M176" s="100">
        <x:v>1249645.94</x:v>
      </x:c>
      <x:c r="N176" s="100">
        <x:v>6297254.4900000002</x:v>
      </x:c>
      <x:c r="O176" s="100">
        <x:v>6569127.7699999996</x:v>
      </x:c>
      <x:c r="P176" s="100">
        <x:v>179885.12</x:v>
      </x:c>
      <x:c r="Q176" s="100">
        <x:v>46.22</x:v>
      </x:c>
      <x:c r="R176" s="226">
        <x:v>0</x:v>
      </x:c>
    </x:row>
    <x:row r="177" spans="1:18" ht="12.75" customHeight="1" x14ac:dyDescent="0.25">
      <x:c r="C177" s="89"/>
      <x:c r="D177" s="89" t="s">
        <x:v>73</x:v>
      </x:c>
      <x:c r="E177" s="371">
        <x:v>-235930.54</x:v>
      </x:c>
      <x:c r="F177" s="90">
        <x:v>179509.93</x:v>
      </x:c>
      <x:c r="G177" s="90">
        <x:v>97518.46</x:v>
      </x:c>
      <x:c r="H177" s="90">
        <x:v>31515.45</x:v>
      </x:c>
      <x:c r="I177" s="90">
        <x:v>-494732.77</x:v>
      </x:c>
      <x:c r="J177" s="90">
        <x:v>-10768.31</x:v>
      </x:c>
      <x:c r="K177" s="90">
        <x:v>0</x:v>
      </x:c>
      <x:c r="L177" s="90">
        <x:v>-79292.72</x:v>
      </x:c>
      <x:c r="M177" s="90">
        <x:v>-76908.97</x:v>
      </x:c>
      <x:c r="N177" s="90">
        <x:v>-361796.09</x:v>
      </x:c>
      <x:c r="O177" s="90">
        <x:v>496533.67</x:v>
      </x:c>
      <x:c r="P177" s="90">
        <x:v>-17509.189999999999</x:v>
      </x:c>
      <x:c r="Q177" s="90">
        <x:v>0</x:v>
      </x:c>
      <x:c r="R177">
        <x:v>0</x:v>
      </x:c>
    </x:row>
    <x:row r="178" spans="1:18" ht="12.75" customHeight="1" x14ac:dyDescent="0.25">
      <x:c r="C178" s="89" t="s">
        <x:v>156</x:v>
      </x:c>
      <x:c r="D178" s="89" t="s">
        <x:v>70</x:v>
      </x:c>
      <x:c r="E178" s="371">
        <x:v>-235930.54</x:v>
      </x:c>
      <x:c r="F178" s="90">
        <x:v>179509.93</x:v>
      </x:c>
      <x:c r="G178" s="90">
        <x:v>97518.46</x:v>
      </x:c>
      <x:c r="H178" s="90">
        <x:v>31515.45</x:v>
      </x:c>
      <x:c r="I178" s="90">
        <x:v>-494732.77</x:v>
      </x:c>
      <x:c r="J178" s="90">
        <x:v>-10768.31</x:v>
      </x:c>
      <x:c r="K178" s="90">
        <x:v>0</x:v>
      </x:c>
      <x:c r="L178" s="90">
        <x:v>-79292.72</x:v>
      </x:c>
      <x:c r="M178" s="90">
        <x:v>-76908.97</x:v>
      </x:c>
      <x:c r="N178" s="90">
        <x:v>-361796.09</x:v>
      </x:c>
      <x:c r="O178" s="90">
        <x:v>496533.67</x:v>
      </x:c>
      <x:c r="P178" s="90">
        <x:v>-17509.189999999999</x:v>
      </x:c>
      <x:c r="Q178" s="90">
        <x:v>0</x:v>
      </x:c>
      <x:c r="R178">
        <x:v>0</x:v>
      </x:c>
    </x:row>
    <x:row r="179" spans="1:18" s="237" customFormat="1" ht="12.75" customHeight="1" x14ac:dyDescent="0.25">
      <x:c r="B179" s="237" t="s">
        <x:v>155</x:v>
      </x:c>
      <x:c r="C179" s="221" t="s">
        <x:v>70</x:v>
      </x:c>
      <x:c r="D179" s="221"/>
      <x:c r="E179" s="566">
        <x:v>-235930.54</x:v>
      </x:c>
      <x:c r="F179" s="222">
        <x:v>179509.93</x:v>
      </x:c>
      <x:c r="G179" s="222">
        <x:v>97518.46</x:v>
      </x:c>
      <x:c r="H179" s="222">
        <x:v>31515.45</x:v>
      </x:c>
      <x:c r="I179" s="222">
        <x:v>-494732.77</x:v>
      </x:c>
      <x:c r="J179" s="222">
        <x:v>-10768.31</x:v>
      </x:c>
      <x:c r="K179" s="222">
        <x:v>0</x:v>
      </x:c>
      <x:c r="L179" s="222">
        <x:v>-79292.72</x:v>
      </x:c>
      <x:c r="M179" s="222">
        <x:v>-76908.97</x:v>
      </x:c>
      <x:c r="N179" s="222">
        <x:v>-361796.09</x:v>
      </x:c>
      <x:c r="O179" s="222">
        <x:v>496533.67</x:v>
      </x:c>
      <x:c r="P179" s="222">
        <x:v>-17509.189999999999</x:v>
      </x:c>
      <x:c r="Q179" s="222">
        <x:v>0</x:v>
      </x:c>
      <x:c r="R179" s="237">
        <x:v>0</x:v>
      </x:c>
    </x:row>
    <x:row r="180" spans="1:18" ht="12.75" customHeight="1" x14ac:dyDescent="0.25">
      <x:c r="C180" s="89"/>
      <x:c r="D180" s="89" t="s">
        <x:v>73</x:v>
      </x:c>
      <x:c r="E180" s="371">
        <x:v>64033.1</x:v>
      </x:c>
      <x:c r="F180" s="90">
        <x:v>7214.71</x:v>
      </x:c>
      <x:c r="G180" s="90">
        <x:v>4104.6000000000004</x:v>
      </x:c>
      <x:c r="H180" s="90">
        <x:v>2011.77</x:v>
      </x:c>
      <x:c r="I180" s="90">
        <x:v>10666.45</x:v>
      </x:c>
      <x:c r="J180" s="90">
        <x:v>222.72</x:v>
      </x:c>
      <x:c r="K180" s="90">
        <x:v>0</x:v>
      </x:c>
      <x:c r="L180" s="90">
        <x:v>1953.71</x:v>
      </x:c>
      <x:c r="M180" s="90">
        <x:v>3521.83</x:v>
      </x:c>
      <x:c r="N180" s="90">
        <x:v>16901.91</x:v>
      </x:c>
      <x:c r="O180" s="90">
        <x:v>17071.919999999998</x:v>
      </x:c>
      <x:c r="P180" s="90">
        <x:v>363.48</x:v>
      </x:c>
      <x:c r="Q180" s="90">
        <x:v>0</x:v>
      </x:c>
      <x:c r="R180">
        <x:v>0</x:v>
      </x:c>
    </x:row>
    <x:row r="181" spans="1:18" ht="12.75" customHeight="1" x14ac:dyDescent="0.25">
      <x:c r="C181" t="s">
        <x:v>82</x:v>
      </x:c>
      <x:c r="D181" t="s">
        <x:v>70</x:v>
      </x:c>
      <x:c r="E181">
        <x:v>64033.1</x:v>
      </x:c>
      <x:c r="F181">
        <x:v>7214.71</x:v>
      </x:c>
      <x:c r="G181">
        <x:v>4104.6000000000004</x:v>
      </x:c>
      <x:c r="H181">
        <x:v>2011.77</x:v>
      </x:c>
      <x:c r="I181">
        <x:v>10666.45</x:v>
      </x:c>
      <x:c r="J181">
        <x:v>222.72</x:v>
      </x:c>
      <x:c r="K181">
        <x:v>0</x:v>
      </x:c>
      <x:c r="L181">
        <x:v>1953.71</x:v>
      </x:c>
      <x:c r="M181">
        <x:v>3521.83</x:v>
      </x:c>
      <x:c r="N181">
        <x:v>16901.91</x:v>
      </x:c>
      <x:c r="O181">
        <x:v>17071.919999999998</x:v>
      </x:c>
      <x:c r="P181">
        <x:v>363.48</x:v>
      </x:c>
      <x:c r="Q181">
        <x:v>0</x:v>
      </x:c>
      <x:c r="R181">
        <x:v>0</x:v>
      </x:c>
    </x:row>
    <x:row r="182" spans="1:18" ht="12.75" customHeight="1" x14ac:dyDescent="0.25">
      <x:c r="D182" t="s">
        <x:v>73</x:v>
      </x:c>
      <x:c r="E182">
        <x:v>143391.71</x:v>
      </x:c>
      <x:c r="F182">
        <x:v>17683.3</x:v>
      </x:c>
      <x:c r="G182">
        <x:v>9483.69</x:v>
      </x:c>
      <x:c r="H182">
        <x:v>4051.59</x:v>
      </x:c>
      <x:c r="I182">
        <x:v>19388.95</x:v>
      </x:c>
      <x:c r="J182">
        <x:v>458.99</x:v>
      </x:c>
      <x:c r="K182">
        <x:v>0</x:v>
      </x:c>
      <x:c r="L182">
        <x:v>4524.54</x:v>
      </x:c>
      <x:c r="M182">
        <x:v>8575.41</x:v>
      </x:c>
      <x:c r="N182">
        <x:v>33527.4</x:v>
      </x:c>
      <x:c r="O182">
        <x:v>44872.41</x:v>
      </x:c>
      <x:c r="P182">
        <x:v>825.43</x:v>
      </x:c>
      <x:c r="Q182">
        <x:v>0</x:v>
      </x:c>
      <x:c r="R182">
        <x:v>0</x:v>
      </x:c>
    </x:row>
    <x:row r="183" spans="1:18" ht="12.75" customHeight="1" x14ac:dyDescent="0.25">
      <x:c r="C183" t="s">
        <x:v>86</x:v>
      </x:c>
      <x:c r="D183" t="s">
        <x:v>70</x:v>
      </x:c>
      <x:c r="E183">
        <x:v>143391.71</x:v>
      </x:c>
      <x:c r="F183">
        <x:v>17683.3</x:v>
      </x:c>
      <x:c r="G183">
        <x:v>9483.69</x:v>
      </x:c>
      <x:c r="H183">
        <x:v>4051.59</x:v>
      </x:c>
      <x:c r="I183">
        <x:v>19388.95</x:v>
      </x:c>
      <x:c r="J183">
        <x:v>458.99</x:v>
      </x:c>
      <x:c r="K183">
        <x:v>0</x:v>
      </x:c>
      <x:c r="L183">
        <x:v>4524.54</x:v>
      </x:c>
      <x:c r="M183">
        <x:v>8575.41</x:v>
      </x:c>
      <x:c r="N183">
        <x:v>33527.4</x:v>
      </x:c>
      <x:c r="O183">
        <x:v>44872.41</x:v>
      </x:c>
      <x:c r="P183">
        <x:v>825.43</x:v>
      </x:c>
      <x:c r="Q183">
        <x:v>0</x:v>
      </x:c>
      <x:c r="R183">
        <x:v>0</x:v>
      </x:c>
    </x:row>
    <x:row r="184" spans="1:18" ht="12.75" customHeight="1" x14ac:dyDescent="0.25">
      <x:c r="D184" s="89" t="s">
        <x:v>73</x:v>
      </x:c>
      <x:c r="E184" s="90">
        <x:v>2930318.19</x:v>
      </x:c>
      <x:c r="F184" s="90">
        <x:v>567936.48</x:v>
      </x:c>
      <x:c r="G184" s="90">
        <x:v>316279.55</x:v>
      </x:c>
      <x:c r="H184" s="90">
        <x:v>167772.67</x:v>
      </x:c>
      <x:c r="I184" s="90">
        <x:v>74829.75</x:v>
      </x:c>
      <x:c r="J184" s="90">
        <x:v>1886.12</x:v>
      </x:c>
      <x:c r="K184" s="90">
        <x:v>0</x:v>
      </x:c>
      <x:c r="L184" s="90">
        <x:v>25238.91</x:v>
      </x:c>
      <x:c r="M184" s="90">
        <x:v>37822.78</x:v>
      </x:c>
      <x:c r="N184" s="90">
        <x:v>177754.7</x:v>
      </x:c>
      <x:c r="O184" s="90">
        <x:v>1557167.31</x:v>
      </x:c>
      <x:c r="P184" s="90">
        <x:v>3629.92</x:v>
      </x:c>
      <x:c r="Q184" s="90">
        <x:v>0</x:v>
      </x:c>
      <x:c r="R184">
        <x:v>0</x:v>
      </x:c>
    </x:row>
    <x:row r="185" spans="1:18" ht="12.75" customHeight="1" x14ac:dyDescent="0.25">
      <x:c r="C185" t="s">
        <x:v>87</x:v>
      </x:c>
      <x:c r="D185" s="89" t="s">
        <x:v>70</x:v>
      </x:c>
      <x:c r="E185" s="90">
        <x:v>2930318.19</x:v>
      </x:c>
      <x:c r="F185" s="90">
        <x:v>567936.48</x:v>
      </x:c>
      <x:c r="G185" s="90">
        <x:v>316279.55</x:v>
      </x:c>
      <x:c r="H185" s="90">
        <x:v>167772.67</x:v>
      </x:c>
      <x:c r="I185" s="90">
        <x:v>74829.75</x:v>
      </x:c>
      <x:c r="J185" s="90">
        <x:v>1886.12</x:v>
      </x:c>
      <x:c r="K185" s="90">
        <x:v>0</x:v>
      </x:c>
      <x:c r="L185" s="90">
        <x:v>25238.91</x:v>
      </x:c>
      <x:c r="M185" s="90">
        <x:v>37822.78</x:v>
      </x:c>
      <x:c r="N185" s="90">
        <x:v>177754.7</x:v>
      </x:c>
      <x:c r="O185" s="90">
        <x:v>1557167.31</x:v>
      </x:c>
      <x:c r="P185" s="90">
        <x:v>3629.92</x:v>
      </x:c>
      <x:c r="Q185" s="90">
        <x:v>0</x:v>
      </x:c>
      <x:c r="R185">
        <x:v>0</x:v>
      </x:c>
    </x:row>
    <x:row r="186" spans="1:18" s="94" customFormat="1" ht="12.75" customHeight="1" x14ac:dyDescent="0.25">
      <x:c r="B186" s="101" t="s">
        <x:v>119</x:v>
      </x:c>
      <x:c r="C186" s="101" t="s">
        <x:v>70</x:v>
      </x:c>
      <x:c r="E186" s="93">
        <x:v>3137743</x:v>
      </x:c>
      <x:c r="F186" s="93">
        <x:v>592834.49</x:v>
      </x:c>
      <x:c r="G186" s="93">
        <x:v>329867.84000000003</x:v>
      </x:c>
      <x:c r="H186" s="93">
        <x:v>173836.03</x:v>
      </x:c>
      <x:c r="I186" s="93">
        <x:v>104885.15</x:v>
      </x:c>
      <x:c r="J186" s="93">
        <x:v>2567.83</x:v>
      </x:c>
      <x:c r="K186" s="93">
        <x:v>0</x:v>
      </x:c>
      <x:c r="L186" s="93">
        <x:v>31717.16</x:v>
      </x:c>
      <x:c r="M186" s="93">
        <x:v>49920.02</x:v>
      </x:c>
      <x:c r="N186" s="93">
        <x:v>228184.01</x:v>
      </x:c>
      <x:c r="O186" s="93">
        <x:v>1619111.64</x:v>
      </x:c>
      <x:c r="P186" s="93">
        <x:v>4818.83</x:v>
      </x:c>
      <x:c r="Q186" s="93">
        <x:v>0</x:v>
      </x:c>
      <x:c r="R186" s="94">
        <x:v>0</x:v>
      </x:c>
    </x:row>
    <x:row r="187" spans="1:18" s="226" customFormat="1" ht="12.75" customHeight="1" x14ac:dyDescent="0.25">
      <x:c r="A187" s="98" t="s">
        <x:v>79</x:v>
      </x:c>
      <x:c r="B187" s="98" t="s">
        <x:v>70</x:v>
      </x:c>
      <x:c r="E187" s="100" t="n">
        <x:v>-3267788.99</x:v>
      </x:c>
      <x:c r="F187" s="100">
        <x:v>772344.42</x:v>
      </x:c>
      <x:c r="G187" s="100">
        <x:v>427386.3</x:v>
      </x:c>
      <x:c r="H187" s="100">
        <x:v>205351.48</x:v>
      </x:c>
      <x:c r="I187" s="100">
        <x:v>-389847.62</x:v>
      </x:c>
      <x:c r="J187" s="100">
        <x:v>-8200.48</x:v>
      </x:c>
      <x:c r="K187" s="100">
        <x:v>0</x:v>
      </x:c>
      <x:c r="L187" s="100">
        <x:v>-47575.56</x:v>
      </x:c>
      <x:c r="M187" s="100">
        <x:v>-26988.95</x:v>
      </x:c>
      <x:c r="N187" s="100">
        <x:v>-133612.07999999999</x:v>
      </x:c>
      <x:c r="O187" s="100">
        <x:v>2115645.31</x:v>
      </x:c>
      <x:c r="P187" s="100">
        <x:v>-12690.36</x:v>
      </x:c>
      <x:c r="Q187" s="100">
        <x:v>0</x:v>
      </x:c>
      <x:c r="R187" s="226">
        <x:v>0</x:v>
      </x:c>
    </x:row>
    <x:row r="188" spans="1:18" ht="12.75" customHeight="1" x14ac:dyDescent="0.25">
      <x:c r="A188" s="89" t="s">
        <x:v>70</x:v>
      </x:c>
      <x:c r="E188" s="90">
        <x:v>26609070.66</x:v>
      </x:c>
      <x:c r="F188" s="90">
        <x:v>3441760.41</x:v>
      </x:c>
      <x:c r="G188" s="90">
        <x:v>1542505.18</x:v>
      </x:c>
      <x:c r="H188" s="90">
        <x:v>971942.35</x:v>
      </x:c>
      <x:c r="I188" s="90">
        <x:v>3260018.71</x:v>
      </x:c>
      <x:c r="J188" s="90">
        <x:v>109777.02</x:v>
      </x:c>
      <x:c r="K188" s="90">
        <x:v>22742.37</x:v>
      </x:c>
      <x:c r="L188" s="90">
        <x:v>1022011.16</x:v>
      </x:c>
      <x:c r="M188" s="90">
        <x:v>1222656.99</x:v>
      </x:c>
      <x:c r="N188" s="90">
        <x:v>6163642.4100000001</x:v>
      </x:c>
      <x:c r="O188" s="90">
        <x:v>8684773.0800000001</x:v>
      </x:c>
      <x:c r="P188" s="90">
        <x:v>167194.76</x:v>
      </x:c>
      <x:c r="Q188" s="90">
        <x:v>46.22</x:v>
      </x:c>
      <x:c r="R188">
        <x:v>0</x:v>
      </x:c>
    </x:row>
    <x:row r="189" spans="1:18" ht="12.75" customHeight="1" x14ac:dyDescent="0.25">
      <x:c r="A189" s="89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</x:row>
    <x:row r="190" spans="1:18" ht="12.75" hidden="1" customHeight="1" x14ac:dyDescent="0.25">
      <x:c r="A190" s="89"/>
      <x:c r="E190" s="90"/>
      <x:c r="F190" s="90"/>
      <x:c r="G190" s="90"/>
      <x:c r="H190" s="90"/>
      <x:c r="I190" s="90"/>
      <x:c r="J190" s="90"/>
      <x:c r="K190" s="90"/>
      <x:c r="L190" s="90"/>
      <x:c r="M190" s="90"/>
      <x:c r="N190" s="90"/>
      <x:c r="O190" s="90"/>
      <x:c r="P190" s="90"/>
      <x:c r="Q190" s="90"/>
    </x:row>
    <x:row r="191" spans="1:18" ht="12.75" hidden="1" customHeight="1" x14ac:dyDescent="0.25">
      <x:c r="A191" s="89"/>
      <x:c r="E191" s="90"/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</x:row>
    <x:row r="192" spans="1:18" ht="12.75" hidden="1" customHeight="1" x14ac:dyDescent="0.25">
      <x:c r="A192" s="89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</x:row>
    <x:row r="193" spans="1:17" ht="12.75" hidden="1" customHeight="1" x14ac:dyDescent="0.25">
      <x:c r="A193" s="89"/>
      <x:c r="E193" s="90"/>
      <x:c r="F193" s="90"/>
      <x:c r="G193" s="90"/>
      <x:c r="H193" s="90"/>
      <x:c r="I193" s="90"/>
      <x:c r="J193" s="90"/>
      <x:c r="K193" s="90"/>
      <x:c r="L193" s="90"/>
      <x:c r="M193" s="90"/>
      <x:c r="N193" s="90"/>
      <x:c r="O193" s="90"/>
      <x:c r="P193" s="90"/>
      <x:c r="Q193" s="90"/>
    </x:row>
    <x:row r="194" spans="1:17" ht="12.75" hidden="1" customHeight="1" x14ac:dyDescent="0.25">
      <x:c r="A194" s="89"/>
      <x:c r="E194" s="90"/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</x:row>
    <x:row r="195" spans="1:17" ht="12.75" hidden="1" customHeight="1" x14ac:dyDescent="0.25">
      <x:c r="A195" s="89"/>
      <x:c r="E195" s="90"/>
      <x:c r="F195" s="90"/>
      <x:c r="G195" s="90"/>
      <x:c r="H195" s="90"/>
      <x:c r="I195" s="90"/>
      <x:c r="J195" s="90"/>
      <x:c r="K195" s="90"/>
      <x:c r="L195" s="90"/>
      <x:c r="M195" s="90"/>
      <x:c r="N195" s="90"/>
      <x:c r="O195" s="90"/>
      <x:c r="P195" s="90"/>
      <x:c r="Q195" s="90"/>
    </x:row>
    <x:row r="196" spans="1:17" ht="12.75" hidden="1" customHeight="1" x14ac:dyDescent="0.25">
      <x:c r="A196" s="89"/>
      <x:c r="E196" s="90"/>
      <x:c r="F196" s="90"/>
      <x:c r="G196" s="90"/>
      <x:c r="H196" s="90"/>
      <x:c r="I196" s="90"/>
      <x:c r="J196" s="90"/>
      <x:c r="K196" s="90"/>
      <x:c r="L196" s="90"/>
      <x:c r="M196" s="90"/>
      <x:c r="N196" s="90"/>
      <x:c r="O196" s="90"/>
      <x:c r="P196" s="90"/>
      <x:c r="Q196" s="90"/>
    </x:row>
    <x:row r="197" spans="1:17" ht="12.75" hidden="1" customHeight="1" x14ac:dyDescent="0.25">
      <x:c r="A197" s="89"/>
      <x:c r="E197" s="90"/>
      <x:c r="F197" s="90"/>
      <x:c r="G197" s="90"/>
      <x:c r="H197" s="90"/>
      <x:c r="I197" s="90"/>
      <x:c r="J197" s="90"/>
      <x:c r="K197" s="90"/>
      <x:c r="L197" s="90"/>
      <x:c r="M197" s="90"/>
      <x:c r="N197" s="90"/>
      <x:c r="O197" s="90"/>
      <x:c r="P197" s="90"/>
      <x:c r="Q197" s="90"/>
    </x:row>
    <x:row r="198" spans="1:17" ht="12.75" hidden="1" customHeight="1" x14ac:dyDescent="0.25">
      <x:c r="A198" s="89"/>
      <x:c r="E198" s="90"/>
      <x:c r="F198" s="90"/>
      <x:c r="G198" s="90"/>
      <x:c r="H198" s="90"/>
      <x:c r="I198" s="90"/>
      <x:c r="J198" s="90"/>
      <x:c r="K198" s="90"/>
      <x:c r="L198" s="90"/>
      <x:c r="M198" s="90"/>
      <x:c r="N198" s="90"/>
      <x:c r="O198" s="90"/>
      <x:c r="P198" s="90"/>
      <x:c r="Q198" s="90"/>
    </x:row>
    <x:row r="199" spans="1:17" ht="12.75" hidden="1" customHeight="1" x14ac:dyDescent="0.25">
      <x:c r="A199" s="89"/>
      <x:c r="E199" s="90"/>
      <x:c r="F199" s="90"/>
      <x:c r="G199" s="90"/>
      <x:c r="H199" s="90"/>
      <x:c r="I199" s="90"/>
      <x:c r="J199" s="90"/>
      <x:c r="K199" s="90"/>
      <x:c r="L199" s="90"/>
      <x:c r="M199" s="90"/>
      <x:c r="N199" s="90"/>
      <x:c r="O199" s="90"/>
      <x:c r="P199" s="90"/>
      <x:c r="Q199" s="90"/>
    </x:row>
    <x:row r="200" spans="1:17" ht="12.75" hidden="1" customHeight="1" x14ac:dyDescent="0.25">
      <x:c r="A200" s="89"/>
      <x:c r="E200" s="90"/>
      <x:c r="F200" s="90"/>
      <x:c r="G200" s="90"/>
      <x:c r="H200" s="90"/>
      <x:c r="I200" s="90"/>
      <x:c r="J200" s="90"/>
      <x:c r="K200" s="90"/>
      <x:c r="L200" s="90"/>
      <x:c r="M200" s="90"/>
      <x:c r="N200" s="90"/>
      <x:c r="O200" s="90"/>
      <x:c r="P200" s="90"/>
      <x:c r="Q200" s="90"/>
    </x:row>
    <x:row r="201" spans="1:17" ht="12.75" hidden="1" customHeight="1" x14ac:dyDescent="0.25">
      <x:c r="A201" s="89"/>
      <x:c r="E201" s="90"/>
      <x:c r="F201" s="90"/>
      <x:c r="G201" s="90"/>
      <x:c r="H201" s="90"/>
      <x:c r="I201" s="90"/>
      <x:c r="J201" s="90"/>
      <x:c r="K201" s="90"/>
      <x:c r="L201" s="90"/>
      <x:c r="M201" s="90"/>
      <x:c r="N201" s="90"/>
      <x:c r="O201" s="90"/>
      <x:c r="P201" s="90"/>
      <x:c r="Q201" s="90"/>
    </x:row>
    <x:row r="202" spans="1:17" ht="12.75" hidden="1" customHeight="1" x14ac:dyDescent="0.25">
      <x:c r="A202" s="89"/>
      <x:c r="E202" s="90"/>
      <x:c r="F202" s="90"/>
      <x:c r="G202" s="90"/>
      <x:c r="H202" s="90"/>
      <x:c r="I202" s="90"/>
      <x:c r="J202" s="90"/>
      <x:c r="K202" s="90"/>
      <x:c r="L202" s="90"/>
      <x:c r="M202" s="90"/>
      <x:c r="N202" s="90"/>
      <x:c r="O202" s="90"/>
      <x:c r="P202" s="90"/>
      <x:c r="Q202" s="90"/>
    </x:row>
    <x:row r="203" spans="1:17" ht="12.75" hidden="1" customHeight="1" x14ac:dyDescent="0.25">
      <x:c r="A203" s="89"/>
      <x:c r="E203" s="90"/>
      <x:c r="F203" s="90"/>
      <x:c r="G203" s="90"/>
      <x:c r="H203" s="90"/>
      <x:c r="I203" s="90"/>
      <x:c r="J203" s="90"/>
      <x:c r="K203" s="90"/>
      <x:c r="L203" s="90"/>
      <x:c r="M203" s="90"/>
      <x:c r="N203" s="90"/>
      <x:c r="O203" s="90"/>
      <x:c r="P203" s="90"/>
      <x:c r="Q203" s="90"/>
    </x:row>
    <x:row r="204" spans="1:17" ht="12.75" hidden="1" customHeight="1" x14ac:dyDescent="0.25">
      <x:c r="A204" s="89"/>
      <x:c r="E204" s="90"/>
      <x:c r="F204" s="90"/>
      <x:c r="G204" s="90"/>
      <x:c r="H204" s="90"/>
      <x:c r="I204" s="90"/>
      <x:c r="J204" s="90"/>
      <x:c r="K204" s="90"/>
      <x:c r="L204" s="90"/>
      <x:c r="M204" s="90"/>
      <x:c r="N204" s="90"/>
      <x:c r="O204" s="90"/>
      <x:c r="P204" s="90"/>
      <x:c r="Q204" s="90"/>
    </x:row>
    <x:row r="205" spans="1:17" ht="12.75" hidden="1" customHeight="1" x14ac:dyDescent="0.25">
      <x:c r="A205" s="89"/>
      <x:c r="E205" s="90"/>
      <x:c r="F205" s="90"/>
      <x:c r="G205" s="90"/>
      <x:c r="H205" s="90"/>
      <x:c r="I205" s="90"/>
      <x:c r="J205" s="90"/>
      <x:c r="K205" s="90"/>
      <x:c r="L205" s="90"/>
      <x:c r="M205" s="90"/>
      <x:c r="N205" s="90"/>
      <x:c r="O205" s="90"/>
      <x:c r="P205" s="90"/>
      <x:c r="Q205" s="90"/>
    </x:row>
    <x:row r="206" spans="1:17" ht="12.75" hidden="1" customHeight="1" x14ac:dyDescent="0.25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7" ht="12.75" hidden="1" customHeight="1" x14ac:dyDescent="0.25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7" ht="12.75" hidden="1" customHeight="1" x14ac:dyDescent="0.25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8" ht="12.75" hidden="1" customHeight="1" x14ac:dyDescent="0.25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8" ht="12.75" hidden="1" customHeight="1" x14ac:dyDescent="0.25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8" ht="12.75" hidden="1" customHeight="1" x14ac:dyDescent="0.25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8" ht="12.75" hidden="1" customHeight="1" x14ac:dyDescent="0.25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8" ht="12.75" hidden="1" customHeight="1" x14ac:dyDescent="0.25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8" ht="12.75" hidden="1" customHeight="1" x14ac:dyDescent="0.25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8" ht="12.75" hidden="1" customHeight="1" x14ac:dyDescent="0.25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8" ht="12.75" hidden="1" customHeight="1" x14ac:dyDescent="0.25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8" ht="12.75" hidden="1" customHeight="1" x14ac:dyDescent="0.25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8" ht="12.75" hidden="1" customHeight="1" x14ac:dyDescent="0.25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8" ht="12.75" hidden="1" customHeight="1" x14ac:dyDescent="0.25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8" ht="12.75" customHeight="1" x14ac:dyDescent="0.25">
      <x:c r="C220" s="89"/>
      <x:c r="D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</x:row>
    <x:row r="221" spans="1:18" ht="12.75" hidden="1" customHeight="1" x14ac:dyDescent="0.25">
      <x:c r="D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</x:row>
    <x:row r="222" spans="1:18" ht="12.75" hidden="1" customHeight="1" x14ac:dyDescent="0.25">
      <x:c r="C222" s="89"/>
      <x:c r="D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</x:row>
    <x:row r="223" spans="1:18" ht="12.75" hidden="1" customHeight="1" x14ac:dyDescent="0.25">
      <x:c r="D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</x:row>
    <x:row r="224" spans="1:18" ht="12.75" hidden="1" customHeight="1" x14ac:dyDescent="0.25">
      <x:c r="C224" s="89"/>
      <x:c r="D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</x:row>
    <x:row r="225" spans="1:18" ht="12.75" hidden="1" customHeight="1" x14ac:dyDescent="0.25">
      <x:c r="B225" s="89"/>
      <x:c r="C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</x:row>
    <x:row r="226" spans="1:18" ht="12.75" hidden="1" customHeight="1" x14ac:dyDescent="0.25">
      <x:c r="A226" s="89"/>
      <x:c r="B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</x:row>
    <x:row r="227" spans="1:18" ht="12.75" hidden="1" customHeight="1" x14ac:dyDescent="0.25">
      <x:c r="A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</x:row>
    <x:row r="228" spans="1:18" ht="12.75" hidden="1" customHeight="1" x14ac:dyDescent="0.25">
      <x:c r="A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</x:row>
    <x:row r="229" spans="1:18" ht="12.75" hidden="1" customHeight="1" x14ac:dyDescent="0.25">
      <x:c r="A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</x:row>
    <x:row r="230" spans="1:18" ht="12.75" hidden="1" customHeight="1" x14ac:dyDescent="0.25">
      <x:c r="A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</x:row>
    <x:row r="231" spans="1:18" ht="12.75" hidden="1" customHeight="1" x14ac:dyDescent="0.25">
      <x:c r="A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</x:row>
    <x:row r="232" spans="1:18" ht="12.75" hidden="1" customHeight="1" x14ac:dyDescent="0.25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8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8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8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8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8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8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8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8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8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8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8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8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8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8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8" ht="12.75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8" ht="12.75" customHeight="1" x14ac:dyDescent="0.25">
      <x:c r="B256" s="774" t="s">
        <x:v>2</x:v>
      </x:c>
      <x:c r="C256" s="771" t="s">
        <x:v>132</x:v>
      </x:c>
      <x:c r="D256" s="98" t="s">
        <x:v>70</x:v>
      </x:c>
      <x:c r="E256" s="100">
        <x:f>E176+E187-K176</x:f>
        <x:v>26586328.289999999</x:v>
      </x:c>
      <x:c r="F256" s="100">
        <x:f>F176</x:f>
        <x:v>2669415.9900000002</x:v>
      </x:c>
      <x:c r="G256" s="100">
        <x:f t="shared" ref="G256:R256" si="7">G176</x:f>
        <x:v>1115118.8799999999</x:v>
      </x:c>
      <x:c r="H256" s="100">
        <x:f t="shared" si="7"/>
        <x:v>766590.87</x:v>
      </x:c>
      <x:c r="I256" s="100">
        <x:f t="shared" si="7"/>
        <x:v>3649866.33</x:v>
      </x:c>
      <x:c r="J256" s="100">
        <x:f t="shared" si="7"/>
        <x:v>117977.5</x:v>
      </x:c>
      <x:c r="K256" s="100">
        <x:f t="shared" si="7"/>
        <x:v>22742.37</x:v>
      </x:c>
      <x:c r="L256" s="100">
        <x:f t="shared" si="7"/>
        <x:v>1069586.72</x:v>
      </x:c>
      <x:c r="M256" s="100">
        <x:f t="shared" si="7"/>
        <x:v>1249645.94</x:v>
      </x:c>
      <x:c r="N256" s="100">
        <x:f t="shared" si="7"/>
        <x:v>6297254.4900000002</x:v>
      </x:c>
      <x:c r="O256" s="100">
        <x:f t="shared" si="7"/>
        <x:v>6569127.7699999996</x:v>
      </x:c>
      <x:c r="P256" s="100">
        <x:f t="shared" si="7"/>
        <x:v>179885.12</x:v>
      </x:c>
      <x:c r="Q256" s="100">
        <x:f t="shared" si="7"/>
        <x:v>46.22</x:v>
      </x:c>
      <x:c r="R256" s="100">
        <x:f t="shared" si="7"/>
        <x:v>0</x:v>
      </x:c>
    </x:row>
    <x:row r="257" spans="1:18" ht="12.75" customHeight="1" x14ac:dyDescent="0.25">
      <x:c r="B257" s="774"/>
      <x:c r="C257" s="771"/>
      <x:c r="D257" s="98" t="s">
        <x:v>73</x:v>
      </x:c>
      <x:c r="E257" s="100">
        <x:f>E187</x:f>
        <x:v>2901812.46</x:v>
      </x:c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18" ht="12.75" customHeight="1" x14ac:dyDescent="0.3">
      <x:c r="A258" s="89"/>
      <x:c r="B258" s="97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</x:row>
    <x:row r="259" spans="1:18" ht="12.75" customHeight="1" x14ac:dyDescent="0.25">
      <x:c r="B259" s="774" t="s">
        <x:v>160</x:v>
      </x:c>
      <x:c r="C259" s="771" t="s">
        <x:v>132</x:v>
      </x:c>
      <x:c r="D259" s="223" t="s">
        <x:v>70</x:v>
      </x:c>
      <x:c r="E259" s="225">
        <x:v>0</x:v>
      </x:c>
      <x:c r="F259" s="225">
        <x:v>0</x:v>
      </x:c>
      <x:c r="G259" s="225">
        <x:v>0</x:v>
      </x:c>
      <x:c r="H259" s="225">
        <x:v>0</x:v>
      </x:c>
      <x:c r="I259" s="225">
        <x:v>0</x:v>
      </x:c>
      <x:c r="J259" s="225">
        <x:v>0</x:v>
      </x:c>
      <x:c r="K259" s="225">
        <x:v>0</x:v>
      </x:c>
      <x:c r="L259" s="225">
        <x:v>0</x:v>
      </x:c>
      <x:c r="M259" s="225">
        <x:v>0</x:v>
      </x:c>
      <x:c r="N259" s="225">
        <x:v>0</x:v>
      </x:c>
      <x:c r="O259" s="225">
        <x:v>0</x:v>
      </x:c>
      <x:c r="P259" s="225">
        <x:v>0</x:v>
      </x:c>
      <x:c r="Q259" s="225">
        <x:v>0</x:v>
      </x:c>
      <x:c r="R259" s="225">
        <x:v>0</x:v>
      </x:c>
    </x:row>
    <x:row r="260" spans="1:18" ht="12.75" customHeight="1" x14ac:dyDescent="0.25">
      <x:c r="B260" s="774"/>
      <x:c r="C260" s="771"/>
      <x:c r="D260" s="223" t="s">
        <x:v>73</x:v>
      </x:c>
      <x:c r="E260" s="225">
        <x:v>0</x:v>
      </x:c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</x:row>
    <x:row r="261" spans="1:18" ht="12.75" customHeight="1" x14ac:dyDescent="0.3">
      <x:c r="A261" s="89"/>
      <x:c r="B261" s="97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  <x:c r="R261" s="90"/>
    </x:row>
    <x:row r="262" spans="1:18" ht="12.75" customHeight="1" x14ac:dyDescent="0.25">
      <x:c r="B262" s="774" t="s">
        <x:v>155</x:v>
      </x:c>
      <x:c r="C262" s="771" t="s">
        <x:v>132</x:v>
      </x:c>
      <x:c r="D262" s="221" t="s">
        <x:v>70</x:v>
      </x:c>
      <x:c r="E262" s="222">
        <x:f>E179+E165+E161-K165-K161</x:f>
        <x:v>10032919.670000002</x:v>
      </x:c>
      <x:c r="F262" s="222">
        <x:f>F161+F165</x:f>
        <x:v>701731.13</x:v>
      </x:c>
      <x:c r="G262" s="222">
        <x:f t="shared" ref="G262:R262" si="8">G161+G165</x:f>
        <x:v>402850.38</x:v>
      </x:c>
      <x:c r="H262" s="222">
        <x:f t="shared" si="8"/>
        <x:v>200945.85</x:v>
      </x:c>
      <x:c r="I262" s="222">
        <x:f t="shared" si="8"/>
        <x:v>2080358.83</x:v>
      </x:c>
      <x:c r="J262" s="222">
        <x:f t="shared" si="8"/>
        <x:v>75750.34</x:v>
      </x:c>
      <x:c r="K262" s="222">
        <x:f t="shared" si="8"/>
        <x:v>22742.37</x:v>
      </x:c>
      <x:c r="L262" s="222">
        <x:f t="shared" si="8"/>
        <x:v>672022.47</x:v>
      </x:c>
      <x:c r="M262" s="222">
        <x:f t="shared" si="8"/>
        <x:v>686444.88</x:v>
      </x:c>
      <x:c r="N262" s="222">
        <x:f t="shared" si="8"/>
        <x:v>3594429</x:v>
      </x:c>
      <x:c r="O262" s="222">
        <x:f t="shared" si="8"/>
        <x:v>1748778.82</x:v>
      </x:c>
      <x:c r="P262" s="222">
        <x:f t="shared" si="8"/>
        <x:v>105523.93999999999</x:v>
      </x:c>
      <x:c r="Q262" s="222">
        <x:f t="shared" si="8"/>
        <x:v>14.57</x:v>
      </x:c>
      <x:c r="R262" s="222">
        <x:f t="shared" si="8"/>
        <x:v>0</x:v>
      </x:c>
    </x:row>
    <x:row r="263" spans="1:18" ht="12.75" customHeight="1" x14ac:dyDescent="0.25">
      <x:c r="B263" s="774"/>
      <x:c r="C263" s="771"/>
      <x:c r="D263" s="221" t="s">
        <x:v>73</x:v>
      </x:c>
      <x:c r="E263" s="222">
        <x:f>E179</x:f>
        <x:v>-235930.54</x:v>
      </x:c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customHeight="1" x14ac:dyDescent="0.25">
      <x:c r="B264" s="720"/>
      <x:c r="C264" s="220"/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customHeight="1" x14ac:dyDescent="0.25">
      <x:c r="B265" s="772" t="s">
        <x:v>328</x:v>
      </x:c>
      <x:c r="C265" s="771" t="s">
        <x:v>132</x:v>
      </x:c>
      <x:c r="D265" s="373" t="s">
        <x:v>70</x:v>
      </x:c>
      <x:c r="E265" s="374">
        <x:v>0</x:v>
      </x:c>
      <x:c r="F265" s="374">
        <x:v>0</x:v>
      </x:c>
      <x:c r="G265" s="374">
        <x:v>0</x:v>
      </x:c>
      <x:c r="H265" s="374">
        <x:v>0</x:v>
      </x:c>
      <x:c r="I265" s="374">
        <x:v>0</x:v>
      </x:c>
      <x:c r="J265" s="374">
        <x:v>0</x:v>
      </x:c>
      <x:c r="K265" s="374">
        <x:v>0</x:v>
      </x:c>
      <x:c r="L265" s="374">
        <x:v>0</x:v>
      </x:c>
      <x:c r="M265" s="374">
        <x:v>0</x:v>
      </x:c>
      <x:c r="N265" s="374">
        <x:v>0</x:v>
      </x:c>
      <x:c r="O265" s="374">
        <x:v>0</x:v>
      </x:c>
      <x:c r="P265" s="374">
        <x:v>0</x:v>
      </x:c>
      <x:c r="Q265" s="374">
        <x:v>0</x:v>
      </x:c>
      <x:c r="R265" s="374">
        <x:v>0</x:v>
      </x:c>
    </x:row>
    <x:row r="266" spans="1:18" ht="12.75" customHeight="1" x14ac:dyDescent="0.25">
      <x:c r="B266" s="772"/>
      <x:c r="C266" s="771"/>
      <x:c r="D266" s="373" t="s">
        <x:v>73</x:v>
      </x:c>
      <x:c r="E266" s="374">
        <x:v>0</x:v>
      </x:c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customHeight="1" x14ac:dyDescent="0.25">
      <x:c r="B267" s="720"/>
      <x:c r="C267" s="220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customHeight="1" x14ac:dyDescent="0.25">
      <x:c r="B268" s="774" t="s">
        <x:v>119</x:v>
      </x:c>
      <x:c r="C268" s="771" t="s">
        <x:v>132</x:v>
      </x:c>
      <x:c r="D268" s="101" t="s">
        <x:v>70</x:v>
      </x:c>
      <x:c r="E268" s="93">
        <x:f>E175+E186-K175</x:f>
        <x:v>16553408.619999999</x:v>
      </x:c>
      <x:c r="F268" s="93">
        <x:f>F175</x:f>
        <x:v>1967684.86</x:v>
      </x:c>
      <x:c r="G268" s="93">
        <x:f t="shared" ref="G268:R268" si="9">G175</x:f>
        <x:v>712268.5</x:v>
      </x:c>
      <x:c r="H268" s="93">
        <x:f t="shared" si="9"/>
        <x:v>565645.02</x:v>
      </x:c>
      <x:c r="I268" s="93">
        <x:f t="shared" si="9"/>
        <x:v>1569507.5</x:v>
      </x:c>
      <x:c r="J268" s="93">
        <x:f t="shared" si="9"/>
        <x:v>42227.16</x:v>
      </x:c>
      <x:c r="K268" s="93">
        <x:f t="shared" si="9"/>
        <x:v>0</x:v>
      </x:c>
      <x:c r="L268" s="93">
        <x:f t="shared" si="9"/>
        <x:v>397564.25</x:v>
      </x:c>
      <x:c r="M268" s="93">
        <x:f t="shared" si="9"/>
        <x:v>563201.06000000006</x:v>
      </x:c>
      <x:c r="N268" s="93">
        <x:f t="shared" si="9"/>
        <x:v>2702825.49</x:v>
      </x:c>
      <x:c r="O268" s="93">
        <x:f t="shared" si="9"/>
        <x:v>4820348.95</x:v>
      </x:c>
      <x:c r="P268" s="93">
        <x:f t="shared" si="9"/>
        <x:v>74361.179999999993</x:v>
      </x:c>
      <x:c r="Q268" s="93">
        <x:f t="shared" si="9"/>
        <x:v>31.65</x:v>
      </x:c>
      <x:c r="R268" s="93">
        <x:f t="shared" si="9"/>
        <x:v>0</x:v>
      </x:c>
    </x:row>
    <x:row r="269" spans="1:18" ht="12.75" customHeight="1" x14ac:dyDescent="0.25">
      <x:c r="B269" s="774"/>
      <x:c r="C269" s="771"/>
      <x:c r="D269" s="101" t="s">
        <x:v>73</x:v>
      </x:c>
      <x:c r="E269" s="93">
        <x:f>E186</x:f>
        <x:v>3137743</x:v>
      </x:c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customHeight="1" x14ac:dyDescent="0.3">
      <x:c r="A270" s="89"/>
      <x:c r="B270" s="97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customHeight="1" x14ac:dyDescent="0.25">
      <x:c r="B271" s="773" t="s">
        <x:v>161</x:v>
      </x:c>
      <x:c r="C271" s="771" t="s">
        <x:v>132</x:v>
      </x:c>
      <x:c r="D271" s="231" t="s">
        <x:v>70</x:v>
      </x:c>
      <x:c r="E271" s="232">
        <x:v>0</x:v>
      </x:c>
      <x:c r="F271" s="232">
        <x:v>0</x:v>
      </x:c>
      <x:c r="G271" s="232">
        <x:v>0</x:v>
      </x:c>
      <x:c r="H271" s="232">
        <x:v>0</x:v>
      </x:c>
      <x:c r="I271" s="232">
        <x:v>0</x:v>
      </x:c>
      <x:c r="J271" s="232">
        <x:v>0</x:v>
      </x:c>
      <x:c r="K271" s="232">
        <x:v>0</x:v>
      </x:c>
      <x:c r="L271" s="232">
        <x:v>0</x:v>
      </x:c>
      <x:c r="M271" s="232">
        <x:v>0</x:v>
      </x:c>
      <x:c r="N271" s="232">
        <x:v>0</x:v>
      </x:c>
      <x:c r="O271" s="232">
        <x:v>0</x:v>
      </x:c>
      <x:c r="P271" s="232">
        <x:v>0</x:v>
      </x:c>
      <x:c r="Q271" s="232">
        <x:v>0</x:v>
      </x:c>
      <x:c r="R271" s="232">
        <x:v>0</x:v>
      </x:c>
    </x:row>
    <x:row r="272" spans="1:18" ht="12.75" customHeight="1" x14ac:dyDescent="0.25">
      <x:c r="B272" s="773"/>
      <x:c r="C272" s="771"/>
      <x:c r="D272" s="231" t="s">
        <x:v>73</x:v>
      </x:c>
      <x:c r="E272" s="232">
        <x:v>0</x:v>
      </x:c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2:18" s="238" customFormat="1" x14ac:dyDescent="0.25"/>
    <x:row r="274" spans="2:18" ht="15" customHeight="1" x14ac:dyDescent="0.3">
      <x:c r="B274" s="97" t="s">
        <x:v>88</x:v>
      </x:c>
    </x:row>
    <x:row r="275" spans="2:18" ht="11.5" customHeight="1" x14ac:dyDescent="0.25">
      <x:c r="E275" s="89" t="s">
        <x:v>70</x:v>
      </x:c>
      <x:c r="F275" s="89" t="s">
        <x:v>64</x:v>
      </x:c>
      <x:c r="G275" s="89" t="s">
        <x:v>65</x:v>
      </x:c>
      <x:c r="H275" s="219" t="s">
        <x:v>164</x:v>
      </x:c>
      <x:c r="I275" s="89" t="s">
        <x:v>69</x:v>
      </x:c>
      <x:c r="J275" s="89" t="s">
        <x:v>68</x:v>
      </x:c>
      <x:c r="K275" s="89" t="s">
        <x:v>83</x:v>
      </x:c>
      <x:c r="L275" s="89" t="s">
        <x:v>66</x:v>
      </x:c>
      <x:c r="M275" s="89" t="s">
        <x:v>63</x:v>
      </x:c>
      <x:c r="N275" s="89" t="s">
        <x:v>61</x:v>
      </x:c>
      <x:c r="O275" s="89" t="s">
        <x:v>62</x:v>
      </x:c>
      <x:c r="P275" s="89" t="s">
        <x:v>67</x:v>
      </x:c>
      <x:c r="Q275" s="89" t="s">
        <x:v>84</x:v>
      </x:c>
      <x:c r="R275" s="384" t="s">
        <x:v>227</x:v>
      </x:c>
    </x:row>
    <x:row r="276" spans="2:18" ht="11.5" customHeight="1" x14ac:dyDescent="0.25">
      <x:c r="D276" t="s">
        <x:v>72</x:v>
      </x:c>
      <x:c r="E276" s="89">
        <x:v>76457865.810000002</x:v>
      </x:c>
      <x:c r="F276" s="89">
        <x:v>3641666.89</x:v>
      </x:c>
      <x:c r="G276" s="89">
        <x:v>2133608.73</x:v>
      </x:c>
      <x:c r="H276" s="219">
        <x:v>921850.4</x:v>
      </x:c>
      <x:c r="I276" s="89">
        <x:v>19097451.010000002</x:v>
      </x:c>
      <x:c r="J276" s="89">
        <x:v>695259.51</x:v>
      </x:c>
      <x:c r="K276" s="89">
        <x:v>0</x:v>
      </x:c>
      <x:c r="L276" s="89">
        <x:v>6005916.7599999998</x:v>
      </x:c>
      <x:c r="M276" s="89">
        <x:v>5940381.5199999996</x:v>
      </x:c>
      <x:c r="N276" s="89">
        <x:v>26946237.780000001</x:v>
      </x:c>
      <x:c r="O276" s="89">
        <x:v>9968241.8399999999</x:v>
      </x:c>
      <x:c r="P276" s="89">
        <x:v>1107336.69</x:v>
      </x:c>
      <x:c r="Q276" s="89">
        <x:v>-85.32</x:v>
      </x:c>
      <x:c r="R276" s="384">
        <x:v>0</x:v>
      </x:c>
    </x:row>
    <x:row r="277" spans="2:18" ht="12.75" customHeight="1" x14ac:dyDescent="0.25">
      <x:c r="D277" t="s">
        <x:v>81</x:v>
      </x:c>
      <x:c r="E277" s="384">
        <x:v>-546491.49</x:v>
      </x:c>
      <x:c r="F277" s="89">
        <x:v>1918.82</x:v>
      </x:c>
      <x:c r="G277" s="89">
        <x:v>919.78</x:v>
      </x:c>
      <x:c r="H277" s="384">
        <x:v>476.91</x:v>
      </x:c>
      <x:c r="I277" s="89">
        <x:v>3849.93</x:v>
      </x:c>
      <x:c r="J277" s="89">
        <x:v>129.94</x:v>
      </x:c>
      <x:c r="K277" s="89">
        <x:v>0</x:v>
      </x:c>
      <x:c r="L277" s="89">
        <x:v>1057.79</x:v>
      </x:c>
      <x:c r="M277" s="89">
        <x:v>1241.1199999999999</x:v>
      </x:c>
      <x:c r="N277" s="89">
        <x:v>-561414.15</x:v>
      </x:c>
      <x:c r="O277" s="89">
        <x:v>5114.92</x:v>
      </x:c>
      <x:c r="P277" s="89">
        <x:v>213.4</x:v>
      </x:c>
      <x:c r="Q277" s="89">
        <x:v>0.05</x:v>
      </x:c>
      <x:c r="R277" s="384">
        <x:v>0</x:v>
      </x:c>
    </x:row>
    <x:row r="278" spans="2:18" ht="12.75" customHeight="1" x14ac:dyDescent="0.25">
      <x:c r="C278" t="s">
        <x:v>156</x:v>
      </x:c>
      <x:c r="D278" t="s">
        <x:v>70</x:v>
      </x:c>
      <x:c r="E278" s="384">
        <x:v>75911374.319999993</x:v>
      </x:c>
      <x:c r="F278" s="89">
        <x:v>3643585.71</x:v>
      </x:c>
      <x:c r="G278" s="89">
        <x:v>2134528.5099999998</x:v>
      </x:c>
      <x:c r="H278" s="384">
        <x:v>922327.31</x:v>
      </x:c>
      <x:c r="I278" s="89">
        <x:v>19101300.940000001</x:v>
      </x:c>
      <x:c r="J278" s="89">
        <x:v>695389.45</x:v>
      </x:c>
      <x:c r="K278" s="89">
        <x:v>0</x:v>
      </x:c>
      <x:c r="L278" s="89">
        <x:v>6006974.5499999998</x:v>
      </x:c>
      <x:c r="M278" s="89">
        <x:v>5941622.6399999997</x:v>
      </x:c>
      <x:c r="N278" s="89">
        <x:v>26384823.629999999</x:v>
      </x:c>
      <x:c r="O278" s="89">
        <x:v>9973356.7599999998</x:v>
      </x:c>
      <x:c r="P278" s="89">
        <x:v>1107550.0900000001</x:v>
      </x:c>
      <x:c r="Q278" s="89">
        <x:v>-85.27</x:v>
      </x:c>
      <x:c r="R278">
        <x:v>0</x:v>
      </x:c>
    </x:row>
    <x:row r="279" spans="2:18" s="286" customFormat="1" ht="12.75" customHeight="1" x14ac:dyDescent="0.25">
      <x:c r="B279" s="286" t="s">
        <x:v>155</x:v>
      </x:c>
      <x:c r="C279" s="286" t="s">
        <x:v>70</x:v>
      </x:c>
      <x:c r="E279" s="754">
        <x:v>75911374.319999993</x:v>
      </x:c>
      <x:c r="F279" s="229">
        <x:v>3643585.71</x:v>
      </x:c>
      <x:c r="G279" s="229">
        <x:v>2134528.5099999998</x:v>
      </x:c>
      <x:c r="H279" s="754">
        <x:v>922327.31</x:v>
      </x:c>
      <x:c r="I279" s="229">
        <x:v>19101300.940000001</x:v>
      </x:c>
      <x:c r="J279" s="229">
        <x:v>695389.45</x:v>
      </x:c>
      <x:c r="K279" s="229">
        <x:v>0</x:v>
      </x:c>
      <x:c r="L279" s="229">
        <x:v>6006974.5499999998</x:v>
      </x:c>
      <x:c r="M279" s="229">
        <x:v>5941622.6399999997</x:v>
      </x:c>
      <x:c r="N279" s="229">
        <x:v>26384823.629999999</x:v>
      </x:c>
      <x:c r="O279" s="229">
        <x:v>9973356.7599999998</x:v>
      </x:c>
      <x:c r="P279" s="229">
        <x:v>1107550.0900000001</x:v>
      </x:c>
      <x:c r="Q279" s="229">
        <x:v>-85.27</x:v>
      </x:c>
      <x:c r="R279" s="286">
        <x:v>0</x:v>
      </x:c>
    </x:row>
    <x:row r="280" spans="2:18" ht="12.75" customHeight="1" x14ac:dyDescent="0.25">
      <x:c r="D280" t="s">
        <x:v>72</x:v>
      </x:c>
      <x:c r="E280" s="384">
        <x:v>18002757.07</x:v>
      </x:c>
      <x:c r="F280" s="89">
        <x:v>1980153.06</x:v>
      </x:c>
      <x:c r="G280" s="89">
        <x:v>1079854.53</x:v>
      </x:c>
      <x:c r="H280" s="384">
        <x:v>147100.26999999999</x:v>
      </x:c>
      <x:c r="I280" s="89">
        <x:v>3091993.19</x:v>
      </x:c>
      <x:c r="J280" s="89">
        <x:v>84501.79</x:v>
      </x:c>
      <x:c r="K280" s="89">
        <x:v>0</x:v>
      </x:c>
      <x:c r="L280" s="89">
        <x:v>825464.85</x:v>
      </x:c>
      <x:c r="M280" s="89">
        <x:v>929998.07</x:v>
      </x:c>
      <x:c r="N280" s="89">
        <x:v>4347249.1399999997</x:v>
      </x:c>
      <x:c r="O280" s="89">
        <x:v>5394420.5199999996</x:v>
      </x:c>
      <x:c r="P280" s="89">
        <x:v>121980.8</x:v>
      </x:c>
      <x:c r="Q280" s="89">
        <x:v>40.85</x:v>
      </x:c>
      <x:c r="R280">
        <x:v>0</x:v>
      </x:c>
    </x:row>
    <x:row r="281" spans="2:18" ht="12.75" customHeight="1" x14ac:dyDescent="0.25">
      <x:c r="D281" t="s">
        <x:v>81</x:v>
      </x:c>
      <x:c r="E281" s="384">
        <x:v>-51796.34</x:v>
      </x:c>
      <x:c r="F281" s="89">
        <x:v>3.25</x:v>
      </x:c>
      <x:c r="G281" s="89">
        <x:v>1.82</x:v>
      </x:c>
      <x:c r="H281" s="384">
        <x:v>1.49</x:v>
      </x:c>
      <x:c r="I281" s="89">
        <x:v>15.8</x:v>
      </x:c>
      <x:c r="J281" s="89">
        <x:v>0.87</x:v>
      </x:c>
      <x:c r="K281" s="89">
        <x:v>0</x:v>
      </x:c>
      <x:c r="L281" s="89">
        <x:v>4.9000000000000004</x:v>
      </x:c>
      <x:c r="M281" s="89">
        <x:v>4.8899999999999997</x:v>
      </x:c>
      <x:c r="N281" s="89">
        <x:v>-51839.46</x:v>
      </x:c>
      <x:c r="O281" s="89">
        <x:v>8.66</x:v>
      </x:c>
      <x:c r="P281" s="89">
        <x:v>1.44</x:v>
      </x:c>
      <x:c r="Q281" s="89">
        <x:v>0</x:v>
      </x:c>
      <x:c r="R281">
        <x:v>0</x:v>
      </x:c>
    </x:row>
    <x:row r="282" spans="2:18" ht="12.75" customHeight="1" x14ac:dyDescent="0.25">
      <x:c r="C282" t="s">
        <x:v>115</x:v>
      </x:c>
      <x:c r="D282" t="s">
        <x:v>70</x:v>
      </x:c>
      <x:c r="E282" s="384">
        <x:v>17950960.73</x:v>
      </x:c>
      <x:c r="F282" s="89">
        <x:v>1980156.31</x:v>
      </x:c>
      <x:c r="G282" s="89">
        <x:v>1079856.3500000001</x:v>
      </x:c>
      <x:c r="H282" s="384">
        <x:v>147101.76000000001</x:v>
      </x:c>
      <x:c r="I282" s="89">
        <x:v>3092008.99</x:v>
      </x:c>
      <x:c r="J282" s="89">
        <x:v>84502.66</x:v>
      </x:c>
      <x:c r="K282" s="89">
        <x:v>0</x:v>
      </x:c>
      <x:c r="L282" s="89">
        <x:v>825469.75</x:v>
      </x:c>
      <x:c r="M282" s="89">
        <x:v>930002.96</x:v>
      </x:c>
      <x:c r="N282" s="89">
        <x:v>4295409.68</x:v>
      </x:c>
      <x:c r="O282" s="89">
        <x:v>5394429.1799999997</x:v>
      </x:c>
      <x:c r="P282" s="89">
        <x:v>121982.24</x:v>
      </x:c>
      <x:c r="Q282" s="89">
        <x:v>40.85</x:v>
      </x:c>
      <x:c r="R282">
        <x:v>0</x:v>
      </x:c>
    </x:row>
    <x:row r="283" spans="2:18" ht="12.75" customHeight="1" x14ac:dyDescent="0.25">
      <x:c r="D283" t="s">
        <x:v>72</x:v>
      </x:c>
      <x:c r="E283" s="384">
        <x:v>6669914.1100000003</x:v>
      </x:c>
      <x:c r="F283" s="89">
        <x:v>1324974.27</x:v>
      </x:c>
      <x:c r="G283" s="89">
        <x:v>751701.9</x:v>
      </x:c>
      <x:c r="H283" s="384">
        <x:v>74006.929999999993</x:v>
      </x:c>
      <x:c r="I283" s="89">
        <x:v>332831.09000000003</x:v>
      </x:c>
      <x:c r="J283" s="89">
        <x:v>10219.219999999999</x:v>
      </x:c>
      <x:c r="K283" s="89">
        <x:v>0</x:v>
      </x:c>
      <x:c r="L283" s="89">
        <x:v>73839.360000000001</x:v>
      </x:c>
      <x:c r="M283" s="89">
        <x:v>81220.13</x:v>
      </x:c>
      <x:c r="N283" s="89">
        <x:v>435049.09</x:v>
      </x:c>
      <x:c r="O283" s="89">
        <x:v>3571186.75</x:v>
      </x:c>
      <x:c r="P283" s="89">
        <x:v>14889.6</x:v>
      </x:c>
      <x:c r="Q283" s="89">
        <x:v>-4.2300000000000004</x:v>
      </x:c>
      <x:c r="R283">
        <x:v>0</x:v>
      </x:c>
    </x:row>
    <x:row r="284" spans="2:18" ht="12.75" customHeight="1" x14ac:dyDescent="0.25">
      <x:c r="D284" t="s">
        <x:v>81</x:v>
      </x:c>
      <x:c r="E284" s="384">
        <x:v>-8785.59</x:v>
      </x:c>
      <x:c r="F284" s="89">
        <x:v>0</x:v>
      </x:c>
      <x:c r="G284" s="89">
        <x:v>0</x:v>
      </x:c>
      <x:c r="H284" s="384">
        <x:v>0</x:v>
      </x:c>
      <x:c r="I284" s="89">
        <x:v>0</x:v>
      </x:c>
      <x:c r="J284" s="89">
        <x:v>0</x:v>
      </x:c>
      <x:c r="K284" s="89">
        <x:v>0</x:v>
      </x:c>
      <x:c r="L284" s="89">
        <x:v>0</x:v>
      </x:c>
      <x:c r="M284" s="89">
        <x:v>0</x:v>
      </x:c>
      <x:c r="N284" s="89">
        <x:v>-8785.59</x:v>
      </x:c>
      <x:c r="O284" s="89">
        <x:v>0</x:v>
      </x:c>
      <x:c r="P284" s="89">
        <x:v>0</x:v>
      </x:c>
      <x:c r="Q284" s="89">
        <x:v>0</x:v>
      </x:c>
      <x:c r="R284">
        <x:v>0</x:v>
      </x:c>
    </x:row>
    <x:row r="285" spans="2:18" ht="12.75" customHeight="1" x14ac:dyDescent="0.25">
      <x:c r="C285" t="s">
        <x:v>116</x:v>
      </x:c>
      <x:c r="D285" t="s">
        <x:v>70</x:v>
      </x:c>
      <x:c r="E285" s="384">
        <x:v>6661128.5199999996</x:v>
      </x:c>
      <x:c r="F285" s="89">
        <x:v>1324974.27</x:v>
      </x:c>
      <x:c r="G285" s="89">
        <x:v>751701.9</x:v>
      </x:c>
      <x:c r="H285" s="384">
        <x:v>74006.929999999993</x:v>
      </x:c>
      <x:c r="I285" s="89">
        <x:v>332831.09000000003</x:v>
      </x:c>
      <x:c r="J285" s="89">
        <x:v>10219.219999999999</x:v>
      </x:c>
      <x:c r="K285" s="89">
        <x:v>0</x:v>
      </x:c>
      <x:c r="L285" s="89">
        <x:v>73839.360000000001</x:v>
      </x:c>
      <x:c r="M285" s="89">
        <x:v>81220.13</x:v>
      </x:c>
      <x:c r="N285" s="89">
        <x:v>426263.5</x:v>
      </x:c>
      <x:c r="O285" s="89">
        <x:v>3571186.75</x:v>
      </x:c>
      <x:c r="P285" s="89">
        <x:v>14889.6</x:v>
      </x:c>
      <x:c r="Q285" s="89">
        <x:v>-4.2300000000000004</x:v>
      </x:c>
      <x:c r="R285">
        <x:v>0</x:v>
      </x:c>
    </x:row>
    <x:row r="286" spans="2:18" ht="12.75" customHeight="1" x14ac:dyDescent="0.25">
      <x:c r="D286" t="s">
        <x:v>72</x:v>
      </x:c>
      <x:c r="E286" s="384">
        <x:v>18793865.449999999</x:v>
      </x:c>
      <x:c r="F286" s="89">
        <x:v>1178975.76</x:v>
      </x:c>
      <x:c r="G286" s="89">
        <x:v>662155.76</x:v>
      </x:c>
      <x:c r="H286" s="384">
        <x:v>252823.43</x:v>
      </x:c>
      <x:c r="I286" s="89">
        <x:v>4498808.16</x:v>
      </x:c>
      <x:c r="J286" s="89">
        <x:v>134388.49</x:v>
      </x:c>
      <x:c r="K286" s="89">
        <x:v>0</x:v>
      </x:c>
      <x:c r="L286" s="89">
        <x:v>1287740.81</x:v>
      </x:c>
      <x:c r="M286" s="89">
        <x:v>1382529.63</x:v>
      </x:c>
      <x:c r="N286" s="89">
        <x:v>5942810.0499999998</x:v>
      </x:c>
      <x:c r="O286" s="89">
        <x:v>3255861.06</x:v>
      </x:c>
      <x:c r="P286" s="89">
        <x:v>197723.5</x:v>
      </x:c>
      <x:c r="Q286" s="89">
        <x:v>48.8</x:v>
      </x:c>
      <x:c r="R286">
        <x:v>0</x:v>
      </x:c>
    </x:row>
    <x:row r="287" spans="2:18" ht="12.75" customHeight="1" x14ac:dyDescent="0.25">
      <x:c r="D287" t="s">
        <x:v>81</x:v>
      </x:c>
      <x:c r="E287" s="384">
        <x:v>-95398.53</x:v>
      </x:c>
      <x:c r="F287" s="89">
        <x:v>34.9</x:v>
      </x:c>
      <x:c r="G287" s="89">
        <x:v>18.75</x:v>
      </x:c>
      <x:c r="H287" s="384">
        <x:v>10.18</x:v>
      </x:c>
      <x:c r="I287" s="89">
        <x:v>106.03</x:v>
      </x:c>
      <x:c r="J287" s="89">
        <x:v>3.53</x:v>
      </x:c>
      <x:c r="K287" s="89">
        <x:v>0</x:v>
      </x:c>
      <x:c r="L287" s="89">
        <x:v>31</x:v>
      </x:c>
      <x:c r="M287" s="89">
        <x:v>32.71</x:v>
      </x:c>
      <x:c r="N287" s="89">
        <x:v>-95734.22</x:v>
      </x:c>
      <x:c r="O287" s="89">
        <x:v>92.81</x:v>
      </x:c>
      <x:c r="P287" s="89">
        <x:v>5.78</x:v>
      </x:c>
      <x:c r="Q287" s="89">
        <x:v>0</x:v>
      </x:c>
      <x:c r="R287">
        <x:v>0</x:v>
      </x:c>
    </x:row>
    <x:row r="288" spans="2:18" ht="12.75" customHeight="1" x14ac:dyDescent="0.25">
      <x:c r="B288" s="89"/>
      <x:c r="C288" s="89" t="s">
        <x:v>118</x:v>
      </x:c>
      <x:c r="D288" t="s">
        <x:v>70</x:v>
      </x:c>
      <x:c r="E288" s="371">
        <x:v>18698466.920000002</x:v>
      </x:c>
      <x:c r="F288" s="90">
        <x:v>1179010.6599999999</x:v>
      </x:c>
      <x:c r="G288" s="90">
        <x:v>662174.51</x:v>
      </x:c>
      <x:c r="H288" s="90">
        <x:v>252833.61</x:v>
      </x:c>
      <x:c r="I288" s="90">
        <x:v>4498914.1900000004</x:v>
      </x:c>
      <x:c r="J288" s="90">
        <x:v>134392.01999999999</x:v>
      </x:c>
      <x:c r="K288" s="90">
        <x:v>0</x:v>
      </x:c>
      <x:c r="L288" s="90">
        <x:v>1287771.81</x:v>
      </x:c>
      <x:c r="M288" s="90">
        <x:v>1382562.34</x:v>
      </x:c>
      <x:c r="N288" s="90">
        <x:v>5847075.8300000001</x:v>
      </x:c>
      <x:c r="O288" s="90">
        <x:v>3255953.87</x:v>
      </x:c>
      <x:c r="P288" s="90">
        <x:v>197729.28</x:v>
      </x:c>
      <x:c r="Q288" s="90">
        <x:v>48.8</x:v>
      </x:c>
      <x:c r="R288">
        <x:v>0</x:v>
      </x:c>
    </x:row>
    <x:row r="289" spans="1:18" ht="12.75" customHeight="1" x14ac:dyDescent="0.25">
      <x:c r="B289" s="89"/>
      <x:c r="C289" s="89"/>
      <x:c r="D289" t="s">
        <x:v>72</x:v>
      </x:c>
      <x:c r="E289" s="371">
        <x:v>20152773.109999999</x:v>
      </x:c>
      <x:c r="F289" s="90">
        <x:v>4557090.0199999996</x:v>
      </x:c>
      <x:c r="G289" s="90">
        <x:v>2578655.79</x:v>
      </x:c>
      <x:c r="H289" s="90">
        <x:v>537655.12</x:v>
      </x:c>
      <x:c r="I289" s="90">
        <x:v>59605.89</x:v>
      </x:c>
      <x:c r="J289" s="90">
        <x:v>1466.04</x:v>
      </x:c>
      <x:c r="K289" s="90">
        <x:v>0</x:v>
      </x:c>
      <x:c r="L289" s="90">
        <x:v>12859.98</x:v>
      </x:c>
      <x:c r="M289" s="90">
        <x:v>18847.080000000002</x:v>
      </x:c>
      <x:c r="N289" s="90">
        <x:v>93515.82</x:v>
      </x:c>
      <x:c r="O289" s="90">
        <x:v>12290686.24</x:v>
      </x:c>
      <x:c r="P289" s="90">
        <x:v>2391.9899999999998</x:v>
      </x:c>
      <x:c r="Q289" s="90">
        <x:v>-0.86</x:v>
      </x:c>
      <x:c r="R289">
        <x:v>0</x:v>
      </x:c>
    </x:row>
    <x:row r="290" spans="1:18" ht="12.75" customHeight="1" x14ac:dyDescent="0.25">
      <x:c r="B290" s="89"/>
      <x:c r="C290" s="89"/>
      <x:c r="D290" t="s">
        <x:v>81</x:v>
      </x:c>
      <x:c r="E290" s="371">
        <x:v>-2377.86</x:v>
      </x:c>
      <x:c r="F290" s="90">
        <x:v>0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>
        <x:v>0</x:v>
      </x:c>
      <x:c r="M290" s="90">
        <x:v>0</x:v>
      </x:c>
      <x:c r="N290" s="90">
        <x:v>-2377.86</x:v>
      </x:c>
      <x:c r="O290" s="90">
        <x:v>0</x:v>
      </x:c>
      <x:c r="P290" s="90">
        <x:v>0</x:v>
      </x:c>
      <x:c r="Q290" s="90">
        <x:v>0</x:v>
      </x:c>
      <x:c r="R290">
        <x:v>0</x:v>
      </x:c>
    </x:row>
    <x:row r="291" spans="1:18" ht="12.75" customHeight="1" x14ac:dyDescent="0.25">
      <x:c r="B291" s="89"/>
      <x:c r="C291" s="89" t="s">
        <x:v>334</x:v>
      </x:c>
      <x:c r="D291" t="s">
        <x:v>70</x:v>
      </x:c>
      <x:c r="E291" s="371">
        <x:v>20150395.25</x:v>
      </x:c>
      <x:c r="F291" s="90">
        <x:v>4557090.0199999996</x:v>
      </x:c>
      <x:c r="G291" s="90">
        <x:v>2578655.79</x:v>
      </x:c>
      <x:c r="H291" s="90">
        <x:v>537655.12</x:v>
      </x:c>
      <x:c r="I291" s="90">
        <x:v>59605.89</x:v>
      </x:c>
      <x:c r="J291" s="90">
        <x:v>1466.04</x:v>
      </x:c>
      <x:c r="K291" s="90">
        <x:v>0</x:v>
      </x:c>
      <x:c r="L291" s="90">
        <x:v>12859.98</x:v>
      </x:c>
      <x:c r="M291" s="90">
        <x:v>18847.080000000002</x:v>
      </x:c>
      <x:c r="N291" s="90">
        <x:v>91137.96</x:v>
      </x:c>
      <x:c r="O291" s="90">
        <x:v>12290686.24</x:v>
      </x:c>
      <x:c r="P291" s="90">
        <x:v>2391.9899999999998</x:v>
      </x:c>
      <x:c r="Q291" s="90">
        <x:v>-0.86</x:v>
      </x:c>
      <x:c r="R291">
        <x:v>0</x:v>
      </x:c>
    </x:row>
    <x:row r="292" spans="1:18" s="224" customFormat="1" ht="12.75" customHeight="1" x14ac:dyDescent="0.25">
      <x:c r="B292" s="224" t="s">
        <x:v>120</x:v>
      </x:c>
      <x:c r="C292" s="223" t="s">
        <x:v>70</x:v>
      </x:c>
      <x:c r="D292" s="223"/>
      <x:c r="E292" s="225">
        <x:v>63460951.420000002</x:v>
      </x:c>
      <x:c r="F292" s="225">
        <x:v>9041231.2599999998</x:v>
      </x:c>
      <x:c r="G292" s="225">
        <x:v>5072388.55</x:v>
      </x:c>
      <x:c r="H292" s="225">
        <x:v>1011597.42</x:v>
      </x:c>
      <x:c r="I292" s="225">
        <x:v>7983360.1600000001</x:v>
      </x:c>
      <x:c r="J292" s="225">
        <x:v>230579.94</x:v>
      </x:c>
      <x:c r="K292" s="225">
        <x:v>0</x:v>
      </x:c>
      <x:c r="L292" s="225">
        <x:v>2199940.9</x:v>
      </x:c>
      <x:c r="M292" s="225">
        <x:v>2412632.5099999998</x:v>
      </x:c>
      <x:c r="N292" s="225">
        <x:v>10659886.970000001</x:v>
      </x:c>
      <x:c r="O292" s="225">
        <x:v>24512256.039999999</x:v>
      </x:c>
      <x:c r="P292" s="225">
        <x:v>336993.11</x:v>
      </x:c>
      <x:c r="Q292" s="225">
        <x:v>84.56</x:v>
      </x:c>
      <x:c r="R292" s="224">
        <x:v>0</x:v>
      </x:c>
    </x:row>
    <x:row r="293" spans="1:18" ht="12.75" customHeight="1" x14ac:dyDescent="0.25">
      <x:c r="C293" s="89"/>
      <x:c r="D293" s="89" t="s">
        <x:v>72</x:v>
      </x:c>
      <x:c r="E293" s="371">
        <x:v>2277123.2799999998</x:v>
      </x:c>
      <x:c r="F293" s="90">
        <x:v>152739.62</x:v>
      </x:c>
      <x:c r="G293" s="90">
        <x:v>87677.85</x:v>
      </x:c>
      <x:c r="H293" s="90">
        <x:v>38295.050000000003</x:v>
      </x:c>
      <x:c r="I293" s="90">
        <x:v>554007.76</x:v>
      </x:c>
      <x:c r="J293" s="90">
        <x:v>14388.41</x:v>
      </x:c>
      <x:c r="K293" s="90">
        <x:v>0</x:v>
      </x:c>
      <x:c r="L293" s="90">
        <x:v>147147.26999999999</x:v>
      </x:c>
      <x:c r="M293" s="90">
        <x:v>179783.34</x:v>
      </x:c>
      <x:c r="N293" s="90">
        <x:v>665128.14</x:v>
      </x:c>
      <x:c r="O293" s="90">
        <x:v>417327.57</x:v>
      </x:c>
      <x:c r="P293" s="90">
        <x:v>20628.34</x:v>
      </x:c>
      <x:c r="Q293" s="90">
        <x:v>-7.0000000000000007E-2</x:v>
      </x:c>
      <x:c r="R293">
        <x:v>0</x:v>
      </x:c>
    </x:row>
    <x:row r="294" spans="1:18" ht="12.75" customHeight="1" x14ac:dyDescent="0.25">
      <x:c r="C294" s="89"/>
      <x:c r="D294" s="89" t="s">
        <x:v>81</x:v>
      </x:c>
      <x:c r="E294" s="371">
        <x:v>-10387.44</x:v>
      </x:c>
      <x:c r="F294" s="90">
        <x:v>1.9</x:v>
      </x:c>
      <x:c r="G294" s="90">
        <x:v>1.07</x:v>
      </x:c>
      <x:c r="H294" s="90">
        <x:v>0.56999999999999995</x:v>
      </x:c>
      <x:c r="I294" s="90">
        <x:v>4.54</x:v>
      </x:c>
      <x:c r="J294" s="90">
        <x:v>0.19</x:v>
      </x:c>
      <x:c r="K294" s="90">
        <x:v>0</x:v>
      </x:c>
      <x:c r="L294" s="90">
        <x:v>1.71</x:v>
      </x:c>
      <x:c r="M294" s="90">
        <x:v>1.68</x:v>
      </x:c>
      <x:c r="N294" s="90">
        <x:v>-10404.469999999999</x:v>
      </x:c>
      <x:c r="O294" s="90">
        <x:v>5.05</x:v>
      </x:c>
      <x:c r="P294" s="90">
        <x:v>0.32</x:v>
      </x:c>
      <x:c r="Q294" s="90">
        <x:v>0</x:v>
      </x:c>
      <x:c r="R294">
        <x:v>0</x:v>
      </x:c>
    </x:row>
    <x:row r="295" spans="1:18" ht="12.75" customHeight="1" x14ac:dyDescent="0.25">
      <x:c r="C295" s="89" t="s">
        <x:v>82</x:v>
      </x:c>
      <x:c r="D295" s="89" t="s">
        <x:v>70</x:v>
      </x:c>
      <x:c r="E295" s="371">
        <x:v>2266735.84</x:v>
      </x:c>
      <x:c r="F295" s="90">
        <x:v>152741.51999999999</x:v>
      </x:c>
      <x:c r="G295" s="90">
        <x:v>87678.92</x:v>
      </x:c>
      <x:c r="H295" s="90">
        <x:v>38295.620000000003</x:v>
      </x:c>
      <x:c r="I295" s="90">
        <x:v>554012.30000000005</x:v>
      </x:c>
      <x:c r="J295" s="90">
        <x:v>14388.6</x:v>
      </x:c>
      <x:c r="K295" s="90">
        <x:v>0</x:v>
      </x:c>
      <x:c r="L295" s="90">
        <x:v>147148.98000000001</x:v>
      </x:c>
      <x:c r="M295" s="90">
        <x:v>179785.02</x:v>
      </x:c>
      <x:c r="N295" s="90">
        <x:v>654723.67000000004</x:v>
      </x:c>
      <x:c r="O295" s="90">
        <x:v>417332.62</x:v>
      </x:c>
      <x:c r="P295" s="90">
        <x:v>20628.66</x:v>
      </x:c>
      <x:c r="Q295" s="90">
        <x:v>-7.0000000000000007E-2</x:v>
      </x:c>
      <x:c r="R295">
        <x:v>0</x:v>
      </x:c>
    </x:row>
    <x:row r="296" spans="1:18" ht="12.75" customHeight="1" x14ac:dyDescent="0.25">
      <x:c r="C296" s="89"/>
      <x:c r="D296" s="89" t="s">
        <x:v>72</x:v>
      </x:c>
      <x:c r="E296" s="371">
        <x:v>17823216.399999999</x:v>
      </x:c>
      <x:c r="F296" s="90">
        <x:v>1523087.01</x:v>
      </x:c>
      <x:c r="G296" s="90">
        <x:v>848548.71</x:v>
      </x:c>
      <x:c r="H296" s="90">
        <x:v>462824.84</x:v>
      </x:c>
      <x:c r="I296" s="90">
        <x:v>2992961.48</x:v>
      </x:c>
      <x:c r="J296" s="90">
        <x:v>133872.67000000001</x:v>
      </x:c>
      <x:c r="K296" s="90">
        <x:v>0</x:v>
      </x:c>
      <x:c r="L296" s="90">
        <x:v>965569.75</x:v>
      </x:c>
      <x:c r="M296" s="90">
        <x:v>960588.18</x:v>
      </x:c>
      <x:c r="N296" s="90">
        <x:v>5618487.4000000004</x:v>
      </x:c>
      <x:c r="O296" s="90">
        <x:v>4104888.6</x:v>
      </x:c>
      <x:c r="P296" s="90">
        <x:v>212352.11</x:v>
      </x:c>
      <x:c r="Q296" s="90">
        <x:v>35.65</x:v>
      </x:c>
      <x:c r="R296">
        <x:v>0</x:v>
      </x:c>
    </x:row>
    <x:row r="297" spans="1:18" ht="12.75" customHeight="1" x14ac:dyDescent="0.25">
      <x:c r="C297" s="89"/>
      <x:c r="D297" s="89" t="s">
        <x:v>81</x:v>
      </x:c>
      <x:c r="E297" s="371">
        <x:v>-46587.5</x:v>
      </x:c>
      <x:c r="F297" s="90">
        <x:v>1483</x:v>
      </x:c>
      <x:c r="G297" s="90">
        <x:v>717.39</x:v>
      </x:c>
      <x:c r="H297" s="90">
        <x:v>339.69</x:v>
      </x:c>
      <x:c r="I297" s="90">
        <x:v>5293.47</x:v>
      </x:c>
      <x:c r="J297" s="90">
        <x:v>169.6</x:v>
      </x:c>
      <x:c r="K297" s="90">
        <x:v>0</x:v>
      </x:c>
      <x:c r="L297" s="90">
        <x:v>1488.2</x:v>
      </x:c>
      <x:c r="M297" s="90">
        <x:v>1776.19</x:v>
      </x:c>
      <x:c r="N297" s="90">
        <x:v>-62026.43</x:v>
      </x:c>
      <x:c r="O297" s="90">
        <x:v>3894.77</x:v>
      </x:c>
      <x:c r="P297" s="90">
        <x:v>276.56</x:v>
      </x:c>
      <x:c r="Q297" s="90">
        <x:v>0.06</x:v>
      </x:c>
      <x:c r="R297">
        <x:v>0</x:v>
      </x:c>
    </x:row>
    <x:row r="298" spans="1:18" ht="12.75" customHeight="1" x14ac:dyDescent="0.25">
      <x:c r="C298" s="89" t="s">
        <x:v>86</x:v>
      </x:c>
      <x:c r="D298" s="89" t="s">
        <x:v>70</x:v>
      </x:c>
      <x:c r="E298" s="371">
        <x:v>17776628.899999999</x:v>
      </x:c>
      <x:c r="F298" s="90">
        <x:v>1524570.01</x:v>
      </x:c>
      <x:c r="G298" s="90">
        <x:v>849266.1</x:v>
      </x:c>
      <x:c r="H298" s="90">
        <x:v>463164.53</x:v>
      </x:c>
      <x:c r="I298" s="90">
        <x:v>2998254.95</x:v>
      </x:c>
      <x:c r="J298" s="90">
        <x:v>134042.26999999999</x:v>
      </x:c>
      <x:c r="K298" s="90">
        <x:v>0</x:v>
      </x:c>
      <x:c r="L298" s="90">
        <x:v>967057.95</x:v>
      </x:c>
      <x:c r="M298" s="90">
        <x:v>962364.37</x:v>
      </x:c>
      <x:c r="N298" s="90">
        <x:v>5556460.9699999997</x:v>
      </x:c>
      <x:c r="O298" s="90">
        <x:v>4108783.37</x:v>
      </x:c>
      <x:c r="P298" s="90">
        <x:v>212628.67</x:v>
      </x:c>
      <x:c r="Q298" s="90">
        <x:v>35.71</x:v>
      </x:c>
      <x:c r="R298">
        <x:v>0</x:v>
      </x:c>
    </x:row>
    <x:row r="299" spans="1:18" ht="12.75" customHeight="1" x14ac:dyDescent="0.25">
      <x:c r="C299" s="89"/>
      <x:c r="D299" s="89" t="s">
        <x:v>72</x:v>
      </x:c>
      <x:c r="E299" s="371">
        <x:v>13787623.17</x:v>
      </x:c>
      <x:c r="F299" s="90">
        <x:v>1736916.2</x:v>
      </x:c>
      <x:c r="G299" s="90">
        <x:v>917147.14</x:v>
      </x:c>
      <x:c r="H299" s="90">
        <x:v>417543.06</x:v>
      </x:c>
      <x:c r="I299" s="90">
        <x:v>1703135.96</x:v>
      </x:c>
      <x:c r="J299" s="90">
        <x:v>49848.3</x:v>
      </x:c>
      <x:c r="K299" s="90">
        <x:v>0</x:v>
      </x:c>
      <x:c r="L299" s="90">
        <x:v>466832.57</x:v>
      </x:c>
      <x:c r="M299" s="90">
        <x:v>613137.31999999995</x:v>
      </x:c>
      <x:c r="N299" s="90">
        <x:v>3103461.76</x:v>
      </x:c>
      <x:c r="O299" s="90">
        <x:v>4698151.2699999996</x:v>
      </x:c>
      <x:c r="P299" s="90">
        <x:v>81479.960000000006</x:v>
      </x:c>
      <x:c r="Q299" s="90">
        <x:v>-30.37</x:v>
      </x:c>
      <x:c r="R299">
        <x:v>0</x:v>
      </x:c>
    </x:row>
    <x:row r="300" spans="1:18" ht="12.75" customHeight="1" x14ac:dyDescent="0.25">
      <x:c r="C300" s="89"/>
      <x:c r="D300" s="89" t="s">
        <x:v>81</x:v>
      </x:c>
      <x:c r="E300" s="371">
        <x:v>-32280.94</x:v>
      </x:c>
      <x:c r="F300" s="90">
        <x:v>60.61</x:v>
      </x:c>
      <x:c r="G300" s="90">
        <x:v>33.97</x:v>
      </x:c>
      <x:c r="H300" s="90">
        <x:v>18.12</x:v>
      </x:c>
      <x:c r="I300" s="90">
        <x:v>181.51</x:v>
      </x:c>
      <x:c r="J300" s="90">
        <x:v>4.47</x:v>
      </x:c>
      <x:c r="K300" s="90">
        <x:v>0</x:v>
      </x:c>
      <x:c r="L300" s="90">
        <x:v>38.979999999999997</x:v>
      </x:c>
      <x:c r="M300" s="90">
        <x:v>56.44</x:v>
      </x:c>
      <x:c r="N300" s="90">
        <x:v>-32843.919999999998</x:v>
      </x:c>
      <x:c r="O300" s="90">
        <x:v>161.6</x:v>
      </x:c>
      <x:c r="P300" s="90">
        <x:v>7.28</x:v>
      </x:c>
      <x:c r="Q300" s="90">
        <x:v>0</x:v>
      </x:c>
      <x:c r="R300">
        <x:v>0</x:v>
      </x:c>
    </x:row>
    <x:row r="301" spans="1:18" ht="12.75" customHeight="1" x14ac:dyDescent="0.25">
      <x:c r="A301" s="89"/>
      <x:c r="B301" s="89"/>
      <x:c r="C301" t="s">
        <x:v>87</x:v>
      </x:c>
      <x:c r="D301" t="s">
        <x:v>70</x:v>
      </x:c>
      <x:c r="E301" s="90">
        <x:v>13755342.23</x:v>
      </x:c>
      <x:c r="F301" s="90">
        <x:v>1736976.81</x:v>
      </x:c>
      <x:c r="G301" s="90">
        <x:v>917181.11</x:v>
      </x:c>
      <x:c r="H301" s="90">
        <x:v>417561.18</x:v>
      </x:c>
      <x:c r="I301" s="90">
        <x:v>1703317.47</x:v>
      </x:c>
      <x:c r="J301" s="90">
        <x:v>49852.77</x:v>
      </x:c>
      <x:c r="K301" s="90">
        <x:v>0</x:v>
      </x:c>
      <x:c r="L301" s="90">
        <x:v>466871.55</x:v>
      </x:c>
      <x:c r="M301" s="90">
        <x:v>613193.76</x:v>
      </x:c>
      <x:c r="N301" s="90">
        <x:v>3070617.84</x:v>
      </x:c>
      <x:c r="O301" s="90">
        <x:v>4698312.87</x:v>
      </x:c>
      <x:c r="P301" s="90">
        <x:v>81487.240000000005</x:v>
      </x:c>
      <x:c r="Q301" s="90">
        <x:v>-30.37</x:v>
      </x:c>
      <x:c r="R301">
        <x:v>0</x:v>
      </x:c>
    </x:row>
    <x:row r="302" spans="1:18" s="94" customFormat="1" ht="12.75" customHeight="1" x14ac:dyDescent="0.25">
      <x:c r="B302" s="101" t="s">
        <x:v>119</x:v>
      </x:c>
      <x:c r="C302" s="101" t="s">
        <x:v>70</x:v>
      </x:c>
      <x:c r="E302" s="93">
        <x:v>33798706.969999999</x:v>
      </x:c>
      <x:c r="F302" s="93">
        <x:v>3414288.34</x:v>
      </x:c>
      <x:c r="G302" s="93">
        <x:v>1854126.13</x:v>
      </x:c>
      <x:c r="H302" s="93">
        <x:v>919021.33</x:v>
      </x:c>
      <x:c r="I302" s="93">
        <x:v>5255584.72</x:v>
      </x:c>
      <x:c r="J302" s="93">
        <x:v>198283.64</x:v>
      </x:c>
      <x:c r="K302" s="93">
        <x:v>0</x:v>
      </x:c>
      <x:c r="L302" s="93">
        <x:v>1581078.48</x:v>
      </x:c>
      <x:c r="M302" s="93">
        <x:v>1755343.15</x:v>
      </x:c>
      <x:c r="N302" s="93">
        <x:v>9281802.4800000004</x:v>
      </x:c>
      <x:c r="O302" s="93">
        <x:v>9224428.8599999994</x:v>
      </x:c>
      <x:c r="P302" s="93">
        <x:v>314744.57</x:v>
      </x:c>
      <x:c r="Q302" s="93">
        <x:v>5.27</x:v>
      </x:c>
      <x:c r="R302" s="94">
        <x:v>0</x:v>
      </x:c>
    </x:row>
    <x:row r="303" spans="1:18" s="226" customFormat="1" ht="12.75" customHeight="1" x14ac:dyDescent="0.25">
      <x:c r="A303" s="98" t="s">
        <x:v>78</x:v>
      </x:c>
      <x:c r="B303" s="98" t="s">
        <x:v>70</x:v>
      </x:c>
      <x:c r="E303" s="100" t="n">
        <x:v>126782453.43</x:v>
      </x:c>
      <x:c r="F303" s="100">
        <x:v>16099105.310000001</x:v>
      </x:c>
      <x:c r="G303" s="100">
        <x:v>9061043.1899999995</x:v>
      </x:c>
      <x:c r="H303" s="100">
        <x:v>2852946.06</x:v>
      </x:c>
      <x:c r="I303" s="100">
        <x:v>32340245.82</x:v>
      </x:c>
      <x:c r="J303" s="100">
        <x:v>1124253.03</x:v>
      </x:c>
      <x:c r="K303" s="100" t="n">
        <x:v>95764.91</x:v>
      </x:c>
      <x:c r="L303" s="100">
        <x:v>9787993.9299999997</x:v>
      </x:c>
      <x:c r="M303" s="100">
        <x:v>10109598.300000001</x:v>
      </x:c>
      <x:c r="N303" s="100">
        <x:v>46326513.079999998</x:v>
      </x:c>
      <x:c r="O303" s="100">
        <x:v>43710041.659999996</x:v>
      </x:c>
      <x:c r="P303" s="100">
        <x:v>1759287.77</x:v>
      </x:c>
      <x:c r="Q303" s="100">
        <x:v>4.5599999999999996</x:v>
      </x:c>
      <x:c r="R303" s="226">
        <x:v>0</x:v>
      </x:c>
    </x:row>
    <x:row r="304" spans="1:18" ht="12.75" customHeight="1" x14ac:dyDescent="0.25">
      <x:c r="B304" s="89"/>
      <x:c r="C304" s="89"/>
      <x:c r="D304" t="s">
        <x:v>73</x:v>
      </x:c>
      <x:c r="E304" s="371">
        <x:v>-15136443.210000001</x:v>
      </x:c>
      <x:c r="F304" s="90">
        <x:v>-369511.1</x:v>
      </x:c>
      <x:c r="G304" s="90">
        <x:v>-227710.81</x:v>
      </x:c>
      <x:c r="H304" s="90">
        <x:v>-126803.1</x:v>
      </x:c>
      <x:c r="I304" s="90">
        <x:v>-4033648.5</x:v>
      </x:c>
      <x:c r="J304" s="90">
        <x:v>-147379.69</x:v>
      </x:c>
      <x:c r="K304" s="90">
        <x:v>0</x:v>
      </x:c>
      <x:c r="L304" s="90">
        <x:v>-1289953.2</x:v>
      </x:c>
      <x:c r="M304" s="90">
        <x:v>-1256717.02</x:v>
      </x:c>
      <x:c r="N304" s="90">
        <x:v>-6507002.75</x:v>
      </x:c>
      <x:c r="O304" s="90">
        <x:v>-933290.3</x:v>
      </x:c>
      <x:c r="P304" s="90">
        <x:v>-244426.74</x:v>
      </x:c>
      <x:c r="Q304" s="90">
        <x:v>0</x:v>
      </x:c>
      <x:c r="R304">
        <x:v>0</x:v>
      </x:c>
    </x:row>
    <x:row r="305" spans="2:18" ht="12.75" customHeight="1" x14ac:dyDescent="0.25">
      <x:c r="B305" s="89"/>
      <x:c r="C305" s="89" t="s">
        <x:v>156</x:v>
      </x:c>
      <x:c r="D305" t="s">
        <x:v>70</x:v>
      </x:c>
      <x:c r="E305" s="371">
        <x:v>-15136443.210000001</x:v>
      </x:c>
      <x:c r="F305" s="90">
        <x:v>-369511.1</x:v>
      </x:c>
      <x:c r="G305" s="90">
        <x:v>-227710.81</x:v>
      </x:c>
      <x:c r="H305" s="90">
        <x:v>-126803.1</x:v>
      </x:c>
      <x:c r="I305" s="90">
        <x:v>-4033648.5</x:v>
      </x:c>
      <x:c r="J305" s="90">
        <x:v>-147379.69</x:v>
      </x:c>
      <x:c r="K305" s="90">
        <x:v>0</x:v>
      </x:c>
      <x:c r="L305" s="90">
        <x:v>-1289953.2</x:v>
      </x:c>
      <x:c r="M305" s="90">
        <x:v>-1256717.02</x:v>
      </x:c>
      <x:c r="N305" s="90">
        <x:v>-6507002.75</x:v>
      </x:c>
      <x:c r="O305" s="90">
        <x:v>-933290.3</x:v>
      </x:c>
      <x:c r="P305" s="90">
        <x:v>-244426.74</x:v>
      </x:c>
      <x:c r="Q305" s="90">
        <x:v>0</x:v>
      </x:c>
      <x:c r="R305">
        <x:v>0</x:v>
      </x:c>
    </x:row>
    <x:row r="306" spans="2:18" s="286" customFormat="1" ht="12.75" customHeight="1" x14ac:dyDescent="0.25">
      <x:c r="B306" s="229" t="s">
        <x:v>155</x:v>
      </x:c>
      <x:c r="C306" s="229" t="s">
        <x:v>70</x:v>
      </x:c>
      <x:c r="E306" s="753">
        <x:v>-15136443.210000001</x:v>
      </x:c>
      <x:c r="F306" s="230">
        <x:v>-369511.1</x:v>
      </x:c>
      <x:c r="G306" s="230">
        <x:v>-227710.81</x:v>
      </x:c>
      <x:c r="H306" s="230">
        <x:v>-126803.1</x:v>
      </x:c>
      <x:c r="I306" s="230">
        <x:v>-4033648.5</x:v>
      </x:c>
      <x:c r="J306" s="230">
        <x:v>-147379.69</x:v>
      </x:c>
      <x:c r="K306" s="230">
        <x:v>0</x:v>
      </x:c>
      <x:c r="L306" s="230">
        <x:v>-1289953.2</x:v>
      </x:c>
      <x:c r="M306" s="230">
        <x:v>-1256717.02</x:v>
      </x:c>
      <x:c r="N306" s="230">
        <x:v>-6507002.75</x:v>
      </x:c>
      <x:c r="O306" s="230">
        <x:v>-933290.3</x:v>
      </x:c>
      <x:c r="P306" s="230">
        <x:v>-244426.74</x:v>
      </x:c>
      <x:c r="Q306" s="230">
        <x:v>0</x:v>
      </x:c>
      <x:c r="R306" s="286">
        <x:v>0</x:v>
      </x:c>
    </x:row>
    <x:row r="307" spans="2:18" ht="12.75" customHeight="1" x14ac:dyDescent="0.25">
      <x:c r="B307" s="89"/>
      <x:c r="C307" s="89"/>
      <x:c r="D307" t="s">
        <x:v>73</x:v>
      </x:c>
      <x:c r="E307" s="371">
        <x:v>-1043741.98</x:v>
      </x:c>
      <x:c r="F307" s="90">
        <x:v>-14192.02</x:v>
      </x:c>
      <x:c r="G307" s="90">
        <x:v>-10774.43</x:v>
      </x:c>
      <x:c r="H307" s="90">
        <x:v>-10859.18</x:v>
      </x:c>
      <x:c r="I307" s="90">
        <x:v>-330949.89</x:v>
      </x:c>
      <x:c r="J307" s="90">
        <x:v>-7903.04</x:v>
      </x:c>
      <x:c r="K307" s="90">
        <x:v>0</x:v>
      </x:c>
      <x:c r="L307" s="90">
        <x:v>-70303.88</x:v>
      </x:c>
      <x:c r="M307" s="90">
        <x:v>-94909.58</x:v>
      </x:c>
      <x:c r="N307" s="90">
        <x:v>-462724.97</x:v>
      </x:c>
      <x:c r="O307" s="90">
        <x:v>-28052.959999999999</x:v>
      </x:c>
      <x:c r="P307" s="90">
        <x:v>-13072.03</x:v>
      </x:c>
      <x:c r="Q307" s="90">
        <x:v>0</x:v>
      </x:c>
      <x:c r="R307">
        <x:v>0</x:v>
      </x:c>
    </x:row>
    <x:row r="308" spans="2:18" ht="12.75" customHeight="1" x14ac:dyDescent="0.25">
      <x:c r="B308" s="89"/>
      <x:c r="C308" s="89" t="s">
        <x:v>115</x:v>
      </x:c>
      <x:c r="D308" t="s">
        <x:v>70</x:v>
      </x:c>
      <x:c r="E308" s="371">
        <x:v>-1043741.98</x:v>
      </x:c>
      <x:c r="F308" s="90">
        <x:v>-14192.02</x:v>
      </x:c>
      <x:c r="G308" s="90">
        <x:v>-10774.43</x:v>
      </x:c>
      <x:c r="H308" s="90">
        <x:v>-10859.18</x:v>
      </x:c>
      <x:c r="I308" s="90">
        <x:v>-330949.89</x:v>
      </x:c>
      <x:c r="J308" s="90">
        <x:v>-7903.04</x:v>
      </x:c>
      <x:c r="K308" s="90">
        <x:v>0</x:v>
      </x:c>
      <x:c r="L308" s="90">
        <x:v>-70303.88</x:v>
      </x:c>
      <x:c r="M308" s="90">
        <x:v>-94909.58</x:v>
      </x:c>
      <x:c r="N308" s="90">
        <x:v>-462724.97</x:v>
      </x:c>
      <x:c r="O308" s="90">
        <x:v>-28052.959999999999</x:v>
      </x:c>
      <x:c r="P308" s="90">
        <x:v>-13072.03</x:v>
      </x:c>
      <x:c r="Q308" s="90">
        <x:v>0</x:v>
      </x:c>
      <x:c r="R308">
        <x:v>0</x:v>
      </x:c>
    </x:row>
    <x:row r="309" spans="2:18" ht="12.75" customHeight="1" x14ac:dyDescent="0.25">
      <x:c r="B309" s="89"/>
      <x:c r="C309" s="89"/>
      <x:c r="D309" t="s">
        <x:v>73</x:v>
      </x:c>
      <x:c r="E309" s="371">
        <x:v>409790.29</x:v>
      </x:c>
      <x:c r="F309" s="90">
        <x:v>71510.58</x:v>
      </x:c>
      <x:c r="G309" s="90">
        <x:v>40399.269999999997</x:v>
      </x:c>
      <x:c r="H309" s="90">
        <x:v>20582.099999999999</x:v>
      </x:c>
      <x:c r="I309" s="90">
        <x:v>26016.28</x:v>
      </x:c>
      <x:c r="J309" s="90">
        <x:v>512.45000000000005</x:v>
      </x:c>
      <x:c r="K309" s="90">
        <x:v>0</x:v>
      </x:c>
      <x:c r="L309" s="90">
        <x:v>4821.18</x:v>
      </x:c>
      <x:c r="M309" s="90">
        <x:v>7956.37</x:v>
      </x:c>
      <x:c r="N309" s="90">
        <x:v>47274.38</x:v>
      </x:c>
      <x:c r="O309" s="90">
        <x:v>190253.72</x:v>
      </x:c>
      <x:c r="P309" s="90">
        <x:v>463.96</x:v>
      </x:c>
      <x:c r="Q309" s="90">
        <x:v>0</x:v>
      </x:c>
      <x:c r="R309">
        <x:v>0</x:v>
      </x:c>
    </x:row>
    <x:row r="310" spans="2:18" ht="12.75" customHeight="1" x14ac:dyDescent="0.25">
      <x:c r="B310" s="89"/>
      <x:c r="C310" s="89" t="s">
        <x:v>116</x:v>
      </x:c>
      <x:c r="D310" t="s">
        <x:v>70</x:v>
      </x:c>
      <x:c r="E310" s="371">
        <x:v>409790.29</x:v>
      </x:c>
      <x:c r="F310" s="90">
        <x:v>71510.58</x:v>
      </x:c>
      <x:c r="G310" s="90">
        <x:v>40399.269999999997</x:v>
      </x:c>
      <x:c r="H310" s="90">
        <x:v>20582.099999999999</x:v>
      </x:c>
      <x:c r="I310" s="90">
        <x:v>26016.28</x:v>
      </x:c>
      <x:c r="J310" s="90">
        <x:v>512.45000000000005</x:v>
      </x:c>
      <x:c r="K310" s="90">
        <x:v>0</x:v>
      </x:c>
      <x:c r="L310" s="90">
        <x:v>4821.18</x:v>
      </x:c>
      <x:c r="M310" s="90">
        <x:v>7956.37</x:v>
      </x:c>
      <x:c r="N310" s="90">
        <x:v>47274.38</x:v>
      </x:c>
      <x:c r="O310" s="90">
        <x:v>190253.72</x:v>
      </x:c>
      <x:c r="P310" s="90">
        <x:v>463.96</x:v>
      </x:c>
      <x:c r="Q310" s="90">
        <x:v>0</x:v>
      </x:c>
      <x:c r="R310">
        <x:v>0</x:v>
      </x:c>
    </x:row>
    <x:row r="311" spans="2:18" ht="12.75" customHeight="1" x14ac:dyDescent="0.25">
      <x:c r="B311" s="89"/>
      <x:c r="C311" s="89"/>
      <x:c r="D311" t="s">
        <x:v>73</x:v>
      </x:c>
      <x:c r="E311" s="371">
        <x:v>-1982195.66</x:v>
      </x:c>
      <x:c r="F311" s="90">
        <x:v>-22977.42</x:v>
      </x:c>
      <x:c r="G311" s="90">
        <x:v>-17204.09</x:v>
      </x:c>
      <x:c r="H311" s="90">
        <x:v>-9704.7199999999993</x:v>
      </x:c>
      <x:c r="I311" s="90">
        <x:v>-625614.14</x:v>
      </x:c>
      <x:c r="J311" s="90">
        <x:v>-19604.240000000002</x:v>
      </x:c>
      <x:c r="K311" s="90">
        <x:v>0</x:v>
      </x:c>
      <x:c r="L311" s="90">
        <x:v>-164286.15</x:v>
      </x:c>
      <x:c r="M311" s="90">
        <x:v>-182986.96</x:v>
      </x:c>
      <x:c r="N311" s="90">
        <x:v>-899171.51</x:v>
      </x:c>
      <x:c r="O311" s="90">
        <x:v>-7932.64</x:v>
      </x:c>
      <x:c r="P311" s="90">
        <x:v>-32713.79</x:v>
      </x:c>
      <x:c r="Q311" s="90">
        <x:v>0</x:v>
      </x:c>
      <x:c r="R311">
        <x:v>0</x:v>
      </x:c>
    </x:row>
    <x:row r="312" spans="2:18" ht="12.75" customHeight="1" x14ac:dyDescent="0.25">
      <x:c r="B312" s="89"/>
      <x:c r="C312" s="89" t="s">
        <x:v>118</x:v>
      </x:c>
      <x:c r="D312" t="s">
        <x:v>70</x:v>
      </x:c>
      <x:c r="E312" s="371">
        <x:v>-1982195.66</x:v>
      </x:c>
      <x:c r="F312" s="90">
        <x:v>-22977.42</x:v>
      </x:c>
      <x:c r="G312" s="90">
        <x:v>-17204.09</x:v>
      </x:c>
      <x:c r="H312" s="90">
        <x:v>-9704.7199999999993</x:v>
      </x:c>
      <x:c r="I312" s="90">
        <x:v>-625614.14</x:v>
      </x:c>
      <x:c r="J312" s="90">
        <x:v>-19604.240000000002</x:v>
      </x:c>
      <x:c r="K312" s="90">
        <x:v>0</x:v>
      </x:c>
      <x:c r="L312" s="90">
        <x:v>-164286.15</x:v>
      </x:c>
      <x:c r="M312" s="90">
        <x:v>-182986.96</x:v>
      </x:c>
      <x:c r="N312" s="90">
        <x:v>-899171.51</x:v>
      </x:c>
      <x:c r="O312" s="90">
        <x:v>-7932.64</x:v>
      </x:c>
      <x:c r="P312" s="90">
        <x:v>-32713.79</x:v>
      </x:c>
      <x:c r="Q312" s="90">
        <x:v>0</x:v>
      </x:c>
      <x:c r="R312">
        <x:v>0</x:v>
      </x:c>
    </x:row>
    <x:row r="313" spans="2:18" ht="12.75" customHeight="1" x14ac:dyDescent="0.25">
      <x:c r="B313" s="89"/>
      <x:c r="C313" s="89"/>
      <x:c r="D313" t="s">
        <x:v>73</x:v>
      </x:c>
      <x:c r="E313" s="371">
        <x:v>5663564.75</x:v>
      </x:c>
      <x:c r="F313" s="90">
        <x:v>1321214.3500000001</x:v>
      </x:c>
      <x:c r="G313" s="90">
        <x:v>747616.79</x:v>
      </x:c>
      <x:c r="H313" s="90">
        <x:v>398940.3</x:v>
      </x:c>
      <x:c r="I313" s="90">
        <x:v>17881.759999999998</x:v>
      </x:c>
      <x:c r="J313" s="90">
        <x:v>439.81</x:v>
      </x:c>
      <x:c r="K313" s="90">
        <x:v>0</x:v>
      </x:c>
      <x:c r="L313" s="90">
        <x:v>3857.99</x:v>
      </x:c>
      <x:c r="M313" s="90">
        <x:v>5654.13</x:v>
      </x:c>
      <x:c r="N313" s="90">
        <x:v>28054.76</x:v>
      </x:c>
      <x:c r="O313" s="90">
        <x:v>3139187.26</x:v>
      </x:c>
      <x:c r="P313" s="90">
        <x:v>717.6</x:v>
      </x:c>
      <x:c r="Q313" s="90">
        <x:v>0</x:v>
      </x:c>
      <x:c r="R313">
        <x:v>0</x:v>
      </x:c>
    </x:row>
    <x:row r="314" spans="2:18" ht="12.75" customHeight="1" x14ac:dyDescent="0.25">
      <x:c r="B314" s="89"/>
      <x:c r="C314" s="89" t="s">
        <x:v>334</x:v>
      </x:c>
      <x:c r="D314" t="s">
        <x:v>70</x:v>
      </x:c>
      <x:c r="E314" s="371">
        <x:v>5663564.75</x:v>
      </x:c>
      <x:c r="F314" s="90">
        <x:v>1321214.3500000001</x:v>
      </x:c>
      <x:c r="G314" s="90">
        <x:v>747616.79</x:v>
      </x:c>
      <x:c r="H314" s="90">
        <x:v>398940.3</x:v>
      </x:c>
      <x:c r="I314" s="90">
        <x:v>17881.759999999998</x:v>
      </x:c>
      <x:c r="J314" s="90">
        <x:v>439.81</x:v>
      </x:c>
      <x:c r="K314" s="90">
        <x:v>0</x:v>
      </x:c>
      <x:c r="L314" s="90">
        <x:v>3857.99</x:v>
      </x:c>
      <x:c r="M314" s="90">
        <x:v>5654.13</x:v>
      </x:c>
      <x:c r="N314" s="90">
        <x:v>28054.76</x:v>
      </x:c>
      <x:c r="O314" s="90">
        <x:v>3139187.26</x:v>
      </x:c>
      <x:c r="P314" s="90">
        <x:v>717.6</x:v>
      </x:c>
      <x:c r="Q314" s="90">
        <x:v>0</x:v>
      </x:c>
      <x:c r="R314">
        <x:v>0</x:v>
      </x:c>
    </x:row>
    <x:row r="315" spans="2:18" s="224" customFormat="1" ht="12.75" customHeight="1" x14ac:dyDescent="0.25">
      <x:c r="B315" s="224" t="s">
        <x:v>120</x:v>
      </x:c>
      <x:c r="C315" s="224" t="s">
        <x:v>70</x:v>
      </x:c>
      <x:c r="D315" s="223"/>
      <x:c r="E315" s="225">
        <x:v>3047417.4</x:v>
      </x:c>
      <x:c r="F315" s="225">
        <x:v>1355555.49</x:v>
      </x:c>
      <x:c r="G315" s="225">
        <x:v>760037.54</x:v>
      </x:c>
      <x:c r="H315" s="225">
        <x:v>398958.5</x:v>
      </x:c>
      <x:c r="I315" s="225">
        <x:v>-912665.99</x:v>
      </x:c>
      <x:c r="J315" s="225">
        <x:v>-26555.02</x:v>
      </x:c>
      <x:c r="K315" s="225">
        <x:v>0</x:v>
      </x:c>
      <x:c r="L315" s="225">
        <x:v>-225910.86</x:v>
      </x:c>
      <x:c r="M315" s="225">
        <x:v>-264286.03999999998</x:v>
      </x:c>
      <x:c r="N315" s="225">
        <x:v>-1286567.3400000001</x:v>
      </x:c>
      <x:c r="O315" s="225">
        <x:v>3293455.38</x:v>
      </x:c>
      <x:c r="P315" s="225">
        <x:v>-44604.26</x:v>
      </x:c>
      <x:c r="Q315" s="225">
        <x:v>0</x:v>
      </x:c>
      <x:c r="R315" s="224">
        <x:v>0</x:v>
      </x:c>
    </x:row>
    <x:row r="316" spans="2:18" ht="12.75" customHeight="1" x14ac:dyDescent="0.25">
      <x:c r="D316" s="89" t="s">
        <x:v>73</x:v>
      </x:c>
      <x:c r="E316" s="371">
        <x:v>9692.06</x:v>
      </x:c>
      <x:c r="F316" s="90">
        <x:v>18576</x:v>
      </x:c>
      <x:c r="G316" s="90">
        <x:v>10518.42</x:v>
      </x:c>
      <x:c r="H316" s="90">
        <x:v>4573.71</x:v>
      </x:c>
      <x:c r="I316" s="90">
        <x:v>-24440.48</x:v>
      </x:c>
      <x:c r="J316" s="90">
        <x:v>-562.32000000000005</x:v>
      </x:c>
      <x:c r="K316" s="90">
        <x:v>0</x:v>
      </x:c>
      <x:c r="L316" s="90">
        <x:v>-4141.51</x:v>
      </x:c>
      <x:c r="M316" s="90">
        <x:v>-6583.19</x:v>
      </x:c>
      <x:c r="N316" s="90">
        <x:v>-37234</x:v>
      </x:c>
      <x:c r="O316" s="90">
        <x:v>50301.63</x:v>
      </x:c>
      <x:c r="P316" s="90">
        <x:v>-1316.2</x:v>
      </x:c>
      <x:c r="Q316" s="90">
        <x:v>0</x:v>
      </x:c>
      <x:c r="R316">
        <x:v>0</x:v>
      </x:c>
    </x:row>
    <x:row r="317" spans="2:18" ht="12.75" customHeight="1" x14ac:dyDescent="0.25">
      <x:c r="C317" t="s">
        <x:v>82</x:v>
      </x:c>
      <x:c r="D317" s="89" t="s">
        <x:v>70</x:v>
      </x:c>
      <x:c r="E317" s="371">
        <x:v>9692.06</x:v>
      </x:c>
      <x:c r="F317" s="90">
        <x:v>18576</x:v>
      </x:c>
      <x:c r="G317" s="90">
        <x:v>10518.42</x:v>
      </x:c>
      <x:c r="H317" s="90">
        <x:v>4573.71</x:v>
      </x:c>
      <x:c r="I317" s="90">
        <x:v>-24440.48</x:v>
      </x:c>
      <x:c r="J317" s="90">
        <x:v>-562.32000000000005</x:v>
      </x:c>
      <x:c r="K317" s="90">
        <x:v>0</x:v>
      </x:c>
      <x:c r="L317" s="90">
        <x:v>-4141.51</x:v>
      </x:c>
      <x:c r="M317" s="90">
        <x:v>-6583.19</x:v>
      </x:c>
      <x:c r="N317" s="90">
        <x:v>-37234</x:v>
      </x:c>
      <x:c r="O317" s="90">
        <x:v>50301.63</x:v>
      </x:c>
      <x:c r="P317" s="90">
        <x:v>-1316.2</x:v>
      </x:c>
      <x:c r="Q317" s="90">
        <x:v>0</x:v>
      </x:c>
      <x:c r="R317">
        <x:v>0</x:v>
      </x:c>
    </x:row>
    <x:row r="318" spans="2:18" ht="12.75" customHeight="1" x14ac:dyDescent="0.25">
      <x:c r="D318" s="89" t="s">
        <x:v>73</x:v>
      </x:c>
      <x:c r="E318" s="371">
        <x:v>-2115945.87</x:v>
      </x:c>
      <x:c r="F318" s="90">
        <x:v>-122058.6</x:v>
      </x:c>
      <x:c r="G318" s="90">
        <x:v>-70601.09</x:v>
      </x:c>
      <x:c r="H318" s="90">
        <x:v>-36379.54</x:v>
      </x:c>
      <x:c r="I318" s="90">
        <x:v>-755087.5</x:v>
      </x:c>
      <x:c r="J318" s="90">
        <x:v>-27028.55</x:v>
      </x:c>
      <x:c r="K318" s="90">
        <x:v>0</x:v>
      </x:c>
      <x:c r="L318" s="90">
        <x:v>-232649.91</x:v>
      </x:c>
      <x:c r="M318" s="90">
        <x:v>-236476.23</x:v>
      </x:c>
      <x:c r="N318" s="90">
        <x:v>-1214265.58</x:v>
      </x:c>
      <x:c r="O318" s="90">
        <x:v>622705.67000000004</x:v>
      </x:c>
      <x:c r="P318" s="90">
        <x:v>-44104.54</x:v>
      </x:c>
      <x:c r="Q318" s="90">
        <x:v>0</x:v>
      </x:c>
      <x:c r="R318">
        <x:v>0</x:v>
      </x:c>
    </x:row>
    <x:row r="319" spans="2:18" ht="12.75" customHeight="1" x14ac:dyDescent="0.25">
      <x:c r="C319" t="s">
        <x:v>86</x:v>
      </x:c>
      <x:c r="D319" s="89" t="s">
        <x:v>70</x:v>
      </x:c>
      <x:c r="E319" s="371">
        <x:v>-2115945.87</x:v>
      </x:c>
      <x:c r="F319" s="90">
        <x:v>-122058.6</x:v>
      </x:c>
      <x:c r="G319" s="90">
        <x:v>-70601.09</x:v>
      </x:c>
      <x:c r="H319" s="90">
        <x:v>-36379.54</x:v>
      </x:c>
      <x:c r="I319" s="90">
        <x:v>-755087.5</x:v>
      </x:c>
      <x:c r="J319" s="90">
        <x:v>-27028.55</x:v>
      </x:c>
      <x:c r="K319" s="90">
        <x:v>0</x:v>
      </x:c>
      <x:c r="L319" s="90">
        <x:v>-232649.91</x:v>
      </x:c>
      <x:c r="M319" s="90">
        <x:v>-236476.23</x:v>
      </x:c>
      <x:c r="N319" s="90">
        <x:v>-1214265.58</x:v>
      </x:c>
      <x:c r="O319" s="90">
        <x:v>622705.67000000004</x:v>
      </x:c>
      <x:c r="P319" s="90">
        <x:v>-44104.54</x:v>
      </x:c>
      <x:c r="Q319" s="90">
        <x:v>0</x:v>
      </x:c>
      <x:c r="R319">
        <x:v>0</x:v>
      </x:c>
    </x:row>
    <x:row r="320" spans="2:18" ht="12.75" customHeight="1" x14ac:dyDescent="0.25">
      <x:c r="C320" s="89"/>
      <x:c r="D320" s="89" t="s">
        <x:v>73</x:v>
      </x:c>
      <x:c r="E320" s="90">
        <x:v>2486196.64</x:v>
      </x:c>
      <x:c r="F320" s="90">
        <x:v>154533.22</x:v>
      </x:c>
      <x:c r="G320" s="90">
        <x:v>85945.77</x:v>
      </x:c>
      <x:c r="H320" s="90">
        <x:v>39304.26</x:v>
      </x:c>
      <x:c r="I320" s="90">
        <x:v>304865</x:v>
      </x:c>
      <x:c r="J320" s="90">
        <x:v>11493.68</x:v>
      </x:c>
      <x:c r="K320" s="90">
        <x:v>0</x:v>
      </x:c>
      <x:c r="L320" s="90">
        <x:v>105978.94</x:v>
      </x:c>
      <x:c r="M320" s="90">
        <x:v>138622.16</x:v>
      </x:c>
      <x:c r="N320" s="90">
        <x:v>699474.3</x:v>
      </x:c>
      <x:c r="O320" s="90">
        <x:v>927281.31</x:v>
      </x:c>
      <x:c r="P320" s="90">
        <x:v>18698</x:v>
      </x:c>
      <x:c r="Q320" s="90">
        <x:v>0</x:v>
      </x:c>
      <x:c r="R320">
        <x:v>0</x:v>
      </x:c>
    </x:row>
    <x:row r="321" spans="1:18" ht="12.75" customHeight="1" x14ac:dyDescent="0.25">
      <x:c r="B321" s="89"/>
      <x:c r="C321" s="89" t="s">
        <x:v>87</x:v>
      </x:c>
      <x:c r="D321" t="s">
        <x:v>70</x:v>
      </x:c>
      <x:c r="E321" s="90">
        <x:v>2486196.64</x:v>
      </x:c>
      <x:c r="F321" s="90">
        <x:v>154533.22</x:v>
      </x:c>
      <x:c r="G321" s="90">
        <x:v>85945.77</x:v>
      </x:c>
      <x:c r="H321" s="90">
        <x:v>39304.26</x:v>
      </x:c>
      <x:c r="I321" s="90">
        <x:v>304865</x:v>
      </x:c>
      <x:c r="J321" s="90">
        <x:v>11493.68</x:v>
      </x:c>
      <x:c r="K321" s="90">
        <x:v>0</x:v>
      </x:c>
      <x:c r="L321" s="90">
        <x:v>105978.94</x:v>
      </x:c>
      <x:c r="M321" s="90">
        <x:v>138622.16</x:v>
      </x:c>
      <x:c r="N321" s="90">
        <x:v>699474.3</x:v>
      </x:c>
      <x:c r="O321" s="90">
        <x:v>927281.31</x:v>
      </x:c>
      <x:c r="P321" s="90">
        <x:v>18698</x:v>
      </x:c>
      <x:c r="Q321" s="90">
        <x:v>0</x:v>
      </x:c>
      <x:c r="R321">
        <x:v>0</x:v>
      </x:c>
    </x:row>
    <x:row r="322" spans="1:18" s="94" customFormat="1" ht="12.75" customHeight="1" x14ac:dyDescent="0.25">
      <x:c r="B322" s="101" t="s">
        <x:v>119</x:v>
      </x:c>
      <x:c r="C322" s="101" t="s">
        <x:v>70</x:v>
      </x:c>
      <x:c r="E322" s="93">
        <x:v>379942.83</x:v>
      </x:c>
      <x:c r="F322" s="93">
        <x:v>51050.62</x:v>
      </x:c>
      <x:c r="G322" s="93">
        <x:v>25863.1</x:v>
      </x:c>
      <x:c r="H322" s="93">
        <x:v>7498.43</x:v>
      </x:c>
      <x:c r="I322" s="93">
        <x:v>-474662.98</x:v>
      </x:c>
      <x:c r="J322" s="93">
        <x:v>-16097.19</x:v>
      </x:c>
      <x:c r="K322" s="93">
        <x:v>0</x:v>
      </x:c>
      <x:c r="L322" s="93">
        <x:v>-130812.48</x:v>
      </x:c>
      <x:c r="M322" s="93">
        <x:v>-104437.26</x:v>
      </x:c>
      <x:c r="N322" s="93">
        <x:v>-552025.28</x:v>
      </x:c>
      <x:c r="O322" s="93">
        <x:v>1600288.61</x:v>
      </x:c>
      <x:c r="P322" s="93">
        <x:v>-26722.74</x:v>
      </x:c>
      <x:c r="Q322" s="93">
        <x:v>0</x:v>
      </x:c>
      <x:c r="R322" s="94">
        <x:v>0</x:v>
      </x:c>
    </x:row>
    <x:row r="323" spans="1:18" s="226" customFormat="1" ht="12.75" customHeight="1" x14ac:dyDescent="0.25">
      <x:c r="A323" s="98" t="s">
        <x:v>79</x:v>
      </x:c>
      <x:c r="B323" s="98" t="s">
        <x:v>70</x:v>
      </x:c>
      <x:c r="E323" s="100" t="n">
        <x:v>-15568753.08</x:v>
      </x:c>
      <x:c r="F323" s="100">
        <x:v>1037095.01</x:v>
      </x:c>
      <x:c r="G323" s="100">
        <x:v>558189.82999999996</x:v>
      </x:c>
      <x:c r="H323" s="100">
        <x:v>279653.83</x:v>
      </x:c>
      <x:c r="I323" s="100">
        <x:v>-5420977.4699999997</x:v>
      </x:c>
      <x:c r="J323" s="100">
        <x:v>-190031.9</x:v>
      </x:c>
      <x:c r="K323" s="100">
        <x:v>0</x:v>
      </x:c>
      <x:c r="L323" s="100">
        <x:v>-1646676.54</x:v>
      </x:c>
      <x:c r="M323" s="100">
        <x:v>-1625440.32</x:v>
      </x:c>
      <x:c r="N323" s="100">
        <x:v>-8345595.3700000001</x:v>
      </x:c>
      <x:c r="O323" s="100">
        <x:v>3960453.69</x:v>
      </x:c>
      <x:c r="P323" s="100">
        <x:v>-315753.74</x:v>
      </x:c>
      <x:c r="Q323" s="100">
        <x:v>0</x:v>
      </x:c>
      <x:c r="R323" s="226">
        <x:v>0</x:v>
      </x:c>
    </x:row>
    <x:row r="324" spans="1:18" ht="12.75" customHeight="1" x14ac:dyDescent="0.25">
      <x:c r="A324" s="89" t="s">
        <x:v>70</x:v>
      </x:c>
      <x:c r="E324" s="90">
        <x:v>161461949.72999999</x:v>
      </x:c>
      <x:c r="F324" s="90">
        <x:v>17136200.32</x:v>
      </x:c>
      <x:c r="G324" s="90">
        <x:v>9619233.0199999996</x:v>
      </x:c>
      <x:c r="H324" s="90">
        <x:v>3132599.89</x:v>
      </x:c>
      <x:c r="I324" s="90">
        <x:v>26919268.350000001</x:v>
      </x:c>
      <x:c r="J324" s="90">
        <x:v>934221.13</x:v>
      </x:c>
      <x:c r="K324" s="90">
        <x:v>0</x:v>
      </x:c>
      <x:c r="L324" s="90">
        <x:v>8141317.3899999997</x:v>
      </x:c>
      <x:c r="M324" s="90">
        <x:v>8484157.9800000004</x:v>
      </x:c>
      <x:c r="N324" s="90">
        <x:v>37980917.710000001</x:v>
      </x:c>
      <x:c r="O324" s="90">
        <x:v>47670495.350000001</x:v>
      </x:c>
      <x:c r="P324" s="90">
        <x:v>1443534.03</x:v>
      </x:c>
      <x:c r="Q324" s="90">
        <x:v>4.5599999999999996</x:v>
      </x:c>
      <x:c r="R324">
        <x:v>0</x:v>
      </x:c>
    </x:row>
    <x:row r="325" spans="1:18" ht="12.75" customHeight="1" x14ac:dyDescent="0.25">
      <x:c r="C325" s="89"/>
      <x:c r="D325" s="89"/>
      <x:c r="E325" s="90"/>
      <x:c r="F325" s="90"/>
      <x:c r="G325" s="90"/>
      <x:c r="H325" s="90"/>
      <x:c r="I325" s="90"/>
      <x:c r="J325" s="90"/>
      <x:c r="K325" s="90"/>
      <x:c r="L325" s="90"/>
      <x:c r="M325" s="90"/>
      <x:c r="N325" s="90"/>
      <x:c r="O325" s="90"/>
      <x:c r="P325" s="90"/>
      <x:c r="Q325" s="90"/>
    </x:row>
    <x:row r="326" spans="1:18" ht="12.75" customHeight="1" x14ac:dyDescent="0.25">
      <x:c r="C326" s="89"/>
      <x:c r="D326" s="89"/>
      <x:c r="E326" s="90"/>
      <x:c r="F326" s="90"/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</x:row>
    <x:row r="327" spans="1:18" ht="12.75" hidden="1" customHeight="1" x14ac:dyDescent="0.25">
      <x:c r="C327" s="89"/>
      <x:c r="D327" s="89"/>
      <x:c r="E327" s="90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</x:row>
    <x:row r="328" spans="1:18" ht="12.75" hidden="1" customHeight="1" x14ac:dyDescent="0.25">
      <x:c r="C328" s="89"/>
      <x:c r="D328" s="89"/>
      <x:c r="E328" s="90"/>
      <x:c r="F328" s="90"/>
      <x:c r="G328" s="90"/>
      <x:c r="H328" s="90"/>
      <x:c r="I328" s="90"/>
      <x:c r="J328" s="90"/>
      <x:c r="K328" s="90"/>
      <x:c r="L328" s="90"/>
      <x:c r="M328" s="90"/>
      <x:c r="N328" s="90"/>
      <x:c r="O328" s="90"/>
      <x:c r="P328" s="90"/>
      <x:c r="Q328" s="90"/>
    </x:row>
    <x:row r="329" spans="1:18" ht="12.75" hidden="1" customHeight="1" x14ac:dyDescent="0.25">
      <x:c r="C329" s="89"/>
      <x:c r="D329" s="89"/>
      <x:c r="E329" s="90"/>
      <x:c r="F329" s="90"/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</x:row>
    <x:row r="330" spans="1:18" ht="12.75" hidden="1" customHeight="1" x14ac:dyDescent="0.25">
      <x:c r="C330" s="89"/>
      <x:c r="D330" s="89"/>
      <x:c r="E330" s="90"/>
      <x:c r="F330" s="90"/>
      <x:c r="G330" s="90"/>
      <x:c r="H330" s="90"/>
      <x:c r="I330" s="90"/>
      <x:c r="J330" s="90"/>
      <x:c r="K330" s="90"/>
      <x:c r="L330" s="90"/>
      <x:c r="M330" s="90"/>
      <x:c r="N330" s="90"/>
      <x:c r="O330" s="90"/>
      <x:c r="P330" s="90"/>
      <x:c r="Q330" s="90"/>
    </x:row>
    <x:row r="331" spans="1:18" ht="12.75" hidden="1" customHeight="1" x14ac:dyDescent="0.25">
      <x:c r="C331" s="89"/>
      <x:c r="D331" s="89"/>
      <x:c r="E331" s="90"/>
      <x:c r="F331" s="90"/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</x:row>
    <x:row r="332" spans="1:18" ht="12.75" hidden="1" customHeight="1" x14ac:dyDescent="0.25">
      <x:c r="C332" s="89"/>
      <x:c r="D332" s="89"/>
      <x:c r="E332" s="90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</x:row>
    <x:row r="333" spans="1:18" ht="12.75" hidden="1" customHeight="1" x14ac:dyDescent="0.25">
      <x:c r="C333" s="89"/>
      <x:c r="D333" s="89"/>
      <x:c r="E333" s="90"/>
      <x:c r="F333" s="90"/>
      <x:c r="G333" s="90"/>
      <x:c r="H333" s="90"/>
      <x:c r="I333" s="90"/>
      <x:c r="J333" s="90"/>
      <x:c r="K333" s="90"/>
      <x:c r="L333" s="90"/>
      <x:c r="M333" s="90"/>
      <x:c r="N333" s="90"/>
      <x:c r="O333" s="90"/>
      <x:c r="P333" s="90"/>
      <x:c r="Q333" s="90"/>
    </x:row>
    <x:row r="334" spans="1:18" ht="12.75" hidden="1" customHeight="1" x14ac:dyDescent="0.25">
      <x:c r="C334" s="89"/>
      <x:c r="D334" s="89"/>
      <x:c r="E334" s="90"/>
      <x:c r="F334" s="90"/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</x:row>
    <x:row r="335" spans="1:18" ht="12.75" hidden="1" customHeight="1" x14ac:dyDescent="0.25">
      <x:c r="C335" s="89"/>
      <x:c r="D335" s="89"/>
      <x:c r="E335" s="90"/>
      <x:c r="F335" s="90"/>
      <x:c r="G335" s="90"/>
      <x:c r="H335" s="90"/>
      <x:c r="I335" s="90"/>
      <x:c r="J335" s="90"/>
      <x:c r="K335" s="90"/>
      <x:c r="L335" s="90"/>
      <x:c r="M335" s="90"/>
      <x:c r="N335" s="90"/>
      <x:c r="O335" s="90"/>
      <x:c r="P335" s="90"/>
      <x:c r="Q335" s="90"/>
    </x:row>
    <x:row r="336" spans="1:18" ht="12.75" hidden="1" customHeight="1" x14ac:dyDescent="0.25">
      <x:c r="C336" s="89"/>
      <x:c r="D336" s="89"/>
      <x:c r="E336" s="90"/>
      <x:c r="F336" s="90"/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</x:row>
    <x:row r="337" spans="3:17" ht="12.75" hidden="1" customHeight="1" x14ac:dyDescent="0.25">
      <x:c r="C337" s="89"/>
      <x:c r="D337" s="89"/>
      <x:c r="E337" s="90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</x:row>
    <x:row r="338" spans="3:17" ht="12.75" hidden="1" customHeight="1" x14ac:dyDescent="0.25">
      <x:c r="C338" s="89"/>
      <x:c r="D338" s="89"/>
      <x:c r="E338" s="90"/>
      <x:c r="F338" s="90"/>
      <x:c r="G338" s="90"/>
      <x:c r="H338" s="90"/>
      <x:c r="I338" s="90"/>
      <x:c r="J338" s="90"/>
      <x:c r="K338" s="90"/>
      <x:c r="L338" s="90"/>
      <x:c r="M338" s="90"/>
      <x:c r="N338" s="90"/>
      <x:c r="O338" s="90"/>
      <x:c r="P338" s="90"/>
      <x:c r="Q338" s="90"/>
    </x:row>
    <x:row r="339" spans="3:17" ht="12.75" hidden="1" customHeight="1" x14ac:dyDescent="0.25">
      <x:c r="C339" s="89"/>
      <x:c r="D339" s="89"/>
      <x:c r="E339" s="90"/>
      <x:c r="F339" s="90"/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</x:row>
    <x:row r="340" spans="3:17" ht="12.75" hidden="1" customHeight="1" x14ac:dyDescent="0.25">
      <x:c r="C340" s="89"/>
      <x:c r="D340" s="89"/>
      <x:c r="E340" s="90"/>
      <x:c r="F340" s="90"/>
      <x:c r="G340" s="90"/>
      <x:c r="H340" s="90"/>
      <x:c r="I340" s="90"/>
      <x:c r="J340" s="90"/>
      <x:c r="K340" s="90"/>
      <x:c r="L340" s="90"/>
      <x:c r="M340" s="90"/>
      <x:c r="N340" s="90"/>
      <x:c r="O340" s="90"/>
      <x:c r="P340" s="90"/>
      <x:c r="Q340" s="90"/>
    </x:row>
    <x:row r="341" spans="3:17" ht="12.75" hidden="1" customHeight="1" x14ac:dyDescent="0.25">
      <x:c r="C341" s="89"/>
      <x:c r="D341" s="89"/>
      <x:c r="E341" s="90"/>
      <x:c r="F341" s="90"/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</x:row>
    <x:row r="342" spans="3:17" ht="12.75" hidden="1" customHeight="1" x14ac:dyDescent="0.25">
      <x:c r="C342" s="89"/>
      <x:c r="D342" s="89"/>
      <x:c r="E342" s="90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</x:row>
    <x:row r="343" spans="3:17" ht="12.75" hidden="1" customHeight="1" x14ac:dyDescent="0.25">
      <x:c r="C343" s="89"/>
      <x:c r="D343" s="89"/>
      <x:c r="E343" s="90"/>
      <x:c r="F343" s="90"/>
      <x:c r="G343" s="90"/>
      <x:c r="H343" s="90"/>
      <x:c r="I343" s="90"/>
      <x:c r="J343" s="90"/>
      <x:c r="K343" s="90"/>
      <x:c r="L343" s="90"/>
      <x:c r="M343" s="90"/>
      <x:c r="N343" s="90"/>
      <x:c r="O343" s="90"/>
      <x:c r="P343" s="90"/>
      <x:c r="Q343" s="90"/>
    </x:row>
    <x:row r="344" spans="3:17" ht="12.75" hidden="1" customHeight="1" x14ac:dyDescent="0.25">
      <x:c r="C344" s="89"/>
      <x:c r="D344" s="89"/>
      <x:c r="E344" s="90"/>
      <x:c r="F344" s="90"/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</x:row>
    <x:row r="345" spans="3:17" ht="12.75" hidden="1" customHeight="1" x14ac:dyDescent="0.25">
      <x:c r="C345" s="89"/>
      <x:c r="D345" s="89"/>
      <x:c r="E345" s="90"/>
      <x:c r="F345" s="90"/>
      <x:c r="G345" s="90"/>
      <x:c r="H345" s="90"/>
      <x:c r="I345" s="90"/>
      <x:c r="J345" s="90"/>
      <x:c r="K345" s="90"/>
      <x:c r="L345" s="90"/>
      <x:c r="M345" s="90"/>
      <x:c r="N345" s="90"/>
      <x:c r="O345" s="90"/>
      <x:c r="P345" s="90"/>
      <x:c r="Q345" s="90"/>
    </x:row>
    <x:row r="346" spans="3:17" ht="12.75" hidden="1" customHeight="1" x14ac:dyDescent="0.25">
      <x:c r="C346" s="89"/>
      <x:c r="D346" s="89"/>
      <x:c r="E346" s="90"/>
      <x:c r="F346" s="90"/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</x:row>
    <x:row r="347" spans="3:17" ht="12.75" hidden="1" customHeight="1" x14ac:dyDescent="0.25">
      <x:c r="C347" s="89"/>
      <x:c r="D347" s="89"/>
      <x:c r="E347" s="90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</x:row>
    <x:row r="348" spans="3:17" ht="12.75" hidden="1" customHeight="1" x14ac:dyDescent="0.25">
      <x:c r="C348" s="89"/>
      <x:c r="D348" s="89"/>
      <x:c r="E348" s="90"/>
      <x:c r="F348" s="90"/>
      <x:c r="G348" s="90"/>
      <x:c r="H348" s="90"/>
      <x:c r="I348" s="90"/>
      <x:c r="J348" s="90"/>
      <x:c r="K348" s="90"/>
      <x:c r="L348" s="90"/>
      <x:c r="M348" s="90"/>
      <x:c r="N348" s="90"/>
      <x:c r="O348" s="90"/>
      <x:c r="P348" s="90"/>
      <x:c r="Q348" s="90"/>
    </x:row>
    <x:row r="349" spans="3:17" ht="12.75" hidden="1" customHeight="1" x14ac:dyDescent="0.25">
      <x:c r="C349" s="89"/>
      <x:c r="D349" s="89"/>
      <x:c r="E349" s="90"/>
      <x:c r="F349" s="90"/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</x:row>
    <x:row r="350" spans="3:17" ht="12.75" hidden="1" customHeight="1" x14ac:dyDescent="0.25">
      <x:c r="C350" s="89"/>
      <x:c r="D350" s="89"/>
      <x:c r="E350" s="90"/>
      <x:c r="F350" s="90"/>
      <x:c r="G350" s="90"/>
      <x:c r="H350" s="90"/>
      <x:c r="I350" s="90"/>
      <x:c r="J350" s="90"/>
      <x:c r="K350" s="90"/>
      <x:c r="L350" s="90"/>
      <x:c r="M350" s="90"/>
      <x:c r="N350" s="90"/>
      <x:c r="O350" s="90"/>
      <x:c r="P350" s="90"/>
      <x:c r="Q350" s="90"/>
    </x:row>
    <x:row r="351" spans="3:17" ht="12.75" hidden="1" customHeight="1" x14ac:dyDescent="0.25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3:17" ht="12.75" hidden="1" customHeight="1" x14ac:dyDescent="0.25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1:18" ht="12.75" hidden="1" customHeight="1" x14ac:dyDescent="0.25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1:18" ht="12.75" hidden="1" customHeight="1" x14ac:dyDescent="0.25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1:18" ht="12.75" hidden="1" customHeight="1" x14ac:dyDescent="0.25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1:18" ht="12.75" hidden="1" customHeight="1" x14ac:dyDescent="0.25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18" ht="12.75" customHeight="1" x14ac:dyDescent="0.25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1:18" ht="12.75" customHeight="1" x14ac:dyDescent="0.25">
      <x:c r="B358" s="774" t="s">
        <x:v>2</x:v>
      </x:c>
      <x:c r="C358" s="771" t="s">
        <x:v>132</x:v>
      </x:c>
      <x:c r="D358" s="98" t="s">
        <x:v>70</x:v>
      </x:c>
      <x:c r="E358" s="100">
        <x:f>E303+E323-K303</x:f>
        <x:v>161461949.73000002</x:v>
      </x:c>
      <x:c r="F358" s="100">
        <x:f>F303</x:f>
        <x:v>16099105.310000001</x:v>
      </x:c>
      <x:c r="G358" s="100">
        <x:f t="shared" ref="G358:R358" si="10">G303</x:f>
        <x:v>9061043.1899999995</x:v>
      </x:c>
      <x:c r="H358" s="100">
        <x:f t="shared" si="10"/>
        <x:v>2852946.06</x:v>
      </x:c>
      <x:c r="I358" s="100">
        <x:f t="shared" si="10"/>
        <x:v>32340245.82</x:v>
      </x:c>
      <x:c r="J358" s="100">
        <x:f t="shared" si="10"/>
        <x:v>1124253.03</x:v>
      </x:c>
      <x:c r="K358" s="100">
        <x:f t="shared" si="10"/>
        <x:v>0</x:v>
      </x:c>
      <x:c r="L358" s="100">
        <x:f t="shared" si="10"/>
        <x:v>9787993.9299999997</x:v>
      </x:c>
      <x:c r="M358" s="100">
        <x:f t="shared" si="10"/>
        <x:v>10109598.300000001</x:v>
      </x:c>
      <x:c r="N358" s="100">
        <x:f t="shared" si="10"/>
        <x:v>46326513.079999998</x:v>
      </x:c>
      <x:c r="O358" s="100">
        <x:f t="shared" si="10"/>
        <x:v>43710041.659999996</x:v>
      </x:c>
      <x:c r="P358" s="100">
        <x:f t="shared" si="10"/>
        <x:v>1759287.77</x:v>
      </x:c>
      <x:c r="Q358" s="100">
        <x:f t="shared" si="10"/>
        <x:v>4.5599999999999996</x:v>
      </x:c>
      <x:c r="R358" s="100">
        <x:f t="shared" si="10"/>
        <x:v>0</x:v>
      </x:c>
    </x:row>
    <x:row r="359" spans="1:18" ht="12.75" customHeight="1" x14ac:dyDescent="0.25">
      <x:c r="B359" s="774"/>
      <x:c r="C359" s="771"/>
      <x:c r="D359" s="98" t="s">
        <x:v>73</x:v>
      </x:c>
      <x:c r="E359" s="100">
        <x:f>E323</x:f>
        <x:v>-11709082.98</x:v>
      </x:c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</x:row>
    <x:row r="360" spans="1:18" ht="12.75" customHeight="1" x14ac:dyDescent="0.3">
      <x:c r="A360" s="89"/>
      <x:c r="B360" s="97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</x:row>
    <x:row r="361" spans="1:18" ht="12.75" customHeight="1" x14ac:dyDescent="0.25">
      <x:c r="B361" s="774" t="s">
        <x:v>160</x:v>
      </x:c>
      <x:c r="C361" s="771" t="s">
        <x:v>132</x:v>
      </x:c>
      <x:c r="D361" s="223" t="s">
        <x:v>70</x:v>
      </x:c>
      <x:c r="E361" s="225">
        <x:f>E315+E292-K292</x:f>
        <x:v>66508368.82</x:v>
      </x:c>
      <x:c r="F361" s="225">
        <x:f>F292</x:f>
        <x:v>9041231.2599999998</x:v>
      </x:c>
      <x:c r="G361" s="225">
        <x:f t="shared" ref="G361:R361" si="11">G292</x:f>
        <x:v>5072388.55</x:v>
      </x:c>
      <x:c r="H361" s="225">
        <x:f t="shared" si="11"/>
        <x:v>1011597.42</x:v>
      </x:c>
      <x:c r="I361" s="225">
        <x:f t="shared" si="11"/>
        <x:v>7983360.1600000001</x:v>
      </x:c>
      <x:c r="J361" s="225">
        <x:f t="shared" si="11"/>
        <x:v>230579.94</x:v>
      </x:c>
      <x:c r="K361" s="225">
        <x:f t="shared" si="11"/>
        <x:v>0</x:v>
      </x:c>
      <x:c r="L361" s="225">
        <x:f t="shared" si="11"/>
        <x:v>2199940.9</x:v>
      </x:c>
      <x:c r="M361" s="225">
        <x:f t="shared" si="11"/>
        <x:v>2412632.5099999998</x:v>
      </x:c>
      <x:c r="N361" s="225">
        <x:f t="shared" si="11"/>
        <x:v>10659886.970000001</x:v>
      </x:c>
      <x:c r="O361" s="225">
        <x:f t="shared" si="11"/>
        <x:v>24512256.039999999</x:v>
      </x:c>
      <x:c r="P361" s="225">
        <x:f t="shared" si="11"/>
        <x:v>336993.11</x:v>
      </x:c>
      <x:c r="Q361" s="225">
        <x:f t="shared" si="11"/>
        <x:v>84.56</x:v>
      </x:c>
      <x:c r="R361" s="225">
        <x:f t="shared" si="11"/>
        <x:v>0</x:v>
      </x:c>
    </x:row>
    <x:row r="362" spans="1:18" ht="12.75" customHeight="1" x14ac:dyDescent="0.25">
      <x:c r="B362" s="774"/>
      <x:c r="C362" s="771"/>
      <x:c r="D362" s="223" t="s">
        <x:v>73</x:v>
      </x:c>
      <x:c r="E362" s="225">
        <x:f>E315</x:f>
        <x:v>3047417.4</x:v>
      </x:c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</x:row>
    <x:row r="363" spans="1:18" ht="12.75" customHeight="1" x14ac:dyDescent="0.3">
      <x:c r="A363" s="89"/>
      <x:c r="B363" s="97"/>
      <x:c r="E363" s="90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</x:row>
    <x:row r="364" spans="1:18" ht="12.75" customHeight="1" x14ac:dyDescent="0.25">
      <x:c r="B364" s="774" t="s">
        <x:v>155</x:v>
      </x:c>
      <x:c r="C364" s="771" t="s">
        <x:v>132</x:v>
      </x:c>
      <x:c r="D364" s="221" t="s">
        <x:v>70</x:v>
      </x:c>
      <x:c r="E364" s="222">
        <x:f>E306+E279-K279</x:f>
        <x:v>60774931.109999992</x:v>
      </x:c>
      <x:c r="F364" s="222">
        <x:f t="shared" ref="F364:R364" si="12">F279</x:f>
        <x:v>3643585.71</x:v>
      </x:c>
      <x:c r="G364" s="222">
        <x:f t="shared" si="12"/>
        <x:v>2134528.5099999998</x:v>
      </x:c>
      <x:c r="H364" s="222">
        <x:f t="shared" si="12"/>
        <x:v>922327.31</x:v>
      </x:c>
      <x:c r="I364" s="222">
        <x:f t="shared" si="12"/>
        <x:v>19101300.940000001</x:v>
      </x:c>
      <x:c r="J364" s="222">
        <x:f t="shared" si="12"/>
        <x:v>695389.45</x:v>
      </x:c>
      <x:c r="K364" s="222">
        <x:f t="shared" si="12"/>
        <x:v>0</x:v>
      </x:c>
      <x:c r="L364" s="222">
        <x:f t="shared" si="12"/>
        <x:v>6006974.5499999998</x:v>
      </x:c>
      <x:c r="M364" s="222">
        <x:f t="shared" si="12"/>
        <x:v>5941622.6399999997</x:v>
      </x:c>
      <x:c r="N364" s="222">
        <x:f t="shared" si="12"/>
        <x:v>26384823.629999999</x:v>
      </x:c>
      <x:c r="O364" s="222">
        <x:f t="shared" si="12"/>
        <x:v>9973356.7599999998</x:v>
      </x:c>
      <x:c r="P364" s="222">
        <x:f t="shared" si="12"/>
        <x:v>1107550.0900000001</x:v>
      </x:c>
      <x:c r="Q364" s="222">
        <x:f t="shared" si="12"/>
        <x:v>-85.27</x:v>
      </x:c>
      <x:c r="R364" s="222">
        <x:f t="shared" si="12"/>
        <x:v>0</x:v>
      </x:c>
    </x:row>
    <x:row r="365" spans="1:18" ht="12.75" customHeight="1" x14ac:dyDescent="0.25">
      <x:c r="B365" s="774"/>
      <x:c r="C365" s="771"/>
      <x:c r="D365" s="221" t="s">
        <x:v>73</x:v>
      </x:c>
      <x:c r="E365" s="222">
        <x:f>E306</x:f>
        <x:v>-15136443.210000001</x:v>
      </x:c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</x:row>
    <x:row r="366" spans="1:18" ht="12.75" customHeight="1" x14ac:dyDescent="0.3">
      <x:c r="A366" s="89"/>
      <x:c r="B366" s="97"/>
      <x:c r="E366" s="90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</x:row>
    <x:row r="367" spans="1:18" ht="12.75" customHeight="1" x14ac:dyDescent="0.25">
      <x:c r="B367" s="772" t="s">
        <x:v>328</x:v>
      </x:c>
      <x:c r="C367" s="771" t="s">
        <x:v>132</x:v>
      </x:c>
      <x:c r="D367" s="373" t="s">
        <x:v>70</x:v>
      </x:c>
      <x:c r="E367" s="374">
        <x:v>0</x:v>
      </x:c>
      <x:c r="F367" s="374">
        <x:v>0</x:v>
      </x:c>
      <x:c r="G367" s="374">
        <x:v>0</x:v>
      </x:c>
      <x:c r="H367" s="374">
        <x:v>0</x:v>
      </x:c>
      <x:c r="I367" s="374">
        <x:v>0</x:v>
      </x:c>
      <x:c r="J367" s="374">
        <x:v>0</x:v>
      </x:c>
      <x:c r="K367" s="374">
        <x:v>0</x:v>
      </x:c>
      <x:c r="L367" s="374">
        <x:v>0</x:v>
      </x:c>
      <x:c r="M367" s="374">
        <x:v>0</x:v>
      </x:c>
      <x:c r="N367" s="374">
        <x:v>0</x:v>
      </x:c>
      <x:c r="O367" s="374">
        <x:v>0</x:v>
      </x:c>
      <x:c r="P367" s="374">
        <x:v>0</x:v>
      </x:c>
      <x:c r="Q367" s="374">
        <x:v>0</x:v>
      </x:c>
      <x:c r="R367" s="374">
        <x:v>0</x:v>
      </x:c>
    </x:row>
    <x:row r="368" spans="1:18" ht="12.75" customHeight="1" x14ac:dyDescent="0.25">
      <x:c r="B368" s="772"/>
      <x:c r="C368" s="771"/>
      <x:c r="D368" s="373" t="s">
        <x:v>73</x:v>
      </x:c>
      <x:c r="E368" s="374">
        <x:v>0</x:v>
      </x:c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</x:row>
    <x:row r="369" spans="1:18" ht="12.75" customHeight="1" x14ac:dyDescent="0.3">
      <x:c r="A369" s="89"/>
      <x:c r="B369" s="97"/>
      <x:c r="E369" s="90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</x:row>
    <x:row r="370" spans="1:18" ht="12.75" customHeight="1" x14ac:dyDescent="0.25">
      <x:c r="A370" s="142" t="s">
        <x:v>228</x:v>
      </x:c>
      <x:c r="B370" s="774" t="s">
        <x:v>119</x:v>
      </x:c>
      <x:c r="C370" s="771" t="s">
        <x:v>132</x:v>
      </x:c>
      <x:c r="D370" s="101" t="s">
        <x:v>70</x:v>
      </x:c>
      <x:c r="E370" s="93">
        <x:f>E302+E322-K302</x:f>
        <x:v>34178649.799999997</x:v>
      </x:c>
      <x:c r="F370" s="93">
        <x:f>F302</x:f>
        <x:v>3414288.34</x:v>
      </x:c>
      <x:c r="G370" s="93">
        <x:f t="shared" ref="G370:R370" si="13">G302</x:f>
        <x:v>1854126.13</x:v>
      </x:c>
      <x:c r="H370" s="93">
        <x:f t="shared" si="13"/>
        <x:v>919021.33</x:v>
      </x:c>
      <x:c r="I370" s="93">
        <x:f t="shared" si="13"/>
        <x:v>5255584.72</x:v>
      </x:c>
      <x:c r="J370" s="93">
        <x:f t="shared" si="13"/>
        <x:v>198283.64</x:v>
      </x:c>
      <x:c r="K370" s="93">
        <x:f t="shared" si="13"/>
        <x:v>0</x:v>
      </x:c>
      <x:c r="L370" s="93">
        <x:f t="shared" si="13"/>
        <x:v>1581078.48</x:v>
      </x:c>
      <x:c r="M370" s="93">
        <x:f t="shared" si="13"/>
        <x:v>1755343.15</x:v>
      </x:c>
      <x:c r="N370" s="93">
        <x:f t="shared" si="13"/>
        <x:v>9281802.4800000004</x:v>
      </x:c>
      <x:c r="O370" s="93">
        <x:f t="shared" si="13"/>
        <x:v>9224428.8599999994</x:v>
      </x:c>
      <x:c r="P370" s="93">
        <x:f t="shared" si="13"/>
        <x:v>314744.57</x:v>
      </x:c>
      <x:c r="Q370" s="93">
        <x:f t="shared" si="13"/>
        <x:v>5.27</x:v>
      </x:c>
      <x:c r="R370" s="93">
        <x:f t="shared" si="13"/>
        <x:v>0</x:v>
      </x:c>
    </x:row>
    <x:row r="371" spans="1:18" ht="12.75" customHeight="1" x14ac:dyDescent="0.25">
      <x:c r="B371" s="774"/>
      <x:c r="C371" s="771"/>
      <x:c r="D371" s="101" t="s">
        <x:v>73</x:v>
      </x:c>
      <x:c r="E371" s="93">
        <x:f>E322</x:f>
        <x:v>379942.83</x:v>
      </x:c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</x:row>
    <x:row r="372" spans="1:18" ht="12.75" customHeight="1" x14ac:dyDescent="0.3">
      <x:c r="A372" s="89"/>
      <x:c r="B372" s="97"/>
      <x:c r="E372" s="90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</x:row>
    <x:row r="373" spans="1:18" ht="12.75" customHeight="1" x14ac:dyDescent="0.25">
      <x:c r="B373" s="773" t="s">
        <x:v>161</x:v>
      </x:c>
      <x:c r="C373" s="771" t="s">
        <x:v>132</x:v>
      </x:c>
      <x:c r="D373" s="231" t="s">
        <x:v>70</x:v>
      </x:c>
      <x:c r="E373" s="232">
        <x:v>0</x:v>
      </x:c>
      <x:c r="F373" s="232">
        <x:v>0</x:v>
      </x:c>
      <x:c r="G373" s="232">
        <x:v>0</x:v>
      </x:c>
      <x:c r="H373" s="232">
        <x:v>0</x:v>
      </x:c>
      <x:c r="I373" s="232">
        <x:v>0</x:v>
      </x:c>
      <x:c r="J373" s="232">
        <x:v>0</x:v>
      </x:c>
      <x:c r="K373" s="232">
        <x:v>0</x:v>
      </x:c>
      <x:c r="L373" s="232">
        <x:v>0</x:v>
      </x:c>
      <x:c r="M373" s="232">
        <x:v>0</x:v>
      </x:c>
      <x:c r="N373" s="232">
        <x:v>0</x:v>
      </x:c>
      <x:c r="O373" s="232">
        <x:v>0</x:v>
      </x:c>
      <x:c r="P373" s="232">
        <x:v>0</x:v>
      </x:c>
      <x:c r="Q373" s="232">
        <x:v>0</x:v>
      </x:c>
      <x:c r="R373" s="232">
        <x:v>0</x:v>
      </x:c>
    </x:row>
    <x:row r="374" spans="1:18" ht="12.75" customHeight="1" x14ac:dyDescent="0.25">
      <x:c r="B374" s="773"/>
      <x:c r="C374" s="771"/>
      <x:c r="D374" s="231" t="s">
        <x:v>73</x:v>
      </x:c>
      <x:c r="E374" s="232">
        <x:v>0</x:v>
      </x:c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</x:row>
    <x:row r="375" spans="1:18" s="238" customFormat="1" x14ac:dyDescent="0.25"/>
    <x:row r="376" spans="1:18" ht="13" x14ac:dyDescent="0.3">
      <x:c r="B376" s="97" t="s">
        <x:v>93</x:v>
      </x:c>
    </x:row>
    <x:row r="377" spans="1:18" x14ac:dyDescent="0.25">
      <x:c r="E377" s="89" t="s">
        <x:v>70</x:v>
      </x:c>
      <x:c r="F377" s="89" t="s">
        <x:v>64</x:v>
      </x:c>
      <x:c r="G377" s="89" t="s">
        <x:v>65</x:v>
      </x:c>
      <x:c r="H377" s="219" t="s">
        <x:v>164</x:v>
      </x:c>
      <x:c r="I377" s="89" t="s">
        <x:v>69</x:v>
      </x:c>
      <x:c r="J377" s="89" t="s">
        <x:v>68</x:v>
      </x:c>
      <x:c r="K377" s="89" t="s">
        <x:v>83</x:v>
      </x:c>
      <x:c r="L377" s="89" t="s">
        <x:v>66</x:v>
      </x:c>
      <x:c r="M377" s="89" t="s">
        <x:v>63</x:v>
      </x:c>
      <x:c r="N377" s="89" t="s">
        <x:v>61</x:v>
      </x:c>
      <x:c r="O377" s="89" t="s">
        <x:v>62</x:v>
      </x:c>
      <x:c r="P377" s="89" t="s">
        <x:v>67</x:v>
      </x:c>
      <x:c r="Q377" s="89" t="s">
        <x:v>84</x:v>
      </x:c>
      <x:c r="R377" s="384" t="s">
        <x:v>227</x:v>
      </x:c>
    </x:row>
    <x:row r="378" spans="1:18" ht="12.75" customHeight="1" x14ac:dyDescent="0.25">
      <x:c r="D378" s="89" t="s">
        <x:v>72</x:v>
      </x:c>
      <x:c r="E378" s="90">
        <x:v>19713558.23</x:v>
      </x:c>
      <x:c r="F378" s="90">
        <x:v>1433611.21</x:v>
      </x:c>
      <x:c r="G378" s="90">
        <x:v>821473.98</x:v>
      </x:c>
      <x:c r="H378" s="90">
        <x:v>381759.58</x:v>
      </x:c>
      <x:c r="I378" s="90">
        <x:v>4009241.14</x:v>
      </x:c>
      <x:c r="J378" s="90">
        <x:v>149648.65</x:v>
      </x:c>
      <x:c r="K378" s="90">
        <x:v>0</x:v>
      </x:c>
      <x:c r="L378" s="90">
        <x:v>1253740.49</x:v>
      </x:c>
      <x:c r="M378" s="90">
        <x:v>1363565.37</x:v>
      </x:c>
      <x:c r="N378" s="90">
        <x:v>5819071.1500000004</x:v>
      </x:c>
      <x:c r="O378" s="90">
        <x:v>4269755.25</x:v>
      </x:c>
      <x:c r="P378" s="90">
        <x:v>211601.51</x:v>
      </x:c>
      <x:c r="Q378" s="90">
        <x:v>89.9</x:v>
      </x:c>
      <x:c r="R378">
        <x:v>0</x:v>
      </x:c>
    </x:row>
    <x:row r="379" spans="1:18" ht="12.75" customHeight="1" x14ac:dyDescent="0.25">
      <x:c r="D379" s="89" t="s">
        <x:v>81</x:v>
      </x:c>
      <x:c r="E379" s="90">
        <x:v>18754.009999999998</x:v>
      </x:c>
      <x:c r="F379" s="90">
        <x:v>1185.98</x:v>
      </x:c>
      <x:c r="G379" s="90">
        <x:v>657.93</x:v>
      </x:c>
      <x:c r="H379" s="90">
        <x:v>342.39</x:v>
      </x:c>
      <x:c r="I379" s="90">
        <x:v>3726.74</x:v>
      </x:c>
      <x:c r="J379" s="90">
        <x:v>150.80000000000001</x:v>
      </x:c>
      <x:c r="K379" s="90">
        <x:v>0</x:v>
      </x:c>
      <x:c r="L379" s="90">
        <x:v>1322.67</x:v>
      </x:c>
      <x:c r="M379" s="90">
        <x:v>1225.1400000000001</x:v>
      </x:c>
      <x:c r="N379" s="90">
        <x:v>6423.46</x:v>
      </x:c>
      <x:c r="O379" s="90">
        <x:v>3472.69</x:v>
      </x:c>
      <x:c r="P379" s="90">
        <x:v>246.08</x:v>
      </x:c>
      <x:c r="Q379" s="90">
        <x:v>0.13</x:v>
      </x:c>
      <x:c r="R379">
        <x:v>0</x:v>
      </x:c>
    </x:row>
    <x:row r="380" spans="1:18" ht="12.75" customHeight="1" x14ac:dyDescent="0.25">
      <x:c r="B380" s="89"/>
      <x:c r="C380" s="89" t="s">
        <x:v>156</x:v>
      </x:c>
      <x:c r="D380" t="s">
        <x:v>70</x:v>
      </x:c>
      <x:c r="E380" s="90">
        <x:v>19732312.239999998</x:v>
      </x:c>
      <x:c r="F380" s="90">
        <x:v>1434797.19</x:v>
      </x:c>
      <x:c r="G380" s="90">
        <x:v>822131.91</x:v>
      </x:c>
      <x:c r="H380" s="90">
        <x:v>382101.97</x:v>
      </x:c>
      <x:c r="I380" s="90">
        <x:v>4012967.88</x:v>
      </x:c>
      <x:c r="J380" s="90">
        <x:v>149799.45000000001</x:v>
      </x:c>
      <x:c r="K380" s="90">
        <x:v>0</x:v>
      </x:c>
      <x:c r="L380" s="90">
        <x:v>1255063.1599999999</x:v>
      </x:c>
      <x:c r="M380" s="90">
        <x:v>1364790.51</x:v>
      </x:c>
      <x:c r="N380" s="90">
        <x:v>5825494.6100000003</x:v>
      </x:c>
      <x:c r="O380" s="90">
        <x:v>4273227.9400000004</x:v>
      </x:c>
      <x:c r="P380" s="90">
        <x:v>211847.59</x:v>
      </x:c>
      <x:c r="Q380" s="90">
        <x:v>90.03</x:v>
      </x:c>
      <x:c r="R380">
        <x:v>0</x:v>
      </x:c>
    </x:row>
    <x:row r="381" spans="1:18" s="237" customFormat="1" ht="12.75" customHeight="1" x14ac:dyDescent="0.25">
      <x:c r="B381" s="221" t="s">
        <x:v>155</x:v>
      </x:c>
      <x:c r="C381" s="221" t="s">
        <x:v>70</x:v>
      </x:c>
      <x:c r="E381" s="222">
        <x:v>19732312.239999998</x:v>
      </x:c>
      <x:c r="F381" s="222">
        <x:v>1434797.19</x:v>
      </x:c>
      <x:c r="G381" s="222">
        <x:v>822131.91</x:v>
      </x:c>
      <x:c r="H381" s="222">
        <x:v>382101.97</x:v>
      </x:c>
      <x:c r="I381" s="222">
        <x:v>4012967.88</x:v>
      </x:c>
      <x:c r="J381" s="222">
        <x:v>149799.45000000001</x:v>
      </x:c>
      <x:c r="K381" s="222">
        <x:v>0</x:v>
      </x:c>
      <x:c r="L381" s="222">
        <x:v>1255063.1599999999</x:v>
      </x:c>
      <x:c r="M381" s="222">
        <x:v>1364790.51</x:v>
      </x:c>
      <x:c r="N381" s="222">
        <x:v>5825494.6100000003</x:v>
      </x:c>
      <x:c r="O381" s="222">
        <x:v>4273227.9400000004</x:v>
      </x:c>
      <x:c r="P381" s="222">
        <x:v>211847.59</x:v>
      </x:c>
      <x:c r="Q381" s="222">
        <x:v>90.03</x:v>
      </x:c>
      <x:c r="R381" s="237">
        <x:v>0</x:v>
      </x:c>
    </x:row>
    <x:row r="382" spans="1:18" ht="12.75" customHeight="1" x14ac:dyDescent="0.25">
      <x:c r="D382" t="s">
        <x:v>72</x:v>
      </x:c>
      <x:c r="E382" s="142">
        <x:v>7522088.9400000004</x:v>
      </x:c>
      <x:c r="F382">
        <x:v>452084.23</x:v>
      </x:c>
      <x:c r="G382">
        <x:v>257859.84</x:v>
      </x:c>
      <x:c r="H382">
        <x:v>110457.94</x:v>
      </x:c>
      <x:c r="I382">
        <x:v>1817304.03</x:v>
      </x:c>
      <x:c r="J382">
        <x:v>58755.74</x:v>
      </x:c>
      <x:c r="K382">
        <x:v>0</x:v>
      </x:c>
      <x:c r="L382">
        <x:v>533049.52</x:v>
      </x:c>
      <x:c r="M382">
        <x:v>533000.77</x:v>
      </x:c>
      <x:c r="N382">
        <x:v>2377838.02</x:v>
      </x:c>
      <x:c r="O382">
        <x:v>1292657.05</x:v>
      </x:c>
      <x:c r="P382">
        <x:v>89104.17</x:v>
      </x:c>
      <x:c r="Q382">
        <x:v>-22.37</x:v>
      </x:c>
      <x:c r="R382">
        <x:v>0</x:v>
      </x:c>
    </x:row>
    <x:row r="383" spans="1:18" ht="12.75" customHeight="1" x14ac:dyDescent="0.25">
      <x:c r="D383" t="s">
        <x:v>81</x:v>
      </x:c>
      <x:c r="E383" s="142">
        <x:v>7478.7</x:v>
      </x:c>
      <x:c r="F383">
        <x:v>443.1</x:v>
      </x:c>
      <x:c r="G383">
        <x:v>249.22</x:v>
      </x:c>
      <x:c r="H383">
        <x:v>133.69</x:v>
      </x:c>
      <x:c r="I383">
        <x:v>1658</x:v>
      </x:c>
      <x:c r="J383">
        <x:v>59.23</x:v>
      </x:c>
      <x:c r="K383">
        <x:v>0</x:v>
      </x:c>
      <x:c r="L383">
        <x:v>512.44000000000005</x:v>
      </x:c>
      <x:c r="M383">
        <x:v>531.97</x:v>
      </x:c>
      <x:c r="N383">
        <x:v>2482.92</x:v>
      </x:c>
      <x:c r="O383">
        <x:v>1311.38</x:v>
      </x:c>
      <x:c r="P383">
        <x:v>96.59</x:v>
      </x:c>
      <x:c r="Q383">
        <x:v>0.16</x:v>
      </x:c>
      <x:c r="R383">
        <x:v>0</x:v>
      </x:c>
    </x:row>
    <x:row r="384" spans="1:18" ht="12.75" customHeight="1" x14ac:dyDescent="0.25">
      <x:c r="C384" t="s">
        <x:v>156</x:v>
      </x:c>
      <x:c r="D384" t="s">
        <x:v>70</x:v>
      </x:c>
      <x:c r="E384" s="142">
        <x:v>7529567.6399999997</x:v>
      </x:c>
      <x:c r="F384">
        <x:v>452527.33</x:v>
      </x:c>
      <x:c r="G384">
        <x:v>258109.06</x:v>
      </x:c>
      <x:c r="H384">
        <x:v>110591.63</x:v>
      </x:c>
      <x:c r="I384">
        <x:v>1818962.03</x:v>
      </x:c>
      <x:c r="J384">
        <x:v>58814.97</x:v>
      </x:c>
      <x:c r="K384">
        <x:v>0</x:v>
      </x:c>
      <x:c r="L384">
        <x:v>533561.96</x:v>
      </x:c>
      <x:c r="M384">
        <x:v>533532.74</x:v>
      </x:c>
      <x:c r="N384">
        <x:v>2380320.94</x:v>
      </x:c>
      <x:c r="O384">
        <x:v>1293968.43</x:v>
      </x:c>
      <x:c r="P384">
        <x:v>89200.76</x:v>
      </x:c>
      <x:c r="Q384">
        <x:v>-22.21</x:v>
      </x:c>
      <x:c r="R384">
        <x:v>0</x:v>
      </x:c>
    </x:row>
    <x:row r="385" spans="1:19" s="740" customFormat="1" ht="12.75" customHeight="1" x14ac:dyDescent="0.25">
      <x:c r="B385" s="740" t="s">
        <x:v>328</x:v>
      </x:c>
      <x:c r="C385" s="740" t="s">
        <x:v>70</x:v>
      </x:c>
      <x:c r="E385" s="231">
        <x:v>7529567.6399999997</x:v>
      </x:c>
      <x:c r="F385" s="741">
        <x:v>452527.33</x:v>
      </x:c>
      <x:c r="G385" s="232">
        <x:v>258109.06</x:v>
      </x:c>
      <x:c r="H385" s="232">
        <x:v>110591.63</x:v>
      </x:c>
      <x:c r="I385" s="232">
        <x:v>1818962.03</x:v>
      </x:c>
      <x:c r="J385" s="232">
        <x:v>58814.97</x:v>
      </x:c>
      <x:c r="K385" s="232">
        <x:v>0</x:v>
      </x:c>
      <x:c r="L385" s="232">
        <x:v>533561.96</x:v>
      </x:c>
      <x:c r="M385" s="232">
        <x:v>533532.74</x:v>
      </x:c>
      <x:c r="N385" s="232">
        <x:v>2380320.94</x:v>
      </x:c>
      <x:c r="O385" s="232">
        <x:v>1293968.43</x:v>
      </x:c>
      <x:c r="P385" s="232">
        <x:v>89200.76</x:v>
      </x:c>
      <x:c r="Q385" s="232">
        <x:v>-22.21</x:v>
      </x:c>
      <x:c r="R385" s="232">
        <x:v>0</x:v>
      </x:c>
      <x:c r="S385" s="232"/>
    </x:row>
    <x:row r="386" spans="1:19" ht="12.75" customHeight="1" x14ac:dyDescent="0.25">
      <x:c r="D386" t="s">
        <x:v>72</x:v>
      </x:c>
      <x:c r="E386" s="142">
        <x:v>2071705.94</x:v>
      </x:c>
      <x:c r="F386">
        <x:v>103319.02</x:v>
      </x:c>
      <x:c r="G386">
        <x:v>57420.42</x:v>
      </x:c>
      <x:c r="H386">
        <x:v>21085.54</x:v>
      </x:c>
      <x:c r="I386">
        <x:v>346150.26</x:v>
      </x:c>
      <x:c r="J386">
        <x:v>11031.32</x:v>
      </x:c>
      <x:c r="K386">
        <x:v>0</x:v>
      </x:c>
      <x:c r="L386">
        <x:v>145571.06</x:v>
      </x:c>
      <x:c r="M386">
        <x:v>183039.97</x:v>
      </x:c>
      <x:c r="N386">
        <x:v>809955.99</x:v>
      </x:c>
      <x:c r="O386">
        <x:v>379524.28</x:v>
      </x:c>
      <x:c r="P386">
        <x:v>14610.01</x:v>
      </x:c>
      <x:c r="Q386">
        <x:v>-1.93</x:v>
      </x:c>
      <x:c r="R386">
        <x:v>0</x:v>
      </x:c>
    </x:row>
    <x:row r="387" spans="1:19" ht="12.75" customHeight="1" x14ac:dyDescent="0.25">
      <x:c r="D387" t="s">
        <x:v>81</x:v>
      </x:c>
      <x:c r="E387" s="142">
        <x:v>5827.74</x:v>
      </x:c>
      <x:c r="F387">
        <x:v>335.75</x:v>
      </x:c>
      <x:c r="G387">
        <x:v>183.23</x:v>
      </x:c>
      <x:c r="H387">
        <x:v>102.43</x:v>
      </x:c>
      <x:c r="I387">
        <x:v>1405.62</x:v>
      </x:c>
      <x:c r="J387">
        <x:v>35.880000000000003</x:v>
      </x:c>
      <x:c r="K387">
        <x:v>0</x:v>
      </x:c>
      <x:c r="L387">
        <x:v>312.68</x:v>
      </x:c>
      <x:c r="M387">
        <x:v>400.21</x:v>
      </x:c>
      <x:c r="N387">
        <x:v>1989.45</x:v>
      </x:c>
      <x:c r="O387">
        <x:v>1003.89</x:v>
      </x:c>
      <x:c r="P387">
        <x:v>58.46</x:v>
      </x:c>
      <x:c r="Q387">
        <x:v>0.14000000000000001</x:v>
      </x:c>
      <x:c r="R387">
        <x:v>0</x:v>
      </x:c>
    </x:row>
    <x:row r="388" spans="1:19" ht="12.75" customHeight="1" x14ac:dyDescent="0.25">
      <x:c r="C388" t="s">
        <x:v>82</x:v>
      </x:c>
      <x:c r="D388" t="s">
        <x:v>70</x:v>
      </x:c>
      <x:c r="E388" s="142">
        <x:v>2077533.68</x:v>
      </x:c>
      <x:c r="F388">
        <x:v>103654.77</x:v>
      </x:c>
      <x:c r="G388">
        <x:v>57603.65</x:v>
      </x:c>
      <x:c r="H388">
        <x:v>21187.97</x:v>
      </x:c>
      <x:c r="I388">
        <x:v>347555.88</x:v>
      </x:c>
      <x:c r="J388">
        <x:v>11067.2</x:v>
      </x:c>
      <x:c r="K388">
        <x:v>0</x:v>
      </x:c>
      <x:c r="L388">
        <x:v>145883.74</x:v>
      </x:c>
      <x:c r="M388">
        <x:v>183440.18</x:v>
      </x:c>
      <x:c r="N388">
        <x:v>811945.44</x:v>
      </x:c>
      <x:c r="O388">
        <x:v>380528.17</x:v>
      </x:c>
      <x:c r="P388">
        <x:v>14668.47</x:v>
      </x:c>
      <x:c r="Q388">
        <x:v>-1.79</x:v>
      </x:c>
      <x:c r="R388">
        <x:v>0</x:v>
      </x:c>
    </x:row>
    <x:row r="389" spans="1:19" ht="12.75" customHeight="1" x14ac:dyDescent="0.25">
      <x:c r="D389" t="s">
        <x:v>72</x:v>
      </x:c>
      <x:c r="E389" s="142">
        <x:v>564214.29</x:v>
      </x:c>
      <x:c r="F389">
        <x:v>17423.509999999998</x:v>
      </x:c>
      <x:c r="G389">
        <x:v>9851.94</x:v>
      </x:c>
      <x:c r="H389">
        <x:v>1306.08</x:v>
      </x:c>
      <x:c r="I389">
        <x:v>70737.58</x:v>
      </x:c>
      <x:c r="J389">
        <x:v>2919.74</x:v>
      </x:c>
      <x:c r="K389">
        <x:v>0</x:v>
      </x:c>
      <x:c r="L389">
        <x:v>56924.86</x:v>
      </x:c>
      <x:c r="M389">
        <x:v>66619.45</x:v>
      </x:c>
      <x:c r="N389">
        <x:v>239269.57</x:v>
      </x:c>
      <x:c r="O389">
        <x:v>97907.86</x:v>
      </x:c>
      <x:c r="P389">
        <x:v>1248.93</x:v>
      </x:c>
      <x:c r="Q389">
        <x:v>4.7699999999999996</x:v>
      </x:c>
      <x:c r="R389">
        <x:v>0</x:v>
      </x:c>
    </x:row>
    <x:row r="390" spans="1:19" ht="12.75" customHeight="1" x14ac:dyDescent="0.25">
      <x:c r="D390" t="s">
        <x:v>81</x:v>
      </x:c>
      <x:c r="E390" s="142">
        <x:v>15983.37</x:v>
      </x:c>
      <x:c r="F390">
        <x:v>1350.57</x:v>
      </x:c>
      <x:c r="G390">
        <x:v>675.27</x:v>
      </x:c>
      <x:c r="H390">
        <x:v>377.77</x:v>
      </x:c>
      <x:c r="I390">
        <x:v>2442.13</x:v>
      </x:c>
      <x:c r="J390">
        <x:v>121.05</x:v>
      </x:c>
      <x:c r="K390">
        <x:v>0</x:v>
      </x:c>
      <x:c r="L390">
        <x:v>1025.0999999999999</x:v>
      </x:c>
      <x:c r="M390">
        <x:v>984.77</x:v>
      </x:c>
      <x:c r="N390">
        <x:v>4740.8500000000004</x:v>
      </x:c>
      <x:c r="O390">
        <x:v>4068.12</x:v>
      </x:c>
      <x:c r="P390">
        <x:v>197.44</x:v>
      </x:c>
      <x:c r="Q390">
        <x:v>0.3</x:v>
      </x:c>
      <x:c r="R390">
        <x:v>0</x:v>
      </x:c>
    </x:row>
    <x:row r="391" spans="1:19" ht="12.75" customHeight="1" x14ac:dyDescent="0.25">
      <x:c r="C391" t="s">
        <x:v>86</x:v>
      </x:c>
      <x:c r="D391" t="s">
        <x:v>70</x:v>
      </x:c>
      <x:c r="E391" s="142">
        <x:v>580197.66</x:v>
      </x:c>
      <x:c r="F391">
        <x:v>18774.080000000002</x:v>
      </x:c>
      <x:c r="G391">
        <x:v>10527.21</x:v>
      </x:c>
      <x:c r="H391">
        <x:v>1683.85</x:v>
      </x:c>
      <x:c r="I391">
        <x:v>73179.710000000006</x:v>
      </x:c>
      <x:c r="J391">
        <x:v>3040.79</x:v>
      </x:c>
      <x:c r="K391">
        <x:v>0</x:v>
      </x:c>
      <x:c r="L391">
        <x:v>57949.96</x:v>
      </x:c>
      <x:c r="M391">
        <x:v>67604.22</x:v>
      </x:c>
      <x:c r="N391">
        <x:v>244010.42</x:v>
      </x:c>
      <x:c r="O391">
        <x:v>101975.98</x:v>
      </x:c>
      <x:c r="P391">
        <x:v>1446.37</x:v>
      </x:c>
      <x:c r="Q391">
        <x:v>5.07</x:v>
      </x:c>
      <x:c r="R391">
        <x:v>0</x:v>
      </x:c>
    </x:row>
    <x:row r="392" spans="1:19" ht="12.75" customHeight="1" x14ac:dyDescent="0.25">
      <x:c r="D392" t="s">
        <x:v>72</x:v>
      </x:c>
      <x:c r="E392" s="142">
        <x:v>9223422.1400000006</x:v>
      </x:c>
      <x:c r="F392">
        <x:v>1035458.12</x:v>
      </x:c>
      <x:c r="G392">
        <x:v>588303.9</x:v>
      </x:c>
      <x:c r="H392">
        <x:v>292492.33</x:v>
      </x:c>
      <x:c r="I392">
        <x:v>925765.26</x:v>
      </x:c>
      <x:c r="J392">
        <x:v>26352.799999999999</x:v>
      </x:c>
      <x:c r="K392">
        <x:v>990006.55</x:v>
      </x:c>
      <x:c r="L392">
        <x:v>272062.34000000003</x:v>
      </x:c>
      <x:c r="M392">
        <x:v>350629.12</x:v>
      </x:c>
      <x:c r="N392">
        <x:v>1502001.28</x:v>
      </x:c>
      <x:c r="O392">
        <x:v>3205703.11</x:v>
      </x:c>
      <x:c r="P392">
        <x:v>34728.980000000003</x:v>
      </x:c>
      <x:c r="Q392">
        <x:v>-81.650000000000006</x:v>
      </x:c>
      <x:c r="R392">
        <x:v>0</x:v>
      </x:c>
    </x:row>
    <x:row r="393" spans="1:19" ht="12.75" customHeight="1" x14ac:dyDescent="0.25">
      <x:c r="B393" s="142"/>
      <x:c r="D393" t="s">
        <x:v>81</x:v>
      </x:c>
      <x:c r="E393" s="142">
        <x:v>19833.349999999999</x:v>
      </x:c>
      <x:c r="F393">
        <x:v>1583.47</x:v>
      </x:c>
      <x:c r="G393">
        <x:v>870.86</x:v>
      </x:c>
      <x:c r="H393">
        <x:v>471.95</x:v>
      </x:c>
      <x:c r="I393">
        <x:v>3975.48</x:v>
      </x:c>
      <x:c r="J393">
        <x:v>100.34</x:v>
      </x:c>
      <x:c r="K393">
        <x:v>0</x:v>
      </x:c>
      <x:c r="L393">
        <x:v>881.78</x:v>
      </x:c>
      <x:c r="M393">
        <x:v>1143.53</x:v>
      </x:c>
      <x:c r="N393">
        <x:v>5829.84</x:v>
      </x:c>
      <x:c r="O393">
        <x:v>4812.5200000000004</x:v>
      </x:c>
      <x:c r="P393">
        <x:v>163.4</x:v>
      </x:c>
      <x:c r="Q393">
        <x:v>0.18</x:v>
      </x:c>
      <x:c r="R393">
        <x:v>0</x:v>
      </x:c>
    </x:row>
    <x:row r="394" spans="1:19" ht="12.75" customHeight="1" x14ac:dyDescent="0.25">
      <x:c r="B394" s="142"/>
      <x:c r="C394" t="s">
        <x:v>87</x:v>
      </x:c>
      <x:c r="D394" t="s">
        <x:v>70</x:v>
      </x:c>
      <x:c r="E394" s="142">
        <x:v>9243255.4900000002</x:v>
      </x:c>
      <x:c r="F394">
        <x:v>1037041.59</x:v>
      </x:c>
      <x:c r="G394">
        <x:v>589174.76</x:v>
      </x:c>
      <x:c r="H394">
        <x:v>292964.28000000003</x:v>
      </x:c>
      <x:c r="I394">
        <x:v>929740.74</x:v>
      </x:c>
      <x:c r="J394">
        <x:v>26453.14</x:v>
      </x:c>
      <x:c r="K394">
        <x:v>990006.55</x:v>
      </x:c>
      <x:c r="L394">
        <x:v>272944.12</x:v>
      </x:c>
      <x:c r="M394">
        <x:v>351772.65</x:v>
      </x:c>
      <x:c r="N394">
        <x:v>1507831.12</x:v>
      </x:c>
      <x:c r="O394">
        <x:v>3210515.63</x:v>
      </x:c>
      <x:c r="P394">
        <x:v>34892.379999999997</x:v>
      </x:c>
      <x:c r="Q394">
        <x:v>-81.47</x:v>
      </x:c>
      <x:c r="R394">
        <x:v>0</x:v>
      </x:c>
    </x:row>
    <x:row r="395" spans="1:19" s="94" customFormat="1" ht="12.75" customHeight="1" x14ac:dyDescent="0.25">
      <x:c r="B395" s="101" t="s">
        <x:v>119</x:v>
      </x:c>
      <x:c r="C395" s="101" t="s">
        <x:v>70</x:v>
      </x:c>
      <x:c r="E395" s="93">
        <x:v>11900986.83</x:v>
      </x:c>
      <x:c r="F395" s="93">
        <x:v>1159470.44</x:v>
      </x:c>
      <x:c r="G395" s="93">
        <x:v>657305.62</x:v>
      </x:c>
      <x:c r="H395" s="93">
        <x:v>315836.09999999998</x:v>
      </x:c>
      <x:c r="I395" s="93">
        <x:v>1350476.33</x:v>
      </x:c>
      <x:c r="J395" s="93">
        <x:v>40561.129999999997</x:v>
      </x:c>
      <x:c r="K395" s="93">
        <x:v>990006.55</x:v>
      </x:c>
      <x:c r="L395" s="93">
        <x:v>476777.82</x:v>
      </x:c>
      <x:c r="M395" s="93">
        <x:v>602817.05000000005</x:v>
      </x:c>
      <x:c r="N395" s="93">
        <x:v>2563786.98</x:v>
      </x:c>
      <x:c r="O395" s="93">
        <x:v>3693019.78</x:v>
      </x:c>
      <x:c r="P395" s="93">
        <x:v>51007.22</x:v>
      </x:c>
      <x:c r="Q395" s="93">
        <x:v>-78.19</x:v>
      </x:c>
      <x:c r="R395" s="94">
        <x:v>0</x:v>
      </x:c>
    </x:row>
    <x:row r="396" spans="1:19" s="226" customFormat="1" ht="12.75" customHeight="1" x14ac:dyDescent="0.25">
      <x:c r="A396" s="98" t="s">
        <x:v>78</x:v>
      </x:c>
      <x:c r="B396" s="98" t="s">
        <x:v>70</x:v>
      </x:c>
      <x:c r="E396" s="100" t="n">
        <x:v>32902557.27</x:v>
      </x:c>
      <x:c r="F396" s="100">
        <x:v>3046794.96</x:v>
      </x:c>
      <x:c r="G396" s="100">
        <x:v>1737546.59</x:v>
      </x:c>
      <x:c r="H396" s="100">
        <x:v>808529.7</x:v>
      </x:c>
      <x:c r="I396" s="100">
        <x:v>7182406.2400000002</x:v>
      </x:c>
      <x:c r="J396" s="100">
        <x:v>249175.55</x:v>
      </x:c>
      <x:c r="K396" s="100" t="n">
        <x:v>855801.18</x:v>
      </x:c>
      <x:c r="L396" s="100">
        <x:v>2265402.94</x:v>
      </x:c>
      <x:c r="M396" s="100">
        <x:v>2501140.2999999998</x:v>
      </x:c>
      <x:c r="N396" s="100">
        <x:v>10769602.529999999</x:v>
      </x:c>
      <x:c r="O396" s="100">
        <x:v>9260216.1500000004</x:v>
      </x:c>
      <x:c r="P396" s="100">
        <x:v>352055.57</x:v>
      </x:c>
      <x:c r="Q396" s="100">
        <x:v>-10.37</x:v>
      </x:c>
      <x:c r="R396" s="226">
        <x:v>0</x:v>
      </x:c>
    </x:row>
    <x:row r="397" spans="1:19" ht="12.75" customHeight="1" x14ac:dyDescent="0.25">
      <x:c r="C397" s="89"/>
      <x:c r="D397" s="89" t="s">
        <x:v>73</x:v>
      </x:c>
      <x:c r="E397" s="90">
        <x:v>3691549.5</x:v>
      </x:c>
      <x:c r="F397" s="90">
        <x:v>530921.56999999995</x:v>
      </x:c>
      <x:c r="G397" s="90">
        <x:v>272938.43</x:v>
      </x:c>
      <x:c r="H397" s="90">
        <x:v>117564.27</x:v>
      </x:c>
      <x:c r="I397" s="90">
        <x:v>369298.5</x:v>
      </x:c>
      <x:c r="J397" s="90">
        <x:v>12339.48</x:v>
      </x:c>
      <x:c r="K397" s="90">
        <x:v>0</x:v>
      </x:c>
      <x:c r="L397" s="90">
        <x:v>114960.22</x:v>
      </x:c>
      <x:c r="M397" s="90">
        <x:v>67403.39</x:v>
      </x:c>
      <x:c r="N397" s="90">
        <x:v>586625.34</x:v>
      </x:c>
      <x:c r="O397" s="90">
        <x:v>1598903.62</x:v>
      </x:c>
      <x:c r="P397" s="90">
        <x:v>20594.68</x:v>
      </x:c>
      <x:c r="Q397" s="90">
        <x:v>0</x:v>
      </x:c>
      <x:c r="R397">
        <x:v>0</x:v>
      </x:c>
    </x:row>
    <x:row r="398" spans="1:19" ht="12.75" customHeight="1" x14ac:dyDescent="0.25">
      <x:c r="B398" s="89"/>
      <x:c r="C398" s="89" t="s">
        <x:v>156</x:v>
      </x:c>
      <x:c r="D398" t="s">
        <x:v>70</x:v>
      </x:c>
      <x:c r="E398" s="90">
        <x:v>3691549.5</x:v>
      </x:c>
      <x:c r="F398" s="90">
        <x:v>530921.56999999995</x:v>
      </x:c>
      <x:c r="G398" s="90">
        <x:v>272938.43</x:v>
      </x:c>
      <x:c r="H398" s="90">
        <x:v>117564.27</x:v>
      </x:c>
      <x:c r="I398" s="90">
        <x:v>369298.5</x:v>
      </x:c>
      <x:c r="J398" s="90">
        <x:v>12339.48</x:v>
      </x:c>
      <x:c r="K398" s="90">
        <x:v>0</x:v>
      </x:c>
      <x:c r="L398" s="90">
        <x:v>114960.22</x:v>
      </x:c>
      <x:c r="M398" s="90">
        <x:v>67403.39</x:v>
      </x:c>
      <x:c r="N398" s="90">
        <x:v>586625.34</x:v>
      </x:c>
      <x:c r="O398" s="90">
        <x:v>1598903.62</x:v>
      </x:c>
      <x:c r="P398" s="90">
        <x:v>20594.68</x:v>
      </x:c>
      <x:c r="Q398" s="90">
        <x:v>0</x:v>
      </x:c>
      <x:c r="R398">
        <x:v>0</x:v>
      </x:c>
    </x:row>
    <x:row r="399" spans="1:19" s="237" customFormat="1" ht="12.75" customHeight="1" x14ac:dyDescent="0.25">
      <x:c r="B399" s="221" t="s">
        <x:v>155</x:v>
      </x:c>
      <x:c r="C399" s="221" t="s">
        <x:v>70</x:v>
      </x:c>
      <x:c r="E399" s="222">
        <x:v>3691549.5</x:v>
      </x:c>
      <x:c r="F399" s="222">
        <x:v>530921.56999999995</x:v>
      </x:c>
      <x:c r="G399" s="222">
        <x:v>272938.43</x:v>
      </x:c>
      <x:c r="H399" s="222">
        <x:v>117564.27</x:v>
      </x:c>
      <x:c r="I399" s="222">
        <x:v>369298.5</x:v>
      </x:c>
      <x:c r="J399" s="222">
        <x:v>12339.48</x:v>
      </x:c>
      <x:c r="K399" s="222">
        <x:v>0</x:v>
      </x:c>
      <x:c r="L399" s="222">
        <x:v>114960.22</x:v>
      </x:c>
      <x:c r="M399" s="222">
        <x:v>67403.39</x:v>
      </x:c>
      <x:c r="N399" s="222">
        <x:v>586625.34</x:v>
      </x:c>
      <x:c r="O399" s="222">
        <x:v>1598903.62</x:v>
      </x:c>
      <x:c r="P399" s="222">
        <x:v>20594.68</x:v>
      </x:c>
      <x:c r="Q399" s="222">
        <x:v>0</x:v>
      </x:c>
      <x:c r="R399" s="237">
        <x:v>0</x:v>
      </x:c>
    </x:row>
    <x:row r="400" spans="1:19" ht="12.75" customHeight="1" x14ac:dyDescent="0.25">
      <x:c r="B400" s="142"/>
      <x:c r="C400" s="89"/>
      <x:c r="D400" s="89" t="s">
        <x:v>73</x:v>
      </x:c>
      <x:c r="E400" s="371">
        <x:v>-1287165.1599999999</x:v>
      </x:c>
      <x:c r="F400" s="90">
        <x:v>-66624.22</x:v>
      </x:c>
      <x:c r="G400" s="90">
        <x:v>-37615.300000000003</x:v>
      </x:c>
      <x:c r="H400" s="90">
        <x:v>-19739.189999999999</x:v>
      </x:c>
      <x:c r="I400" s="90">
        <x:v>-287087.38</x:v>
      </x:c>
      <x:c r="J400" s="90">
        <x:v>-10837.21</x:v>
      </x:c>
      <x:c r="K400" s="90">
        <x:v>0</x:v>
      </x:c>
      <x:c r="L400" s="90">
        <x:v>-91013.79</x:v>
      </x:c>
      <x:c r="M400" s="90">
        <x:v>-91573.95</x:v>
      </x:c>
      <x:c r="N400" s="90">
        <x:v>-468346.31</x:v>
      </x:c>
      <x:c r="O400" s="90">
        <x:v>-196727.98</x:v>
      </x:c>
      <x:c r="P400" s="90">
        <x:v>-17599.830000000002</x:v>
      </x:c>
      <x:c r="Q400" s="90">
        <x:v>0</x:v>
      </x:c>
      <x:c r="R400">
        <x:v>0</x:v>
      </x:c>
    </x:row>
    <x:row r="401" spans="1:19" ht="12.75" customHeight="1" x14ac:dyDescent="0.25">
      <x:c r="B401" s="142"/>
      <x:c r="C401" s="89" t="s">
        <x:v>156</x:v>
      </x:c>
      <x:c r="D401" s="89" t="s">
        <x:v>70</x:v>
      </x:c>
      <x:c r="E401" s="371">
        <x:v>-1287165.1599999999</x:v>
      </x:c>
      <x:c r="F401" s="90">
        <x:v>-66624.22</x:v>
      </x:c>
      <x:c r="G401" s="90">
        <x:v>-37615.300000000003</x:v>
      </x:c>
      <x:c r="H401" s="90">
        <x:v>-19739.189999999999</x:v>
      </x:c>
      <x:c r="I401" s="90">
        <x:v>-287087.38</x:v>
      </x:c>
      <x:c r="J401" s="90">
        <x:v>-10837.21</x:v>
      </x:c>
      <x:c r="K401" s="90">
        <x:v>0</x:v>
      </x:c>
      <x:c r="L401" s="90">
        <x:v>-91013.79</x:v>
      </x:c>
      <x:c r="M401" s="90">
        <x:v>-91573.95</x:v>
      </x:c>
      <x:c r="N401" s="90">
        <x:v>-468346.31</x:v>
      </x:c>
      <x:c r="O401" s="90">
        <x:v>-196727.98</x:v>
      </x:c>
      <x:c r="P401" s="90">
        <x:v>-17599.830000000002</x:v>
      </x:c>
      <x:c r="Q401" s="90">
        <x:v>0</x:v>
      </x:c>
      <x:c r="R401">
        <x:v>0</x:v>
      </x:c>
    </x:row>
    <x:row r="402" spans="1:19" s="740" customFormat="1" ht="12.75" customHeight="1" x14ac:dyDescent="0.25">
      <x:c r="B402" s="740" t="s">
        <x:v>328</x:v>
      </x:c>
      <x:c r="C402" s="740" t="s">
        <x:v>70</x:v>
      </x:c>
      <x:c r="E402" s="231">
        <x:v>-1287165.1599999999</x:v>
      </x:c>
      <x:c r="F402" s="741">
        <x:v>-66624.22</x:v>
      </x:c>
      <x:c r="G402" s="232">
        <x:v>-37615.300000000003</x:v>
      </x:c>
      <x:c r="H402" s="232">
        <x:v>-19739.189999999999</x:v>
      </x:c>
      <x:c r="I402" s="232">
        <x:v>-287087.38</x:v>
      </x:c>
      <x:c r="J402" s="232">
        <x:v>-10837.21</x:v>
      </x:c>
      <x:c r="K402" s="232">
        <x:v>0</x:v>
      </x:c>
      <x:c r="L402" s="232">
        <x:v>-91013.79</x:v>
      </x:c>
      <x:c r="M402" s="232">
        <x:v>-91573.95</x:v>
      </x:c>
      <x:c r="N402" s="232">
        <x:v>-468346.31</x:v>
      </x:c>
      <x:c r="O402" s="232">
        <x:v>-196727.98</x:v>
      </x:c>
      <x:c r="P402" s="232">
        <x:v>-17599.830000000002</x:v>
      </x:c>
      <x:c r="Q402" s="232">
        <x:v>0</x:v>
      </x:c>
      <x:c r="R402" s="232">
        <x:v>0</x:v>
      </x:c>
      <x:c r="S402" s="232"/>
    </x:row>
    <x:row r="403" spans="1:19" ht="12.75" customHeight="1" x14ac:dyDescent="0.25">
      <x:c r="B403" s="142"/>
      <x:c r="C403" s="89"/>
      <x:c r="D403" s="89" t="s">
        <x:v>73</x:v>
      </x:c>
      <x:c r="E403" s="371">
        <x:v>-210692.92</x:v>
      </x:c>
      <x:c r="F403" s="90">
        <x:v>-10566.31</x:v>
      </x:c>
      <x:c r="G403" s="90">
        <x:v>-5965.83</x:v>
      </x:c>
      <x:c r="H403" s="90">
        <x:v>-3131.3</x:v>
      </x:c>
      <x:c r="I403" s="90">
        <x:v>-45955.45</x:v>
      </x:c>
      <x:c r="J403" s="90">
        <x:v>-1566.98</x:v>
      </x:c>
      <x:c r="K403" s="90">
        <x:v>0</x:v>
      </x:c>
      <x:c r="L403" s="90">
        <x:v>-13745.76</x:v>
      </x:c>
      <x:c r="M403" s="90">
        <x:v>-15917.58</x:v>
      </x:c>
      <x:c r="N403" s="90">
        <x:v>-79341.42</x:v>
      </x:c>
      <x:c r="O403" s="90">
        <x:v>-31945.58</x:v>
      </x:c>
      <x:c r="P403" s="90">
        <x:v>-2556.71</x:v>
      </x:c>
      <x:c r="Q403" s="90">
        <x:v>0</x:v>
      </x:c>
      <x:c r="R403">
        <x:v>0</x:v>
      </x:c>
    </x:row>
    <x:row r="404" spans="1:19" ht="12.75" customHeight="1" x14ac:dyDescent="0.25">
      <x:c r="B404" s="142"/>
      <x:c r="C404" s="89" t="s">
        <x:v>82</x:v>
      </x:c>
      <x:c r="D404" s="89" t="s">
        <x:v>70</x:v>
      </x:c>
      <x:c r="E404" s="371">
        <x:v>-210692.92</x:v>
      </x:c>
      <x:c r="F404" s="90">
        <x:v>-10566.31</x:v>
      </x:c>
      <x:c r="G404" s="90">
        <x:v>-5965.83</x:v>
      </x:c>
      <x:c r="H404" s="90">
        <x:v>-3131.3</x:v>
      </x:c>
      <x:c r="I404" s="90">
        <x:v>-45955.45</x:v>
      </x:c>
      <x:c r="J404" s="90">
        <x:v>-1566.98</x:v>
      </x:c>
      <x:c r="K404" s="90">
        <x:v>0</x:v>
      </x:c>
      <x:c r="L404" s="90">
        <x:v>-13745.76</x:v>
      </x:c>
      <x:c r="M404" s="90">
        <x:v>-15917.58</x:v>
      </x:c>
      <x:c r="N404" s="90">
        <x:v>-79341.42</x:v>
      </x:c>
      <x:c r="O404" s="90">
        <x:v>-31945.58</x:v>
      </x:c>
      <x:c r="P404" s="90">
        <x:v>-2556.71</x:v>
      </x:c>
      <x:c r="Q404" s="90">
        <x:v>0</x:v>
      </x:c>
      <x:c r="R404">
        <x:v>0</x:v>
      </x:c>
    </x:row>
    <x:row r="405" spans="1:19" ht="12.75" customHeight="1" x14ac:dyDescent="0.25">
      <x:c r="B405" s="142"/>
      <x:c r="C405" s="89"/>
      <x:c r="D405" s="89" t="s">
        <x:v>73</x:v>
      </x:c>
      <x:c r="E405" s="371">
        <x:v>-108192.45</x:v>
      </x:c>
      <x:c r="F405" s="90">
        <x:v>-4309.76</x:v>
      </x:c>
      <x:c r="G405" s="90">
        <x:v>-2433.3200000000002</x:v>
      </x:c>
      <x:c r="H405" s="90">
        <x:v>-1277.18</x:v>
      </x:c>
      <x:c r="I405" s="90">
        <x:v>-18004.79</x:v>
      </x:c>
      <x:c r="J405" s="90">
        <x:v>-1041.42</x:v>
      </x:c>
      <x:c r="K405" s="90">
        <x:v>0</x:v>
      </x:c>
      <x:c r="L405" s="90">
        <x:v>-9135.26</x:v>
      </x:c>
      <x:c r="M405" s="90">
        <x:v>-8882.84</x:v>
      </x:c>
      <x:c r="N405" s="90">
        <x:v>-48363.54</x:v>
      </x:c>
      <x:c r="O405" s="90">
        <x:v>-13045.17</x:v>
      </x:c>
      <x:c r="P405" s="90">
        <x:v>-1699.17</x:v>
      </x:c>
      <x:c r="Q405" s="90">
        <x:v>0</x:v>
      </x:c>
      <x:c r="R405">
        <x:v>0</x:v>
      </x:c>
    </x:row>
    <x:row r="406" spans="1:19" ht="12.75" customHeight="1" x14ac:dyDescent="0.25">
      <x:c r="B406" s="142"/>
      <x:c r="C406" s="89" t="s">
        <x:v>86</x:v>
      </x:c>
      <x:c r="D406" s="89" t="s">
        <x:v>70</x:v>
      </x:c>
      <x:c r="E406" s="371">
        <x:v>-108192.45</x:v>
      </x:c>
      <x:c r="F406" s="90">
        <x:v>-4309.76</x:v>
      </x:c>
      <x:c r="G406" s="90">
        <x:v>-2433.3200000000002</x:v>
      </x:c>
      <x:c r="H406" s="90">
        <x:v>-1277.18</x:v>
      </x:c>
      <x:c r="I406" s="90">
        <x:v>-18004.79</x:v>
      </x:c>
      <x:c r="J406" s="90">
        <x:v>-1041.42</x:v>
      </x:c>
      <x:c r="K406" s="90">
        <x:v>0</x:v>
      </x:c>
      <x:c r="L406" s="90">
        <x:v>-9135.26</x:v>
      </x:c>
      <x:c r="M406" s="90">
        <x:v>-8882.84</x:v>
      </x:c>
      <x:c r="N406" s="90">
        <x:v>-48363.54</x:v>
      </x:c>
      <x:c r="O406" s="90">
        <x:v>-13045.17</x:v>
      </x:c>
      <x:c r="P406" s="90">
        <x:v>-1699.17</x:v>
      </x:c>
      <x:c r="Q406" s="90">
        <x:v>0</x:v>
      </x:c>
      <x:c r="R406">
        <x:v>0</x:v>
      </x:c>
    </x:row>
    <x:row r="407" spans="1:19" ht="12.75" customHeight="1" x14ac:dyDescent="0.25">
      <x:c r="B407" s="142"/>
      <x:c r="C407" s="89"/>
      <x:c r="D407" s="89" t="s">
        <x:v>73</x:v>
      </x:c>
      <x:c r="E407" s="371">
        <x:v>2725143.28</x:v>
      </x:c>
      <x:c r="F407" s="90">
        <x:v>679374.88</x:v>
      </x:c>
      <x:c r="G407" s="90">
        <x:v>126898.74</x:v>
      </x:c>
      <x:c r="H407" s="90">
        <x:v>10627.02</x:v>
      </x:c>
      <x:c r="I407" s="90">
        <x:v>-60093.33</x:v>
      </x:c>
      <x:c r="J407" s="90">
        <x:v>-2491.7399999999998</x:v>
      </x:c>
      <x:c r="K407" s="90">
        <x:v>0</x:v>
      </x:c>
      <x:c r="L407" s="90">
        <x:v>-16227.77</x:v>
      </x:c>
      <x:c r="M407" s="90">
        <x:v>-16672.310000000001</x:v>
      </x:c>
      <x:c r="N407" s="90">
        <x:v>-94111.77</x:v>
      </x:c>
      <x:c r="O407" s="90">
        <x:v>2101905.15</x:v>
      </x:c>
      <x:c r="P407" s="90">
        <x:v>-4065.59</x:v>
      </x:c>
      <x:c r="Q407" s="90">
        <x:v>0</x:v>
      </x:c>
      <x:c r="R407">
        <x:v>0</x:v>
      </x:c>
    </x:row>
    <x:row r="408" spans="1:19" ht="12.75" customHeight="1" x14ac:dyDescent="0.25">
      <x:c r="B408" s="142"/>
      <x:c r="C408" s="89" t="s">
        <x:v>87</x:v>
      </x:c>
      <x:c r="D408" s="89" t="s">
        <x:v>70</x:v>
      </x:c>
      <x:c r="E408" s="371">
        <x:v>2725143.28</x:v>
      </x:c>
      <x:c r="F408" s="90">
        <x:v>679374.88</x:v>
      </x:c>
      <x:c r="G408" s="90">
        <x:v>126898.74</x:v>
      </x:c>
      <x:c r="H408" s="90">
        <x:v>10627.02</x:v>
      </x:c>
      <x:c r="I408" s="90">
        <x:v>-60093.33</x:v>
      </x:c>
      <x:c r="J408" s="90">
        <x:v>-2491.7399999999998</x:v>
      </x:c>
      <x:c r="K408" s="90">
        <x:v>0</x:v>
      </x:c>
      <x:c r="L408" s="90">
        <x:v>-16227.77</x:v>
      </x:c>
      <x:c r="M408" s="90">
        <x:v>-16672.310000000001</x:v>
      </x:c>
      <x:c r="N408" s="90">
        <x:v>-94111.77</x:v>
      </x:c>
      <x:c r="O408" s="90">
        <x:v>2101905.15</x:v>
      </x:c>
      <x:c r="P408" s="90">
        <x:v>-4065.59</x:v>
      </x:c>
      <x:c r="Q408" s="90">
        <x:v>0</x:v>
      </x:c>
      <x:c r="R408">
        <x:v>0</x:v>
      </x:c>
    </x:row>
    <x:row r="409" spans="1:19" s="94" customFormat="1" ht="12.75" customHeight="1" x14ac:dyDescent="0.25">
      <x:c r="B409" s="101" t="s">
        <x:v>119</x:v>
      </x:c>
      <x:c r="C409" s="101" t="s">
        <x:v>70</x:v>
      </x:c>
      <x:c r="E409" s="93">
        <x:v>2406257.91</x:v>
      </x:c>
      <x:c r="F409" s="93">
        <x:v>664498.81000000006</x:v>
      </x:c>
      <x:c r="G409" s="93">
        <x:v>118499.59</x:v>
      </x:c>
      <x:c r="H409" s="93">
        <x:v>6218.54</x:v>
      </x:c>
      <x:c r="I409" s="93">
        <x:v>-124053.57</x:v>
      </x:c>
      <x:c r="J409" s="93">
        <x:v>-5100.1400000000003</x:v>
      </x:c>
      <x:c r="K409" s="93">
        <x:v>0</x:v>
      </x:c>
      <x:c r="L409" s="93">
        <x:v>-39108.79</x:v>
      </x:c>
      <x:c r="M409" s="93">
        <x:v>-41472.730000000003</x:v>
      </x:c>
      <x:c r="N409" s="93">
        <x:v>-221816.73</x:v>
      </x:c>
      <x:c r="O409" s="93">
        <x:v>2056914.4</x:v>
      </x:c>
      <x:c r="P409" s="93">
        <x:v>-8321.4699999999993</x:v>
      </x:c>
      <x:c r="Q409" s="93">
        <x:v>0</x:v>
      </x:c>
      <x:c r="R409" s="94">
        <x:v>0</x:v>
      </x:c>
    </x:row>
    <x:row r="410" spans="1:19" s="226" customFormat="1" ht="12.75" customHeight="1" x14ac:dyDescent="0.25">
      <x:c r="A410" s="98" t="s">
        <x:v>79</x:v>
      </x:c>
      <x:c r="B410" s="98" t="s">
        <x:v>70</x:v>
      </x:c>
      <x:c r="E410" s="100" t="n">
        <x:v>2916397.69</x:v>
      </x:c>
      <x:c r="F410" s="100">
        <x:v>1128796.1599999999</x:v>
      </x:c>
      <x:c r="G410" s="100">
        <x:v>353822.71999999997</x:v>
      </x:c>
      <x:c r="H410" s="100">
        <x:v>104043.62</x:v>
      </x:c>
      <x:c r="I410" s="100">
        <x:v>-41842.449999999997</x:v>
      </x:c>
      <x:c r="J410" s="100">
        <x:v>-3597.87</x:v>
      </x:c>
      <x:c r="K410" s="100">
        <x:v>0</x:v>
      </x:c>
      <x:c r="L410" s="100">
        <x:v>-15162.36</x:v>
      </x:c>
      <x:c r="M410" s="100">
        <x:v>-65643.289999999994</x:v>
      </x:c>
      <x:c r="N410" s="100">
        <x:v>-103537.7</x:v>
      </x:c>
      <x:c r="O410" s="100">
        <x:v>3459090.04</x:v>
      </x:c>
      <x:c r="P410" s="100">
        <x:v>-5326.62</x:v>
      </x:c>
      <x:c r="Q410" s="100">
        <x:v>0</x:v>
      </x:c>
      <x:c r="R410" s="226">
        <x:v>0</x:v>
      </x:c>
    </x:row>
    <x:row r="411" spans="1:19" ht="12.75" customHeight="1" x14ac:dyDescent="0.25">
      <x:c r="A411" s="89" t="s">
        <x:v>70</x:v>
      </x:c>
      <x:c r="E411" s="90">
        <x:v>43973508.960000001</x:v>
      </x:c>
      <x:c r="F411" s="90">
        <x:v>4175591.12</x:v>
      </x:c>
      <x:c r="G411" s="90">
        <x:v>2091369.31</x:v>
      </x:c>
      <x:c r="H411" s="90">
        <x:v>912573.32</x:v>
      </x:c>
      <x:c r="I411" s="90">
        <x:v>7140563.79</x:v>
      </x:c>
      <x:c r="J411" s="90">
        <x:v>245577.68</x:v>
      </x:c>
      <x:c r="K411" s="90">
        <x:v>990006.55</x:v>
      </x:c>
      <x:c r="L411" s="90">
        <x:v>2250240.58</x:v>
      </x:c>
      <x:c r="M411" s="90">
        <x:v>2435497.0099999998</x:v>
      </x:c>
      <x:c r="N411" s="90">
        <x:v>10666064.83</x:v>
      </x:c>
      <x:c r="O411" s="90">
        <x:v>12719306.189999999</x:v>
      </x:c>
      <x:c r="P411" s="90">
        <x:v>346728.95</x:v>
      </x:c>
      <x:c r="Q411" s="90">
        <x:v>-10.37</x:v>
      </x:c>
      <x:c r="R411" s="90">
        <x:v>0</x:v>
      </x:c>
    </x:row>
    <x:row r="412" spans="1:19" ht="12.75" hidden="1" customHeight="1" x14ac:dyDescent="0.25">
      <x:c r="A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</x:row>
    <x:row r="413" spans="1:19" ht="12.75" hidden="1" customHeight="1" x14ac:dyDescent="0.25">
      <x:c r="A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</x:row>
    <x:row r="414" spans="1:19" ht="12.75" hidden="1" customHeight="1" x14ac:dyDescent="0.25">
      <x:c r="A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</x:row>
    <x:row r="415" spans="1:19" ht="12.75" hidden="1" customHeight="1" x14ac:dyDescent="0.25">
      <x:c r="A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  <x:c r="R415" s="90"/>
    </x:row>
    <x:row r="416" spans="1:19" ht="12.75" hidden="1" customHeight="1" x14ac:dyDescent="0.25">
      <x:c r="A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</x:row>
    <x:row r="417" spans="1:18" ht="12.75" hidden="1" customHeight="1" x14ac:dyDescent="0.25">
      <x:c r="A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  <x:c r="R417" s="90"/>
    </x:row>
    <x:row r="418" spans="1:18" ht="12.75" hidden="1" customHeight="1" x14ac:dyDescent="0.25">
      <x:c r="A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18" ht="12.75" hidden="1" customHeight="1" x14ac:dyDescent="0.25">
      <x:c r="A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</x:row>
    <x:row r="420" spans="1:18" ht="12.75" hidden="1" customHeight="1" x14ac:dyDescent="0.25">
      <x:c r="A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  <x:c r="R420" s="90"/>
    </x:row>
    <x:row r="421" spans="1:18" ht="12.75" hidden="1" customHeight="1" x14ac:dyDescent="0.25">
      <x:c r="A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</x:row>
    <x:row r="422" spans="1:18" ht="12.75" hidden="1" customHeight="1" x14ac:dyDescent="0.25">
      <x:c r="A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  <x:c r="R422" s="90"/>
    </x:row>
    <x:row r="423" spans="1:18" ht="12.75" hidden="1" customHeight="1" x14ac:dyDescent="0.25">
      <x:c r="A423" s="89"/>
      <x:c r="E423" s="90"/>
      <x:c r="F423" s="90"/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18" ht="12.75" hidden="1" customHeight="1" x14ac:dyDescent="0.25">
      <x:c r="A424" s="89"/>
      <x:c r="E424" s="90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hidden="1" customHeight="1" x14ac:dyDescent="0.25">
      <x:c r="A425" s="89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hidden="1" customHeight="1" x14ac:dyDescent="0.25">
      <x:c r="A426" s="89"/>
      <x:c r="E426" s="90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</x:row>
    <x:row r="427" spans="1:18" ht="12.75" hidden="1" customHeight="1" x14ac:dyDescent="0.25">
      <x:c r="A427" s="89"/>
      <x:c r="E427" s="90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hidden="1" customHeight="1" x14ac:dyDescent="0.25">
      <x:c r="A428" s="89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hidden="1" customHeight="1" x14ac:dyDescent="0.25">
      <x:c r="A429" s="89"/>
      <x:c r="E429" s="90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</x:row>
    <x:row r="430" spans="1:18" ht="12.75" hidden="1" customHeight="1" x14ac:dyDescent="0.25">
      <x:c r="A430" s="89"/>
      <x:c r="E430" s="90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hidden="1" customHeight="1" x14ac:dyDescent="0.25">
      <x:c r="A431" s="89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hidden="1" customHeight="1" x14ac:dyDescent="0.25">
      <x:c r="A432" s="89"/>
      <x:c r="E432" s="90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</x:row>
    <x:row r="433" spans="1:18" ht="12.75" hidden="1" customHeight="1" x14ac:dyDescent="0.25">
      <x:c r="A433" s="89"/>
      <x:c r="E433" s="90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hidden="1" customHeight="1" x14ac:dyDescent="0.25">
      <x:c r="A434" s="89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hidden="1" customHeight="1" x14ac:dyDescent="0.25">
      <x:c r="A435" s="89"/>
      <x:c r="E435" s="90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</x:row>
    <x:row r="436" spans="1:18" ht="12.75" customHeight="1" x14ac:dyDescent="0.25">
      <x:c r="A436" s="89"/>
      <x:c r="E436" s="90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5">
      <x:c r="A437" s="89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5">
      <x:c r="B438" s="774" t="s">
        <x:v>2</x:v>
      </x:c>
      <x:c r="C438" s="771" t="s">
        <x:v>132</x:v>
      </x:c>
      <x:c r="D438" s="98" t="s">
        <x:v>70</x:v>
      </x:c>
      <x:c r="E438" s="100">
        <x:f>E410+E396-K396</x:f>
        <x:v>42983502.410000004</x:v>
      </x:c>
      <x:c r="F438" s="100">
        <x:f>F396</x:f>
        <x:v>3046794.96</x:v>
      </x:c>
      <x:c r="G438" s="100">
        <x:f t="shared" ref="G438:R438" si="14">G396</x:f>
        <x:v>1737546.59</x:v>
      </x:c>
      <x:c r="H438" s="100">
        <x:f t="shared" si="14"/>
        <x:v>808529.7</x:v>
      </x:c>
      <x:c r="I438" s="100">
        <x:f t="shared" si="14"/>
        <x:v>7182406.2400000002</x:v>
      </x:c>
      <x:c r="J438" s="100">
        <x:f t="shared" si="14"/>
        <x:v>249175.55</x:v>
      </x:c>
      <x:c r="K438" s="100">
        <x:f t="shared" si="14"/>
        <x:v>990006.55</x:v>
      </x:c>
      <x:c r="L438" s="100">
        <x:f t="shared" si="14"/>
        <x:v>2265402.94</x:v>
      </x:c>
      <x:c r="M438" s="100">
        <x:f t="shared" si="14"/>
        <x:v>2501140.2999999998</x:v>
      </x:c>
      <x:c r="N438" s="100">
        <x:f t="shared" si="14"/>
        <x:v>10769602.529999999</x:v>
      </x:c>
      <x:c r="O438" s="100">
        <x:f t="shared" si="14"/>
        <x:v>9260216.1500000004</x:v>
      </x:c>
      <x:c r="P438" s="100">
        <x:f t="shared" si="14"/>
        <x:v>352055.57</x:v>
      </x:c>
      <x:c r="Q438" s="100">
        <x:f t="shared" si="14"/>
        <x:v>-10.37</x:v>
      </x:c>
      <x:c r="R438" s="100">
        <x:f t="shared" si="14"/>
        <x:v>0</x:v>
      </x:c>
    </x:row>
    <x:row r="439" spans="1:18" ht="12.75" customHeight="1" x14ac:dyDescent="0.25">
      <x:c r="B439" s="774"/>
      <x:c r="C439" s="771"/>
      <x:c r="D439" s="98" t="s">
        <x:v>73</x:v>
      </x:c>
      <x:c r="E439" s="100">
        <x:f>E410</x:f>
        <x:v>4810642.25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ht="12.75" customHeight="1" x14ac:dyDescent="0.3">
      <x:c r="A440" s="89"/>
      <x:c r="B440" s="97"/>
      <x:c r="E440" s="90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</x:row>
    <x:row r="441" spans="1:18" ht="12.75" customHeight="1" x14ac:dyDescent="0.25">
      <x:c r="B441" s="774" t="s">
        <x:v>160</x:v>
      </x:c>
      <x:c r="C441" s="771" t="s">
        <x:v>132</x:v>
      </x:c>
      <x:c r="D441" s="223" t="s">
        <x:v>70</x:v>
      </x:c>
      <x:c r="E441" s="225">
        <x:v>0</x:v>
      </x:c>
      <x:c r="F441" s="225">
        <x:v>0</x:v>
      </x:c>
      <x:c r="G441" s="225">
        <x:v>0</x:v>
      </x:c>
      <x:c r="H441" s="225">
        <x:v>0</x:v>
      </x:c>
      <x:c r="I441" s="225">
        <x:v>0</x:v>
      </x:c>
      <x:c r="J441" s="225">
        <x:v>0</x:v>
      </x:c>
      <x:c r="K441" s="225">
        <x:v>0</x:v>
      </x:c>
      <x:c r="L441" s="225">
        <x:v>0</x:v>
      </x:c>
      <x:c r="M441" s="225">
        <x:v>0</x:v>
      </x:c>
      <x:c r="N441" s="225">
        <x:v>0</x:v>
      </x:c>
      <x:c r="O441" s="225">
        <x:v>0</x:v>
      </x:c>
      <x:c r="P441" s="225">
        <x:v>0</x:v>
      </x:c>
      <x:c r="Q441" s="225">
        <x:v>0</x:v>
      </x:c>
      <x:c r="R441" s="225">
        <x:v>0</x:v>
      </x:c>
    </x:row>
    <x:row r="442" spans="1:18" ht="12.75" customHeight="1" x14ac:dyDescent="0.25">
      <x:c r="B442" s="774"/>
      <x:c r="C442" s="771"/>
      <x:c r="D442" s="223" t="s">
        <x:v>73</x:v>
      </x:c>
      <x:c r="E442" s="225">
        <x:v>0</x:v>
      </x:c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customHeight="1" x14ac:dyDescent="0.3">
      <x:c r="A443" s="89"/>
      <x:c r="B443" s="97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customHeight="1" x14ac:dyDescent="0.25">
      <x:c r="B444" s="774" t="s">
        <x:v>155</x:v>
      </x:c>
      <x:c r="C444" s="771" t="s">
        <x:v>132</x:v>
      </x:c>
      <x:c r="D444" s="221" t="s">
        <x:v>70</x:v>
      </x:c>
      <x:c r="E444" s="222">
        <x:f>E399+E381-K381</x:f>
        <x:v>23423861.739999998</x:v>
      </x:c>
      <x:c r="F444" s="222">
        <x:f>F381</x:f>
        <x:v>1434797.19</x:v>
      </x:c>
      <x:c r="G444" s="222">
        <x:f t="shared" ref="G444:R444" si="15">G381</x:f>
        <x:v>822131.91</x:v>
      </x:c>
      <x:c r="H444" s="222">
        <x:f t="shared" si="15"/>
        <x:v>382101.97</x:v>
      </x:c>
      <x:c r="I444" s="222">
        <x:f t="shared" si="15"/>
        <x:v>4012967.88</x:v>
      </x:c>
      <x:c r="J444" s="222">
        <x:f t="shared" si="15"/>
        <x:v>149799.45000000001</x:v>
      </x:c>
      <x:c r="K444" s="222">
        <x:f t="shared" si="15"/>
        <x:v>0</x:v>
      </x:c>
      <x:c r="L444" s="222">
        <x:f t="shared" si="15"/>
        <x:v>1255063.1599999999</x:v>
      </x:c>
      <x:c r="M444" s="222">
        <x:f t="shared" si="15"/>
        <x:v>1364790.51</x:v>
      </x:c>
      <x:c r="N444" s="222">
        <x:f t="shared" si="15"/>
        <x:v>5825494.6100000003</x:v>
      </x:c>
      <x:c r="O444" s="222">
        <x:f t="shared" si="15"/>
        <x:v>4273227.9400000004</x:v>
      </x:c>
      <x:c r="P444" s="222">
        <x:f t="shared" si="15"/>
        <x:v>211847.59</x:v>
      </x:c>
      <x:c r="Q444" s="222">
        <x:f t="shared" si="15"/>
        <x:v>90.03</x:v>
      </x:c>
      <x:c r="R444" s="222">
        <x:f t="shared" si="15"/>
        <x:v>0</x:v>
      </x:c>
    </x:row>
    <x:row r="445" spans="1:18" ht="12.75" customHeight="1" x14ac:dyDescent="0.25">
      <x:c r="B445" s="774"/>
      <x:c r="C445" s="771"/>
      <x:c r="D445" s="221" t="s">
        <x:v>73</x:v>
      </x:c>
      <x:c r="E445" s="222">
        <x:f>E399</x:f>
        <x:v>3691549.5</x:v>
      </x:c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customHeight="1" x14ac:dyDescent="0.3">
      <x:c r="A446" s="89"/>
      <x:c r="B446" s="97"/>
      <x:c r="E446" s="90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18" ht="12.75" customHeight="1" x14ac:dyDescent="0.25">
      <x:c r="B447" s="772" t="s">
        <x:v>328</x:v>
      </x:c>
      <x:c r="C447" s="771" t="s">
        <x:v>132</x:v>
      </x:c>
      <x:c r="D447" s="373" t="s">
        <x:v>70</x:v>
      </x:c>
      <x:c r="E447" s="374">
        <x:f>E402+E385-K385</x:f>
        <x:v>6242402.4799999995</x:v>
      </x:c>
      <x:c r="F447" s="374">
        <x:f>F385</x:f>
        <x:v>452527.33</x:v>
      </x:c>
      <x:c r="G447" s="374">
        <x:f t="shared" ref="G447:R447" si="16">G385</x:f>
        <x:v>258109.06</x:v>
      </x:c>
      <x:c r="H447" s="374">
        <x:f t="shared" si="16"/>
        <x:v>110591.63</x:v>
      </x:c>
      <x:c r="I447" s="374">
        <x:f t="shared" si="16"/>
        <x:v>1818962.03</x:v>
      </x:c>
      <x:c r="J447" s="374">
        <x:f t="shared" si="16"/>
        <x:v>58814.97</x:v>
      </x:c>
      <x:c r="K447" s="374">
        <x:f t="shared" si="16"/>
        <x:v>0</x:v>
      </x:c>
      <x:c r="L447" s="374">
        <x:f t="shared" si="16"/>
        <x:v>533561.96</x:v>
      </x:c>
      <x:c r="M447" s="374">
        <x:f t="shared" si="16"/>
        <x:v>533532.74</x:v>
      </x:c>
      <x:c r="N447" s="374">
        <x:f t="shared" si="16"/>
        <x:v>2380320.94</x:v>
      </x:c>
      <x:c r="O447" s="374">
        <x:f t="shared" si="16"/>
        <x:v>1293968.43</x:v>
      </x:c>
      <x:c r="P447" s="374">
        <x:f t="shared" si="16"/>
        <x:v>89200.76</x:v>
      </x:c>
      <x:c r="Q447" s="374">
        <x:f t="shared" si="16"/>
        <x:v>-22.21</x:v>
      </x:c>
      <x:c r="R447" s="374">
        <x:f t="shared" si="16"/>
        <x:v>0</x:v>
      </x:c>
    </x:row>
    <x:row r="448" spans="1:18" ht="12.75" customHeight="1" x14ac:dyDescent="0.25">
      <x:c r="B448" s="772"/>
      <x:c r="C448" s="771"/>
      <x:c r="D448" s="373" t="s">
        <x:v>73</x:v>
      </x:c>
      <x:c r="E448" s="374">
        <x:f>E402</x:f>
        <x:v>-1287165.1599999999</x:v>
      </x:c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customHeight="1" x14ac:dyDescent="0.25">
      <x:c r="B449" s="720"/>
      <x:c r="C449" s="220"/>
      <x:c r="D449" s="89"/>
      <x:c r="E449" s="90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</x:row>
    <x:row r="450" spans="1:18" ht="12.75" customHeight="1" x14ac:dyDescent="0.25">
      <x:c r="B450" s="774" t="s">
        <x:v>119</x:v>
      </x:c>
      <x:c r="C450" s="771" t="s">
        <x:v>132</x:v>
      </x:c>
      <x:c r="D450" s="101" t="s">
        <x:v>70</x:v>
      </x:c>
      <x:c r="E450" s="93">
        <x:f>E395+E409-K395</x:f>
        <x:v>13317238.189999999</x:v>
      </x:c>
      <x:c r="F450" s="93">
        <x:f>F395</x:f>
        <x:v>1159470.44</x:v>
      </x:c>
      <x:c r="G450" s="93">
        <x:f t="shared" ref="G450:R450" si="17">G395</x:f>
        <x:v>657305.62</x:v>
      </x:c>
      <x:c r="H450" s="93">
        <x:f t="shared" si="17"/>
        <x:v>315836.09999999998</x:v>
      </x:c>
      <x:c r="I450" s="93">
        <x:f t="shared" si="17"/>
        <x:v>1350476.33</x:v>
      </x:c>
      <x:c r="J450" s="93">
        <x:f t="shared" si="17"/>
        <x:v>40561.129999999997</x:v>
      </x:c>
      <x:c r="K450" s="93">
        <x:f t="shared" si="17"/>
        <x:v>990006.55</x:v>
      </x:c>
      <x:c r="L450" s="93">
        <x:f t="shared" si="17"/>
        <x:v>476777.82</x:v>
      </x:c>
      <x:c r="M450" s="93">
        <x:f t="shared" si="17"/>
        <x:v>602817.05000000005</x:v>
      </x:c>
      <x:c r="N450" s="93">
        <x:f t="shared" si="17"/>
        <x:v>2563786.98</x:v>
      </x:c>
      <x:c r="O450" s="93">
        <x:f t="shared" si="17"/>
        <x:v>3693019.78</x:v>
      </x:c>
      <x:c r="P450" s="93">
        <x:f t="shared" si="17"/>
        <x:v>51007.22</x:v>
      </x:c>
      <x:c r="Q450" s="93">
        <x:f t="shared" si="17"/>
        <x:v>-78.19</x:v>
      </x:c>
      <x:c r="R450" s="93">
        <x:f t="shared" si="17"/>
        <x:v>0</x:v>
      </x:c>
    </x:row>
    <x:row r="451" spans="1:18" ht="12.75" customHeight="1" x14ac:dyDescent="0.25">
      <x:c r="B451" s="774"/>
      <x:c r="C451" s="771"/>
      <x:c r="D451" s="101" t="s">
        <x:v>73</x:v>
      </x:c>
      <x:c r="E451" s="93">
        <x:f>E409</x:f>
        <x:v>2406257.91</x:v>
      </x:c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customHeight="1" x14ac:dyDescent="0.3">
      <x:c r="A452" s="89"/>
      <x:c r="B452" s="97"/>
      <x:c r="E452" s="90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</x:row>
    <x:row r="453" spans="1:18" ht="12.75" customHeight="1" x14ac:dyDescent="0.25">
      <x:c r="B453" s="773" t="s">
        <x:v>161</x:v>
      </x:c>
      <x:c r="C453" s="771" t="s">
        <x:v>132</x:v>
      </x:c>
      <x:c r="D453" s="231" t="s">
        <x:v>70</x:v>
      </x:c>
      <x:c r="E453" s="232">
        <x:v>0</x:v>
      </x:c>
      <x:c r="F453" s="232">
        <x:v>0</x:v>
      </x:c>
      <x:c r="G453" s="232">
        <x:v>0</x:v>
      </x:c>
      <x:c r="H453" s="232">
        <x:v>0</x:v>
      </x:c>
      <x:c r="I453" s="232">
        <x:v>0</x:v>
      </x:c>
      <x:c r="J453" s="232">
        <x:v>0</x:v>
      </x:c>
      <x:c r="K453" s="232">
        <x:v>0</x:v>
      </x:c>
      <x:c r="L453" s="232">
        <x:v>0</x:v>
      </x:c>
      <x:c r="M453" s="232">
        <x:v>0</x:v>
      </x:c>
      <x:c r="N453" s="232">
        <x:v>0</x:v>
      </x:c>
      <x:c r="O453" s="232">
        <x:v>0</x:v>
      </x:c>
      <x:c r="P453" s="232">
        <x:v>0</x:v>
      </x:c>
      <x:c r="Q453" s="232">
        <x:v>0</x:v>
      </x:c>
      <x:c r="R453" s="232">
        <x:v>0</x:v>
      </x:c>
    </x:row>
    <x:row r="454" spans="1:18" ht="12.75" customHeight="1" x14ac:dyDescent="0.25">
      <x:c r="B454" s="773"/>
      <x:c r="C454" s="771"/>
      <x:c r="D454" s="231" t="s">
        <x:v>73</x:v>
      </x:c>
      <x:c r="E454" s="232">
        <x:v>0</x:v>
      </x:c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s="238" customFormat="1" x14ac:dyDescent="0.25"/>
  </x:sheetData>
  <x:mergeCells count="60"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256:B257"/>
    <x:mergeCell ref="C256:C257"/>
    <x:mergeCell ref="B259:B260"/>
    <x:mergeCell ref="C259:C260"/>
    <x:mergeCell ref="B262:B263"/>
    <x:mergeCell ref="C262:C263"/>
    <x:mergeCell ref="B268:B269"/>
    <x:mergeCell ref="C268:C269"/>
    <x:mergeCell ref="B265:B266"/>
    <x:mergeCell ref="C265:C266"/>
    <x:mergeCell ref="B271:B272"/>
    <x:mergeCell ref="C271:C272"/>
    <x:mergeCell ref="B358:B359"/>
    <x:mergeCell ref="C358:C359"/>
    <x:mergeCell ref="B361:B362"/>
    <x:mergeCell ref="C361:C362"/>
    <x:mergeCell ref="B364:B365"/>
    <x:mergeCell ref="C364:C365"/>
    <x:mergeCell ref="B370:B371"/>
    <x:mergeCell ref="C370:C371"/>
    <x:mergeCell ref="B373:B374"/>
    <x:mergeCell ref="C373:C374"/>
    <x:mergeCell ref="B367:B368"/>
    <x:mergeCell ref="C367:C368"/>
    <x:mergeCell ref="B438:B439"/>
    <x:mergeCell ref="C438:C439"/>
    <x:mergeCell ref="B441:B442"/>
    <x:mergeCell ref="C441:C442"/>
    <x:mergeCell ref="B444:B445"/>
    <x:mergeCell ref="C444:C445"/>
    <x:mergeCell ref="B450:B451"/>
    <x:mergeCell ref="C450:C451"/>
    <x:mergeCell ref="B453:B454"/>
    <x:mergeCell ref="C453:C454"/>
    <x:mergeCell ref="B447:B448"/>
    <x:mergeCell ref="C447:C44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76"/>
  <x:sheetViews>
    <x:sheetView zoomScale="90" zoomScaleNormal="90" workbookViewId="0">
      <x:pane ySplit="2" topLeftCell="A3" activePane="bottomLeft" state="frozen"/>
      <x:selection activeCell="A6" sqref="A6"/>
      <x:selection pane="bottomLeft" activeCell="A3" sqref="A3"/>
    </x:sheetView>
  </x:sheetViews>
  <x:sheetFormatPr baseColWidth="10" defaultColWidth="11.453125" defaultRowHeight="12.5" x14ac:dyDescent="0.25"/>
  <x:cols>
    <x:col min="1" max="1" width="21.1796875" style="617" customWidth="1"/>
    <x:col min="2" max="2" width="19.81640625" style="617" bestFit="1" customWidth="1"/>
    <x:col min="3" max="3" width="24.81640625" style="617" bestFit="1" customWidth="1"/>
    <x:col min="4" max="4" width="23.1796875" style="617" bestFit="1" customWidth="1"/>
    <x:col min="5" max="5" width="15.81640625" style="617" bestFit="1" customWidth="1"/>
    <x:col min="6" max="6" width="15.453125" style="617" bestFit="1" customWidth="1"/>
    <x:col min="7" max="7" width="15.453125" style="617" customWidth="1"/>
    <x:col min="8" max="8" width="16.453125" style="617" bestFit="1" customWidth="1"/>
    <x:col min="9" max="9" width="18" style="617" bestFit="1" customWidth="1"/>
    <x:col min="10" max="10" width="17" style="617" bestFit="1" customWidth="1"/>
    <x:col min="11" max="11" width="15.54296875" style="617" bestFit="1" customWidth="1"/>
    <x:col min="12" max="13" width="15.81640625" style="617" bestFit="1" customWidth="1"/>
    <x:col min="14" max="14" width="21.453125" style="617" bestFit="1" customWidth="1"/>
    <x:col min="15" max="16" width="20.453125" style="617" bestFit="1" customWidth="1"/>
    <x:col min="17" max="17" width="20" style="617" bestFit="1" customWidth="1"/>
    <x:col min="18" max="16384" width="11.453125" style="617"/>
  </x:cols>
  <x:sheetData>
    <x:row r="1" spans="1:18" ht="13" x14ac:dyDescent="0.3">
      <x:c r="B1" s="618" t="s">
        <x:v>74</x:v>
      </x:c>
    </x:row>
    <x:row r="2" spans="1:18" ht="12.75" customHeight="1" x14ac:dyDescent="0.25">
      <x:c r="D2" s="619" t="s">
        <x:v>70</x:v>
      </x:c>
      <x:c r="E2" s="619" t="s">
        <x:v>64</x:v>
      </x:c>
      <x:c r="F2" s="619" t="s">
        <x:v>65</x:v>
      </x:c>
      <x:c r="G2" s="620" t="s">
        <x:v>164</x:v>
      </x:c>
      <x:c r="H2" s="619" t="s">
        <x:v>69</x:v>
      </x:c>
      <x:c r="I2" s="619" t="s">
        <x:v>68</x:v>
      </x:c>
      <x:c r="J2" s="619" t="s">
        <x:v>66</x:v>
      </x:c>
      <x:c r="K2" s="619" t="s">
        <x:v>63</x:v>
      </x:c>
      <x:c r="L2" s="619" t="s">
        <x:v>61</x:v>
      </x:c>
      <x:c r="M2" s="619" t="s">
        <x:v>62</x:v>
      </x:c>
      <x:c r="N2" s="619" t="s">
        <x:v>67</x:v>
      </x:c>
      <x:c r="O2" s="619" t="s">
        <x:v>77</x:v>
      </x:c>
      <x:c r="P2" s="617" t="s">
        <x:v>71</x:v>
      </x:c>
      <x:c r="Q2" s="619" t="s">
        <x:v>80</x:v>
      </x:c>
      <x:c r="R2" s="617" t="s">
        <x:v>168</x:v>
      </x:c>
    </x:row>
    <x:row r="3" spans="1:18" ht="12.65" customHeight="1" x14ac:dyDescent="0.25">
      <x:c r="C3" s="617" t="s">
        <x:v>72</x:v>
      </x:c>
      <x:c r="D3" s="619">
        <x:v>-15794348.210000001</x:v>
      </x:c>
      <x:c r="E3" s="619">
        <x:v>-792653.97</x:v>
      </x:c>
      <x:c r="F3" s="619">
        <x:v>-443520.95</x:v>
      </x:c>
      <x:c r="G3" s="621">
        <x:v>-235150.45</x:v>
      </x:c>
      <x:c r="H3" s="619">
        <x:v>-3808729.66</x:v>
      </x:c>
      <x:c r="I3" s="619">
        <x:v>-139986.99</x:v>
      </x:c>
      <x:c r="J3" s="619">
        <x:v>-1241530.57</x:v>
      </x:c>
      <x:c r="K3" s="619">
        <x:v>-1202003.46</x:v>
      </x:c>
      <x:c r="L3" s="619">
        <x:v>-5520144.8200000003</x:v>
      </x:c>
      <x:c r="M3" s="619">
        <x:v>-2181286.4300000002</x:v>
      </x:c>
      <x:c r="N3" s="619">
        <x:v>-229451.13</x:v>
      </x:c>
      <x:c r="O3" s="619">
        <x:v>110.22</x:v>
      </x:c>
      <x:c r="P3" s="619">
        <x:v>0</x:v>
      </x:c>
      <x:c r="Q3" s="619">
        <x:v>0</x:v>
      </x:c>
      <x:c r="R3" s="617">
        <x:v>0</x:v>
      </x:c>
    </x:row>
    <x:row r="4" spans="1:18" ht="12.65" customHeight="1" x14ac:dyDescent="0.25">
      <x:c r="C4" s="617" t="s">
        <x:v>81</x:v>
      </x:c>
      <x:c r="D4" s="621">
        <x:v>-23575</x:v>
      </x:c>
      <x:c r="E4" s="619">
        <x:v>-1070.04</x:v>
      </x:c>
      <x:c r="F4" s="619">
        <x:v>-517.29999999999995</x:v>
      </x:c>
      <x:c r="G4" s="621">
        <x:v>-287.08999999999997</x:v>
      </x:c>
      <x:c r="H4" s="619">
        <x:v>-5416.02</x:v>
      </x:c>
      <x:c r="I4" s="619">
        <x:v>-247.11</x:v>
      </x:c>
      <x:c r="J4" s="619">
        <x:v>-2165.6999999999998</x:v>
      </x:c>
      <x:c r="K4" s="619">
        <x:v>-1867.54</x:v>
      </x:c>
      <x:c r="L4" s="619">
        <x:v>-8699.17</x:v>
      </x:c>
      <x:c r="M4" s="619">
        <x:v>-2902.92</x:v>
      </x:c>
      <x:c r="N4" s="619">
        <x:v>-402.93</x:v>
      </x:c>
      <x:c r="O4" s="619">
        <x:v>0.82</x:v>
      </x:c>
      <x:c r="P4" s="619">
        <x:v>0</x:v>
      </x:c>
      <x:c r="Q4" s="619">
        <x:v>0</x:v>
      </x:c>
      <x:c r="R4" s="617">
        <x:v>0</x:v>
      </x:c>
    </x:row>
    <x:row r="5" spans="1:18" s="622" customFormat="1" ht="12.75" customHeight="1" x14ac:dyDescent="0.25">
      <x:c r="B5" s="623" t="s">
        <x:v>78</x:v>
      </x:c>
      <x:c r="C5" s="623" t="s">
        <x:v>70</x:v>
      </x:c>
      <x:c r="D5" s="623">
        <x:v>-15817923.210000001</x:v>
      </x:c>
      <x:c r="E5" s="623">
        <x:v>-793724.01</x:v>
      </x:c>
      <x:c r="F5" s="623">
        <x:v>-444038.25</x:v>
      </x:c>
      <x:c r="G5" s="623">
        <x:v>-235437.54</x:v>
      </x:c>
      <x:c r="H5" s="623">
        <x:v>-3814145.68</x:v>
      </x:c>
      <x:c r="I5" s="623">
        <x:v>-140234.1</x:v>
      </x:c>
      <x:c r="J5" s="623">
        <x:v>-1243696.27</x:v>
      </x:c>
      <x:c r="K5" s="623">
        <x:v>-1203871</x:v>
      </x:c>
      <x:c r="L5" s="623">
        <x:v>-5528843.9900000002</x:v>
      </x:c>
      <x:c r="M5" s="623">
        <x:v>-2184189.35</x:v>
      </x:c>
      <x:c r="N5" s="623">
        <x:v>-229854.06</x:v>
      </x:c>
      <x:c r="O5" s="623">
        <x:v>111.04</x:v>
      </x:c>
      <x:c r="P5" s="622">
        <x:v>0</x:v>
      </x:c>
      <x:c r="Q5" s="623">
        <x:v>0</x:v>
      </x:c>
      <x:c r="R5" s="623">
        <x:v>0</x:v>
      </x:c>
    </x:row>
    <x:row r="6" spans="1:18" ht="12.75" customHeight="1" x14ac:dyDescent="0.25">
      <x:c r="C6" s="617" t="s">
        <x:v>73</x:v>
      </x:c>
      <x:c r="D6" s="619">
        <x:v>283961.51</x:v>
      </x:c>
      <x:c r="E6" s="619">
        <x:v>-50016.63</x:v>
      </x:c>
      <x:c r="F6" s="619">
        <x:v>-28439.29</x:v>
      </x:c>
      <x:c r="G6" s="621">
        <x:v>-8473.6</x:v>
      </x:c>
      <x:c r="H6" s="619">
        <x:v>123071.72</x:v>
      </x:c>
      <x:c r="I6" s="619">
        <x:v>6856.23</x:v>
      </x:c>
      <x:c r="J6" s="619">
        <x:v>57818.27</x:v>
      </x:c>
      <x:c r="K6" s="619">
        <x:v>55412.62</x:v>
      </x:c>
      <x:c r="L6" s="619">
        <x:v>258242.83</x:v>
      </x:c>
      <x:c r="M6" s="619">
        <x:v>-141530</x:v>
      </x:c>
      <x:c r="N6" s="619">
        <x:v>11019.36</x:v>
      </x:c>
      <x:c r="O6" s="619">
        <x:v>0</x:v>
      </x:c>
      <x:c r="P6" s="619">
        <x:v>0</x:v>
      </x:c>
      <x:c r="Q6" s="619">
        <x:v>0</x:v>
      </x:c>
      <x:c r="R6" s="617">
        <x:v>0</x:v>
      </x:c>
    </x:row>
    <x:row r="7" spans="1:18" s="624" customFormat="1" ht="12.75" customHeight="1" x14ac:dyDescent="0.25">
      <x:c r="B7" s="625" t="s">
        <x:v>79</x:v>
      </x:c>
      <x:c r="C7" s="625" t="s">
        <x:v>70</x:v>
      </x:c>
      <x:c r="D7" s="625">
        <x:v>283961.51</x:v>
      </x:c>
      <x:c r="E7" s="625">
        <x:v>-50016.63</x:v>
      </x:c>
      <x:c r="F7" s="625">
        <x:v>-28439.29</x:v>
      </x:c>
      <x:c r="G7" s="625">
        <x:v>-8473.6</x:v>
      </x:c>
      <x:c r="H7" s="625">
        <x:v>123071.72</x:v>
      </x:c>
      <x:c r="I7" s="625">
        <x:v>6856.23</x:v>
      </x:c>
      <x:c r="J7" s="625">
        <x:v>57818.27</x:v>
      </x:c>
      <x:c r="K7" s="625">
        <x:v>55412.62</x:v>
      </x:c>
      <x:c r="L7" s="625">
        <x:v>258242.83</x:v>
      </x:c>
      <x:c r="M7" s="625">
        <x:v>-141530</x:v>
      </x:c>
      <x:c r="N7" s="625">
        <x:v>11019.36</x:v>
      </x:c>
      <x:c r="O7" s="625">
        <x:v>0</x:v>
      </x:c>
      <x:c r="P7" s="624">
        <x:v>0</x:v>
      </x:c>
      <x:c r="Q7" s="625">
        <x:v>0</x:v>
      </x:c>
      <x:c r="R7" s="625">
        <x:v>0</x:v>
      </x:c>
    </x:row>
    <x:row r="8" spans="1:18" s="626" customFormat="1" ht="12.75" customHeight="1" x14ac:dyDescent="0.25">
      <x:c r="A8" s="626" t="s">
        <x:v>155</x:v>
      </x:c>
      <x:c r="B8" s="626" t="s">
        <x:v>70</x:v>
      </x:c>
      <x:c r="D8" s="627">
        <x:v>-15533961.699999999</x:v>
      </x:c>
      <x:c r="E8" s="627">
        <x:v>-843740.64</x:v>
      </x:c>
      <x:c r="F8" s="627">
        <x:v>-472477.54</x:v>
      </x:c>
      <x:c r="G8" s="628">
        <x:v>-243911.14</x:v>
      </x:c>
      <x:c r="H8" s="627">
        <x:v>-3691073.96</x:v>
      </x:c>
      <x:c r="I8" s="627">
        <x:v>-133377.87</x:v>
      </x:c>
      <x:c r="J8" s="627">
        <x:v>-1185878</x:v>
      </x:c>
      <x:c r="K8" s="627">
        <x:v>-1148458.3799999999</x:v>
      </x:c>
      <x:c r="L8" s="627">
        <x:v>-5270601.16</x:v>
      </x:c>
      <x:c r="M8" s="627">
        <x:v>-2325719.35</x:v>
      </x:c>
      <x:c r="N8" s="627">
        <x:v>-218834.7</x:v>
      </x:c>
      <x:c r="O8" s="627">
        <x:v>111.04</x:v>
      </x:c>
      <x:c r="P8" s="627">
        <x:v>0</x:v>
      </x:c>
      <x:c r="Q8" s="627">
        <x:v>0</x:v>
      </x:c>
      <x:c r="R8" s="626">
        <x:v>0</x:v>
      </x:c>
    </x:row>
    <x:row r="9" spans="1:18" ht="12.75" customHeight="1" x14ac:dyDescent="0.25">
      <x:c r="C9" s="617" t="s">
        <x:v>72</x:v>
      </x:c>
      <x:c r="D9" s="619">
        <x:v>-762167.27</x:v>
      </x:c>
      <x:c r="E9" s="619">
        <x:v>-48309.04</x:v>
      </x:c>
      <x:c r="F9" s="619">
        <x:v>-26455.25</x:v>
      </x:c>
      <x:c r="G9" s="621">
        <x:v>-13891.43</x:v>
      </x:c>
      <x:c r="H9" s="619">
        <x:v>-192277.47</x:v>
      </x:c>
      <x:c r="I9" s="619">
        <x:v>-4768.8500000000004</x:v>
      </x:c>
      <x:c r="J9" s="619">
        <x:v>-58119.3</x:v>
      </x:c>
      <x:c r="K9" s="619">
        <x:v>-51919.38</x:v>
      </x:c>
      <x:c r="L9" s="619">
        <x:v>-246558.5</x:v>
      </x:c>
      <x:c r="M9" s="619">
        <x:v>-112077.14</x:v>
      </x:c>
      <x:c r="N9" s="619">
        <x:v>-7780.61</x:v>
      </x:c>
      <x:c r="O9" s="619">
        <x:v>-10.3</x:v>
      </x:c>
      <x:c r="P9" s="619">
        <x:v>0</x:v>
      </x:c>
      <x:c r="Q9" s="619">
        <x:v>0</x:v>
      </x:c>
      <x:c r="R9" s="617">
        <x:v>0</x:v>
      </x:c>
    </x:row>
    <x:row r="10" spans="1:18" ht="12.75" customHeight="1" x14ac:dyDescent="0.25">
      <x:c r="C10" s="617" t="s">
        <x:v>81</x:v>
      </x:c>
      <x:c r="D10" s="619">
        <x:v>-177.06</x:v>
      </x:c>
      <x:c r="E10" s="619">
        <x:v>-11.22</x:v>
      </x:c>
      <x:c r="F10" s="619">
        <x:v>-6.34</x:v>
      </x:c>
      <x:c r="G10" s="621">
        <x:v>-3.35</x:v>
      </x:c>
      <x:c r="H10" s="619">
        <x:v>-43.6</x:v>
      </x:c>
      <x:c r="I10" s="619">
        <x:v>-1.05</x:v>
      </x:c>
      <x:c r="J10" s="619">
        <x:v>-9.24</x:v>
      </x:c>
      <x:c r="K10" s="619">
        <x:v>-12.57</x:v>
      </x:c>
      <x:c r="L10" s="619">
        <x:v>-57.05</x:v>
      </x:c>
      <x:c r="M10" s="619">
        <x:v>-30.93</x:v>
      </x:c>
      <x:c r="N10" s="619">
        <x:v>-1.71</x:v>
      </x:c>
      <x:c r="O10" s="619">
        <x:v>0</x:v>
      </x:c>
      <x:c r="P10" s="619">
        <x:v>0</x:v>
      </x:c>
      <x:c r="Q10" s="619">
        <x:v>0</x:v>
      </x:c>
      <x:c r="R10" s="617">
        <x:v>0</x:v>
      </x:c>
    </x:row>
    <x:row r="11" spans="1:18" s="622" customFormat="1" ht="12.75" customHeight="1" x14ac:dyDescent="0.25">
      <x:c r="B11" s="623" t="s">
        <x:v>78</x:v>
      </x:c>
      <x:c r="C11" s="623" t="s">
        <x:v>70</x:v>
      </x:c>
      <x:c r="D11" s="623">
        <x:v>-762344.33</x:v>
      </x:c>
      <x:c r="E11" s="623">
        <x:v>-48320.26</x:v>
      </x:c>
      <x:c r="F11" s="623">
        <x:v>-26461.59</x:v>
      </x:c>
      <x:c r="G11" s="623">
        <x:v>-13894.78</x:v>
      </x:c>
      <x:c r="H11" s="623">
        <x:v>-192321.07</x:v>
      </x:c>
      <x:c r="I11" s="623">
        <x:v>-4769.8999999999996</x:v>
      </x:c>
      <x:c r="J11" s="623">
        <x:v>-58128.54</x:v>
      </x:c>
      <x:c r="K11" s="623">
        <x:v>-51931.95</x:v>
      </x:c>
      <x:c r="L11" s="623">
        <x:v>-246615.55</x:v>
      </x:c>
      <x:c r="M11" s="623">
        <x:v>-112108.07</x:v>
      </x:c>
      <x:c r="N11" s="623">
        <x:v>-7782.32</x:v>
      </x:c>
      <x:c r="O11" s="623">
        <x:v>-10.3</x:v>
      </x:c>
      <x:c r="P11" s="622">
        <x:v>0</x:v>
      </x:c>
      <x:c r="Q11" s="623">
        <x:v>0</x:v>
      </x:c>
      <x:c r="R11" s="623">
        <x:v>0</x:v>
      </x:c>
    </x:row>
    <x:row r="12" spans="1:18" ht="12.75" customHeight="1" x14ac:dyDescent="0.25">
      <x:c r="C12" s="617" t="s">
        <x:v>73</x:v>
      </x:c>
      <x:c r="D12" s="619">
        <x:v>-240407.06</x:v>
      </x:c>
      <x:c r="E12" s="619">
        <x:v>-14057.56</x:v>
      </x:c>
      <x:c r="F12" s="619">
        <x:v>-7937.89</x:v>
      </x:c>
      <x:c r="G12" s="621">
        <x:v>-4170.17</x:v>
      </x:c>
      <x:c r="H12" s="619">
        <x:v>-58249.85</x:v>
      </x:c>
      <x:c r="I12" s="619">
        <x:v>-1605.37</x:v>
      </x:c>
      <x:c r="J12" s="619">
        <x:v>-14082</x:v>
      </x:c>
      <x:c r="K12" s="619">
        <x:v>-17535.88</x:v>
      </x:c>
      <x:c r="L12" s="619">
        <x:v>-81716.350000000006</x:v>
      </x:c>
      <x:c r="M12" s="619">
        <x:v>-38432.730000000003</x:v>
      </x:c>
      <x:c r="N12" s="619">
        <x:v>-2619.2600000000002</x:v>
      </x:c>
      <x:c r="O12" s="619">
        <x:v>0</x:v>
      </x:c>
      <x:c r="P12" s="619">
        <x:v>0</x:v>
      </x:c>
      <x:c r="Q12" s="619">
        <x:v>0</x:v>
      </x:c>
      <x:c r="R12" s="617">
        <x:v>0</x:v>
      </x:c>
    </x:row>
    <x:row r="13" spans="1:18" s="624" customFormat="1" ht="12.75" customHeight="1" x14ac:dyDescent="0.25">
      <x:c r="B13" s="625" t="s">
        <x:v>79</x:v>
      </x:c>
      <x:c r="C13" s="625" t="s">
        <x:v>70</x:v>
      </x:c>
      <x:c r="D13" s="625">
        <x:v>-240407.06</x:v>
      </x:c>
      <x:c r="E13" s="625">
        <x:v>-14057.56</x:v>
      </x:c>
      <x:c r="F13" s="625">
        <x:v>-7937.89</x:v>
      </x:c>
      <x:c r="G13" s="625">
        <x:v>-4170.17</x:v>
      </x:c>
      <x:c r="H13" s="625">
        <x:v>-58249.85</x:v>
      </x:c>
      <x:c r="I13" s="625">
        <x:v>-1605.37</x:v>
      </x:c>
      <x:c r="J13" s="625">
        <x:v>-14082</x:v>
      </x:c>
      <x:c r="K13" s="625">
        <x:v>-17535.88</x:v>
      </x:c>
      <x:c r="L13" s="625">
        <x:v>-81716.350000000006</x:v>
      </x:c>
      <x:c r="M13" s="625">
        <x:v>-38432.730000000003</x:v>
      </x:c>
      <x:c r="N13" s="625">
        <x:v>-2619.2600000000002</x:v>
      </x:c>
      <x:c r="O13" s="625">
        <x:v>0</x:v>
      </x:c>
      <x:c r="P13" s="624">
        <x:v>0</x:v>
      </x:c>
      <x:c r="Q13" s="625">
        <x:v>0</x:v>
      </x:c>
      <x:c r="R13" s="625">
        <x:v>0</x:v>
      </x:c>
    </x:row>
    <x:row r="14" spans="1:18" s="755" customFormat="1" ht="12.75" customHeight="1" x14ac:dyDescent="0.25">
      <x:c r="A14" s="755" t="s">
        <x:v>119</x:v>
      </x:c>
      <x:c r="B14" s="755" t="s">
        <x:v>70</x:v>
      </x:c>
      <x:c r="D14" s="629">
        <x:v>-1002751.39</x:v>
      </x:c>
      <x:c r="E14" s="629">
        <x:v>-62377.82</x:v>
      </x:c>
      <x:c r="F14" s="629">
        <x:v>-34399.480000000003</x:v>
      </x:c>
      <x:c r="G14" s="630">
        <x:v>-18064.95</x:v>
      </x:c>
      <x:c r="H14" s="629">
        <x:v>-250570.92</x:v>
      </x:c>
      <x:c r="I14" s="629">
        <x:v>-6375.27</x:v>
      </x:c>
      <x:c r="J14" s="629">
        <x:v>-72210.539999999994</x:v>
      </x:c>
      <x:c r="K14" s="629">
        <x:v>-69467.83</x:v>
      </x:c>
      <x:c r="L14" s="629">
        <x:v>-328331.90000000002</x:v>
      </x:c>
      <x:c r="M14" s="629">
        <x:v>-150540.79999999999</x:v>
      </x:c>
      <x:c r="N14" s="629">
        <x:v>-10401.58</x:v>
      </x:c>
      <x:c r="O14" s="629">
        <x:v>-10.3</x:v>
      </x:c>
      <x:c r="P14" s="629">
        <x:v>0</x:v>
      </x:c>
      <x:c r="Q14" s="629">
        <x:v>0</x:v>
      </x:c>
      <x:c r="R14" s="755">
        <x:v>0</x:v>
      </x:c>
    </x:row>
    <x:row r="15" spans="1:18" s="632" customFormat="1" ht="12.75" customHeight="1" x14ac:dyDescent="0.25">
      <x:c r="A15" s="631" t="s">
        <x:v>70</x:v>
      </x:c>
      <x:c r="D15" s="631" t="n">
        <x:v>-73090</x:v>
      </x:c>
      <x:c r="E15" s="631">
        <x:v>-906118.46</x:v>
      </x:c>
      <x:c r="F15" s="631">
        <x:v>-506877.02</x:v>
      </x:c>
      <x:c r="G15" s="631">
        <x:v>-261976.09</x:v>
      </x:c>
      <x:c r="H15" s="631">
        <x:v>-3941644.88</x:v>
      </x:c>
      <x:c r="I15" s="631">
        <x:v>-139753.14000000001</x:v>
      </x:c>
      <x:c r="J15" s="631">
        <x:v>-1258088.54</x:v>
      </x:c>
      <x:c r="K15" s="631">
        <x:v>-1217926.21</x:v>
      </x:c>
      <x:c r="L15" s="631">
        <x:v>-5598933.0599999996</x:v>
      </x:c>
      <x:c r="M15" s="631">
        <x:v>-2476260.15</x:v>
      </x:c>
      <x:c r="N15" s="631">
        <x:v>-229236.28</x:v>
      </x:c>
      <x:c r="O15" s="631">
        <x:v>100.74</x:v>
      </x:c>
      <x:c r="P15" s="632" t="n">
        <x:v>0</x:v>
      </x:c>
      <x:c r="Q15" s="631">
        <x:v>0</x:v>
      </x:c>
      <x:c r="R15" s="631">
        <x:v>0</x:v>
      </x:c>
    </x:row>
    <x:row r="16" spans="1:18" ht="12.75" customHeight="1" x14ac:dyDescent="0.25">
      <x:c r="A16" s="619"/>
      <x:c r="D16" s="619"/>
      <x:c r="E16" s="619"/>
      <x:c r="F16" s="619"/>
      <x:c r="G16" s="619"/>
      <x:c r="H16" s="619"/>
      <x:c r="I16" s="619"/>
      <x:c r="J16" s="619"/>
      <x:c r="K16" s="619"/>
      <x:c r="L16" s="619"/>
      <x:c r="M16" s="619"/>
      <x:c r="N16" s="619"/>
      <x:c r="O16" s="619"/>
    </x:row>
    <x:row r="17" spans="1:15" ht="12.75" customHeight="1" x14ac:dyDescent="0.25">
      <x:c r="A17" s="619"/>
      <x:c r="D17" s="619"/>
      <x:c r="E17" s="619"/>
      <x:c r="F17" s="619"/>
      <x:c r="G17" s="619"/>
      <x:c r="H17" s="619"/>
      <x:c r="I17" s="619"/>
      <x:c r="J17" s="619"/>
      <x:c r="K17" s="619"/>
      <x:c r="L17" s="619"/>
      <x:c r="M17" s="619"/>
      <x:c r="N17" s="619"/>
      <x:c r="O17" s="619"/>
    </x:row>
    <x:row r="18" spans="1:15" ht="12.75" hidden="1" customHeight="1" x14ac:dyDescent="0.25">
      <x:c r="A18" s="619"/>
      <x:c r="D18" s="619"/>
      <x:c r="E18" s="619"/>
      <x:c r="F18" s="619"/>
      <x:c r="G18" s="619"/>
      <x:c r="H18" s="619"/>
      <x:c r="I18" s="619"/>
      <x:c r="J18" s="619"/>
      <x:c r="K18" s="619"/>
      <x:c r="L18" s="619"/>
      <x:c r="M18" s="619"/>
      <x:c r="N18" s="619"/>
      <x:c r="O18" s="619"/>
    </x:row>
    <x:row r="19" spans="1:15" ht="12.75" hidden="1" customHeight="1" x14ac:dyDescent="0.25">
      <x:c r="A19" s="619"/>
      <x:c r="D19" s="619"/>
      <x:c r="E19" s="619"/>
      <x:c r="F19" s="619"/>
      <x:c r="G19" s="619"/>
      <x:c r="H19" s="619"/>
      <x:c r="I19" s="619"/>
      <x:c r="J19" s="619"/>
      <x:c r="K19" s="619"/>
      <x:c r="L19" s="619"/>
      <x:c r="M19" s="619"/>
      <x:c r="N19" s="619"/>
      <x:c r="O19" s="619"/>
    </x:row>
    <x:row r="20" spans="1:15" ht="12.75" hidden="1" customHeight="1" x14ac:dyDescent="0.25">
      <x:c r="A20" s="619"/>
      <x:c r="D20" s="619"/>
      <x:c r="E20" s="619"/>
      <x:c r="F20" s="619"/>
      <x:c r="G20" s="619"/>
      <x:c r="H20" s="619"/>
      <x:c r="I20" s="619"/>
      <x:c r="J20" s="619"/>
      <x:c r="K20" s="619"/>
      <x:c r="L20" s="619"/>
      <x:c r="M20" s="619"/>
      <x:c r="N20" s="619"/>
      <x:c r="O20" s="619"/>
    </x:row>
    <x:row r="21" spans="1:15" ht="12.75" hidden="1" customHeight="1" x14ac:dyDescent="0.25">
      <x:c r="A21" s="619"/>
      <x:c r="D21" s="619"/>
      <x:c r="E21" s="619"/>
      <x:c r="F21" s="619"/>
      <x:c r="G21" s="619"/>
      <x:c r="H21" s="619"/>
      <x:c r="I21" s="619"/>
      <x:c r="J21" s="619"/>
      <x:c r="K21" s="619"/>
      <x:c r="L21" s="619"/>
      <x:c r="M21" s="619"/>
      <x:c r="N21" s="619"/>
      <x:c r="O21" s="619"/>
    </x:row>
    <x:row r="22" spans="1:15" ht="12.75" hidden="1" customHeight="1" x14ac:dyDescent="0.25">
      <x:c r="A22" s="619"/>
      <x:c r="D22" s="619"/>
      <x:c r="E22" s="619"/>
      <x:c r="F22" s="619"/>
      <x:c r="G22" s="619"/>
      <x:c r="H22" s="619"/>
      <x:c r="I22" s="619"/>
      <x:c r="J22" s="619"/>
      <x:c r="K22" s="619"/>
      <x:c r="L22" s="619"/>
      <x:c r="M22" s="619"/>
      <x:c r="N22" s="619"/>
      <x:c r="O22" s="619"/>
    </x:row>
    <x:row r="23" spans="1:15" ht="12.75" hidden="1" customHeight="1" x14ac:dyDescent="0.25">
      <x:c r="A23" s="619"/>
      <x:c r="D23" s="619"/>
      <x:c r="E23" s="619"/>
      <x:c r="F23" s="619"/>
      <x:c r="G23" s="619"/>
      <x:c r="H23" s="619"/>
      <x:c r="I23" s="619"/>
      <x:c r="J23" s="619"/>
      <x:c r="K23" s="619"/>
      <x:c r="L23" s="619"/>
      <x:c r="M23" s="619"/>
      <x:c r="N23" s="619"/>
      <x:c r="O23" s="619"/>
    </x:row>
    <x:row r="24" spans="1:15" ht="12.75" hidden="1" customHeight="1" x14ac:dyDescent="0.25">
      <x:c r="A24" s="619"/>
      <x:c r="D24" s="619"/>
      <x:c r="E24" s="619"/>
      <x:c r="F24" s="619"/>
      <x:c r="G24" s="619"/>
      <x:c r="H24" s="619"/>
      <x:c r="I24" s="619"/>
      <x:c r="J24" s="619"/>
      <x:c r="K24" s="619"/>
      <x:c r="L24" s="619"/>
      <x:c r="M24" s="619"/>
      <x:c r="N24" s="619"/>
      <x:c r="O24" s="619"/>
    </x:row>
    <x:row r="25" spans="1:15" ht="12.75" hidden="1" customHeight="1" x14ac:dyDescent="0.25">
      <x:c r="A25" s="619"/>
      <x:c r="D25" s="619"/>
      <x:c r="E25" s="619"/>
      <x:c r="F25" s="619"/>
      <x:c r="G25" s="619"/>
      <x:c r="H25" s="619"/>
      <x:c r="I25" s="619"/>
      <x:c r="J25" s="619"/>
      <x:c r="K25" s="619"/>
      <x:c r="L25" s="619"/>
      <x:c r="M25" s="619"/>
      <x:c r="N25" s="619"/>
      <x:c r="O25" s="619"/>
    </x:row>
    <x:row r="26" spans="1:15" ht="12.75" hidden="1" customHeight="1" x14ac:dyDescent="0.25">
      <x:c r="A26" s="619"/>
      <x:c r="D26" s="619"/>
      <x:c r="E26" s="619"/>
      <x:c r="F26" s="619"/>
      <x:c r="G26" s="619"/>
      <x:c r="H26" s="619"/>
      <x:c r="I26" s="619"/>
      <x:c r="J26" s="619"/>
      <x:c r="K26" s="619"/>
      <x:c r="L26" s="619"/>
      <x:c r="M26" s="619"/>
      <x:c r="N26" s="619"/>
      <x:c r="O26" s="619"/>
    </x:row>
    <x:row r="27" spans="1:15" ht="12.75" hidden="1" customHeight="1" x14ac:dyDescent="0.25">
      <x:c r="A27" s="619"/>
      <x:c r="D27" s="619"/>
      <x:c r="E27" s="619"/>
      <x:c r="F27" s="619"/>
      <x:c r="G27" s="619"/>
      <x:c r="H27" s="619"/>
      <x:c r="I27" s="619"/>
      <x:c r="J27" s="619"/>
      <x:c r="K27" s="619"/>
      <x:c r="L27" s="619"/>
      <x:c r="M27" s="619"/>
      <x:c r="N27" s="619"/>
      <x:c r="O27" s="619"/>
    </x:row>
    <x:row r="28" spans="1:15" ht="12.75" hidden="1" customHeight="1" x14ac:dyDescent="0.25">
      <x:c r="A28" s="619"/>
      <x:c r="D28" s="619"/>
      <x:c r="E28" s="619"/>
      <x:c r="F28" s="619"/>
      <x:c r="G28" s="619"/>
      <x:c r="H28" s="619"/>
      <x:c r="I28" s="619"/>
      <x:c r="J28" s="619"/>
      <x:c r="K28" s="619"/>
      <x:c r="L28" s="619"/>
      <x:c r="M28" s="619"/>
      <x:c r="N28" s="619"/>
      <x:c r="O28" s="619"/>
    </x:row>
    <x:row r="29" spans="1:15" ht="12.75" hidden="1" customHeight="1" x14ac:dyDescent="0.25">
      <x:c r="A29" s="619"/>
      <x:c r="D29" s="619"/>
      <x:c r="E29" s="619"/>
      <x:c r="F29" s="619"/>
      <x:c r="G29" s="619"/>
      <x:c r="H29" s="619"/>
      <x:c r="I29" s="619"/>
      <x:c r="J29" s="619"/>
      <x:c r="K29" s="619"/>
      <x:c r="L29" s="619"/>
      <x:c r="M29" s="619"/>
      <x:c r="N29" s="619"/>
      <x:c r="O29" s="619"/>
    </x:row>
    <x:row r="30" spans="1:15" ht="12.75" hidden="1" customHeight="1" x14ac:dyDescent="0.25">
      <x:c r="A30" s="619"/>
      <x:c r="D30" s="619"/>
      <x:c r="E30" s="619"/>
      <x:c r="F30" s="619"/>
      <x:c r="G30" s="619"/>
      <x:c r="H30" s="619"/>
      <x:c r="I30" s="619"/>
      <x:c r="J30" s="619"/>
      <x:c r="K30" s="619"/>
      <x:c r="L30" s="619"/>
      <x:c r="M30" s="619"/>
      <x:c r="N30" s="619"/>
      <x:c r="O30" s="619"/>
    </x:row>
    <x:row r="31" spans="1:15" ht="12.75" hidden="1" customHeight="1" x14ac:dyDescent="0.25">
      <x:c r="A31" s="619"/>
      <x:c r="D31" s="619"/>
      <x:c r="E31" s="619"/>
      <x:c r="F31" s="619"/>
      <x:c r="G31" s="619"/>
      <x:c r="H31" s="619"/>
      <x:c r="I31" s="619"/>
      <x:c r="J31" s="619"/>
      <x:c r="K31" s="619"/>
      <x:c r="L31" s="619"/>
      <x:c r="M31" s="619"/>
      <x:c r="N31" s="619"/>
      <x:c r="O31" s="619"/>
    </x:row>
    <x:row r="32" spans="1:15" ht="12.75" hidden="1" customHeight="1" x14ac:dyDescent="0.25">
      <x:c r="A32" s="619"/>
      <x:c r="D32" s="619"/>
      <x:c r="E32" s="619"/>
      <x:c r="F32" s="619"/>
      <x:c r="G32" s="619"/>
      <x:c r="H32" s="619"/>
      <x:c r="I32" s="619"/>
      <x:c r="J32" s="619"/>
      <x:c r="K32" s="619"/>
      <x:c r="L32" s="619"/>
      <x:c r="M32" s="619"/>
      <x:c r="N32" s="619"/>
      <x:c r="O32" s="619"/>
    </x:row>
    <x:row r="33" spans="1:15" ht="12.75" hidden="1" customHeight="1" x14ac:dyDescent="0.25">
      <x:c r="A33" s="619"/>
      <x:c r="D33" s="619"/>
      <x:c r="E33" s="619"/>
      <x:c r="F33" s="619"/>
      <x:c r="G33" s="619"/>
      <x:c r="H33" s="619"/>
      <x:c r="I33" s="619"/>
      <x:c r="J33" s="619"/>
      <x:c r="K33" s="619"/>
      <x:c r="L33" s="619"/>
      <x:c r="M33" s="619"/>
      <x:c r="N33" s="619"/>
      <x:c r="O33" s="619"/>
    </x:row>
    <x:row r="34" spans="1:15" ht="12.75" hidden="1" customHeight="1" x14ac:dyDescent="0.25">
      <x:c r="A34" s="619"/>
      <x:c r="D34" s="619"/>
      <x:c r="E34" s="619"/>
      <x:c r="F34" s="619"/>
      <x:c r="G34" s="619"/>
      <x:c r="H34" s="619"/>
      <x:c r="I34" s="619"/>
      <x:c r="J34" s="619"/>
      <x:c r="K34" s="619"/>
      <x:c r="L34" s="619"/>
      <x:c r="M34" s="619"/>
      <x:c r="N34" s="619"/>
      <x:c r="O34" s="619"/>
    </x:row>
    <x:row r="35" spans="1:15" ht="12.75" hidden="1" customHeight="1" x14ac:dyDescent="0.25">
      <x:c r="A35" s="619"/>
      <x:c r="D35" s="619"/>
      <x:c r="E35" s="619"/>
      <x:c r="F35" s="619"/>
      <x:c r="G35" s="619"/>
      <x:c r="H35" s="619"/>
      <x:c r="I35" s="619"/>
      <x:c r="J35" s="619"/>
      <x:c r="K35" s="619"/>
      <x:c r="L35" s="619"/>
      <x:c r="M35" s="619"/>
      <x:c r="N35" s="619"/>
      <x:c r="O35" s="619"/>
    </x:row>
    <x:row r="36" spans="1:15" ht="12.75" hidden="1" customHeight="1" x14ac:dyDescent="0.25">
      <x:c r="A36" s="619"/>
      <x:c r="D36" s="619"/>
      <x:c r="E36" s="619"/>
      <x:c r="F36" s="619"/>
      <x:c r="G36" s="619"/>
      <x:c r="H36" s="619"/>
      <x:c r="I36" s="619"/>
      <x:c r="J36" s="619"/>
      <x:c r="K36" s="619"/>
      <x:c r="L36" s="619"/>
      <x:c r="M36" s="619"/>
      <x:c r="N36" s="619"/>
      <x:c r="O36" s="619"/>
    </x:row>
    <x:row r="37" spans="1:15" ht="12.75" hidden="1" customHeight="1" x14ac:dyDescent="0.25">
      <x:c r="A37" s="619"/>
      <x:c r="D37" s="619"/>
      <x:c r="E37" s="619"/>
      <x:c r="F37" s="619"/>
      <x:c r="G37" s="619"/>
      <x:c r="H37" s="619"/>
      <x:c r="I37" s="619"/>
      <x:c r="J37" s="619"/>
      <x:c r="K37" s="619"/>
      <x:c r="L37" s="619"/>
      <x:c r="M37" s="619"/>
      <x:c r="N37" s="619"/>
      <x:c r="O37" s="619"/>
    </x:row>
    <x:row r="38" spans="1:15" ht="12.75" hidden="1" customHeight="1" x14ac:dyDescent="0.25">
      <x:c r="A38" s="619"/>
      <x:c r="D38" s="619"/>
      <x:c r="E38" s="619"/>
      <x:c r="F38" s="619"/>
      <x:c r="G38" s="619"/>
      <x:c r="H38" s="619"/>
      <x:c r="I38" s="619"/>
      <x:c r="J38" s="619"/>
      <x:c r="K38" s="619"/>
      <x:c r="L38" s="619"/>
      <x:c r="M38" s="619"/>
      <x:c r="N38" s="619"/>
      <x:c r="O38" s="619"/>
    </x:row>
    <x:row r="39" spans="1:15" ht="12.75" hidden="1" customHeight="1" x14ac:dyDescent="0.25">
      <x:c r="A39" s="619"/>
      <x:c r="D39" s="619"/>
      <x:c r="E39" s="619"/>
      <x:c r="F39" s="619"/>
      <x:c r="G39" s="619"/>
      <x:c r="H39" s="619"/>
      <x:c r="I39" s="619"/>
      <x:c r="J39" s="619"/>
      <x:c r="K39" s="619"/>
      <x:c r="L39" s="619"/>
      <x:c r="M39" s="619"/>
      <x:c r="N39" s="619"/>
      <x:c r="O39" s="619"/>
    </x:row>
    <x:row r="40" spans="1:15" ht="12.75" hidden="1" customHeight="1" x14ac:dyDescent="0.25">
      <x:c r="A40" s="619"/>
      <x:c r="D40" s="619"/>
      <x:c r="E40" s="619"/>
      <x:c r="F40" s="619"/>
      <x:c r="G40" s="619"/>
      <x:c r="H40" s="619"/>
      <x:c r="I40" s="619"/>
      <x:c r="J40" s="619"/>
      <x:c r="K40" s="619"/>
      <x:c r="L40" s="619"/>
      <x:c r="M40" s="619"/>
      <x:c r="N40" s="619"/>
      <x:c r="O40" s="619"/>
    </x:row>
    <x:row r="41" spans="1:15" ht="12.75" hidden="1" customHeight="1" x14ac:dyDescent="0.25">
      <x:c r="A41" s="619"/>
      <x:c r="D41" s="619"/>
      <x:c r="E41" s="619"/>
      <x:c r="F41" s="619"/>
      <x:c r="G41" s="619"/>
      <x:c r="H41" s="619"/>
      <x:c r="I41" s="619"/>
      <x:c r="J41" s="619"/>
      <x:c r="K41" s="619"/>
      <x:c r="L41" s="619"/>
      <x:c r="M41" s="619"/>
      <x:c r="N41" s="619"/>
      <x:c r="O41" s="619"/>
    </x:row>
    <x:row r="42" spans="1:15" ht="12.75" hidden="1" customHeight="1" x14ac:dyDescent="0.25">
      <x:c r="A42" s="619"/>
      <x:c r="D42" s="619"/>
      <x:c r="E42" s="619"/>
      <x:c r="F42" s="619"/>
      <x:c r="G42" s="619"/>
      <x:c r="H42" s="619"/>
      <x:c r="I42" s="619"/>
      <x:c r="J42" s="619"/>
      <x:c r="K42" s="619"/>
      <x:c r="L42" s="619"/>
      <x:c r="M42" s="619"/>
      <x:c r="N42" s="619"/>
      <x:c r="O42" s="619"/>
    </x:row>
    <x:row r="43" spans="1:15" ht="12.75" hidden="1" customHeight="1" x14ac:dyDescent="0.25">
      <x:c r="A43" s="619"/>
      <x:c r="D43" s="619"/>
      <x:c r="E43" s="619"/>
      <x:c r="F43" s="619"/>
      <x:c r="G43" s="619"/>
      <x:c r="H43" s="619"/>
      <x:c r="I43" s="619"/>
      <x:c r="J43" s="619"/>
      <x:c r="K43" s="619"/>
      <x:c r="L43" s="619"/>
      <x:c r="M43" s="619"/>
      <x:c r="N43" s="619"/>
      <x:c r="O43" s="619"/>
    </x:row>
    <x:row r="44" spans="1:15" ht="12.75" hidden="1" customHeight="1" x14ac:dyDescent="0.25">
      <x:c r="A44" s="619"/>
      <x:c r="D44" s="619"/>
      <x:c r="E44" s="619"/>
      <x:c r="F44" s="619"/>
      <x:c r="G44" s="619"/>
      <x:c r="H44" s="619"/>
      <x:c r="I44" s="619"/>
      <x:c r="J44" s="619"/>
      <x:c r="K44" s="619"/>
      <x:c r="L44" s="619"/>
      <x:c r="M44" s="619"/>
      <x:c r="N44" s="619"/>
      <x:c r="O44" s="619"/>
    </x:row>
    <x:row r="45" spans="1:15" ht="12.75" hidden="1" customHeight="1" x14ac:dyDescent="0.25">
      <x:c r="A45" s="619"/>
      <x:c r="D45" s="619"/>
      <x:c r="E45" s="619"/>
      <x:c r="F45" s="619"/>
      <x:c r="G45" s="619"/>
      <x:c r="H45" s="619"/>
      <x:c r="I45" s="619"/>
      <x:c r="J45" s="619"/>
      <x:c r="K45" s="619"/>
      <x:c r="L45" s="619"/>
      <x:c r="M45" s="619"/>
      <x:c r="N45" s="619"/>
      <x:c r="O45" s="619"/>
    </x:row>
    <x:row r="46" spans="1:15" ht="12.75" hidden="1" customHeight="1" x14ac:dyDescent="0.25">
      <x:c r="A46" s="619"/>
      <x:c r="D46" s="619"/>
      <x:c r="E46" s="619"/>
      <x:c r="F46" s="619"/>
      <x:c r="G46" s="619"/>
      <x:c r="H46" s="619"/>
      <x:c r="I46" s="619"/>
      <x:c r="J46" s="619"/>
      <x:c r="K46" s="619"/>
      <x:c r="L46" s="619"/>
      <x:c r="M46" s="619"/>
      <x:c r="N46" s="619"/>
      <x:c r="O46" s="619"/>
    </x:row>
    <x:row r="47" spans="1:15" ht="12.75" hidden="1" customHeight="1" x14ac:dyDescent="0.25">
      <x:c r="A47" s="619"/>
      <x:c r="D47" s="619"/>
      <x:c r="E47" s="619"/>
      <x:c r="F47" s="619"/>
      <x:c r="G47" s="619"/>
      <x:c r="H47" s="619"/>
      <x:c r="I47" s="619"/>
      <x:c r="J47" s="619"/>
      <x:c r="K47" s="619"/>
      <x:c r="L47" s="619"/>
      <x:c r="M47" s="619"/>
      <x:c r="N47" s="619"/>
      <x:c r="O47" s="619"/>
    </x:row>
    <x:row r="48" spans="1:15" ht="12.75" hidden="1" customHeight="1" x14ac:dyDescent="0.25">
      <x:c r="A48" s="619"/>
      <x:c r="D48" s="619"/>
      <x:c r="E48" s="619"/>
      <x:c r="F48" s="619"/>
      <x:c r="G48" s="619"/>
      <x:c r="H48" s="619"/>
      <x:c r="I48" s="619"/>
      <x:c r="J48" s="619"/>
      <x:c r="K48" s="619"/>
      <x:c r="L48" s="619"/>
      <x:c r="M48" s="619"/>
      <x:c r="N48" s="619"/>
      <x:c r="O48" s="619"/>
    </x:row>
    <x:row r="49" spans="1:15" ht="12.75" hidden="1" customHeight="1" x14ac:dyDescent="0.25">
      <x:c r="A49" s="619"/>
      <x:c r="D49" s="619"/>
      <x:c r="E49" s="619"/>
      <x:c r="F49" s="619"/>
      <x:c r="G49" s="619"/>
      <x:c r="H49" s="619"/>
      <x:c r="I49" s="619"/>
      <x:c r="J49" s="619"/>
      <x:c r="K49" s="619"/>
      <x:c r="L49" s="619"/>
      <x:c r="M49" s="619"/>
      <x:c r="N49" s="619"/>
      <x:c r="O49" s="619"/>
    </x:row>
    <x:row r="50" spans="1:15" ht="12.75" hidden="1" customHeight="1" x14ac:dyDescent="0.25">
      <x:c r="A50" s="619"/>
      <x:c r="D50" s="619"/>
      <x:c r="E50" s="619"/>
      <x:c r="F50" s="619"/>
      <x:c r="G50" s="619"/>
      <x:c r="H50" s="619"/>
      <x:c r="I50" s="619"/>
      <x:c r="J50" s="619"/>
      <x:c r="K50" s="619"/>
      <x:c r="L50" s="619"/>
      <x:c r="M50" s="619"/>
      <x:c r="N50" s="619"/>
      <x:c r="O50" s="619"/>
    </x:row>
    <x:row r="51" spans="1:15" ht="12.75" hidden="1" customHeight="1" x14ac:dyDescent="0.25">
      <x:c r="A51" s="619"/>
      <x:c r="D51" s="619"/>
      <x:c r="E51" s="619"/>
      <x:c r="F51" s="619"/>
      <x:c r="G51" s="619"/>
      <x:c r="H51" s="619"/>
      <x:c r="I51" s="619"/>
      <x:c r="J51" s="619"/>
      <x:c r="K51" s="619"/>
      <x:c r="L51" s="619"/>
      <x:c r="M51" s="619"/>
      <x:c r="N51" s="619"/>
      <x:c r="O51" s="619"/>
    </x:row>
    <x:row r="52" spans="1:15" ht="12.75" hidden="1" customHeight="1" x14ac:dyDescent="0.25">
      <x:c r="A52" s="619"/>
      <x:c r="D52" s="619"/>
      <x:c r="E52" s="619"/>
      <x:c r="F52" s="619"/>
      <x:c r="G52" s="619"/>
      <x:c r="H52" s="619"/>
      <x:c r="I52" s="619"/>
      <x:c r="J52" s="619"/>
      <x:c r="K52" s="619"/>
      <x:c r="L52" s="619"/>
      <x:c r="M52" s="619"/>
      <x:c r="N52" s="619"/>
      <x:c r="O52" s="619"/>
    </x:row>
    <x:row r="53" spans="1:15" ht="12.75" hidden="1" customHeight="1" x14ac:dyDescent="0.25">
      <x:c r="A53" s="619"/>
      <x:c r="D53" s="619"/>
      <x:c r="E53" s="619"/>
      <x:c r="F53" s="619"/>
      <x:c r="G53" s="619"/>
      <x:c r="H53" s="619"/>
      <x:c r="I53" s="619"/>
      <x:c r="J53" s="619"/>
      <x:c r="K53" s="619"/>
      <x:c r="L53" s="619"/>
      <x:c r="M53" s="619"/>
      <x:c r="N53" s="619"/>
      <x:c r="O53" s="619"/>
    </x:row>
    <x:row r="54" spans="1:15" ht="12.75" hidden="1" customHeight="1" x14ac:dyDescent="0.25">
      <x:c r="A54" s="619"/>
      <x:c r="D54" s="619"/>
      <x:c r="E54" s="619"/>
      <x:c r="F54" s="619"/>
      <x:c r="G54" s="619"/>
      <x:c r="H54" s="619"/>
      <x:c r="I54" s="619"/>
      <x:c r="J54" s="619"/>
      <x:c r="K54" s="619"/>
      <x:c r="L54" s="619"/>
      <x:c r="M54" s="619"/>
      <x:c r="N54" s="619"/>
      <x:c r="O54" s="619"/>
    </x:row>
    <x:row r="55" spans="1:15" ht="12.75" hidden="1" customHeight="1" x14ac:dyDescent="0.25">
      <x:c r="A55" s="619"/>
      <x:c r="D55" s="619"/>
      <x:c r="E55" s="619"/>
      <x:c r="F55" s="619"/>
      <x:c r="G55" s="619"/>
      <x:c r="H55" s="619"/>
      <x:c r="I55" s="619"/>
      <x:c r="J55" s="619"/>
      <x:c r="K55" s="619"/>
      <x:c r="L55" s="619"/>
      <x:c r="M55" s="619"/>
      <x:c r="N55" s="619"/>
      <x:c r="O55" s="619"/>
    </x:row>
    <x:row r="56" spans="1:15" ht="12.75" hidden="1" customHeight="1" x14ac:dyDescent="0.25">
      <x:c r="A56" s="619"/>
      <x:c r="D56" s="619"/>
      <x:c r="E56" s="619"/>
      <x:c r="F56" s="619"/>
      <x:c r="G56" s="619"/>
      <x:c r="H56" s="619"/>
      <x:c r="I56" s="619"/>
      <x:c r="J56" s="619"/>
      <x:c r="K56" s="619"/>
      <x:c r="L56" s="619"/>
      <x:c r="M56" s="619"/>
      <x:c r="N56" s="619"/>
      <x:c r="O56" s="619"/>
    </x:row>
    <x:row r="57" spans="1:15" ht="12.75" hidden="1" customHeight="1" x14ac:dyDescent="0.25">
      <x:c r="A57" s="619"/>
      <x:c r="D57" s="619"/>
      <x:c r="E57" s="619"/>
      <x:c r="F57" s="619"/>
      <x:c r="G57" s="619"/>
      <x:c r="H57" s="619"/>
      <x:c r="I57" s="619"/>
      <x:c r="J57" s="619"/>
      <x:c r="K57" s="619"/>
      <x:c r="L57" s="619"/>
      <x:c r="M57" s="619"/>
      <x:c r="N57" s="619"/>
      <x:c r="O57" s="619"/>
    </x:row>
    <x:row r="58" spans="1:15" ht="12.75" hidden="1" customHeight="1" x14ac:dyDescent="0.25">
      <x:c r="A58" s="619"/>
      <x:c r="D58" s="619"/>
      <x:c r="E58" s="619"/>
      <x:c r="F58" s="619"/>
      <x:c r="G58" s="619"/>
      <x:c r="H58" s="619"/>
      <x:c r="I58" s="619"/>
      <x:c r="J58" s="619"/>
      <x:c r="K58" s="619"/>
      <x:c r="L58" s="619"/>
      <x:c r="M58" s="619"/>
      <x:c r="N58" s="619"/>
      <x:c r="O58" s="619"/>
    </x:row>
    <x:row r="59" spans="1:15" ht="12.75" hidden="1" customHeight="1" x14ac:dyDescent="0.25">
      <x:c r="A59" s="619"/>
      <x:c r="D59" s="619"/>
      <x:c r="E59" s="619"/>
      <x:c r="F59" s="619"/>
      <x:c r="G59" s="619"/>
      <x:c r="H59" s="619"/>
      <x:c r="I59" s="619"/>
      <x:c r="J59" s="619"/>
      <x:c r="K59" s="619"/>
      <x:c r="L59" s="619"/>
      <x:c r="M59" s="619"/>
      <x:c r="N59" s="619"/>
      <x:c r="O59" s="619"/>
    </x:row>
    <x:row r="60" spans="1:15" ht="12.75" hidden="1" customHeight="1" x14ac:dyDescent="0.25">
      <x:c r="A60" s="619"/>
      <x:c r="D60" s="619"/>
      <x:c r="E60" s="619"/>
      <x:c r="F60" s="619"/>
      <x:c r="G60" s="619"/>
      <x:c r="H60" s="619"/>
      <x:c r="I60" s="619"/>
      <x:c r="J60" s="619"/>
      <x:c r="K60" s="619"/>
      <x:c r="L60" s="619"/>
      <x:c r="M60" s="619"/>
      <x:c r="N60" s="619"/>
      <x:c r="O60" s="619"/>
    </x:row>
    <x:row r="61" spans="1:15" ht="12.75" hidden="1" customHeight="1" x14ac:dyDescent="0.25">
      <x:c r="A61" s="619"/>
      <x:c r="D61" s="619"/>
      <x:c r="E61" s="619"/>
      <x:c r="F61" s="619"/>
      <x:c r="G61" s="619"/>
      <x:c r="H61" s="619"/>
      <x:c r="I61" s="619"/>
      <x:c r="J61" s="619"/>
      <x:c r="K61" s="619"/>
      <x:c r="L61" s="619"/>
      <x:c r="M61" s="619"/>
      <x:c r="N61" s="619"/>
      <x:c r="O61" s="619"/>
    </x:row>
    <x:row r="62" spans="1:15" ht="12.75" hidden="1" customHeight="1" x14ac:dyDescent="0.25">
      <x:c r="A62" s="619"/>
      <x:c r="D62" s="619"/>
      <x:c r="E62" s="619"/>
      <x:c r="F62" s="619"/>
      <x:c r="G62" s="619"/>
      <x:c r="H62" s="619"/>
      <x:c r="I62" s="619"/>
      <x:c r="J62" s="619"/>
      <x:c r="K62" s="619"/>
      <x:c r="L62" s="619"/>
      <x:c r="M62" s="619"/>
      <x:c r="N62" s="619"/>
      <x:c r="O62" s="619"/>
    </x:row>
    <x:row r="63" spans="1:15" ht="12.75" hidden="1" customHeight="1" x14ac:dyDescent="0.25">
      <x:c r="A63" s="619"/>
      <x:c r="D63" s="619"/>
      <x:c r="E63" s="619"/>
      <x:c r="F63" s="619"/>
      <x:c r="G63" s="619"/>
      <x:c r="H63" s="619"/>
      <x:c r="I63" s="619"/>
      <x:c r="J63" s="619"/>
      <x:c r="K63" s="619"/>
      <x:c r="L63" s="619"/>
      <x:c r="M63" s="619"/>
      <x:c r="N63" s="619"/>
      <x:c r="O63" s="619"/>
    </x:row>
    <x:row r="64" spans="1:15" ht="12.75" hidden="1" customHeight="1" x14ac:dyDescent="0.25">
      <x:c r="A64" s="619"/>
      <x:c r="D64" s="619"/>
      <x:c r="E64" s="619"/>
      <x:c r="F64" s="619"/>
      <x:c r="G64" s="619"/>
      <x:c r="H64" s="619"/>
      <x:c r="I64" s="619"/>
      <x:c r="J64" s="619"/>
      <x:c r="K64" s="619"/>
      <x:c r="L64" s="619"/>
      <x:c r="M64" s="619"/>
      <x:c r="N64" s="619"/>
      <x:c r="O64" s="619"/>
    </x:row>
    <x:row r="65" spans="1:18" ht="12.75" hidden="1" customHeight="1" x14ac:dyDescent="0.25">
      <x:c r="A65" s="619"/>
      <x:c r="D65" s="619"/>
      <x:c r="E65" s="619"/>
      <x:c r="F65" s="619"/>
      <x:c r="G65" s="619"/>
      <x:c r="H65" s="619"/>
      <x:c r="I65" s="619"/>
      <x:c r="J65" s="619"/>
      <x:c r="K65" s="619"/>
      <x:c r="L65" s="619"/>
      <x:c r="M65" s="619"/>
      <x:c r="N65" s="619"/>
      <x:c r="O65" s="619"/>
    </x:row>
    <x:row r="66" spans="1:18" ht="12.75" hidden="1" customHeight="1" x14ac:dyDescent="0.25">
      <x:c r="A66" s="619"/>
      <x:c r="D66" s="619"/>
      <x:c r="E66" s="619"/>
      <x:c r="F66" s="619"/>
      <x:c r="G66" s="619"/>
      <x:c r="H66" s="619"/>
      <x:c r="I66" s="619"/>
      <x:c r="J66" s="619"/>
      <x:c r="K66" s="619"/>
      <x:c r="L66" s="619"/>
      <x:c r="M66" s="619"/>
      <x:c r="N66" s="619"/>
      <x:c r="O66" s="619"/>
    </x:row>
    <x:row r="67" spans="1:18" ht="12.75" hidden="1" customHeight="1" x14ac:dyDescent="0.25">
      <x:c r="A67" s="619"/>
      <x:c r="D67" s="619"/>
      <x:c r="E67" s="619"/>
      <x:c r="F67" s="619"/>
      <x:c r="G67" s="619"/>
      <x:c r="H67" s="619"/>
      <x:c r="I67" s="619"/>
      <x:c r="J67" s="619"/>
      <x:c r="K67" s="619"/>
      <x:c r="L67" s="619"/>
      <x:c r="M67" s="619"/>
      <x:c r="N67" s="619"/>
      <x:c r="O67" s="619"/>
    </x:row>
    <x:row r="68" spans="1:18" ht="12.75" hidden="1" customHeight="1" x14ac:dyDescent="0.25">
      <x:c r="A68" s="619"/>
      <x:c r="D68" s="619"/>
      <x:c r="E68" s="619"/>
      <x:c r="F68" s="619"/>
      <x:c r="G68" s="619"/>
      <x:c r="H68" s="619"/>
      <x:c r="I68" s="619"/>
      <x:c r="J68" s="619"/>
      <x:c r="K68" s="619"/>
      <x:c r="L68" s="619"/>
      <x:c r="M68" s="619"/>
      <x:c r="N68" s="619"/>
      <x:c r="O68" s="619"/>
    </x:row>
    <x:row r="69" spans="1:18" ht="12.75" hidden="1" customHeight="1" x14ac:dyDescent="0.25">
      <x:c r="A69" s="619"/>
      <x:c r="D69" s="619"/>
      <x:c r="E69" s="619"/>
      <x:c r="F69" s="619"/>
      <x:c r="G69" s="619"/>
      <x:c r="H69" s="619"/>
      <x:c r="I69" s="619"/>
      <x:c r="J69" s="619"/>
      <x:c r="K69" s="619"/>
      <x:c r="L69" s="619"/>
      <x:c r="M69" s="619"/>
      <x:c r="N69" s="619"/>
      <x:c r="O69" s="619"/>
    </x:row>
    <x:row r="70" spans="1:18" ht="12.75" hidden="1" customHeight="1" x14ac:dyDescent="0.25">
      <x:c r="A70" s="619"/>
      <x:c r="D70" s="619"/>
      <x:c r="E70" s="619"/>
      <x:c r="F70" s="619"/>
      <x:c r="G70" s="619"/>
      <x:c r="H70" s="619"/>
      <x:c r="I70" s="619"/>
      <x:c r="J70" s="619"/>
      <x:c r="K70" s="619"/>
      <x:c r="L70" s="619"/>
      <x:c r="M70" s="619"/>
      <x:c r="N70" s="619"/>
      <x:c r="O70" s="619"/>
    </x:row>
    <x:row r="71" spans="1:18" ht="12.75" hidden="1" customHeight="1" x14ac:dyDescent="0.25">
      <x:c r="A71" s="619"/>
      <x:c r="D71" s="619"/>
      <x:c r="E71" s="619"/>
      <x:c r="F71" s="619"/>
      <x:c r="G71" s="619"/>
      <x:c r="H71" s="619"/>
      <x:c r="I71" s="619"/>
      <x:c r="J71" s="619"/>
      <x:c r="K71" s="619"/>
      <x:c r="L71" s="619"/>
      <x:c r="M71" s="619"/>
      <x:c r="N71" s="619"/>
      <x:c r="O71" s="619"/>
    </x:row>
    <x:row r="72" spans="1:18" x14ac:dyDescent="0.25">
      <x:c r="A72" s="619"/>
      <x:c r="D72" s="619"/>
      <x:c r="E72" s="619"/>
      <x:c r="F72" s="619"/>
      <x:c r="G72" s="619"/>
      <x:c r="H72" s="619"/>
      <x:c r="I72" s="619"/>
      <x:c r="J72" s="619"/>
      <x:c r="K72" s="619"/>
      <x:c r="L72" s="619"/>
      <x:c r="M72" s="619"/>
      <x:c r="N72" s="619"/>
      <x:c r="O72" s="619"/>
    </x:row>
    <x:row r="73" spans="1:18" x14ac:dyDescent="0.25">
      <x:c r="A73" s="777" t="s">
        <x:v>2</x:v>
      </x:c>
      <x:c r="B73" s="776" t="s">
        <x:v>132</x:v>
      </x:c>
      <x:c r="C73" s="767" t="s">
        <x:v>70</x:v>
      </x:c>
      <x:c r="D73" s="767">
        <x:f>D15-P15</x:f>
        <x:v>-16536713.09</x:v>
      </x:c>
      <x:c r="E73" s="767">
        <x:f>E5+E11</x:f>
        <x:v>-842044.27</x:v>
      </x:c>
      <x:c r="F73" s="767">
        <x:f t="shared" ref="F73:R73" si="0">F5+F11</x:f>
        <x:v>-470499.84000000003</x:v>
      </x:c>
      <x:c r="G73" s="767">
        <x:f t="shared" si="0"/>
        <x:v>-249332.32</x:v>
      </x:c>
      <x:c r="H73" s="767">
        <x:f t="shared" si="0"/>
        <x:v>-4006466.75</x:v>
      </x:c>
      <x:c r="I73" s="767">
        <x:f t="shared" si="0"/>
        <x:v>-145004</x:v>
      </x:c>
      <x:c r="J73" s="767">
        <x:f t="shared" si="0"/>
        <x:v>-1301824.81</x:v>
      </x:c>
      <x:c r="K73" s="767">
        <x:f t="shared" si="0"/>
        <x:v>-1255802.95</x:v>
      </x:c>
      <x:c r="L73" s="767">
        <x:f t="shared" si="0"/>
        <x:v>-5775459.54</x:v>
      </x:c>
      <x:c r="M73" s="767">
        <x:f t="shared" si="0"/>
        <x:v>-2296297.42</x:v>
      </x:c>
      <x:c r="N73" s="767">
        <x:f t="shared" si="0"/>
        <x:v>-237636.38</x:v>
      </x:c>
      <x:c r="O73" s="767">
        <x:f t="shared" si="0"/>
        <x:v>100.74000000000001</x:v>
      </x:c>
      <x:c r="P73" s="767">
        <x:f t="shared" si="0"/>
        <x:v>0</x:v>
      </x:c>
      <x:c r="Q73" s="767">
        <x:f t="shared" si="0"/>
        <x:v>0</x:v>
      </x:c>
      <x:c r="R73" s="767">
        <x:f t="shared" si="0"/>
        <x:v>0</x:v>
      </x:c>
    </x:row>
    <x:row r="74" spans="1:18" x14ac:dyDescent="0.25">
      <x:c r="A74" s="777"/>
      <x:c r="B74" s="776"/>
      <x:c r="C74" s="767" t="s">
        <x:v>73</x:v>
      </x:c>
      <x:c r="D74" s="767">
        <x:f>D7+D13</x:f>
        <x:v>43554.450000000012</x:v>
      </x:c>
      <x:c r="E74" s="619"/>
      <x:c r="F74" s="619"/>
      <x:c r="G74" s="619"/>
      <x:c r="H74" s="619"/>
      <x:c r="I74" s="619"/>
      <x:c r="J74" s="619"/>
      <x:c r="K74" s="619"/>
      <x:c r="L74" s="619"/>
      <x:c r="M74" s="619"/>
      <x:c r="N74" s="619"/>
      <x:c r="O74" s="619"/>
      <x:c r="P74" s="619"/>
      <x:c r="Q74" s="619"/>
      <x:c r="R74" s="619"/>
    </x:row>
    <x:row r="75" spans="1:18" ht="13" x14ac:dyDescent="0.3">
      <x:c r="A75" s="618"/>
      <x:c r="D75" s="619"/>
      <x:c r="E75" s="619"/>
      <x:c r="F75" s="619"/>
      <x:c r="G75" s="619"/>
      <x:c r="H75" s="619"/>
      <x:c r="I75" s="619"/>
      <x:c r="J75" s="619"/>
      <x:c r="K75" s="619"/>
      <x:c r="L75" s="619"/>
      <x:c r="M75" s="619"/>
      <x:c r="N75" s="619"/>
      <x:c r="O75" s="619"/>
      <x:c r="P75" s="619"/>
      <x:c r="Q75" s="619"/>
      <x:c r="R75" s="619"/>
    </x:row>
    <x:row r="76" spans="1:18" x14ac:dyDescent="0.25">
      <x:c r="A76" s="777" t="s">
        <x:v>160</x:v>
      </x:c>
      <x:c r="B76" s="776" t="s">
        <x:v>132</x:v>
      </x:c>
      <x:c r="C76" s="633" t="s">
        <x:v>70</x:v>
      </x:c>
      <x:c r="D76" s="633">
        <x:v>0</x:v>
      </x:c>
      <x:c r="E76" s="633">
        <x:v>0</x:v>
      </x:c>
      <x:c r="F76" s="633">
        <x:v>0</x:v>
      </x:c>
      <x:c r="G76" s="633">
        <x:v>0</x:v>
      </x:c>
      <x:c r="H76" s="633">
        <x:v>0</x:v>
      </x:c>
      <x:c r="I76" s="633">
        <x:v>0</x:v>
      </x:c>
      <x:c r="J76" s="633">
        <x:v>0</x:v>
      </x:c>
      <x:c r="K76" s="633">
        <x:v>0</x:v>
      </x:c>
      <x:c r="L76" s="633">
        <x:v>0</x:v>
      </x:c>
      <x:c r="M76" s="633">
        <x:v>0</x:v>
      </x:c>
      <x:c r="N76" s="633">
        <x:v>0</x:v>
      </x:c>
      <x:c r="O76" s="633">
        <x:v>0</x:v>
      </x:c>
      <x:c r="P76" s="633">
        <x:v>0</x:v>
      </x:c>
      <x:c r="Q76" s="633">
        <x:v>0</x:v>
      </x:c>
      <x:c r="R76" s="633">
        <x:v>0</x:v>
      </x:c>
    </x:row>
    <x:row r="77" spans="1:18" x14ac:dyDescent="0.25">
      <x:c r="A77" s="777"/>
      <x:c r="B77" s="776"/>
      <x:c r="C77" s="633" t="s">
        <x:v>73</x:v>
      </x:c>
      <x:c r="D77" s="633">
        <x:v>0</x:v>
      </x:c>
      <x:c r="E77" s="619"/>
      <x:c r="F77" s="619"/>
      <x:c r="G77" s="619"/>
      <x:c r="H77" s="619"/>
      <x:c r="I77" s="619"/>
      <x:c r="J77" s="619"/>
      <x:c r="K77" s="619"/>
      <x:c r="L77" s="619"/>
      <x:c r="M77" s="619"/>
      <x:c r="N77" s="619"/>
      <x:c r="O77" s="619"/>
      <x:c r="P77" s="619"/>
      <x:c r="Q77" s="619"/>
      <x:c r="R77" s="619"/>
    </x:row>
    <x:row r="78" spans="1:18" ht="13" x14ac:dyDescent="0.3">
      <x:c r="A78" s="618"/>
      <x:c r="D78" s="619"/>
      <x:c r="E78" s="619"/>
      <x:c r="F78" s="619"/>
      <x:c r="G78" s="619"/>
      <x:c r="H78" s="619"/>
      <x:c r="I78" s="619"/>
      <x:c r="J78" s="619"/>
      <x:c r="K78" s="619"/>
      <x:c r="L78" s="619"/>
      <x:c r="M78" s="619"/>
      <x:c r="N78" s="619"/>
      <x:c r="O78" s="619"/>
      <x:c r="P78" s="619"/>
      <x:c r="Q78" s="619"/>
      <x:c r="R78" s="619"/>
    </x:row>
    <x:row r="79" spans="1:18" x14ac:dyDescent="0.25">
      <x:c r="A79" s="777" t="s">
        <x:v>155</x:v>
      </x:c>
      <x:c r="B79" s="776" t="s">
        <x:v>132</x:v>
      </x:c>
      <x:c r="C79" s="634" t="s">
        <x:v>70</x:v>
      </x:c>
      <x:c r="D79" s="634">
        <x:f>D8-P8</x:f>
        <x:v>-15533961.699999999</x:v>
      </x:c>
      <x:c r="E79" s="634">
        <x:f>E5</x:f>
        <x:v>-793724.01</x:v>
      </x:c>
      <x:c r="F79" s="634">
        <x:f t="shared" ref="F79:R79" si="1">F5</x:f>
        <x:v>-444038.25</x:v>
      </x:c>
      <x:c r="G79" s="634">
        <x:f t="shared" si="1"/>
        <x:v>-235437.54</x:v>
      </x:c>
      <x:c r="H79" s="634">
        <x:f t="shared" si="1"/>
        <x:v>-3814145.68</x:v>
      </x:c>
      <x:c r="I79" s="634">
        <x:f t="shared" si="1"/>
        <x:v>-140234.1</x:v>
      </x:c>
      <x:c r="J79" s="634">
        <x:f t="shared" si="1"/>
        <x:v>-1243696.27</x:v>
      </x:c>
      <x:c r="K79" s="634">
        <x:f t="shared" si="1"/>
        <x:v>-1203871</x:v>
      </x:c>
      <x:c r="L79" s="634">
        <x:f t="shared" si="1"/>
        <x:v>-5528843.9900000002</x:v>
      </x:c>
      <x:c r="M79" s="634">
        <x:f t="shared" si="1"/>
        <x:v>-2184189.35</x:v>
      </x:c>
      <x:c r="N79" s="634">
        <x:f t="shared" si="1"/>
        <x:v>-229854.06</x:v>
      </x:c>
      <x:c r="O79" s="634">
        <x:f t="shared" si="1"/>
        <x:v>111.04</x:v>
      </x:c>
      <x:c r="P79" s="634">
        <x:f t="shared" si="1"/>
        <x:v>0</x:v>
      </x:c>
      <x:c r="Q79" s="634">
        <x:f t="shared" si="1"/>
        <x:v>0</x:v>
      </x:c>
      <x:c r="R79" s="634">
        <x:f t="shared" si="1"/>
        <x:v>0</x:v>
      </x:c>
    </x:row>
    <x:row r="80" spans="1:18" x14ac:dyDescent="0.25">
      <x:c r="A80" s="777"/>
      <x:c r="B80" s="776"/>
      <x:c r="C80" s="634" t="s">
        <x:v>73</x:v>
      </x:c>
      <x:c r="D80" s="634">
        <x:f>D7</x:f>
        <x:v>283961.51</x:v>
      </x:c>
      <x:c r="E80" s="619"/>
      <x:c r="F80" s="619"/>
      <x:c r="G80" s="619"/>
      <x:c r="H80" s="619"/>
      <x:c r="I80" s="619"/>
      <x:c r="J80" s="619"/>
      <x:c r="K80" s="619"/>
      <x:c r="L80" s="619"/>
      <x:c r="M80" s="619"/>
      <x:c r="N80" s="619"/>
      <x:c r="O80" s="619"/>
      <x:c r="P80" s="619"/>
      <x:c r="Q80" s="619"/>
      <x:c r="R80" s="619"/>
    </x:row>
    <x:row r="81" spans="1:18" ht="13" x14ac:dyDescent="0.25">
      <x:c r="A81" s="723"/>
      <x:c r="B81" s="722"/>
      <x:c r="C81" s="619"/>
      <x:c r="D81" s="619"/>
      <x:c r="E81" s="619"/>
      <x:c r="F81" s="619"/>
      <x:c r="G81" s="619"/>
      <x:c r="H81" s="619"/>
      <x:c r="I81" s="619"/>
      <x:c r="J81" s="619"/>
      <x:c r="K81" s="619"/>
      <x:c r="L81" s="619"/>
      <x:c r="M81" s="619"/>
      <x:c r="N81" s="619"/>
      <x:c r="O81" s="619"/>
      <x:c r="P81" s="619"/>
      <x:c r="Q81" s="619"/>
      <x:c r="R81" s="619"/>
    </x:row>
    <x:row r="82" spans="1:18" ht="12.75" customHeight="1" x14ac:dyDescent="0.25">
      <x:c r="A82" s="775" t="s">
        <x:v>328</x:v>
      </x:c>
      <x:c r="B82" s="776" t="s">
        <x:v>132</x:v>
      </x:c>
      <x:c r="C82" s="634" t="s">
        <x:v>70</x:v>
      </x:c>
      <x:c r="D82" s="721">
        <x:v>0</x:v>
      </x:c>
      <x:c r="E82" s="721">
        <x:v>0</x:v>
      </x:c>
      <x:c r="F82" s="721">
        <x:v>0</x:v>
      </x:c>
      <x:c r="G82" s="721">
        <x:v>0</x:v>
      </x:c>
      <x:c r="H82" s="721">
        <x:v>0</x:v>
      </x:c>
      <x:c r="I82" s="721">
        <x:v>0</x:v>
      </x:c>
      <x:c r="J82" s="721">
        <x:v>0</x:v>
      </x:c>
      <x:c r="K82" s="721">
        <x:v>0</x:v>
      </x:c>
      <x:c r="L82" s="721">
        <x:v>0</x:v>
      </x:c>
      <x:c r="M82" s="721">
        <x:v>0</x:v>
      </x:c>
      <x:c r="N82" s="721">
        <x:v>0</x:v>
      </x:c>
      <x:c r="O82" s="721">
        <x:v>0</x:v>
      </x:c>
      <x:c r="P82" s="721">
        <x:v>0</x:v>
      </x:c>
      <x:c r="Q82" s="721">
        <x:v>0</x:v>
      </x:c>
      <x:c r="R82" s="721">
        <x:v>0</x:v>
      </x:c>
    </x:row>
    <x:row r="83" spans="1:18" ht="12.75" customHeight="1" x14ac:dyDescent="0.25">
      <x:c r="A83" s="775"/>
      <x:c r="B83" s="776"/>
      <x:c r="C83" s="634" t="s">
        <x:v>73</x:v>
      </x:c>
      <x:c r="D83" s="721">
        <x:v>0</x:v>
      </x:c>
      <x:c r="E83" s="619"/>
      <x:c r="F83" s="619"/>
      <x:c r="G83" s="619"/>
      <x:c r="H83" s="619"/>
      <x:c r="I83" s="619"/>
      <x:c r="J83" s="619"/>
      <x:c r="K83" s="619"/>
      <x:c r="L83" s="619"/>
      <x:c r="M83" s="619"/>
      <x:c r="N83" s="619"/>
      <x:c r="O83" s="619"/>
      <x:c r="P83" s="619"/>
      <x:c r="Q83" s="619"/>
    </x:row>
    <x:row r="84" spans="1:18" ht="13" x14ac:dyDescent="0.3">
      <x:c r="A84" s="618"/>
      <x:c r="D84" s="619"/>
      <x:c r="E84" s="619"/>
      <x:c r="F84" s="619"/>
      <x:c r="G84" s="619"/>
      <x:c r="H84" s="619"/>
      <x:c r="I84" s="619"/>
      <x:c r="J84" s="619"/>
      <x:c r="K84" s="619"/>
      <x:c r="L84" s="619"/>
      <x:c r="M84" s="619"/>
      <x:c r="N84" s="619"/>
      <x:c r="O84" s="619"/>
      <x:c r="P84" s="619"/>
      <x:c r="Q84" s="619"/>
      <x:c r="R84" s="619"/>
    </x:row>
    <x:row r="85" spans="1:18" x14ac:dyDescent="0.25">
      <x:c r="A85" s="777" t="s">
        <x:v>119</x:v>
      </x:c>
      <x:c r="B85" s="776" t="s">
        <x:v>132</x:v>
      </x:c>
      <x:c r="C85" s="629" t="s">
        <x:v>70</x:v>
      </x:c>
      <x:c r="D85" s="629">
        <x:f>D14-P14</x:f>
        <x:v>-1002751.39</x:v>
      </x:c>
      <x:c r="E85" s="629">
        <x:f>E11</x:f>
        <x:v>-48320.26</x:v>
      </x:c>
      <x:c r="F85" s="629">
        <x:f t="shared" ref="F85:R85" si="2">F11</x:f>
        <x:v>-26461.59</x:v>
      </x:c>
      <x:c r="G85" s="629">
        <x:f t="shared" si="2"/>
        <x:v>-13894.78</x:v>
      </x:c>
      <x:c r="H85" s="629">
        <x:f t="shared" si="2"/>
        <x:v>-192321.07</x:v>
      </x:c>
      <x:c r="I85" s="629">
        <x:f t="shared" si="2"/>
        <x:v>-4769.8999999999996</x:v>
      </x:c>
      <x:c r="J85" s="629">
        <x:f t="shared" si="2"/>
        <x:v>-58128.54</x:v>
      </x:c>
      <x:c r="K85" s="629">
        <x:f t="shared" si="2"/>
        <x:v>-51931.95</x:v>
      </x:c>
      <x:c r="L85" s="629">
        <x:f t="shared" si="2"/>
        <x:v>-246615.55</x:v>
      </x:c>
      <x:c r="M85" s="629">
        <x:f t="shared" si="2"/>
        <x:v>-112108.07</x:v>
      </x:c>
      <x:c r="N85" s="629">
        <x:f t="shared" si="2"/>
        <x:v>-7782.32</x:v>
      </x:c>
      <x:c r="O85" s="629">
        <x:f t="shared" si="2"/>
        <x:v>-10.3</x:v>
      </x:c>
      <x:c r="P85" s="629">
        <x:f t="shared" si="2"/>
        <x:v>0</x:v>
      </x:c>
      <x:c r="Q85" s="629">
        <x:f t="shared" si="2"/>
        <x:v>0</x:v>
      </x:c>
      <x:c r="R85" s="629">
        <x:f t="shared" si="2"/>
        <x:v>0</x:v>
      </x:c>
    </x:row>
    <x:row r="86" spans="1:18" ht="12.75" customHeight="1" x14ac:dyDescent="0.25">
      <x:c r="A86" s="777"/>
      <x:c r="B86" s="776"/>
      <x:c r="C86" s="629" t="s">
        <x:v>73</x:v>
      </x:c>
      <x:c r="D86" s="629">
        <x:f>D13</x:f>
        <x:v>-240407.06</x:v>
      </x:c>
      <x:c r="E86" s="619"/>
      <x:c r="F86" s="619"/>
      <x:c r="G86" s="619"/>
      <x:c r="H86" s="619"/>
      <x:c r="I86" s="619"/>
      <x:c r="J86" s="619"/>
      <x:c r="K86" s="619"/>
      <x:c r="L86" s="619"/>
      <x:c r="M86" s="619"/>
      <x:c r="N86" s="619"/>
      <x:c r="O86" s="619"/>
      <x:c r="P86" s="619"/>
      <x:c r="Q86" s="619"/>
      <x:c r="R86" s="619"/>
    </x:row>
    <x:row r="87" spans="1:18" ht="12.75" customHeight="1" x14ac:dyDescent="0.3">
      <x:c r="A87" s="618"/>
      <x:c r="D87" s="619"/>
      <x:c r="E87" s="619"/>
      <x:c r="F87" s="619"/>
      <x:c r="G87" s="619"/>
      <x:c r="H87" s="619"/>
      <x:c r="I87" s="619"/>
      <x:c r="J87" s="619"/>
      <x:c r="K87" s="619"/>
      <x:c r="L87" s="619"/>
      <x:c r="M87" s="619"/>
      <x:c r="N87" s="619"/>
      <x:c r="O87" s="619"/>
      <x:c r="P87" s="619"/>
      <x:c r="Q87" s="619"/>
      <x:c r="R87" s="619"/>
    </x:row>
    <x:row r="88" spans="1:18" ht="12.75" customHeight="1" x14ac:dyDescent="0.25">
      <x:c r="A88" s="778" t="s">
        <x:v>161</x:v>
      </x:c>
      <x:c r="B88" s="776" t="s">
        <x:v>132</x:v>
      </x:c>
      <x:c r="C88" s="635" t="s">
        <x:v>70</x:v>
      </x:c>
      <x:c r="D88" s="635">
        <x:v>0</x:v>
      </x:c>
      <x:c r="E88" s="635">
        <x:v>0</x:v>
      </x:c>
      <x:c r="F88" s="635">
        <x:v>0</x:v>
      </x:c>
      <x:c r="G88" s="635">
        <x:v>0</x:v>
      </x:c>
      <x:c r="H88" s="635">
        <x:v>0</x:v>
      </x:c>
      <x:c r="I88" s="635">
        <x:v>0</x:v>
      </x:c>
      <x:c r="J88" s="635">
        <x:v>0</x:v>
      </x:c>
      <x:c r="K88" s="635">
        <x:v>0</x:v>
      </x:c>
      <x:c r="L88" s="635">
        <x:v>0</x:v>
      </x:c>
      <x:c r="M88" s="635">
        <x:v>0</x:v>
      </x:c>
      <x:c r="N88" s="635">
        <x:v>0</x:v>
      </x:c>
      <x:c r="O88" s="635">
        <x:v>0</x:v>
      </x:c>
      <x:c r="P88" s="635">
        <x:v>0</x:v>
      </x:c>
      <x:c r="Q88" s="635">
        <x:v>0</x:v>
      </x:c>
      <x:c r="R88" s="635">
        <x:v>0</x:v>
      </x:c>
    </x:row>
    <x:row r="89" spans="1:18" ht="12.75" customHeight="1" x14ac:dyDescent="0.25">
      <x:c r="A89" s="778"/>
      <x:c r="B89" s="776"/>
      <x:c r="C89" s="635" t="s">
        <x:v>73</x:v>
      </x:c>
      <x:c r="D89" s="635">
        <x:v>0</x:v>
      </x:c>
      <x:c r="E89" s="619"/>
      <x:c r="F89" s="619"/>
      <x:c r="G89" s="619"/>
      <x:c r="H89" s="619"/>
      <x:c r="I89" s="619"/>
      <x:c r="J89" s="619"/>
      <x:c r="K89" s="619"/>
      <x:c r="L89" s="619"/>
      <x:c r="M89" s="619"/>
      <x:c r="N89" s="619"/>
      <x:c r="O89" s="619"/>
      <x:c r="P89" s="619"/>
      <x:c r="Q89" s="619"/>
    </x:row>
    <x:row r="90" spans="1:18" s="636" customFormat="1" x14ac:dyDescent="0.25"/>
    <x:row r="91" spans="1:18" ht="13" x14ac:dyDescent="0.3">
      <x:c r="B91" s="618" t="s">
        <x:v>75</x:v>
      </x:c>
    </x:row>
    <x:row r="92" spans="1:18" ht="12.75" customHeight="1" x14ac:dyDescent="0.25">
      <x:c r="D92" s="619" t="s">
        <x:v>70</x:v>
      </x:c>
      <x:c r="E92" s="619" t="s">
        <x:v>64</x:v>
      </x:c>
      <x:c r="F92" s="619" t="s">
        <x:v>65</x:v>
      </x:c>
      <x:c r="G92" s="620" t="s">
        <x:v>164</x:v>
      </x:c>
      <x:c r="H92" s="619" t="s">
        <x:v>69</x:v>
      </x:c>
      <x:c r="I92" s="619" t="s">
        <x:v>68</x:v>
      </x:c>
      <x:c r="J92" s="619" t="s">
        <x:v>66</x:v>
      </x:c>
      <x:c r="K92" s="619" t="s">
        <x:v>63</x:v>
      </x:c>
      <x:c r="L92" s="619" t="s">
        <x:v>61</x:v>
      </x:c>
      <x:c r="M92" s="619" t="s">
        <x:v>62</x:v>
      </x:c>
      <x:c r="N92" s="619" t="s">
        <x:v>67</x:v>
      </x:c>
      <x:c r="O92" s="619" t="s">
        <x:v>77</x:v>
      </x:c>
      <x:c r="P92" s="617" t="s">
        <x:v>71</x:v>
      </x:c>
      <x:c r="Q92" s="619" t="s">
        <x:v>80</x:v>
      </x:c>
      <x:c r="R92" s="617" t="s">
        <x:v>168</x:v>
      </x:c>
    </x:row>
    <x:row r="93" spans="1:18" ht="12.75" customHeight="1" x14ac:dyDescent="0.25">
      <x:c r="C93" s="617" t="s">
        <x:v>72</x:v>
      </x:c>
      <x:c r="D93" s="619">
        <x:v>-53998016.210000001</x:v>
      </x:c>
      <x:c r="E93" s="619">
        <x:v>-11667185.220000001</x:v>
      </x:c>
      <x:c r="F93" s="619">
        <x:v>-5414703.4900000002</x:v>
      </x:c>
      <x:c r="G93" s="621">
        <x:v>-2951482.17</x:v>
      </x:c>
      <x:c r="H93" s="619">
        <x:v>-3201477.24</x:v>
      </x:c>
      <x:c r="I93" s="619">
        <x:v>-115838.75</x:v>
      </x:c>
      <x:c r="J93" s="619">
        <x:v>-1017620.75</x:v>
      </x:c>
      <x:c r="K93" s="619">
        <x:v>-1016768.4</x:v>
      </x:c>
      <x:c r="L93" s="619">
        <x:v>-4764304</x:v>
      </x:c>
      <x:c r="M93" s="619">
        <x:v>-23659660.940000001</x:v>
      </x:c>
      <x:c r="N93" s="619">
        <x:v>-188999.83</x:v>
      </x:c>
      <x:c r="O93" s="619">
        <x:v>24.58</x:v>
      </x:c>
      <x:c r="P93" s="617">
        <x:v>0</x:v>
      </x:c>
      <x:c r="Q93" s="619">
        <x:v>0</x:v>
      </x:c>
      <x:c r="R93" s="617">
        <x:v>0</x:v>
      </x:c>
    </x:row>
    <x:row r="94" spans="1:18" ht="12.75" customHeight="1" x14ac:dyDescent="0.25">
      <x:c r="C94" s="617" t="s">
        <x:v>81</x:v>
      </x:c>
      <x:c r="D94" s="619">
        <x:v>-15789581.83</x:v>
      </x:c>
      <x:c r="E94" s="619">
        <x:v>-4170790.83</x:v>
      </x:c>
      <x:c r="F94" s="619">
        <x:v>-1943304.33</x:v>
      </x:c>
      <x:c r="G94" s="621">
        <x:v>-1075257.96</x:v>
      </x:c>
      <x:c r="H94" s="619">
        <x:v>-52026.8</x:v>
      </x:c>
      <x:c r="I94" s="619">
        <x:v>-1440.2</x:v>
      </x:c>
      <x:c r="J94" s="619">
        <x:v>-12737.8</x:v>
      </x:c>
      <x:c r="K94" s="619">
        <x:v>-15000.59</x:v>
      </x:c>
      <x:c r="L94" s="619">
        <x:v>-66290.83</x:v>
      </x:c>
      <x:c r="M94" s="619">
        <x:v>-8450381.2699999996</x:v>
      </x:c>
      <x:c r="N94" s="619">
        <x:v>-2350.38</x:v>
      </x:c>
      <x:c r="O94" s="619">
        <x:v>-0.84</x:v>
      </x:c>
      <x:c r="P94" s="617">
        <x:v>0</x:v>
      </x:c>
      <x:c r="Q94" s="619">
        <x:v>0</x:v>
      </x:c>
      <x:c r="R94" s="617">
        <x:v>0</x:v>
      </x:c>
    </x:row>
    <x:row r="95" spans="1:18" s="622" customFormat="1" ht="12.75" customHeight="1" x14ac:dyDescent="0.25">
      <x:c r="B95" s="623" t="s">
        <x:v>78</x:v>
      </x:c>
      <x:c r="C95" s="623" t="s">
        <x:v>70</x:v>
      </x:c>
      <x:c r="D95" s="623">
        <x:v>-69787598.040000007</x:v>
      </x:c>
      <x:c r="E95" s="623">
        <x:v>-15837976.050000001</x:v>
      </x:c>
      <x:c r="F95" s="623">
        <x:v>-7358007.8200000003</x:v>
      </x:c>
      <x:c r="G95" s="623">
        <x:v>-4026740.13</x:v>
      </x:c>
      <x:c r="H95" s="623">
        <x:v>-3253504.04</x:v>
      </x:c>
      <x:c r="I95" s="623">
        <x:v>-117278.95</x:v>
      </x:c>
      <x:c r="J95" s="623">
        <x:v>-1030358.55</x:v>
      </x:c>
      <x:c r="K95" s="623">
        <x:v>-1031768.99</x:v>
      </x:c>
      <x:c r="L95" s="623">
        <x:v>-4830594.83</x:v>
      </x:c>
      <x:c r="M95" s="623">
        <x:v>-32110042.210000001</x:v>
      </x:c>
      <x:c r="N95" s="623">
        <x:v>-191350.21</x:v>
      </x:c>
      <x:c r="O95" s="623">
        <x:v>23.74</x:v>
      </x:c>
      <x:c r="P95" s="622">
        <x:v>0</x:v>
      </x:c>
      <x:c r="Q95" s="623">
        <x:v>0</x:v>
      </x:c>
      <x:c r="R95" s="623">
        <x:v>0</x:v>
      </x:c>
    </x:row>
    <x:row r="96" spans="1:18" ht="12.75" customHeight="1" x14ac:dyDescent="0.25">
      <x:c r="C96" s="617" t="s">
        <x:v>73</x:v>
      </x:c>
      <x:c r="D96" s="619">
        <x:v>-991410.96</x:v>
      </x:c>
      <x:c r="E96" s="619">
        <x:v>-916794.52</x:v>
      </x:c>
      <x:c r="F96" s="619">
        <x:v>-399784.58</x:v>
      </x:c>
      <x:c r="G96" s="621">
        <x:v>-225583.16</x:v>
      </x:c>
      <x:c r="H96" s="619">
        <x:v>753139.3</x:v>
      </x:c>
      <x:c r="I96" s="619">
        <x:v>27321.94</x:v>
      </x:c>
      <x:c r="J96" s="619">
        <x:v>241143.71</x:v>
      </x:c>
      <x:c r="K96" s="619">
        <x:v>238753.51</x:v>
      </x:c>
      <x:c r="L96" s="619">
        <x:v>1113806.24</x:v>
      </x:c>
      <x:c r="M96" s="619">
        <x:v>-1867991.13</x:v>
      </x:c>
      <x:c r="N96" s="619">
        <x:v>44577.73</x:v>
      </x:c>
      <x:c r="O96" s="619">
        <x:v>0</x:v>
      </x:c>
      <x:c r="P96" s="617">
        <x:v>0</x:v>
      </x:c>
      <x:c r="Q96" s="619">
        <x:v>0</x:v>
      </x:c>
      <x:c r="R96" s="617">
        <x:v>0</x:v>
      </x:c>
    </x:row>
    <x:row r="97" spans="1:18" s="624" customFormat="1" ht="12.75" customHeight="1" x14ac:dyDescent="0.25">
      <x:c r="B97" s="624" t="s">
        <x:v>79</x:v>
      </x:c>
      <x:c r="C97" s="624" t="s">
        <x:v>70</x:v>
      </x:c>
      <x:c r="D97" s="637">
        <x:v>-991410.96</x:v>
      </x:c>
      <x:c r="E97" s="625">
        <x:v>-916794.52</x:v>
      </x:c>
      <x:c r="F97" s="625">
        <x:v>-399784.58</x:v>
      </x:c>
      <x:c r="G97" s="637">
        <x:v>-225583.16</x:v>
      </x:c>
      <x:c r="H97" s="625">
        <x:v>753139.3</x:v>
      </x:c>
      <x:c r="I97" s="625">
        <x:v>27321.94</x:v>
      </x:c>
      <x:c r="J97" s="625">
        <x:v>241143.71</x:v>
      </x:c>
      <x:c r="K97" s="625">
        <x:v>238753.51</x:v>
      </x:c>
      <x:c r="L97" s="625">
        <x:v>1113806.24</x:v>
      </x:c>
      <x:c r="M97" s="625">
        <x:v>-1867991.13</x:v>
      </x:c>
      <x:c r="N97" s="625">
        <x:v>44577.73</x:v>
      </x:c>
      <x:c r="O97" s="625">
        <x:v>0</x:v>
      </x:c>
      <x:c r="P97" s="624">
        <x:v>0</x:v>
      </x:c>
      <x:c r="Q97" s="625">
        <x:v>0</x:v>
      </x:c>
      <x:c r="R97" s="624">
        <x:v>0</x:v>
      </x:c>
    </x:row>
    <x:row r="98" spans="1:18" s="626" customFormat="1" ht="12.75" customHeight="1" x14ac:dyDescent="0.25">
      <x:c r="A98" s="626" t="s">
        <x:v>155</x:v>
      </x:c>
      <x:c r="B98" s="626" t="s">
        <x:v>70</x:v>
      </x:c>
      <x:c r="D98" s="627">
        <x:v>-70779009</x:v>
      </x:c>
      <x:c r="E98" s="627">
        <x:v>-16754770.57</x:v>
      </x:c>
      <x:c r="F98" s="627">
        <x:v>-7757792.4000000004</x:v>
      </x:c>
      <x:c r="G98" s="628">
        <x:v>-4252323.29</x:v>
      </x:c>
      <x:c r="H98" s="627">
        <x:v>-2500364.7400000002</x:v>
      </x:c>
      <x:c r="I98" s="627">
        <x:v>-89957.01</x:v>
      </x:c>
      <x:c r="J98" s="627">
        <x:v>-789214.84</x:v>
      </x:c>
      <x:c r="K98" s="627">
        <x:v>-793015.48</x:v>
      </x:c>
      <x:c r="L98" s="627">
        <x:v>-3716788.59</x:v>
      </x:c>
      <x:c r="M98" s="627">
        <x:v>-33978033.340000004</x:v>
      </x:c>
      <x:c r="N98" s="627">
        <x:v>-146772.48000000001</x:v>
      </x:c>
      <x:c r="O98" s="627">
        <x:v>23.74</x:v>
      </x:c>
      <x:c r="P98" s="626">
        <x:v>0</x:v>
      </x:c>
      <x:c r="Q98" s="627">
        <x:v>0</x:v>
      </x:c>
      <x:c r="R98" s="626">
        <x:v>0</x:v>
      </x:c>
    </x:row>
    <x:row r="99" spans="1:18" ht="12.75" customHeight="1" x14ac:dyDescent="0.25">
      <x:c r="C99" s="617" t="s">
        <x:v>72</x:v>
      </x:c>
      <x:c r="D99" s="619">
        <x:v>-377166.8</x:v>
      </x:c>
      <x:c r="E99" s="619">
        <x:v>-43251.45</x:v>
      </x:c>
      <x:c r="F99" s="619">
        <x:v>-24151.06</x:v>
      </x:c>
      <x:c r="G99" s="621">
        <x:v>-13029.67</x:v>
      </x:c>
      <x:c r="H99" s="619">
        <x:v>-77002.42</x:v>
      </x:c>
      <x:c r="I99" s="619">
        <x:v>-2284.7600000000002</x:v>
      </x:c>
      <x:c r="J99" s="619">
        <x:v>-20041.71</x:v>
      </x:c>
      <x:c r="K99" s="619">
        <x:v>-20313.509999999998</x:v>
      </x:c>
      <x:c r="L99" s="619">
        <x:v>-87724.06</x:v>
      </x:c>
      <x:c r="M99" s="619">
        <x:v>-86066.71</x:v>
      </x:c>
      <x:c r="N99" s="619">
        <x:v>-3305.91</x:v>
      </x:c>
      <x:c r="O99" s="619">
        <x:v>4.46</x:v>
      </x:c>
      <x:c r="P99" s="617">
        <x:v>0</x:v>
      </x:c>
      <x:c r="Q99" s="619">
        <x:v>0</x:v>
      </x:c>
      <x:c r="R99" s="617">
        <x:v>0</x:v>
      </x:c>
    </x:row>
    <x:row r="100" spans="1:18" ht="12.75" customHeight="1" x14ac:dyDescent="0.25">
      <x:c r="C100" s="617" t="s">
        <x:v>81</x:v>
      </x:c>
      <x:c r="D100" s="619">
        <x:v>-9054.66</x:v>
      </x:c>
      <x:c r="E100" s="619">
        <x:v>-491.84</x:v>
      </x:c>
      <x:c r="F100" s="619">
        <x:v>-219.75</x:v>
      </x:c>
      <x:c r="G100" s="621">
        <x:v>-125.76</x:v>
      </x:c>
      <x:c r="H100" s="619">
        <x:v>-2696.53</x:v>
      </x:c>
      <x:c r="I100" s="619">
        <x:v>-61.76</x:v>
      </x:c>
      <x:c r="J100" s="619">
        <x:v>-541.98</x:v>
      </x:c>
      <x:c r="K100" s="619">
        <x:v>-671.69</x:v>
      </x:c>
      <x:c r="L100" s="619">
        <x:v>-3161.57</x:v>
      </x:c>
      <x:c r="M100" s="619">
        <x:v>-983.04</x:v>
      </x:c>
      <x:c r="N100" s="619">
        <x:v>-100.83</x:v>
      </x:c>
      <x:c r="O100" s="619">
        <x:v>0.09</x:v>
      </x:c>
      <x:c r="P100" s="617">
        <x:v>0</x:v>
      </x:c>
      <x:c r="Q100" s="619">
        <x:v>0</x:v>
      </x:c>
      <x:c r="R100" s="617">
        <x:v>0</x:v>
      </x:c>
    </x:row>
    <x:row r="101" spans="1:18" s="622" customFormat="1" ht="12.75" customHeight="1" x14ac:dyDescent="0.25">
      <x:c r="B101" s="623" t="s">
        <x:v>78</x:v>
      </x:c>
      <x:c r="C101" s="623" t="s">
        <x:v>70</x:v>
      </x:c>
      <x:c r="D101" s="623">
        <x:v>-386221.46</x:v>
      </x:c>
      <x:c r="E101" s="623">
        <x:v>-43743.29</x:v>
      </x:c>
      <x:c r="F101" s="623">
        <x:v>-24370.81</x:v>
      </x:c>
      <x:c r="G101" s="623">
        <x:v>-13155.43</x:v>
      </x:c>
      <x:c r="H101" s="623">
        <x:v>-79698.95</x:v>
      </x:c>
      <x:c r="I101" s="623">
        <x:v>-2346.52</x:v>
      </x:c>
      <x:c r="J101" s="623">
        <x:v>-20583.689999999999</x:v>
      </x:c>
      <x:c r="K101" s="623">
        <x:v>-20985.200000000001</x:v>
      </x:c>
      <x:c r="L101" s="623">
        <x:v>-90885.63</x:v>
      </x:c>
      <x:c r="M101" s="623">
        <x:v>-87049.75</x:v>
      </x:c>
      <x:c r="N101" s="623">
        <x:v>-3406.74</x:v>
      </x:c>
      <x:c r="O101" s="623">
        <x:v>4.55</x:v>
      </x:c>
      <x:c r="P101" s="622">
        <x:v>0</x:v>
      </x:c>
      <x:c r="Q101" s="623">
        <x:v>0</x:v>
      </x:c>
      <x:c r="R101" s="623">
        <x:v>0</x:v>
      </x:c>
    </x:row>
    <x:row r="102" spans="1:18" ht="12.75" customHeight="1" x14ac:dyDescent="0.25">
      <x:c r="C102" s="617" t="s">
        <x:v>73</x:v>
      </x:c>
      <x:c r="D102" s="621">
        <x:v>95471.46</x:v>
      </x:c>
      <x:c r="E102" s="619">
        <x:v>4869.41</x:v>
      </x:c>
      <x:c r="F102" s="619">
        <x:v>2653.99</x:v>
      </x:c>
      <x:c r="G102" s="621">
        <x:v>1418.22</x:v>
      </x:c>
      <x:c r="H102" s="619">
        <x:v>24431.4</x:v>
      </x:c>
      <x:c r="I102" s="619">
        <x:v>804.56</x:v>
      </x:c>
      <x:c r="J102" s="619">
        <x:v>7057.6</x:v>
      </x:c>
      <x:c r="K102" s="619">
        <x:v>7551.54</x:v>
      </x:c>
      <x:c r="L102" s="619">
        <x:v>35697.19</x:v>
      </x:c>
      <x:c r="M102" s="619">
        <x:v>9674.81</x:v>
      </x:c>
      <x:c r="N102" s="619">
        <x:v>1312.74</x:v>
      </x:c>
      <x:c r="O102" s="619">
        <x:v>0</x:v>
      </x:c>
      <x:c r="P102" s="617">
        <x:v>0</x:v>
      </x:c>
      <x:c r="Q102" s="619">
        <x:v>0</x:v>
      </x:c>
      <x:c r="R102" s="617">
        <x:v>0</x:v>
      </x:c>
    </x:row>
    <x:row r="103" spans="1:18" s="624" customFormat="1" ht="12.75" customHeight="1" x14ac:dyDescent="0.25">
      <x:c r="B103" s="624" t="s">
        <x:v>79</x:v>
      </x:c>
      <x:c r="C103" s="624" t="s">
        <x:v>70</x:v>
      </x:c>
      <x:c r="D103" s="637">
        <x:v>95471.46</x:v>
      </x:c>
      <x:c r="E103" s="625">
        <x:v>4869.41</x:v>
      </x:c>
      <x:c r="F103" s="625">
        <x:v>2653.99</x:v>
      </x:c>
      <x:c r="G103" s="637">
        <x:v>1418.22</x:v>
      </x:c>
      <x:c r="H103" s="625">
        <x:v>24431.4</x:v>
      </x:c>
      <x:c r="I103" s="625">
        <x:v>804.56</x:v>
      </x:c>
      <x:c r="J103" s="625">
        <x:v>7057.6</x:v>
      </x:c>
      <x:c r="K103" s="625">
        <x:v>7551.54</x:v>
      </x:c>
      <x:c r="L103" s="625">
        <x:v>35697.19</x:v>
      </x:c>
      <x:c r="M103" s="625">
        <x:v>9674.81</x:v>
      </x:c>
      <x:c r="N103" s="625">
        <x:v>1312.74</x:v>
      </x:c>
      <x:c r="O103" s="625">
        <x:v>0</x:v>
      </x:c>
      <x:c r="P103" s="624">
        <x:v>0</x:v>
      </x:c>
      <x:c r="Q103" s="625">
        <x:v>0</x:v>
      </x:c>
      <x:c r="R103" s="624">
        <x:v>0</x:v>
      </x:c>
    </x:row>
    <x:row r="104" spans="1:18" s="629" customFormat="1" ht="12.75" customHeight="1" x14ac:dyDescent="0.25">
      <x:c r="A104" s="629" t="s">
        <x:v>119</x:v>
      </x:c>
      <x:c r="B104" s="629" t="s">
        <x:v>70</x:v>
      </x:c>
      <x:c r="D104" s="629">
        <x:v>-290750</x:v>
      </x:c>
      <x:c r="E104" s="629">
        <x:v>-38873.879999999997</x:v>
      </x:c>
      <x:c r="F104" s="629">
        <x:v>-21716.82</x:v>
      </x:c>
      <x:c r="G104" s="629">
        <x:v>-11737.21</x:v>
      </x:c>
      <x:c r="H104" s="629">
        <x:v>-55267.55</x:v>
      </x:c>
      <x:c r="I104" s="629">
        <x:v>-1541.96</x:v>
      </x:c>
      <x:c r="J104" s="629">
        <x:v>-13526.09</x:v>
      </x:c>
      <x:c r="K104" s="629">
        <x:v>-13433.66</x:v>
      </x:c>
      <x:c r="L104" s="629">
        <x:v>-55188.44</x:v>
      </x:c>
      <x:c r="M104" s="629">
        <x:v>-77374.94</x:v>
      </x:c>
      <x:c r="N104" s="629">
        <x:v>-2094</x:v>
      </x:c>
      <x:c r="O104" s="629">
        <x:v>4.55</x:v>
      </x:c>
      <x:c r="P104" s="629">
        <x:v>0</x:v>
      </x:c>
      <x:c r="Q104" s="629">
        <x:v>0</x:v>
      </x:c>
      <x:c r="R104" s="629">
        <x:v>0</x:v>
      </x:c>
    </x:row>
    <x:row r="105" spans="1:18" s="632" customFormat="1" ht="12.75" customHeight="1" x14ac:dyDescent="0.25">
      <x:c r="A105" s="631" t="s">
        <x:v>70</x:v>
      </x:c>
      <x:c r="D105" s="631" t="n">
        <x:v>-13472482</x:v>
      </x:c>
      <x:c r="E105" s="631">
        <x:v>-16793644.449999999</x:v>
      </x:c>
      <x:c r="F105" s="631">
        <x:v>-7779509.2199999997</x:v>
      </x:c>
      <x:c r="G105" s="631">
        <x:v>-4264060.5</x:v>
      </x:c>
      <x:c r="H105" s="631">
        <x:v>-2555632.29</x:v>
      </x:c>
      <x:c r="I105" s="631">
        <x:v>-91498.97</x:v>
      </x:c>
      <x:c r="J105" s="631">
        <x:v>-802740.93</x:v>
      </x:c>
      <x:c r="K105" s="631">
        <x:v>-806449.14</x:v>
      </x:c>
      <x:c r="L105" s="631">
        <x:v>-3771977.03</x:v>
      </x:c>
      <x:c r="M105" s="631">
        <x:v>-34055408.280000001</x:v>
      </x:c>
      <x:c r="N105" s="631">
        <x:v>-148866.48000000001</x:v>
      </x:c>
      <x:c r="O105" s="631">
        <x:v>28.29</x:v>
      </x:c>
      <x:c r="P105" s="632" t="n">
        <x:v>0</x:v>
      </x:c>
      <x:c r="Q105" s="631">
        <x:v>0</x:v>
      </x:c>
      <x:c r="R105" s="631">
        <x:v>0</x:v>
      </x:c>
    </x:row>
    <x:row r="106" spans="1:18" ht="12.75" customHeight="1" x14ac:dyDescent="0.25">
      <x:c r="A106" s="619"/>
      <x:c r="D106" s="619"/>
      <x:c r="E106" s="619"/>
      <x:c r="F106" s="619"/>
      <x:c r="G106" s="619"/>
      <x:c r="H106" s="619"/>
      <x:c r="I106" s="619"/>
      <x:c r="J106" s="619"/>
      <x:c r="K106" s="619"/>
      <x:c r="L106" s="619"/>
      <x:c r="M106" s="619"/>
      <x:c r="N106" s="619"/>
      <x:c r="O106" s="619"/>
      <x:c r="P106" s="619"/>
    </x:row>
    <x:row r="107" spans="1:18" ht="12.75" hidden="1" customHeight="1" x14ac:dyDescent="0.25">
      <x:c r="A107" s="619"/>
      <x:c r="D107" s="619"/>
      <x:c r="E107" s="619"/>
      <x:c r="F107" s="619"/>
      <x:c r="G107" s="619"/>
      <x:c r="H107" s="619"/>
      <x:c r="I107" s="619"/>
      <x:c r="J107" s="619"/>
      <x:c r="K107" s="619"/>
      <x:c r="L107" s="619"/>
      <x:c r="M107" s="619"/>
      <x:c r="N107" s="619"/>
      <x:c r="O107" s="619"/>
      <x:c r="P107" s="619"/>
    </x:row>
    <x:row r="108" spans="1:18" ht="12.75" hidden="1" customHeight="1" x14ac:dyDescent="0.25">
      <x:c r="A108" s="619"/>
      <x:c r="D108" s="619"/>
      <x:c r="E108" s="619"/>
      <x:c r="F108" s="619"/>
      <x:c r="G108" s="619"/>
      <x:c r="H108" s="619"/>
      <x:c r="I108" s="619"/>
      <x:c r="J108" s="619"/>
      <x:c r="K108" s="619"/>
      <x:c r="L108" s="619"/>
      <x:c r="M108" s="619"/>
      <x:c r="N108" s="619"/>
      <x:c r="O108" s="619"/>
      <x:c r="P108" s="619"/>
    </x:row>
    <x:row r="109" spans="1:18" ht="12.75" hidden="1" customHeight="1" x14ac:dyDescent="0.25">
      <x:c r="A109" s="619"/>
      <x:c r="D109" s="619"/>
      <x:c r="E109" s="619"/>
      <x:c r="F109" s="619"/>
      <x:c r="G109" s="619"/>
      <x:c r="H109" s="619"/>
      <x:c r="I109" s="619"/>
      <x:c r="J109" s="619"/>
      <x:c r="K109" s="619"/>
      <x:c r="L109" s="619"/>
      <x:c r="M109" s="619"/>
      <x:c r="N109" s="619"/>
      <x:c r="O109" s="619"/>
      <x:c r="P109" s="619"/>
    </x:row>
    <x:row r="110" spans="1:18" ht="12.75" hidden="1" customHeight="1" x14ac:dyDescent="0.25">
      <x:c r="A110" s="619"/>
      <x:c r="D110" s="619"/>
      <x:c r="E110" s="619"/>
      <x:c r="F110" s="619"/>
      <x:c r="G110" s="619"/>
      <x:c r="H110" s="619"/>
      <x:c r="I110" s="619"/>
      <x:c r="J110" s="619"/>
      <x:c r="K110" s="619"/>
      <x:c r="L110" s="619"/>
      <x:c r="M110" s="619"/>
      <x:c r="N110" s="619"/>
      <x:c r="O110" s="619"/>
      <x:c r="P110" s="619"/>
    </x:row>
    <x:row r="111" spans="1:18" ht="12.75" hidden="1" customHeight="1" x14ac:dyDescent="0.25">
      <x:c r="A111" s="619"/>
      <x:c r="D111" s="619"/>
      <x:c r="E111" s="619"/>
      <x:c r="F111" s="619"/>
      <x:c r="G111" s="619"/>
      <x:c r="H111" s="619"/>
      <x:c r="I111" s="619"/>
      <x:c r="J111" s="619"/>
      <x:c r="K111" s="619"/>
      <x:c r="L111" s="619"/>
      <x:c r="M111" s="619"/>
      <x:c r="N111" s="619"/>
      <x:c r="O111" s="619"/>
      <x:c r="P111" s="619"/>
    </x:row>
    <x:row r="112" spans="1:18" ht="12.75" hidden="1" customHeight="1" x14ac:dyDescent="0.25">
      <x:c r="A112" s="619"/>
      <x:c r="D112" s="619"/>
      <x:c r="E112" s="619"/>
      <x:c r="F112" s="619"/>
      <x:c r="G112" s="619"/>
      <x:c r="H112" s="619"/>
      <x:c r="I112" s="619"/>
      <x:c r="J112" s="619"/>
      <x:c r="K112" s="619"/>
      <x:c r="L112" s="619"/>
      <x:c r="M112" s="619"/>
      <x:c r="N112" s="619"/>
      <x:c r="O112" s="619"/>
      <x:c r="P112" s="619"/>
    </x:row>
    <x:row r="113" spans="1:16" ht="12.75" hidden="1" customHeight="1" x14ac:dyDescent="0.25">
      <x:c r="A113" s="619"/>
      <x:c r="D113" s="619"/>
      <x:c r="E113" s="619"/>
      <x:c r="F113" s="619"/>
      <x:c r="G113" s="619"/>
      <x:c r="H113" s="619"/>
      <x:c r="I113" s="619"/>
      <x:c r="J113" s="619"/>
      <x:c r="K113" s="619"/>
      <x:c r="L113" s="619"/>
      <x:c r="M113" s="619"/>
      <x:c r="N113" s="619"/>
      <x:c r="O113" s="619"/>
      <x:c r="P113" s="619"/>
    </x:row>
    <x:row r="114" spans="1:16" ht="12.75" hidden="1" customHeight="1" x14ac:dyDescent="0.25">
      <x:c r="A114" s="619"/>
      <x:c r="D114" s="619"/>
      <x:c r="E114" s="619"/>
      <x:c r="F114" s="619"/>
      <x:c r="G114" s="619"/>
      <x:c r="H114" s="619"/>
      <x:c r="I114" s="619"/>
      <x:c r="J114" s="619"/>
      <x:c r="K114" s="619"/>
      <x:c r="L114" s="619"/>
      <x:c r="M114" s="619"/>
      <x:c r="N114" s="619"/>
      <x:c r="O114" s="619"/>
      <x:c r="P114" s="619"/>
    </x:row>
    <x:row r="115" spans="1:16" ht="12.75" hidden="1" customHeight="1" x14ac:dyDescent="0.25">
      <x:c r="A115" s="619"/>
      <x:c r="D115" s="619"/>
      <x:c r="E115" s="619"/>
      <x:c r="F115" s="619"/>
      <x:c r="G115" s="619"/>
      <x:c r="H115" s="619"/>
      <x:c r="I115" s="619"/>
      <x:c r="J115" s="619"/>
      <x:c r="K115" s="619"/>
      <x:c r="L115" s="619"/>
      <x:c r="M115" s="619"/>
      <x:c r="N115" s="619"/>
      <x:c r="O115" s="619"/>
      <x:c r="P115" s="619"/>
    </x:row>
    <x:row r="116" spans="1:16" ht="12.75" hidden="1" customHeight="1" x14ac:dyDescent="0.25">
      <x:c r="A116" s="619"/>
      <x:c r="D116" s="619"/>
      <x:c r="E116" s="619"/>
      <x:c r="F116" s="619"/>
      <x:c r="G116" s="619"/>
      <x:c r="H116" s="619"/>
      <x:c r="I116" s="619"/>
      <x:c r="J116" s="619"/>
      <x:c r="K116" s="619"/>
      <x:c r="L116" s="619"/>
      <x:c r="M116" s="619"/>
      <x:c r="N116" s="619"/>
      <x:c r="O116" s="619"/>
      <x:c r="P116" s="619"/>
    </x:row>
    <x:row r="117" spans="1:16" ht="12.75" hidden="1" customHeight="1" x14ac:dyDescent="0.25">
      <x:c r="A117" s="619"/>
      <x:c r="D117" s="619"/>
      <x:c r="E117" s="619"/>
      <x:c r="F117" s="619"/>
      <x:c r="G117" s="619"/>
      <x:c r="H117" s="619"/>
      <x:c r="I117" s="619"/>
      <x:c r="J117" s="619"/>
      <x:c r="K117" s="619"/>
      <x:c r="L117" s="619"/>
      <x:c r="M117" s="619"/>
      <x:c r="N117" s="619"/>
      <x:c r="O117" s="619"/>
      <x:c r="P117" s="619"/>
    </x:row>
    <x:row r="118" spans="1:16" ht="12.75" hidden="1" customHeight="1" x14ac:dyDescent="0.25">
      <x:c r="A118" s="619"/>
      <x:c r="D118" s="619"/>
      <x:c r="E118" s="619"/>
      <x:c r="F118" s="619"/>
      <x:c r="G118" s="619"/>
      <x:c r="H118" s="619"/>
      <x:c r="I118" s="619"/>
      <x:c r="J118" s="619"/>
      <x:c r="K118" s="619"/>
      <x:c r="L118" s="619"/>
      <x:c r="M118" s="619"/>
      <x:c r="N118" s="619"/>
      <x:c r="O118" s="619"/>
      <x:c r="P118" s="619"/>
    </x:row>
    <x:row r="119" spans="1:16" ht="12.75" hidden="1" customHeight="1" x14ac:dyDescent="0.25">
      <x:c r="A119" s="619"/>
      <x:c r="D119" s="619"/>
      <x:c r="E119" s="619"/>
      <x:c r="F119" s="619"/>
      <x:c r="G119" s="619"/>
      <x:c r="H119" s="619"/>
      <x:c r="I119" s="619"/>
      <x:c r="J119" s="619"/>
      <x:c r="K119" s="619"/>
      <x:c r="L119" s="619"/>
      <x:c r="M119" s="619"/>
      <x:c r="N119" s="619"/>
      <x:c r="O119" s="619"/>
      <x:c r="P119" s="619"/>
    </x:row>
    <x:row r="120" spans="1:16" ht="12.75" hidden="1" customHeight="1" x14ac:dyDescent="0.25">
      <x:c r="A120" s="619"/>
      <x:c r="D120" s="619"/>
      <x:c r="E120" s="619"/>
      <x:c r="F120" s="619"/>
      <x:c r="G120" s="619"/>
      <x:c r="H120" s="619"/>
      <x:c r="I120" s="619"/>
      <x:c r="J120" s="619"/>
      <x:c r="K120" s="619"/>
      <x:c r="L120" s="619"/>
      <x:c r="M120" s="619"/>
      <x:c r="N120" s="619"/>
      <x:c r="O120" s="619"/>
      <x:c r="P120" s="619"/>
    </x:row>
    <x:row r="121" spans="1:16" ht="12.75" hidden="1" customHeight="1" x14ac:dyDescent="0.25">
      <x:c r="A121" s="619"/>
      <x:c r="D121" s="619"/>
      <x:c r="E121" s="619"/>
      <x:c r="F121" s="619"/>
      <x:c r="G121" s="619"/>
      <x:c r="H121" s="619"/>
      <x:c r="I121" s="619"/>
      <x:c r="J121" s="619"/>
      <x:c r="K121" s="619"/>
      <x:c r="L121" s="619"/>
      <x:c r="M121" s="619"/>
      <x:c r="N121" s="619"/>
      <x:c r="O121" s="619"/>
      <x:c r="P121" s="619"/>
    </x:row>
    <x:row r="122" spans="1:16" ht="12.75" hidden="1" customHeight="1" x14ac:dyDescent="0.25">
      <x:c r="A122" s="619"/>
      <x:c r="D122" s="619"/>
      <x:c r="E122" s="619"/>
      <x:c r="F122" s="619"/>
      <x:c r="G122" s="619"/>
      <x:c r="H122" s="619"/>
      <x:c r="I122" s="619"/>
      <x:c r="J122" s="619"/>
      <x:c r="K122" s="619"/>
      <x:c r="L122" s="619"/>
      <x:c r="M122" s="619"/>
      <x:c r="N122" s="619"/>
      <x:c r="O122" s="619"/>
      <x:c r="P122" s="619"/>
    </x:row>
    <x:row r="123" spans="1:16" ht="12.75" hidden="1" customHeight="1" x14ac:dyDescent="0.25">
      <x:c r="A123" s="619"/>
      <x:c r="D123" s="619"/>
      <x:c r="E123" s="619"/>
      <x:c r="F123" s="619"/>
      <x:c r="G123" s="619"/>
      <x:c r="H123" s="619"/>
      <x:c r="I123" s="619"/>
      <x:c r="J123" s="619"/>
      <x:c r="K123" s="619"/>
      <x:c r="L123" s="619"/>
      <x:c r="M123" s="619"/>
      <x:c r="N123" s="619"/>
      <x:c r="O123" s="619"/>
      <x:c r="P123" s="619"/>
    </x:row>
    <x:row r="124" spans="1:16" ht="12.75" hidden="1" customHeight="1" x14ac:dyDescent="0.25">
      <x:c r="A124" s="619"/>
      <x:c r="D124" s="619"/>
      <x:c r="E124" s="619"/>
      <x:c r="F124" s="619"/>
      <x:c r="G124" s="619"/>
      <x:c r="H124" s="619"/>
      <x:c r="I124" s="619"/>
      <x:c r="J124" s="619"/>
      <x:c r="K124" s="619"/>
      <x:c r="L124" s="619"/>
      <x:c r="M124" s="619"/>
      <x:c r="N124" s="619"/>
      <x:c r="O124" s="619"/>
      <x:c r="P124" s="619"/>
    </x:row>
    <x:row r="125" spans="1:16" ht="12.75" hidden="1" customHeight="1" x14ac:dyDescent="0.25">
      <x:c r="A125" s="619"/>
      <x:c r="D125" s="619"/>
      <x:c r="E125" s="619"/>
      <x:c r="F125" s="619"/>
      <x:c r="G125" s="619"/>
      <x:c r="H125" s="619"/>
      <x:c r="I125" s="619"/>
      <x:c r="J125" s="619"/>
      <x:c r="K125" s="619"/>
      <x:c r="L125" s="619"/>
      <x:c r="M125" s="619"/>
      <x:c r="N125" s="619"/>
      <x:c r="O125" s="619"/>
      <x:c r="P125" s="619"/>
    </x:row>
    <x:row r="126" spans="1:16" ht="12.75" hidden="1" customHeight="1" x14ac:dyDescent="0.25">
      <x:c r="A126" s="619"/>
      <x:c r="D126" s="619"/>
      <x:c r="E126" s="619"/>
      <x:c r="F126" s="619"/>
      <x:c r="G126" s="619"/>
      <x:c r="H126" s="619"/>
      <x:c r="I126" s="619"/>
      <x:c r="J126" s="619"/>
      <x:c r="K126" s="619"/>
      <x:c r="L126" s="619"/>
      <x:c r="M126" s="619"/>
      <x:c r="N126" s="619"/>
      <x:c r="O126" s="619"/>
      <x:c r="P126" s="619"/>
    </x:row>
    <x:row r="127" spans="1:16" ht="12.75" hidden="1" customHeight="1" x14ac:dyDescent="0.25">
      <x:c r="A127" s="619"/>
      <x:c r="D127" s="619"/>
      <x:c r="E127" s="619"/>
      <x:c r="F127" s="619"/>
      <x:c r="G127" s="619"/>
      <x:c r="H127" s="619"/>
      <x:c r="I127" s="619"/>
      <x:c r="J127" s="619"/>
      <x:c r="K127" s="619"/>
      <x:c r="L127" s="619"/>
      <x:c r="M127" s="619"/>
      <x:c r="N127" s="619"/>
      <x:c r="O127" s="619"/>
      <x:c r="P127" s="619"/>
    </x:row>
    <x:row r="128" spans="1:16" ht="12.75" hidden="1" customHeight="1" x14ac:dyDescent="0.25">
      <x:c r="A128" s="619"/>
      <x:c r="D128" s="619"/>
      <x:c r="E128" s="619"/>
      <x:c r="F128" s="619"/>
      <x:c r="G128" s="619"/>
      <x:c r="H128" s="619"/>
      <x:c r="I128" s="619"/>
      <x:c r="J128" s="619"/>
      <x:c r="K128" s="619"/>
      <x:c r="L128" s="619"/>
      <x:c r="M128" s="619"/>
      <x:c r="N128" s="619"/>
      <x:c r="O128" s="619"/>
      <x:c r="P128" s="619"/>
    </x:row>
    <x:row r="129" spans="1:16" ht="12.75" hidden="1" customHeight="1" x14ac:dyDescent="0.25">
      <x:c r="A129" s="619"/>
      <x:c r="D129" s="619"/>
      <x:c r="E129" s="619"/>
      <x:c r="F129" s="619"/>
      <x:c r="G129" s="619"/>
      <x:c r="H129" s="619"/>
      <x:c r="I129" s="619"/>
      <x:c r="J129" s="619"/>
      <x:c r="K129" s="619"/>
      <x:c r="L129" s="619"/>
      <x:c r="M129" s="619"/>
      <x:c r="N129" s="619"/>
      <x:c r="O129" s="619"/>
      <x:c r="P129" s="619"/>
    </x:row>
    <x:row r="130" spans="1:16" ht="12.75" hidden="1" customHeight="1" x14ac:dyDescent="0.25">
      <x:c r="A130" s="619"/>
      <x:c r="D130" s="619"/>
      <x:c r="E130" s="619"/>
      <x:c r="F130" s="619"/>
      <x:c r="G130" s="619"/>
      <x:c r="H130" s="619"/>
      <x:c r="I130" s="619"/>
      <x:c r="J130" s="619"/>
      <x:c r="K130" s="619"/>
      <x:c r="L130" s="619"/>
      <x:c r="M130" s="619"/>
      <x:c r="N130" s="619"/>
      <x:c r="O130" s="619"/>
      <x:c r="P130" s="619"/>
    </x:row>
    <x:row r="131" spans="1:16" ht="12.75" hidden="1" customHeight="1" x14ac:dyDescent="0.25">
      <x:c r="A131" s="619"/>
      <x:c r="D131" s="619"/>
      <x:c r="E131" s="619"/>
      <x:c r="F131" s="619"/>
      <x:c r="G131" s="619"/>
      <x:c r="H131" s="619"/>
      <x:c r="I131" s="619"/>
      <x:c r="J131" s="619"/>
      <x:c r="K131" s="619"/>
      <x:c r="L131" s="619"/>
      <x:c r="M131" s="619"/>
      <x:c r="N131" s="619"/>
      <x:c r="O131" s="619"/>
      <x:c r="P131" s="619"/>
    </x:row>
    <x:row r="132" spans="1:16" ht="12.75" hidden="1" customHeight="1" x14ac:dyDescent="0.25">
      <x:c r="A132" s="619"/>
      <x:c r="D132" s="619"/>
      <x:c r="E132" s="619"/>
      <x:c r="F132" s="619"/>
      <x:c r="G132" s="619"/>
      <x:c r="H132" s="619"/>
      <x:c r="I132" s="619"/>
      <x:c r="J132" s="619"/>
      <x:c r="K132" s="619"/>
      <x:c r="L132" s="619"/>
      <x:c r="M132" s="619"/>
      <x:c r="N132" s="619"/>
      <x:c r="O132" s="619"/>
      <x:c r="P132" s="619"/>
    </x:row>
    <x:row r="133" spans="1:16" ht="12.75" hidden="1" customHeight="1" x14ac:dyDescent="0.25">
      <x:c r="A133" s="619"/>
      <x:c r="D133" s="619"/>
      <x:c r="E133" s="619"/>
      <x:c r="F133" s="619"/>
      <x:c r="G133" s="619"/>
      <x:c r="H133" s="619"/>
      <x:c r="I133" s="619"/>
      <x:c r="J133" s="619"/>
      <x:c r="K133" s="619"/>
      <x:c r="L133" s="619"/>
      <x:c r="M133" s="619"/>
      <x:c r="N133" s="619"/>
      <x:c r="O133" s="619"/>
      <x:c r="P133" s="619"/>
    </x:row>
    <x:row r="134" spans="1:16" ht="12.75" hidden="1" customHeight="1" x14ac:dyDescent="0.25">
      <x:c r="A134" s="619"/>
      <x:c r="D134" s="619"/>
      <x:c r="E134" s="619"/>
      <x:c r="F134" s="619"/>
      <x:c r="G134" s="619"/>
      <x:c r="H134" s="619"/>
      <x:c r="I134" s="619"/>
      <x:c r="J134" s="619"/>
      <x:c r="K134" s="619"/>
      <x:c r="L134" s="619"/>
      <x:c r="M134" s="619"/>
      <x:c r="N134" s="619"/>
      <x:c r="O134" s="619"/>
      <x:c r="P134" s="619"/>
    </x:row>
    <x:row r="135" spans="1:16" ht="12.75" hidden="1" customHeight="1" x14ac:dyDescent="0.25">
      <x:c r="A135" s="619"/>
      <x:c r="D135" s="619"/>
      <x:c r="E135" s="619"/>
      <x:c r="F135" s="619"/>
      <x:c r="G135" s="619"/>
      <x:c r="H135" s="619"/>
      <x:c r="I135" s="619"/>
      <x:c r="J135" s="619"/>
      <x:c r="K135" s="619"/>
      <x:c r="L135" s="619"/>
      <x:c r="M135" s="619"/>
      <x:c r="N135" s="619"/>
      <x:c r="O135" s="619"/>
      <x:c r="P135" s="619"/>
    </x:row>
    <x:row r="136" spans="1:16" ht="12.75" hidden="1" customHeight="1" x14ac:dyDescent="0.25">
      <x:c r="A136" s="619"/>
      <x:c r="D136" s="619"/>
      <x:c r="E136" s="619"/>
      <x:c r="F136" s="619"/>
      <x:c r="G136" s="619"/>
      <x:c r="H136" s="619"/>
      <x:c r="I136" s="619"/>
      <x:c r="J136" s="619"/>
      <x:c r="K136" s="619"/>
      <x:c r="L136" s="619"/>
      <x:c r="M136" s="619"/>
      <x:c r="N136" s="619"/>
      <x:c r="O136" s="619"/>
      <x:c r="P136" s="619"/>
    </x:row>
    <x:row r="137" spans="1:16" ht="12.75" hidden="1" customHeight="1" x14ac:dyDescent="0.25">
      <x:c r="A137" s="619"/>
      <x:c r="D137" s="619"/>
      <x:c r="E137" s="619"/>
      <x:c r="F137" s="619"/>
      <x:c r="G137" s="619"/>
      <x:c r="H137" s="619"/>
      <x:c r="I137" s="619"/>
      <x:c r="J137" s="619"/>
      <x:c r="K137" s="619"/>
      <x:c r="L137" s="619"/>
      <x:c r="M137" s="619"/>
      <x:c r="N137" s="619"/>
      <x:c r="O137" s="619"/>
      <x:c r="P137" s="619"/>
    </x:row>
    <x:row r="138" spans="1:16" ht="12.75" hidden="1" customHeight="1" x14ac:dyDescent="0.25">
      <x:c r="A138" s="619"/>
      <x:c r="D138" s="619"/>
      <x:c r="E138" s="619"/>
      <x:c r="F138" s="619"/>
      <x:c r="G138" s="619"/>
      <x:c r="H138" s="619"/>
      <x:c r="I138" s="619"/>
      <x:c r="J138" s="619"/>
      <x:c r="K138" s="619"/>
      <x:c r="L138" s="619"/>
      <x:c r="M138" s="619"/>
      <x:c r="N138" s="619"/>
      <x:c r="O138" s="619"/>
      <x:c r="P138" s="619"/>
    </x:row>
    <x:row r="139" spans="1:16" ht="12.75" hidden="1" customHeight="1" x14ac:dyDescent="0.25">
      <x:c r="A139" s="619"/>
      <x:c r="D139" s="619"/>
      <x:c r="E139" s="619"/>
      <x:c r="F139" s="619"/>
      <x:c r="G139" s="619"/>
      <x:c r="H139" s="619"/>
      <x:c r="I139" s="619"/>
      <x:c r="J139" s="619"/>
      <x:c r="K139" s="619"/>
      <x:c r="L139" s="619"/>
      <x:c r="M139" s="619"/>
      <x:c r="N139" s="619"/>
      <x:c r="O139" s="619"/>
      <x:c r="P139" s="619"/>
    </x:row>
    <x:row r="140" spans="1:16" ht="12.75" hidden="1" customHeight="1" x14ac:dyDescent="0.25">
      <x:c r="A140" s="619"/>
      <x:c r="D140" s="619"/>
      <x:c r="E140" s="619"/>
      <x:c r="F140" s="619"/>
      <x:c r="G140" s="619"/>
      <x:c r="H140" s="619"/>
      <x:c r="I140" s="619"/>
      <x:c r="J140" s="619"/>
      <x:c r="K140" s="619"/>
      <x:c r="L140" s="619"/>
      <x:c r="M140" s="619"/>
      <x:c r="N140" s="619"/>
      <x:c r="O140" s="619"/>
      <x:c r="P140" s="619"/>
    </x:row>
    <x:row r="141" spans="1:16" ht="12.75" hidden="1" customHeight="1" x14ac:dyDescent="0.25">
      <x:c r="A141" s="619"/>
      <x:c r="D141" s="619"/>
      <x:c r="E141" s="619"/>
      <x:c r="F141" s="619"/>
      <x:c r="G141" s="619"/>
      <x:c r="H141" s="619"/>
      <x:c r="I141" s="619"/>
      <x:c r="J141" s="619"/>
      <x:c r="K141" s="619"/>
      <x:c r="L141" s="619"/>
      <x:c r="M141" s="619"/>
      <x:c r="N141" s="619"/>
      <x:c r="O141" s="619"/>
      <x:c r="P141" s="619"/>
    </x:row>
    <x:row r="142" spans="1:16" ht="12.75" hidden="1" customHeight="1" x14ac:dyDescent="0.25">
      <x:c r="A142" s="619"/>
      <x:c r="D142" s="619"/>
      <x:c r="E142" s="619"/>
      <x:c r="F142" s="619"/>
      <x:c r="G142" s="619"/>
      <x:c r="H142" s="619"/>
      <x:c r="I142" s="619"/>
      <x:c r="J142" s="619"/>
      <x:c r="K142" s="619"/>
      <x:c r="L142" s="619"/>
      <x:c r="M142" s="619"/>
      <x:c r="N142" s="619"/>
      <x:c r="O142" s="619"/>
      <x:c r="P142" s="619"/>
    </x:row>
    <x:row r="143" spans="1:16" ht="12.75" hidden="1" customHeight="1" x14ac:dyDescent="0.25">
      <x:c r="A143" s="619"/>
      <x:c r="D143" s="619"/>
      <x:c r="E143" s="619"/>
      <x:c r="F143" s="619"/>
      <x:c r="G143" s="619"/>
      <x:c r="H143" s="619"/>
      <x:c r="I143" s="619"/>
      <x:c r="J143" s="619"/>
      <x:c r="K143" s="619"/>
      <x:c r="L143" s="619"/>
      <x:c r="M143" s="619"/>
      <x:c r="N143" s="619"/>
      <x:c r="O143" s="619"/>
      <x:c r="P143" s="619"/>
    </x:row>
    <x:row r="144" spans="1:16" ht="12.75" hidden="1" customHeight="1" x14ac:dyDescent="0.25">
      <x:c r="A144" s="619"/>
      <x:c r="D144" s="619"/>
      <x:c r="E144" s="619"/>
      <x:c r="F144" s="619"/>
      <x:c r="G144" s="619"/>
      <x:c r="H144" s="619"/>
      <x:c r="I144" s="619"/>
      <x:c r="J144" s="619"/>
      <x:c r="K144" s="619"/>
      <x:c r="L144" s="619"/>
      <x:c r="M144" s="619"/>
      <x:c r="N144" s="619"/>
      <x:c r="O144" s="619"/>
      <x:c r="P144" s="619"/>
    </x:row>
    <x:row r="145" spans="1:16" ht="12.75" hidden="1" customHeight="1" x14ac:dyDescent="0.25">
      <x:c r="A145" s="619"/>
      <x:c r="D145" s="619"/>
      <x:c r="E145" s="619"/>
      <x:c r="F145" s="619"/>
      <x:c r="G145" s="619"/>
      <x:c r="H145" s="619"/>
      <x:c r="I145" s="619"/>
      <x:c r="J145" s="619"/>
      <x:c r="K145" s="619"/>
      <x:c r="L145" s="619"/>
      <x:c r="M145" s="619"/>
      <x:c r="N145" s="619"/>
      <x:c r="O145" s="619"/>
      <x:c r="P145" s="619"/>
    </x:row>
    <x:row r="146" spans="1:16" ht="12.75" hidden="1" customHeight="1" x14ac:dyDescent="0.25">
      <x:c r="A146" s="619"/>
      <x:c r="D146" s="619"/>
      <x:c r="E146" s="619"/>
      <x:c r="F146" s="619"/>
      <x:c r="G146" s="619"/>
      <x:c r="H146" s="619"/>
      <x:c r="I146" s="619"/>
      <x:c r="J146" s="619"/>
      <x:c r="K146" s="619"/>
      <x:c r="L146" s="619"/>
      <x:c r="M146" s="619"/>
      <x:c r="N146" s="619"/>
      <x:c r="O146" s="619"/>
      <x:c r="P146" s="619"/>
    </x:row>
    <x:row r="147" spans="1:16" ht="12.75" hidden="1" customHeight="1" x14ac:dyDescent="0.25">
      <x:c r="A147" s="619"/>
      <x:c r="D147" s="619"/>
      <x:c r="E147" s="619"/>
      <x:c r="F147" s="619"/>
      <x:c r="G147" s="619"/>
      <x:c r="H147" s="619"/>
      <x:c r="I147" s="619"/>
      <x:c r="J147" s="619"/>
      <x:c r="K147" s="619"/>
      <x:c r="L147" s="619"/>
      <x:c r="M147" s="619"/>
      <x:c r="N147" s="619"/>
      <x:c r="O147" s="619"/>
      <x:c r="P147" s="619"/>
    </x:row>
    <x:row r="148" spans="1:16" ht="12.75" hidden="1" customHeight="1" x14ac:dyDescent="0.25">
      <x:c r="A148" s="619"/>
      <x:c r="D148" s="619"/>
      <x:c r="E148" s="619"/>
      <x:c r="F148" s="619"/>
      <x:c r="G148" s="619"/>
      <x:c r="H148" s="619"/>
      <x:c r="I148" s="619"/>
      <x:c r="J148" s="619"/>
      <x:c r="K148" s="619"/>
      <x:c r="L148" s="619"/>
      <x:c r="M148" s="619"/>
      <x:c r="N148" s="619"/>
      <x:c r="O148" s="619"/>
      <x:c r="P148" s="619"/>
    </x:row>
    <x:row r="149" spans="1:16" ht="12.75" hidden="1" customHeight="1" x14ac:dyDescent="0.25">
      <x:c r="A149" s="619"/>
      <x:c r="D149" s="619"/>
      <x:c r="E149" s="619"/>
      <x:c r="F149" s="619"/>
      <x:c r="G149" s="619"/>
      <x:c r="H149" s="619"/>
      <x:c r="I149" s="619"/>
      <x:c r="J149" s="619"/>
      <x:c r="K149" s="619"/>
      <x:c r="L149" s="619"/>
      <x:c r="M149" s="619"/>
      <x:c r="N149" s="619"/>
      <x:c r="O149" s="619"/>
      <x:c r="P149" s="619"/>
    </x:row>
    <x:row r="150" spans="1:16" ht="12.75" hidden="1" customHeight="1" x14ac:dyDescent="0.25">
      <x:c r="A150" s="619"/>
      <x:c r="D150" s="619"/>
      <x:c r="E150" s="619"/>
      <x:c r="F150" s="619"/>
      <x:c r="G150" s="619"/>
      <x:c r="H150" s="619"/>
      <x:c r="I150" s="619"/>
      <x:c r="J150" s="619"/>
      <x:c r="K150" s="619"/>
      <x:c r="L150" s="619"/>
      <x:c r="M150" s="619"/>
      <x:c r="N150" s="619"/>
      <x:c r="O150" s="619"/>
      <x:c r="P150" s="619"/>
    </x:row>
    <x:row r="151" spans="1:16" ht="12.75" hidden="1" customHeight="1" x14ac:dyDescent="0.25">
      <x:c r="A151" s="619"/>
      <x:c r="D151" s="619"/>
      <x:c r="E151" s="619"/>
      <x:c r="F151" s="619"/>
      <x:c r="G151" s="619"/>
      <x:c r="H151" s="619"/>
      <x:c r="I151" s="619"/>
      <x:c r="J151" s="619"/>
      <x:c r="K151" s="619"/>
      <x:c r="L151" s="619"/>
      <x:c r="M151" s="619"/>
      <x:c r="N151" s="619"/>
      <x:c r="O151" s="619"/>
      <x:c r="P151" s="619"/>
    </x:row>
    <x:row r="152" spans="1:16" ht="12.75" hidden="1" customHeight="1" x14ac:dyDescent="0.25">
      <x:c r="A152" s="619"/>
      <x:c r="D152" s="619"/>
      <x:c r="E152" s="619"/>
      <x:c r="F152" s="619"/>
      <x:c r="G152" s="619"/>
      <x:c r="H152" s="619"/>
      <x:c r="I152" s="619"/>
      <x:c r="J152" s="619"/>
      <x:c r="K152" s="619"/>
      <x:c r="L152" s="619"/>
      <x:c r="M152" s="619"/>
      <x:c r="N152" s="619"/>
      <x:c r="O152" s="619"/>
      <x:c r="P152" s="619"/>
    </x:row>
    <x:row r="153" spans="1:16" ht="12.75" hidden="1" customHeight="1" x14ac:dyDescent="0.25">
      <x:c r="A153" s="619"/>
      <x:c r="D153" s="619"/>
      <x:c r="E153" s="619"/>
      <x:c r="F153" s="619"/>
      <x:c r="G153" s="619"/>
      <x:c r="H153" s="619"/>
      <x:c r="I153" s="619"/>
      <x:c r="J153" s="619"/>
      <x:c r="K153" s="619"/>
      <x:c r="L153" s="619"/>
      <x:c r="M153" s="619"/>
      <x:c r="N153" s="619"/>
      <x:c r="O153" s="619"/>
      <x:c r="P153" s="619"/>
    </x:row>
    <x:row r="154" spans="1:16" ht="12.75" hidden="1" customHeight="1" x14ac:dyDescent="0.25">
      <x:c r="A154" s="619"/>
      <x:c r="D154" s="619"/>
      <x:c r="E154" s="619"/>
      <x:c r="F154" s="619"/>
      <x:c r="G154" s="619"/>
      <x:c r="H154" s="619"/>
      <x:c r="I154" s="619"/>
      <x:c r="J154" s="619"/>
      <x:c r="K154" s="619"/>
      <x:c r="L154" s="619"/>
      <x:c r="M154" s="619"/>
      <x:c r="N154" s="619"/>
      <x:c r="O154" s="619"/>
      <x:c r="P154" s="619"/>
    </x:row>
    <x:row r="155" spans="1:16" ht="12.75" hidden="1" customHeight="1" x14ac:dyDescent="0.25">
      <x:c r="A155" s="619"/>
      <x:c r="D155" s="619"/>
      <x:c r="E155" s="619"/>
      <x:c r="F155" s="619"/>
      <x:c r="G155" s="619"/>
      <x:c r="H155" s="619"/>
      <x:c r="I155" s="619"/>
      <x:c r="J155" s="619"/>
      <x:c r="K155" s="619"/>
      <x:c r="L155" s="619"/>
      <x:c r="M155" s="619"/>
      <x:c r="N155" s="619"/>
      <x:c r="O155" s="619"/>
      <x:c r="P155" s="619"/>
    </x:row>
    <x:row r="156" spans="1:16" ht="12.75" hidden="1" customHeight="1" x14ac:dyDescent="0.25">
      <x:c r="A156" s="619"/>
      <x:c r="D156" s="619"/>
      <x:c r="E156" s="619"/>
      <x:c r="F156" s="619"/>
      <x:c r="G156" s="619"/>
      <x:c r="H156" s="619"/>
      <x:c r="I156" s="619"/>
      <x:c r="J156" s="619"/>
      <x:c r="K156" s="619"/>
      <x:c r="L156" s="619"/>
      <x:c r="M156" s="619"/>
      <x:c r="N156" s="619"/>
      <x:c r="O156" s="619"/>
      <x:c r="P156" s="619"/>
    </x:row>
    <x:row r="157" spans="1:16" ht="12.75" hidden="1" customHeight="1" x14ac:dyDescent="0.25">
      <x:c r="A157" s="619"/>
      <x:c r="D157" s="619"/>
      <x:c r="E157" s="619"/>
      <x:c r="F157" s="619"/>
      <x:c r="G157" s="619"/>
      <x:c r="H157" s="619"/>
      <x:c r="I157" s="619"/>
      <x:c r="J157" s="619"/>
      <x:c r="K157" s="619"/>
      <x:c r="L157" s="619"/>
      <x:c r="M157" s="619"/>
      <x:c r="N157" s="619"/>
      <x:c r="O157" s="619"/>
      <x:c r="P157" s="619"/>
    </x:row>
    <x:row r="158" spans="1:16" ht="12.75" hidden="1" customHeight="1" x14ac:dyDescent="0.25">
      <x:c r="A158" s="619"/>
      <x:c r="D158" s="619"/>
      <x:c r="E158" s="619"/>
      <x:c r="F158" s="619"/>
      <x:c r="G158" s="619"/>
      <x:c r="H158" s="619"/>
      <x:c r="I158" s="619"/>
      <x:c r="J158" s="619"/>
      <x:c r="K158" s="619"/>
      <x:c r="L158" s="619"/>
      <x:c r="M158" s="619"/>
      <x:c r="N158" s="619"/>
      <x:c r="O158" s="619"/>
      <x:c r="P158" s="619"/>
    </x:row>
    <x:row r="159" spans="1:16" ht="12.75" hidden="1" customHeight="1" x14ac:dyDescent="0.25">
      <x:c r="A159" s="619"/>
      <x:c r="D159" s="619"/>
      <x:c r="E159" s="619"/>
      <x:c r="F159" s="619"/>
      <x:c r="G159" s="619"/>
      <x:c r="H159" s="619"/>
      <x:c r="I159" s="619"/>
      <x:c r="J159" s="619"/>
      <x:c r="K159" s="619"/>
      <x:c r="L159" s="619"/>
      <x:c r="M159" s="619"/>
      <x:c r="N159" s="619"/>
      <x:c r="O159" s="619"/>
      <x:c r="P159" s="619"/>
    </x:row>
    <x:row r="160" spans="1:16" ht="12.75" hidden="1" customHeight="1" x14ac:dyDescent="0.25">
      <x:c r="A160" s="619"/>
      <x:c r="D160" s="619"/>
      <x:c r="E160" s="619"/>
      <x:c r="F160" s="619"/>
      <x:c r="G160" s="619"/>
      <x:c r="H160" s="619"/>
      <x:c r="I160" s="619"/>
      <x:c r="J160" s="619"/>
      <x:c r="K160" s="619"/>
      <x:c r="L160" s="619"/>
      <x:c r="M160" s="619"/>
      <x:c r="N160" s="619"/>
      <x:c r="O160" s="619"/>
      <x:c r="P160" s="619"/>
    </x:row>
    <x:row r="161" spans="1:18" ht="12.75" hidden="1" customHeight="1" x14ac:dyDescent="0.25">
      <x:c r="A161" s="619"/>
      <x:c r="D161" s="619"/>
      <x:c r="E161" s="619"/>
      <x:c r="F161" s="619"/>
      <x:c r="G161" s="619"/>
      <x:c r="H161" s="619"/>
      <x:c r="I161" s="619"/>
      <x:c r="J161" s="619"/>
      <x:c r="K161" s="619"/>
      <x:c r="L161" s="619"/>
      <x:c r="M161" s="619"/>
      <x:c r="N161" s="619"/>
      <x:c r="O161" s="619"/>
      <x:c r="P161" s="619"/>
    </x:row>
    <x:row r="162" spans="1:18" ht="12.75" hidden="1" customHeight="1" x14ac:dyDescent="0.25">
      <x:c r="A162" s="619"/>
      <x:c r="D162" s="619"/>
      <x:c r="E162" s="619"/>
      <x:c r="F162" s="619"/>
      <x:c r="G162" s="619"/>
      <x:c r="H162" s="619"/>
      <x:c r="I162" s="619"/>
      <x:c r="J162" s="619"/>
      <x:c r="K162" s="619"/>
      <x:c r="L162" s="619"/>
      <x:c r="M162" s="619"/>
      <x:c r="N162" s="619"/>
      <x:c r="O162" s="619"/>
      <x:c r="P162" s="619"/>
    </x:row>
    <x:row r="163" spans="1:18" ht="12.75" hidden="1" customHeight="1" x14ac:dyDescent="0.25">
      <x:c r="A163" s="619"/>
      <x:c r="D163" s="619"/>
      <x:c r="E163" s="619"/>
      <x:c r="F163" s="619"/>
      <x:c r="G163" s="619"/>
      <x:c r="H163" s="619"/>
      <x:c r="I163" s="619"/>
      <x:c r="J163" s="619"/>
      <x:c r="K163" s="619"/>
      <x:c r="L163" s="619"/>
      <x:c r="M163" s="619"/>
      <x:c r="N163" s="619"/>
      <x:c r="O163" s="619"/>
      <x:c r="P163" s="619"/>
    </x:row>
    <x:row r="164" spans="1:18" ht="12.75" hidden="1" customHeight="1" x14ac:dyDescent="0.25">
      <x:c r="A164" s="619"/>
      <x:c r="D164" s="619"/>
      <x:c r="E164" s="619"/>
      <x:c r="F164" s="619"/>
      <x:c r="G164" s="619"/>
      <x:c r="H164" s="619"/>
      <x:c r="I164" s="619"/>
      <x:c r="J164" s="619"/>
      <x:c r="K164" s="619"/>
      <x:c r="L164" s="619"/>
      <x:c r="M164" s="619"/>
      <x:c r="N164" s="619"/>
      <x:c r="O164" s="619"/>
      <x:c r="P164" s="619"/>
    </x:row>
    <x:row r="165" spans="1:18" ht="12.75" hidden="1" customHeight="1" x14ac:dyDescent="0.25">
      <x:c r="A165" s="619"/>
      <x:c r="D165" s="619"/>
      <x:c r="E165" s="619"/>
      <x:c r="F165" s="619"/>
      <x:c r="G165" s="619"/>
      <x:c r="H165" s="619"/>
      <x:c r="I165" s="619"/>
      <x:c r="J165" s="619"/>
      <x:c r="K165" s="619"/>
      <x:c r="L165" s="619"/>
      <x:c r="M165" s="619"/>
      <x:c r="N165" s="619"/>
      <x:c r="O165" s="619"/>
      <x:c r="P165" s="619"/>
    </x:row>
    <x:row r="166" spans="1:18" ht="12.75" hidden="1" customHeight="1" x14ac:dyDescent="0.25">
      <x:c r="A166" s="619"/>
      <x:c r="D166" s="619"/>
      <x:c r="E166" s="619"/>
      <x:c r="F166" s="619"/>
      <x:c r="G166" s="619"/>
      <x:c r="H166" s="619"/>
      <x:c r="I166" s="619"/>
      <x:c r="J166" s="619"/>
      <x:c r="K166" s="619"/>
      <x:c r="L166" s="619"/>
      <x:c r="M166" s="619"/>
      <x:c r="N166" s="619"/>
      <x:c r="O166" s="619"/>
      <x:c r="P166" s="619"/>
    </x:row>
    <x:row r="167" spans="1:18" ht="12.75" customHeight="1" x14ac:dyDescent="0.25">
      <x:c r="A167" s="619"/>
      <x:c r="D167" s="619"/>
      <x:c r="E167" s="619"/>
      <x:c r="F167" s="619"/>
      <x:c r="G167" s="619"/>
      <x:c r="H167" s="619"/>
      <x:c r="I167" s="619"/>
      <x:c r="J167" s="619"/>
      <x:c r="K167" s="619"/>
      <x:c r="L167" s="619"/>
      <x:c r="M167" s="619"/>
      <x:c r="N167" s="619"/>
      <x:c r="O167" s="619"/>
      <x:c r="P167" s="619"/>
    </x:row>
    <x:row r="168" spans="1:18" ht="12.75" customHeight="1" x14ac:dyDescent="0.25">
      <x:c r="A168" s="777" t="s">
        <x:v>2</x:v>
      </x:c>
      <x:c r="B168" s="776" t="s">
        <x:v>132</x:v>
      </x:c>
      <x:c r="C168" s="767" t="s">
        <x:v>70</x:v>
      </x:c>
      <x:c r="D168" s="767">
        <x:f>D105-P105</x:f>
        <x:v>-71069759</x:v>
      </x:c>
      <x:c r="E168" s="767">
        <x:f>E101+E95</x:f>
        <x:v>-15881719.34</x:v>
      </x:c>
      <x:c r="F168" s="767">
        <x:f t="shared" ref="F168:R168" si="3">F101+F95</x:f>
        <x:v>-7382378.6299999999</x:v>
      </x:c>
      <x:c r="G168" s="767">
        <x:f t="shared" si="3"/>
        <x:v>-4039895.56</x:v>
      </x:c>
      <x:c r="H168" s="767">
        <x:f t="shared" si="3"/>
        <x:v>-3333202.99</x:v>
      </x:c>
      <x:c r="I168" s="767">
        <x:f t="shared" si="3"/>
        <x:v>-119625.47</x:v>
      </x:c>
      <x:c r="J168" s="767">
        <x:f t="shared" si="3"/>
        <x:v>-1050942.24</x:v>
      </x:c>
      <x:c r="K168" s="767">
        <x:f t="shared" si="3"/>
        <x:v>-1052754.19</x:v>
      </x:c>
      <x:c r="L168" s="767">
        <x:f t="shared" si="3"/>
        <x:v>-4921480.46</x:v>
      </x:c>
      <x:c r="M168" s="767">
        <x:f t="shared" si="3"/>
        <x:v>-32197091.960000001</x:v>
      </x:c>
      <x:c r="N168" s="767">
        <x:f t="shared" si="3"/>
        <x:v>-194756.94999999998</x:v>
      </x:c>
      <x:c r="O168" s="767">
        <x:f t="shared" si="3"/>
        <x:v>28.29</x:v>
      </x:c>
      <x:c r="P168" s="767">
        <x:f t="shared" si="3"/>
        <x:v>0</x:v>
      </x:c>
      <x:c r="Q168" s="767">
        <x:f t="shared" si="3"/>
        <x:v>0</x:v>
      </x:c>
      <x:c r="R168" s="767">
        <x:f t="shared" si="3"/>
        <x:v>0</x:v>
      </x:c>
    </x:row>
    <x:row r="169" spans="1:18" ht="12.75" customHeight="1" x14ac:dyDescent="0.25">
      <x:c r="A169" s="777"/>
      <x:c r="B169" s="776"/>
      <x:c r="C169" s="767" t="s">
        <x:v>73</x:v>
      </x:c>
      <x:c r="D169" s="767">
        <x:f>D103+D97</x:f>
        <x:v>-895939.5</x:v>
      </x:c>
      <x:c r="E169" s="619"/>
      <x:c r="F169" s="619"/>
      <x:c r="G169" s="619"/>
      <x:c r="H169" s="619"/>
      <x:c r="I169" s="619"/>
      <x:c r="J169" s="619"/>
      <x:c r="K169" s="619"/>
      <x:c r="L169" s="619"/>
      <x:c r="M169" s="619"/>
      <x:c r="N169" s="619"/>
      <x:c r="O169" s="619"/>
      <x:c r="P169" s="619"/>
      <x:c r="Q169" s="619"/>
    </x:row>
    <x:row r="170" spans="1:18" ht="12.75" customHeight="1" x14ac:dyDescent="0.3">
      <x:c r="A170" s="618"/>
      <x:c r="D170" s="619"/>
      <x:c r="E170" s="619"/>
      <x:c r="F170" s="619"/>
      <x:c r="G170" s="619"/>
      <x:c r="H170" s="619"/>
      <x:c r="I170" s="619"/>
      <x:c r="J170" s="619"/>
      <x:c r="K170" s="619"/>
      <x:c r="L170" s="619"/>
      <x:c r="M170" s="619"/>
      <x:c r="N170" s="619"/>
      <x:c r="O170" s="619"/>
      <x:c r="P170" s="619"/>
      <x:c r="Q170" s="619"/>
    </x:row>
    <x:row r="171" spans="1:18" ht="12.75" customHeight="1" x14ac:dyDescent="0.25">
      <x:c r="A171" s="777" t="s">
        <x:v>160</x:v>
      </x:c>
      <x:c r="B171" s="776" t="s">
        <x:v>132</x:v>
      </x:c>
      <x:c r="C171" s="633" t="s">
        <x:v>70</x:v>
      </x:c>
      <x:c r="D171" s="633">
        <x:v>0</x:v>
      </x:c>
      <x:c r="E171" s="633">
        <x:v>0</x:v>
      </x:c>
      <x:c r="F171" s="633">
        <x:v>0</x:v>
      </x:c>
      <x:c r="G171" s="633">
        <x:v>0</x:v>
      </x:c>
      <x:c r="H171" s="633">
        <x:v>0</x:v>
      </x:c>
      <x:c r="I171" s="633">
        <x:v>0</x:v>
      </x:c>
      <x:c r="J171" s="633">
        <x:v>0</x:v>
      </x:c>
      <x:c r="K171" s="633">
        <x:v>0</x:v>
      </x:c>
      <x:c r="L171" s="633">
        <x:v>0</x:v>
      </x:c>
      <x:c r="M171" s="633">
        <x:v>0</x:v>
      </x:c>
      <x:c r="N171" s="633">
        <x:v>0</x:v>
      </x:c>
      <x:c r="O171" s="633">
        <x:v>0</x:v>
      </x:c>
      <x:c r="P171" s="633">
        <x:v>0</x:v>
      </x:c>
      <x:c r="Q171" s="633">
        <x:v>0</x:v>
      </x:c>
      <x:c r="R171" s="633">
        <x:v>0</x:v>
      </x:c>
    </x:row>
    <x:row r="172" spans="1:18" ht="12.75" customHeight="1" x14ac:dyDescent="0.25">
      <x:c r="A172" s="777"/>
      <x:c r="B172" s="776"/>
      <x:c r="C172" s="633" t="s">
        <x:v>73</x:v>
      </x:c>
      <x:c r="D172" s="633">
        <x:v>0</x:v>
      </x:c>
      <x:c r="E172" s="619"/>
      <x:c r="F172" s="619"/>
      <x:c r="G172" s="619"/>
      <x:c r="H172" s="619"/>
      <x:c r="I172" s="619"/>
      <x:c r="J172" s="619"/>
      <x:c r="K172" s="619"/>
      <x:c r="L172" s="619"/>
      <x:c r="M172" s="619"/>
      <x:c r="N172" s="619"/>
      <x:c r="O172" s="619"/>
      <x:c r="P172" s="619"/>
      <x:c r="Q172" s="619"/>
    </x:row>
    <x:row r="173" spans="1:18" ht="12.75" customHeight="1" x14ac:dyDescent="0.3">
      <x:c r="A173" s="618"/>
      <x:c r="D173" s="619"/>
      <x:c r="E173" s="619"/>
      <x:c r="F173" s="619"/>
      <x:c r="G173" s="619"/>
      <x:c r="H173" s="619"/>
      <x:c r="I173" s="619"/>
      <x:c r="J173" s="619"/>
      <x:c r="K173" s="619"/>
      <x:c r="L173" s="619"/>
      <x:c r="M173" s="619"/>
      <x:c r="N173" s="619"/>
      <x:c r="O173" s="619"/>
      <x:c r="P173" s="619"/>
      <x:c r="Q173" s="619"/>
    </x:row>
    <x:row r="174" spans="1:18" ht="12.75" customHeight="1" x14ac:dyDescent="0.25">
      <x:c r="A174" s="777" t="s">
        <x:v>155</x:v>
      </x:c>
      <x:c r="B174" s="776" t="s">
        <x:v>132</x:v>
      </x:c>
      <x:c r="C174" s="634" t="s">
        <x:v>70</x:v>
      </x:c>
      <x:c r="D174" s="634">
        <x:f>D98-P98</x:f>
        <x:v>-70779009</x:v>
      </x:c>
      <x:c r="E174" s="634">
        <x:f t="shared" ref="E174:R174" si="4">E95</x:f>
        <x:v>-15837976.050000001</x:v>
      </x:c>
      <x:c r="F174" s="634">
        <x:f t="shared" si="4"/>
        <x:v>-7358007.8200000003</x:v>
      </x:c>
      <x:c r="G174" s="634">
        <x:f t="shared" si="4"/>
        <x:v>-4026740.13</x:v>
      </x:c>
      <x:c r="H174" s="634">
        <x:f t="shared" si="4"/>
        <x:v>-3253504.04</x:v>
      </x:c>
      <x:c r="I174" s="634">
        <x:f t="shared" si="4"/>
        <x:v>-117278.95</x:v>
      </x:c>
      <x:c r="J174" s="634">
        <x:f t="shared" si="4"/>
        <x:v>-1030358.55</x:v>
      </x:c>
      <x:c r="K174" s="634">
        <x:f t="shared" si="4"/>
        <x:v>-1031768.99</x:v>
      </x:c>
      <x:c r="L174" s="634">
        <x:f t="shared" si="4"/>
        <x:v>-4830594.83</x:v>
      </x:c>
      <x:c r="M174" s="634">
        <x:f t="shared" si="4"/>
        <x:v>-32110042.210000001</x:v>
      </x:c>
      <x:c r="N174" s="634">
        <x:f t="shared" si="4"/>
        <x:v>-191350.21</x:v>
      </x:c>
      <x:c r="O174" s="634">
        <x:f t="shared" si="4"/>
        <x:v>23.74</x:v>
      </x:c>
      <x:c r="P174" s="634">
        <x:f t="shared" si="4"/>
        <x:v>0</x:v>
      </x:c>
      <x:c r="Q174" s="634">
        <x:f t="shared" si="4"/>
        <x:v>0</x:v>
      </x:c>
      <x:c r="R174" s="634">
        <x:f t="shared" si="4"/>
        <x:v>0</x:v>
      </x:c>
    </x:row>
    <x:row r="175" spans="1:18" ht="12.75" customHeight="1" x14ac:dyDescent="0.25">
      <x:c r="A175" s="777"/>
      <x:c r="B175" s="776"/>
      <x:c r="C175" s="634" t="s">
        <x:v>73</x:v>
      </x:c>
      <x:c r="D175" s="634">
        <x:f>D97</x:f>
        <x:v>-991410.96</x:v>
      </x:c>
      <x:c r="E175" s="619"/>
      <x:c r="F175" s="619"/>
      <x:c r="G175" s="619"/>
      <x:c r="H175" s="619"/>
      <x:c r="I175" s="619"/>
      <x:c r="J175" s="619"/>
      <x:c r="K175" s="619"/>
      <x:c r="L175" s="619"/>
      <x:c r="M175" s="619"/>
      <x:c r="N175" s="619"/>
      <x:c r="O175" s="619"/>
      <x:c r="P175" s="619"/>
      <x:c r="Q175" s="619"/>
    </x:row>
    <x:row r="176" spans="1:18" ht="12.75" customHeight="1" x14ac:dyDescent="0.25">
      <x:c r="A176" s="723"/>
      <x:c r="B176" s="722"/>
      <x:c r="C176" s="619"/>
      <x:c r="D176" s="619"/>
      <x:c r="E176" s="619"/>
      <x:c r="F176" s="619"/>
      <x:c r="G176" s="619"/>
      <x:c r="H176" s="619"/>
      <x:c r="I176" s="619"/>
      <x:c r="J176" s="619"/>
      <x:c r="K176" s="619"/>
      <x:c r="L176" s="619"/>
      <x:c r="M176" s="619"/>
      <x:c r="N176" s="619"/>
      <x:c r="O176" s="619"/>
      <x:c r="P176" s="619"/>
      <x:c r="Q176" s="619"/>
    </x:row>
    <x:row r="177" spans="1:18" ht="12.75" customHeight="1" x14ac:dyDescent="0.25">
      <x:c r="A177" s="775" t="s">
        <x:v>328</x:v>
      </x:c>
      <x:c r="B177" s="776" t="s">
        <x:v>132</x:v>
      </x:c>
      <x:c r="C177" s="634" t="s">
        <x:v>70</x:v>
      </x:c>
      <x:c r="D177" s="721">
        <x:v>0</x:v>
      </x:c>
      <x:c r="E177" s="721">
        <x:v>0</x:v>
      </x:c>
      <x:c r="F177" s="721">
        <x:v>0</x:v>
      </x:c>
      <x:c r="G177" s="721">
        <x:v>0</x:v>
      </x:c>
      <x:c r="H177" s="721">
        <x:v>0</x:v>
      </x:c>
      <x:c r="I177" s="721">
        <x:v>0</x:v>
      </x:c>
      <x:c r="J177" s="721">
        <x:v>0</x:v>
      </x:c>
      <x:c r="K177" s="721">
        <x:v>0</x:v>
      </x:c>
      <x:c r="L177" s="721">
        <x:v>0</x:v>
      </x:c>
      <x:c r="M177" s="721">
        <x:v>0</x:v>
      </x:c>
      <x:c r="N177" s="721">
        <x:v>0</x:v>
      </x:c>
      <x:c r="O177" s="721">
        <x:v>0</x:v>
      </x:c>
      <x:c r="P177" s="721">
        <x:v>0</x:v>
      </x:c>
      <x:c r="Q177" s="721">
        <x:v>0</x:v>
      </x:c>
      <x:c r="R177" s="721">
        <x:v>0</x:v>
      </x:c>
    </x:row>
    <x:row r="178" spans="1:18" ht="12.75" customHeight="1" x14ac:dyDescent="0.25">
      <x:c r="A178" s="775"/>
      <x:c r="B178" s="776"/>
      <x:c r="C178" s="634" t="s">
        <x:v>73</x:v>
      </x:c>
      <x:c r="D178" s="721">
        <x:v>0</x:v>
      </x:c>
      <x:c r="E178" s="619"/>
      <x:c r="F178" s="619"/>
      <x:c r="G178" s="619"/>
      <x:c r="H178" s="619"/>
      <x:c r="I178" s="619"/>
      <x:c r="J178" s="619"/>
      <x:c r="K178" s="619"/>
      <x:c r="L178" s="619"/>
      <x:c r="M178" s="619"/>
      <x:c r="N178" s="619"/>
      <x:c r="O178" s="619"/>
      <x:c r="P178" s="619"/>
      <x:c r="Q178" s="619"/>
    </x:row>
    <x:row r="179" spans="1:18" ht="12.75" customHeight="1" x14ac:dyDescent="0.3">
      <x:c r="A179" s="618"/>
      <x:c r="D179" s="619"/>
      <x:c r="E179" s="619"/>
      <x:c r="F179" s="619"/>
      <x:c r="G179" s="619"/>
      <x:c r="H179" s="619"/>
      <x:c r="I179" s="619"/>
      <x:c r="J179" s="619"/>
      <x:c r="K179" s="619"/>
      <x:c r="L179" s="619"/>
      <x:c r="M179" s="619"/>
      <x:c r="N179" s="619"/>
      <x:c r="O179" s="619"/>
      <x:c r="P179" s="619"/>
      <x:c r="Q179" s="619"/>
    </x:row>
    <x:row r="180" spans="1:18" ht="12.75" customHeight="1" x14ac:dyDescent="0.25">
      <x:c r="A180" s="777" t="s">
        <x:v>119</x:v>
      </x:c>
      <x:c r="B180" s="776" t="s">
        <x:v>132</x:v>
      </x:c>
      <x:c r="C180" s="629" t="s">
        <x:v>70</x:v>
      </x:c>
      <x:c r="D180" s="629">
        <x:f>D104-P104</x:f>
        <x:v>-290750</x:v>
      </x:c>
      <x:c r="E180" s="629">
        <x:f>E101</x:f>
        <x:v>-43743.29</x:v>
      </x:c>
      <x:c r="F180" s="629">
        <x:f t="shared" ref="F180:R180" si="5">F101</x:f>
        <x:v>-24370.81</x:v>
      </x:c>
      <x:c r="G180" s="629">
        <x:f t="shared" si="5"/>
        <x:v>-13155.43</x:v>
      </x:c>
      <x:c r="H180" s="629">
        <x:f t="shared" si="5"/>
        <x:v>-79698.95</x:v>
      </x:c>
      <x:c r="I180" s="629">
        <x:f t="shared" si="5"/>
        <x:v>-2346.52</x:v>
      </x:c>
      <x:c r="J180" s="629">
        <x:f t="shared" si="5"/>
        <x:v>-20583.689999999999</x:v>
      </x:c>
      <x:c r="K180" s="629">
        <x:f t="shared" si="5"/>
        <x:v>-20985.200000000001</x:v>
      </x:c>
      <x:c r="L180" s="629">
        <x:f t="shared" si="5"/>
        <x:v>-90885.63</x:v>
      </x:c>
      <x:c r="M180" s="629">
        <x:f t="shared" si="5"/>
        <x:v>-87049.75</x:v>
      </x:c>
      <x:c r="N180" s="629">
        <x:f t="shared" si="5"/>
        <x:v>-3406.74</x:v>
      </x:c>
      <x:c r="O180" s="629">
        <x:f t="shared" si="5"/>
        <x:v>4.55</x:v>
      </x:c>
      <x:c r="P180" s="629">
        <x:f t="shared" si="5"/>
        <x:v>0</x:v>
      </x:c>
      <x:c r="Q180" s="629">
        <x:f t="shared" si="5"/>
        <x:v>0</x:v>
      </x:c>
      <x:c r="R180" s="629">
        <x:f t="shared" si="5"/>
        <x:v>0</x:v>
      </x:c>
    </x:row>
    <x:row r="181" spans="1:18" ht="12.75" customHeight="1" x14ac:dyDescent="0.25">
      <x:c r="A181" s="777"/>
      <x:c r="B181" s="776"/>
      <x:c r="C181" s="629" t="s">
        <x:v>73</x:v>
      </x:c>
      <x:c r="D181" s="629">
        <x:f>D103</x:f>
        <x:v>95471.46</x:v>
      </x:c>
      <x:c r="E181" s="619"/>
      <x:c r="F181" s="619"/>
      <x:c r="G181" s="619"/>
      <x:c r="H181" s="619"/>
      <x:c r="I181" s="619"/>
      <x:c r="J181" s="619"/>
      <x:c r="K181" s="619"/>
      <x:c r="L181" s="619"/>
      <x:c r="M181" s="619"/>
      <x:c r="N181" s="619"/>
      <x:c r="O181" s="619"/>
      <x:c r="P181" s="619"/>
      <x:c r="Q181" s="619"/>
      <x:c r="R181" s="619"/>
    </x:row>
    <x:row r="182" spans="1:18" ht="12.75" customHeight="1" x14ac:dyDescent="0.3">
      <x:c r="A182" s="618"/>
      <x:c r="D182" s="619"/>
      <x:c r="E182" s="619"/>
      <x:c r="F182" s="619"/>
      <x:c r="G182" s="619"/>
      <x:c r="H182" s="619"/>
      <x:c r="I182" s="619"/>
      <x:c r="J182" s="619"/>
      <x:c r="K182" s="619"/>
      <x:c r="L182" s="619"/>
      <x:c r="M182" s="619"/>
      <x:c r="N182" s="619"/>
      <x:c r="O182" s="619"/>
      <x:c r="P182" s="619"/>
      <x:c r="Q182" s="619"/>
      <x:c r="R182" s="619"/>
    </x:row>
    <x:row r="183" spans="1:18" ht="12.75" customHeight="1" x14ac:dyDescent="0.25">
      <x:c r="A183" s="778" t="s">
        <x:v>161</x:v>
      </x:c>
      <x:c r="B183" s="776" t="s">
        <x:v>132</x:v>
      </x:c>
      <x:c r="C183" s="635" t="s">
        <x:v>70</x:v>
      </x:c>
      <x:c r="D183" s="635">
        <x:v>0</x:v>
      </x:c>
      <x:c r="E183" s="635">
        <x:v>0</x:v>
      </x:c>
      <x:c r="F183" s="635">
        <x:v>0</x:v>
      </x:c>
      <x:c r="G183" s="635">
        <x:v>0</x:v>
      </x:c>
      <x:c r="H183" s="635">
        <x:v>0</x:v>
      </x:c>
      <x:c r="I183" s="635">
        <x:v>0</x:v>
      </x:c>
      <x:c r="J183" s="635">
        <x:v>0</x:v>
      </x:c>
      <x:c r="K183" s="635">
        <x:v>0</x:v>
      </x:c>
      <x:c r="L183" s="635">
        <x:v>0</x:v>
      </x:c>
      <x:c r="M183" s="635">
        <x:v>0</x:v>
      </x:c>
      <x:c r="N183" s="635">
        <x:v>0</x:v>
      </x:c>
      <x:c r="O183" s="635">
        <x:v>0</x:v>
      </x:c>
      <x:c r="P183" s="635">
        <x:v>0</x:v>
      </x:c>
      <x:c r="Q183" s="635">
        <x:v>0</x:v>
      </x:c>
      <x:c r="R183" s="635">
        <x:v>0</x:v>
      </x:c>
    </x:row>
    <x:row r="184" spans="1:18" ht="12.75" customHeight="1" x14ac:dyDescent="0.25">
      <x:c r="A184" s="778"/>
      <x:c r="B184" s="776"/>
      <x:c r="C184" s="635" t="s">
        <x:v>73</x:v>
      </x:c>
      <x:c r="D184" s="635">
        <x:v>0</x:v>
      </x:c>
      <x:c r="E184" s="619"/>
      <x:c r="F184" s="619"/>
      <x:c r="G184" s="619"/>
      <x:c r="H184" s="619"/>
      <x:c r="I184" s="619"/>
      <x:c r="J184" s="619"/>
      <x:c r="K184" s="619"/>
      <x:c r="L184" s="619"/>
      <x:c r="M184" s="619"/>
      <x:c r="N184" s="619"/>
      <x:c r="O184" s="619"/>
      <x:c r="P184" s="619"/>
      <x:c r="Q184" s="619"/>
    </x:row>
    <x:row r="185" spans="1:18" s="636" customFormat="1" x14ac:dyDescent="0.25"/>
    <x:row r="186" spans="1:18" ht="13" x14ac:dyDescent="0.3">
      <x:c r="B186" s="618" t="s">
        <x:v>76</x:v>
      </x:c>
    </x:row>
    <x:row r="187" spans="1:18" x14ac:dyDescent="0.25">
      <x:c r="D187" s="619" t="s">
        <x:v>70</x:v>
      </x:c>
      <x:c r="E187" s="619" t="s">
        <x:v>64</x:v>
      </x:c>
      <x:c r="F187" s="619" t="s">
        <x:v>65</x:v>
      </x:c>
      <x:c r="G187" s="620" t="s">
        <x:v>164</x:v>
      </x:c>
      <x:c r="H187" s="619" t="s">
        <x:v>69</x:v>
      </x:c>
      <x:c r="I187" s="619" t="s">
        <x:v>68</x:v>
      </x:c>
      <x:c r="J187" s="619" t="s">
        <x:v>66</x:v>
      </x:c>
      <x:c r="K187" s="619" t="s">
        <x:v>63</x:v>
      </x:c>
      <x:c r="L187" s="619" t="s">
        <x:v>61</x:v>
      </x:c>
      <x:c r="M187" s="619" t="s">
        <x:v>62</x:v>
      </x:c>
      <x:c r="N187" s="619" t="s">
        <x:v>67</x:v>
      </x:c>
      <x:c r="O187" s="619" t="s">
        <x:v>77</x:v>
      </x:c>
      <x:c r="P187" s="617" t="s">
        <x:v>71</x:v>
      </x:c>
      <x:c r="Q187" s="619" t="s">
        <x:v>80</x:v>
      </x:c>
      <x:c r="R187" s="617" t="s">
        <x:v>168</x:v>
      </x:c>
    </x:row>
    <x:row r="188" spans="1:18" ht="12.75" customHeight="1" x14ac:dyDescent="0.25">
      <x:c r="B188" s="619"/>
      <x:c r="C188" s="619" t="s">
        <x:v>72</x:v>
      </x:c>
      <x:c r="D188" s="619">
        <x:v>-27227798.780000001</x:v>
      </x:c>
      <x:c r="E188" s="619">
        <x:v>-2315528.48</x:v>
      </x:c>
      <x:c r="F188" s="619">
        <x:v>-1284217.58</x:v>
      </x:c>
      <x:c r="G188" s="619">
        <x:v>-681382.92</x:v>
      </x:c>
      <x:c r="H188" s="619">
        <x:v>-5451652.1900000004</x:v>
      </x:c>
      <x:c r="I188" s="619">
        <x:v>-202328.82</x:v>
      </x:c>
      <x:c r="J188" s="619">
        <x:v>-1782592.35</x:v>
      </x:c>
      <x:c r="K188" s="619">
        <x:v>-1715323.71</x:v>
      </x:c>
      <x:c r="L188" s="619">
        <x:v>-8067276.2800000003</x:v>
      </x:c>
      <x:c r="M188" s="619">
        <x:v>-5394689.7300000004</x:v>
      </x:c>
      <x:c r="N188" s="619">
        <x:v>-332680.61</x:v>
      </x:c>
      <x:c r="O188" s="619">
        <x:v>-126.11</x:v>
      </x:c>
      <x:c r="P188" s="617">
        <x:v>0</x:v>
      </x:c>
      <x:c r="Q188" s="619">
        <x:v>0</x:v>
      </x:c>
      <x:c r="R188" s="619">
        <x:v>0</x:v>
      </x:c>
    </x:row>
    <x:row r="189" spans="1:18" ht="12.75" customHeight="1" x14ac:dyDescent="0.25">
      <x:c r="B189" s="619"/>
      <x:c r="C189" s="619" t="s">
        <x:v>81</x:v>
      </x:c>
      <x:c r="D189" s="619">
        <x:v>-345928.04</x:v>
      </x:c>
      <x:c r="E189" s="619">
        <x:v>-25008.84</x:v>
      </x:c>
      <x:c r="F189" s="619">
        <x:v>-12602.88</x:v>
      </x:c>
      <x:c r="G189" s="619">
        <x:v>-7036.43</x:v>
      </x:c>
      <x:c r="H189" s="619">
        <x:v>-80348.210000000006</x:v>
      </x:c>
      <x:c r="I189" s="619">
        <x:v>-2983.37</x:v>
      </x:c>
      <x:c r="J189" s="619">
        <x:v>-25907.02</x:v>
      </x:c>
      <x:c r="K189" s="619">
        <x:v>-22627.65</x:v>
      </x:c>
      <x:c r="L189" s="619">
        <x:v>-105993.62</x:v>
      </x:c>
      <x:c r="M189" s="619">
        <x:v>-58451.89</x:v>
      </x:c>
      <x:c r="N189" s="619">
        <x:v>-4966.2700000000004</x:v>
      </x:c>
      <x:c r="O189" s="619">
        <x:v>-1.86</x:v>
      </x:c>
      <x:c r="P189" s="617">
        <x:v>0</x:v>
      </x:c>
      <x:c r="Q189" s="619">
        <x:v>0</x:v>
      </x:c>
      <x:c r="R189" s="619">
        <x:v>0</x:v>
      </x:c>
    </x:row>
    <x:row r="190" spans="1:18" s="622" customFormat="1" ht="12.75" customHeight="1" x14ac:dyDescent="0.25">
      <x:c r="B190" s="623" t="s">
        <x:v>78</x:v>
      </x:c>
      <x:c r="C190" s="623" t="s">
        <x:v>70</x:v>
      </x:c>
      <x:c r="D190" s="623">
        <x:v>-27573726.82</x:v>
      </x:c>
      <x:c r="E190" s="623">
        <x:v>-2340537.3199999998</x:v>
      </x:c>
      <x:c r="F190" s="623">
        <x:v>-1296820.46</x:v>
      </x:c>
      <x:c r="G190" s="623">
        <x:v>-688419.35</x:v>
      </x:c>
      <x:c r="H190" s="623">
        <x:v>-5532000.4000000004</x:v>
      </x:c>
      <x:c r="I190" s="623">
        <x:v>-205312.19</x:v>
      </x:c>
      <x:c r="J190" s="623">
        <x:v>-1808499.37</x:v>
      </x:c>
      <x:c r="K190" s="623">
        <x:v>-1737951.36</x:v>
      </x:c>
      <x:c r="L190" s="623">
        <x:v>-8173269.9000000004</x:v>
      </x:c>
      <x:c r="M190" s="623">
        <x:v>-5453141.6200000001</x:v>
      </x:c>
      <x:c r="N190" s="623">
        <x:v>-337646.88</x:v>
      </x:c>
      <x:c r="O190" s="623">
        <x:v>-127.97</x:v>
      </x:c>
      <x:c r="P190" s="622">
        <x:v>0</x:v>
      </x:c>
      <x:c r="Q190" s="623">
        <x:v>0</x:v>
      </x:c>
      <x:c r="R190" s="623">
        <x:v>0</x:v>
      </x:c>
    </x:row>
    <x:row r="191" spans="1:18" ht="12.75" customHeight="1" x14ac:dyDescent="0.25">
      <x:c r="B191" s="619"/>
      <x:c r="C191" s="619" t="s">
        <x:v>73</x:v>
      </x:c>
      <x:c r="D191" s="619">
        <x:v>-4430593.18</x:v>
      </x:c>
      <x:c r="E191" s="619">
        <x:v>-1063182.6399999999</x:v>
      </x:c>
      <x:c r="F191" s="619">
        <x:v>-614089.04</x:v>
      </x:c>
      <x:c r="G191" s="619">
        <x:v>-323946.96000000002</x:v>
      </x:c>
      <x:c r="H191" s="619">
        <x:v>-38852</x:v>
      </x:c>
      <x:c r="I191" s="619">
        <x:v>-204.27</x:v>
      </x:c>
      <x:c r="J191" s="619">
        <x:v>8451.7900000000009</x:v>
      </x:c>
      <x:c r="K191" s="619">
        <x:v>15720.47</x:v>
      </x:c>
      <x:c r="L191" s="619">
        <x:v>51334.92</x:v>
      </x:c>
      <x:c r="M191" s="619">
        <x:v>-2466098.35</x:v>
      </x:c>
      <x:c r="N191" s="619">
        <x:v>272.89999999999998</x:v>
      </x:c>
      <x:c r="O191" s="619">
        <x:v>0</x:v>
      </x:c>
      <x:c r="P191" s="617">
        <x:v>0</x:v>
      </x:c>
      <x:c r="Q191" s="619">
        <x:v>0</x:v>
      </x:c>
      <x:c r="R191" s="619">
        <x:v>0</x:v>
      </x:c>
    </x:row>
    <x:row r="192" spans="1:18" s="624" customFormat="1" ht="12.75" customHeight="1" x14ac:dyDescent="0.25">
      <x:c r="B192" s="624" t="s">
        <x:v>79</x:v>
      </x:c>
      <x:c r="C192" s="624" t="s">
        <x:v>70</x:v>
      </x:c>
      <x:c r="D192" s="625">
        <x:v>-4430593.18</x:v>
      </x:c>
      <x:c r="E192" s="625">
        <x:v>-1063182.6399999999</x:v>
      </x:c>
      <x:c r="F192" s="625">
        <x:v>-614089.04</x:v>
      </x:c>
      <x:c r="G192" s="637">
        <x:v>-323946.96000000002</x:v>
      </x:c>
      <x:c r="H192" s="625">
        <x:v>-38852</x:v>
      </x:c>
      <x:c r="I192" s="625">
        <x:v>-204.27</x:v>
      </x:c>
      <x:c r="J192" s="625">
        <x:v>8451.7900000000009</x:v>
      </x:c>
      <x:c r="K192" s="625">
        <x:v>15720.47</x:v>
      </x:c>
      <x:c r="L192" s="625">
        <x:v>51334.92</x:v>
      </x:c>
      <x:c r="M192" s="625">
        <x:v>-2466098.35</x:v>
      </x:c>
      <x:c r="N192" s="625">
        <x:v>272.89999999999998</x:v>
      </x:c>
      <x:c r="O192" s="625">
        <x:v>0</x:v>
      </x:c>
      <x:c r="P192" s="625">
        <x:v>0</x:v>
      </x:c>
      <x:c r="Q192" s="625">
        <x:v>0</x:v>
      </x:c>
      <x:c r="R192" s="624">
        <x:v>0</x:v>
      </x:c>
    </x:row>
    <x:row r="193" spans="1:18" s="638" customFormat="1" ht="12.75" customHeight="1" x14ac:dyDescent="0.25">
      <x:c r="A193" s="638" t="s">
        <x:v>155</x:v>
      </x:c>
      <x:c r="B193" s="634" t="s">
        <x:v>70</x:v>
      </x:c>
      <x:c r="C193" s="634"/>
      <x:c r="D193" s="634">
        <x:v>-32004320</x:v>
      </x:c>
      <x:c r="E193" s="634">
        <x:v>-3403719.96</x:v>
      </x:c>
      <x:c r="F193" s="634">
        <x:v>-1910909.5</x:v>
      </x:c>
      <x:c r="G193" s="634">
        <x:v>-1012366.31</x:v>
      </x:c>
      <x:c r="H193" s="634">
        <x:v>-5570852.4000000004</x:v>
      </x:c>
      <x:c r="I193" s="634">
        <x:v>-205516.46</x:v>
      </x:c>
      <x:c r="J193" s="634">
        <x:v>-1800047.58</x:v>
      </x:c>
      <x:c r="K193" s="634">
        <x:v>-1722230.89</x:v>
      </x:c>
      <x:c r="L193" s="634">
        <x:v>-8121934.9800000004</x:v>
      </x:c>
      <x:c r="M193" s="634">
        <x:v>-7919239.9699999997</x:v>
      </x:c>
      <x:c r="N193" s="634">
        <x:v>-337373.98</x:v>
      </x:c>
      <x:c r="O193" s="634">
        <x:v>-127.97</x:v>
      </x:c>
      <x:c r="P193" s="638">
        <x:v>0</x:v>
      </x:c>
      <x:c r="Q193" s="634">
        <x:v>0</x:v>
      </x:c>
      <x:c r="R193" s="634">
        <x:v>0</x:v>
      </x:c>
    </x:row>
    <x:row r="194" spans="1:18" ht="12.75" customHeight="1" x14ac:dyDescent="0.25">
      <x:c r="B194" s="619"/>
      <x:c r="C194" s="619" t="s">
        <x:v>72</x:v>
      </x:c>
      <x:c r="D194" s="619">
        <x:v>-397050.36</x:v>
      </x:c>
      <x:c r="E194" s="619">
        <x:v>-18659.830000000002</x:v>
      </x:c>
      <x:c r="F194" s="619">
        <x:v>-10362.450000000001</x:v>
      </x:c>
      <x:c r="G194" s="619">
        <x:v>-4678.66</x:v>
      </x:c>
      <x:c r="H194" s="619">
        <x:v>-109695.93</x:v>
      </x:c>
      <x:c r="I194" s="619">
        <x:v>-3357.59</x:v>
      </x:c>
      <x:c r="J194" s="619">
        <x:v>-29452.65</x:v>
      </x:c>
      <x:c r="K194" s="619">
        <x:v>-33114.32</x:v>
      </x:c>
      <x:c r="L194" s="619">
        <x:v>-139136.35999999999</x:v>
      </x:c>
      <x:c r="M194" s="619">
        <x:v>-43529.99</x:v>
      </x:c>
      <x:c r="N194" s="619">
        <x:v>-5062.0200000000004</x:v>
      </x:c>
      <x:c r="O194" s="619">
        <x:v>-0.56000000000000005</x:v>
      </x:c>
      <x:c r="P194" s="617">
        <x:v>0</x:v>
      </x:c>
      <x:c r="Q194" s="619">
        <x:v>0</x:v>
      </x:c>
      <x:c r="R194" s="619">
        <x:v>0</x:v>
      </x:c>
    </x:row>
    <x:row r="195" spans="1:18" ht="12.75" customHeight="1" x14ac:dyDescent="0.25">
      <x:c r="B195" s="619"/>
      <x:c r="C195" s="619" t="s">
        <x:v>81</x:v>
      </x:c>
      <x:c r="D195" s="619">
        <x:v>-785.24</x:v>
      </x:c>
      <x:c r="E195" s="619">
        <x:v>-33.72</x:v>
      </x:c>
      <x:c r="F195" s="619">
        <x:v>-17.399999999999999</x:v>
      </x:c>
      <x:c r="G195" s="619">
        <x:v>-10.35</x:v>
      </x:c>
      <x:c r="H195" s="619">
        <x:v>-222.64</x:v>
      </x:c>
      <x:c r="I195" s="619">
        <x:v>-7.01</x:v>
      </x:c>
      <x:c r="J195" s="619">
        <x:v>-61.61</x:v>
      </x:c>
      <x:c r="K195" s="619">
        <x:v>-60.33</x:v>
      </x:c>
      <x:c r="L195" s="619">
        <x:v>-281.64999999999998</x:v>
      </x:c>
      <x:c r="M195" s="619">
        <x:v>-79.05</x:v>
      </x:c>
      <x:c r="N195" s="619">
        <x:v>-11.44</x:v>
      </x:c>
      <x:c r="O195" s="619">
        <x:v>-0.04</x:v>
      </x:c>
      <x:c r="P195" s="617">
        <x:v>0</x:v>
      </x:c>
      <x:c r="Q195" s="619">
        <x:v>0</x:v>
      </x:c>
      <x:c r="R195" s="619">
        <x:v>0</x:v>
      </x:c>
    </x:row>
    <x:row r="196" spans="1:18" s="622" customFormat="1" ht="12.75" customHeight="1" x14ac:dyDescent="0.25">
      <x:c r="B196" s="623" t="s">
        <x:v>78</x:v>
      </x:c>
      <x:c r="C196" s="623" t="s">
        <x:v>70</x:v>
      </x:c>
      <x:c r="D196" s="623">
        <x:v>-397835.6</x:v>
      </x:c>
      <x:c r="E196" s="623">
        <x:v>-18693.55</x:v>
      </x:c>
      <x:c r="F196" s="623">
        <x:v>-10379.85</x:v>
      </x:c>
      <x:c r="G196" s="623">
        <x:v>-4689.01</x:v>
      </x:c>
      <x:c r="H196" s="623">
        <x:v>-109918.57</x:v>
      </x:c>
      <x:c r="I196" s="623">
        <x:v>-3364.6</x:v>
      </x:c>
      <x:c r="J196" s="623">
        <x:v>-29514.26</x:v>
      </x:c>
      <x:c r="K196" s="623">
        <x:v>-33174.65</x:v>
      </x:c>
      <x:c r="L196" s="623">
        <x:v>-139418.01</x:v>
      </x:c>
      <x:c r="M196" s="623">
        <x:v>-43609.04</x:v>
      </x:c>
      <x:c r="N196" s="623">
        <x:v>-5073.46</x:v>
      </x:c>
      <x:c r="O196" s="623">
        <x:v>-0.6</x:v>
      </x:c>
      <x:c r="P196" s="622">
        <x:v>0</x:v>
      </x:c>
      <x:c r="Q196" s="623">
        <x:v>0</x:v>
      </x:c>
      <x:c r="R196" s="623">
        <x:v>0</x:v>
      </x:c>
    </x:row>
    <x:row r="197" spans="1:18" ht="12.75" customHeight="1" x14ac:dyDescent="0.25">
      <x:c r="B197" s="619"/>
      <x:c r="C197" s="619" t="s">
        <x:v>73</x:v>
      </x:c>
      <x:c r="D197" s="619">
        <x:v>91175.8</x:v>
      </x:c>
      <x:c r="E197" s="619">
        <x:v>4274.38</x:v>
      </x:c>
      <x:c r="F197" s="619">
        <x:v>2344.1799999999998</x:v>
      </x:c>
      <x:c r="G197" s="619">
        <x:v>1290.1400000000001</x:v>
      </x:c>
      <x:c r="H197" s="619">
        <x:v>24141.72</x:v>
      </x:c>
      <x:c r="I197" s="619">
        <x:v>835.82</x:v>
      </x:c>
      <x:c r="J197" s="619">
        <x:v>7331.65</x:v>
      </x:c>
      <x:c r="K197" s="619">
        <x:v>6999.36</x:v>
      </x:c>
      <x:c r="L197" s="619">
        <x:v>32593.77</x:v>
      </x:c>
      <x:c r="M197" s="619">
        <x:v>10001.11</x:v>
      </x:c>
      <x:c r="N197" s="619">
        <x:v>1363.67</x:v>
      </x:c>
      <x:c r="O197" s="619">
        <x:v>0</x:v>
      </x:c>
      <x:c r="P197" s="617">
        <x:v>0</x:v>
      </x:c>
      <x:c r="Q197" s="619">
        <x:v>0</x:v>
      </x:c>
      <x:c r="R197" s="619">
        <x:v>0</x:v>
      </x:c>
    </x:row>
    <x:row r="198" spans="1:18" s="624" customFormat="1" ht="12.75" customHeight="1" x14ac:dyDescent="0.25">
      <x:c r="B198" s="624" t="s">
        <x:v>79</x:v>
      </x:c>
      <x:c r="C198" s="624" t="s">
        <x:v>70</x:v>
      </x:c>
      <x:c r="D198" s="625">
        <x:v>91175.8</x:v>
      </x:c>
      <x:c r="E198" s="625">
        <x:v>4274.38</x:v>
      </x:c>
      <x:c r="F198" s="625">
        <x:v>2344.1799999999998</x:v>
      </x:c>
      <x:c r="G198" s="637">
        <x:v>1290.1400000000001</x:v>
      </x:c>
      <x:c r="H198" s="625">
        <x:v>24141.72</x:v>
      </x:c>
      <x:c r="I198" s="625">
        <x:v>835.82</x:v>
      </x:c>
      <x:c r="J198" s="625">
        <x:v>7331.65</x:v>
      </x:c>
      <x:c r="K198" s="625">
        <x:v>6999.36</x:v>
      </x:c>
      <x:c r="L198" s="625">
        <x:v>32593.77</x:v>
      </x:c>
      <x:c r="M198" s="625">
        <x:v>10001.11</x:v>
      </x:c>
      <x:c r="N198" s="625">
        <x:v>1363.67</x:v>
      </x:c>
      <x:c r="O198" s="625">
        <x:v>0</x:v>
      </x:c>
      <x:c r="P198" s="625">
        <x:v>0</x:v>
      </x:c>
      <x:c r="Q198" s="625">
        <x:v>0</x:v>
      </x:c>
      <x:c r="R198" s="624">
        <x:v>0</x:v>
      </x:c>
    </x:row>
    <x:row r="199" spans="1:18" s="629" customFormat="1" ht="12.75" customHeight="1" x14ac:dyDescent="0.25">
      <x:c r="A199" s="629" t="s">
        <x:v>119</x:v>
      </x:c>
      <x:c r="B199" s="629" t="s">
        <x:v>70</x:v>
      </x:c>
      <x:c r="D199" s="629">
        <x:v>-306659.8</x:v>
      </x:c>
      <x:c r="E199" s="629">
        <x:v>-14419.17</x:v>
      </x:c>
      <x:c r="F199" s="629">
        <x:v>-8035.67</x:v>
      </x:c>
      <x:c r="G199" s="629">
        <x:v>-3398.87</x:v>
      </x:c>
      <x:c r="H199" s="629">
        <x:v>-85776.85</x:v>
      </x:c>
      <x:c r="I199" s="629">
        <x:v>-2528.7800000000002</x:v>
      </x:c>
      <x:c r="J199" s="629">
        <x:v>-22182.61</x:v>
      </x:c>
      <x:c r="K199" s="629">
        <x:v>-26175.29</x:v>
      </x:c>
      <x:c r="L199" s="629">
        <x:v>-106824.24</x:v>
      </x:c>
      <x:c r="M199" s="629">
        <x:v>-33607.93</x:v>
      </x:c>
      <x:c r="N199" s="629">
        <x:v>-3709.79</x:v>
      </x:c>
      <x:c r="O199" s="629">
        <x:v>-0.6</x:v>
      </x:c>
      <x:c r="P199" s="629">
        <x:v>0</x:v>
      </x:c>
      <x:c r="Q199" s="629">
        <x:v>0</x:v>
      </x:c>
      <x:c r="R199" s="629">
        <x:v>0</x:v>
      </x:c>
    </x:row>
    <x:row r="200" spans="1:18" s="632" customFormat="1" ht="12.75" customHeight="1" x14ac:dyDescent="0.25">
      <x:c r="A200" s="631" t="s">
        <x:v>70</x:v>
      </x:c>
      <x:c r="D200" s="631" t="n">
        <x:v>-4617354</x:v>
      </x:c>
      <x:c r="E200" s="631">
        <x:v>-3418139.13</x:v>
      </x:c>
      <x:c r="F200" s="631">
        <x:v>-1918945.17</x:v>
      </x:c>
      <x:c r="G200" s="631">
        <x:v>-1015765.18</x:v>
      </x:c>
      <x:c r="H200" s="631">
        <x:v>-5656629.25</x:v>
      </x:c>
      <x:c r="I200" s="631">
        <x:v>-208045.24</x:v>
      </x:c>
      <x:c r="J200" s="631">
        <x:v>-1822230.19</x:v>
      </x:c>
      <x:c r="K200" s="631">
        <x:v>-1748406.18</x:v>
      </x:c>
      <x:c r="L200" s="631">
        <x:v>-8228759.2199999997</x:v>
      </x:c>
      <x:c r="M200" s="631">
        <x:v>-7952847.9000000004</x:v>
      </x:c>
      <x:c r="N200" s="631">
        <x:v>-341083.77</x:v>
      </x:c>
      <x:c r="O200" s="631">
        <x:v>-128.57</x:v>
      </x:c>
      <x:c r="P200" s="632" t="n">
        <x:v>0</x:v>
      </x:c>
      <x:c r="Q200" s="632">
        <x:v>0</x:v>
      </x:c>
      <x:c r="R200" s="632">
        <x:v>0</x:v>
      </x:c>
    </x:row>
    <x:row r="201" spans="1:18" ht="12.75" customHeight="1" x14ac:dyDescent="0.25">
      <x:c r="A201" s="619"/>
      <x:c r="D201" s="619"/>
      <x:c r="E201" s="619"/>
      <x:c r="F201" s="619"/>
      <x:c r="G201" s="619"/>
      <x:c r="H201" s="619"/>
      <x:c r="I201" s="619"/>
      <x:c r="J201" s="619"/>
      <x:c r="K201" s="619"/>
      <x:c r="L201" s="619"/>
      <x:c r="M201" s="619"/>
      <x:c r="N201" s="619"/>
      <x:c r="O201" s="619"/>
    </x:row>
    <x:row r="202" spans="1:18" ht="12.75" customHeight="1" x14ac:dyDescent="0.25">
      <x:c r="A202" s="619"/>
      <x:c r="D202" s="619"/>
      <x:c r="E202" s="619"/>
      <x:c r="F202" s="619"/>
      <x:c r="G202" s="619"/>
      <x:c r="H202" s="619"/>
      <x:c r="I202" s="619"/>
      <x:c r="J202" s="619"/>
      <x:c r="K202" s="619"/>
      <x:c r="L202" s="619"/>
      <x:c r="M202" s="619"/>
      <x:c r="N202" s="619"/>
      <x:c r="O202" s="619"/>
    </x:row>
    <x:row r="203" spans="1:18" ht="12.75" customHeight="1" x14ac:dyDescent="0.25">
      <x:c r="A203" s="619"/>
      <x:c r="D203" s="619"/>
      <x:c r="E203" s="619"/>
      <x:c r="F203" s="619"/>
      <x:c r="G203" s="619"/>
      <x:c r="H203" s="619"/>
      <x:c r="I203" s="619"/>
      <x:c r="J203" s="619"/>
      <x:c r="K203" s="619"/>
      <x:c r="L203" s="619"/>
      <x:c r="M203" s="619"/>
      <x:c r="N203" s="619"/>
      <x:c r="O203" s="619"/>
    </x:row>
    <x:row r="204" spans="1:18" ht="12.75" customHeight="1" x14ac:dyDescent="0.25">
      <x:c r="A204" s="619"/>
      <x:c r="D204" s="619"/>
      <x:c r="E204" s="619"/>
      <x:c r="F204" s="619"/>
      <x:c r="G204" s="619"/>
      <x:c r="H204" s="619"/>
      <x:c r="I204" s="619"/>
      <x:c r="J204" s="619"/>
      <x:c r="K204" s="619"/>
      <x:c r="L204" s="619"/>
      <x:c r="M204" s="619"/>
      <x:c r="N204" s="619"/>
      <x:c r="O204" s="619"/>
    </x:row>
    <x:row r="205" spans="1:18" ht="12.75" customHeight="1" x14ac:dyDescent="0.25">
      <x:c r="A205" s="777" t="s">
        <x:v>2</x:v>
      </x:c>
      <x:c r="B205" s="776" t="s">
        <x:v>132</x:v>
      </x:c>
      <x:c r="C205" s="767" t="s">
        <x:v>70</x:v>
      </x:c>
      <x:c r="D205" s="767">
        <x:f>D200-P200</x:f>
        <x:v>-32310979.800000001</x:v>
      </x:c>
      <x:c r="E205" s="767">
        <x:f>E196+E190</x:f>
        <x:v>-2359230.8699999996</x:v>
      </x:c>
      <x:c r="F205" s="767">
        <x:f t="shared" ref="F205:R205" si="6">F196+F190</x:f>
        <x:v>-1307200.31</x:v>
      </x:c>
      <x:c r="G205" s="767">
        <x:f t="shared" si="6"/>
        <x:v>-693108.36</x:v>
      </x:c>
      <x:c r="H205" s="767">
        <x:f t="shared" si="6"/>
        <x:v>-5641918.9700000007</x:v>
      </x:c>
      <x:c r="I205" s="767">
        <x:f t="shared" si="6"/>
        <x:v>-208676.79</x:v>
      </x:c>
      <x:c r="J205" s="767">
        <x:f t="shared" si="6"/>
        <x:v>-1838013.6300000001</x:v>
      </x:c>
      <x:c r="K205" s="767">
        <x:f t="shared" si="6"/>
        <x:v>-1771126.01</x:v>
      </x:c>
      <x:c r="L205" s="767">
        <x:f t="shared" si="6"/>
        <x:v>-8312687.9100000001</x:v>
      </x:c>
      <x:c r="M205" s="767">
        <x:f t="shared" si="6"/>
        <x:v>-5496750.6600000001</x:v>
      </x:c>
      <x:c r="N205" s="767">
        <x:f t="shared" si="6"/>
        <x:v>-342720.34</x:v>
      </x:c>
      <x:c r="O205" s="767">
        <x:f t="shared" si="6"/>
        <x:v>-128.57</x:v>
      </x:c>
      <x:c r="P205" s="767">
        <x:f t="shared" si="6"/>
        <x:v>0</x:v>
      </x:c>
      <x:c r="Q205" s="767">
        <x:f t="shared" si="6"/>
        <x:v>0</x:v>
      </x:c>
      <x:c r="R205" s="767">
        <x:f t="shared" si="6"/>
        <x:v>0</x:v>
      </x:c>
    </x:row>
    <x:row r="206" spans="1:18" ht="12.75" customHeight="1" x14ac:dyDescent="0.25">
      <x:c r="A206" s="777"/>
      <x:c r="B206" s="776"/>
      <x:c r="C206" s="767" t="s">
        <x:v>73</x:v>
      </x:c>
      <x:c r="D206" s="767">
        <x:f>D198+D192</x:f>
        <x:v>-4339417.38</x:v>
      </x:c>
      <x:c r="E206" s="619"/>
      <x:c r="F206" s="619"/>
      <x:c r="G206" s="619"/>
      <x:c r="H206" s="619"/>
      <x:c r="I206" s="619"/>
      <x:c r="J206" s="619"/>
      <x:c r="K206" s="619"/>
      <x:c r="L206" s="619"/>
      <x:c r="M206" s="619"/>
      <x:c r="N206" s="619"/>
      <x:c r="O206" s="619"/>
      <x:c r="P206" s="619"/>
      <x:c r="Q206" s="619"/>
      <x:c r="R206" s="619"/>
    </x:row>
    <x:row r="207" spans="1:18" ht="12.75" customHeight="1" x14ac:dyDescent="0.3">
      <x:c r="A207" s="618"/>
      <x:c r="D207" s="619"/>
      <x:c r="E207" s="619"/>
      <x:c r="F207" s="619"/>
      <x:c r="G207" s="619"/>
      <x:c r="H207" s="619"/>
      <x:c r="I207" s="619"/>
      <x:c r="J207" s="619"/>
      <x:c r="K207" s="619"/>
      <x:c r="L207" s="619"/>
      <x:c r="M207" s="619"/>
      <x:c r="N207" s="619"/>
      <x:c r="O207" s="619"/>
      <x:c r="P207" s="619"/>
      <x:c r="Q207" s="619"/>
      <x:c r="R207" s="619"/>
    </x:row>
    <x:row r="208" spans="1:18" ht="12.75" customHeight="1" x14ac:dyDescent="0.25">
      <x:c r="A208" s="777" t="s">
        <x:v>160</x:v>
      </x:c>
      <x:c r="B208" s="776" t="s">
        <x:v>132</x:v>
      </x:c>
      <x:c r="C208" s="633" t="s">
        <x:v>70</x:v>
      </x:c>
      <x:c r="D208" s="633">
        <x:v>0</x:v>
      </x:c>
      <x:c r="E208" s="633">
        <x:v>0</x:v>
      </x:c>
      <x:c r="F208" s="633">
        <x:v>0</x:v>
      </x:c>
      <x:c r="G208" s="633">
        <x:v>0</x:v>
      </x:c>
      <x:c r="H208" s="633">
        <x:v>0</x:v>
      </x:c>
      <x:c r="I208" s="633">
        <x:v>0</x:v>
      </x:c>
      <x:c r="J208" s="633">
        <x:v>0</x:v>
      </x:c>
      <x:c r="K208" s="633">
        <x:v>0</x:v>
      </x:c>
      <x:c r="L208" s="633">
        <x:v>0</x:v>
      </x:c>
      <x:c r="M208" s="633">
        <x:v>0</x:v>
      </x:c>
      <x:c r="N208" s="633">
        <x:v>0</x:v>
      </x:c>
      <x:c r="O208" s="633">
        <x:v>0</x:v>
      </x:c>
      <x:c r="P208" s="633">
        <x:v>0</x:v>
      </x:c>
      <x:c r="Q208" s="633">
        <x:v>0</x:v>
      </x:c>
      <x:c r="R208" s="633">
        <x:v>0</x:v>
      </x:c>
    </x:row>
    <x:row r="209" spans="1:18" ht="12.75" customHeight="1" x14ac:dyDescent="0.25">
      <x:c r="A209" s="777"/>
      <x:c r="B209" s="776"/>
      <x:c r="C209" s="633" t="s">
        <x:v>73</x:v>
      </x:c>
      <x:c r="D209" s="633">
        <x:v>0</x:v>
      </x:c>
      <x:c r="E209" s="619"/>
      <x:c r="F209" s="619"/>
      <x:c r="G209" s="619"/>
      <x:c r="H209" s="619"/>
      <x:c r="I209" s="619"/>
      <x:c r="J209" s="619"/>
      <x:c r="K209" s="619"/>
      <x:c r="L209" s="619"/>
      <x:c r="M209" s="619"/>
      <x:c r="N209" s="619"/>
      <x:c r="O209" s="619"/>
      <x:c r="P209" s="619"/>
      <x:c r="Q209" s="619"/>
      <x:c r="R209" s="619"/>
    </x:row>
    <x:row r="210" spans="1:18" ht="12.75" customHeight="1" x14ac:dyDescent="0.3">
      <x:c r="A210" s="618"/>
      <x:c r="D210" s="619"/>
      <x:c r="E210" s="619"/>
      <x:c r="F210" s="619"/>
      <x:c r="G210" s="619"/>
      <x:c r="H210" s="619"/>
      <x:c r="I210" s="619"/>
      <x:c r="J210" s="619"/>
      <x:c r="K210" s="619"/>
      <x:c r="L210" s="619"/>
      <x:c r="M210" s="619"/>
      <x:c r="N210" s="619"/>
      <x:c r="O210" s="619"/>
      <x:c r="P210" s="619"/>
      <x:c r="Q210" s="619"/>
      <x:c r="R210" s="619"/>
    </x:row>
    <x:row r="211" spans="1:18" ht="12.75" customHeight="1" x14ac:dyDescent="0.25">
      <x:c r="A211" s="777" t="s">
        <x:v>155</x:v>
      </x:c>
      <x:c r="B211" s="776" t="s">
        <x:v>132</x:v>
      </x:c>
      <x:c r="C211" s="634" t="s">
        <x:v>70</x:v>
      </x:c>
      <x:c r="D211" s="634">
        <x:f>D193-P193</x:f>
        <x:v>-32004320</x:v>
      </x:c>
      <x:c r="E211" s="634">
        <x:f>E190</x:f>
        <x:v>-2340537.3199999998</x:v>
      </x:c>
      <x:c r="F211" s="634">
        <x:f t="shared" ref="F211:R211" si="7">F190</x:f>
        <x:v>-1296820.46</x:v>
      </x:c>
      <x:c r="G211" s="634">
        <x:f t="shared" si="7"/>
        <x:v>-688419.35</x:v>
      </x:c>
      <x:c r="H211" s="634">
        <x:f t="shared" si="7"/>
        <x:v>-5532000.4000000004</x:v>
      </x:c>
      <x:c r="I211" s="634">
        <x:f t="shared" si="7"/>
        <x:v>-205312.19</x:v>
      </x:c>
      <x:c r="J211" s="634">
        <x:f t="shared" si="7"/>
        <x:v>-1808499.37</x:v>
      </x:c>
      <x:c r="K211" s="634">
        <x:f t="shared" si="7"/>
        <x:v>-1737951.36</x:v>
      </x:c>
      <x:c r="L211" s="634">
        <x:f t="shared" si="7"/>
        <x:v>-8173269.9000000004</x:v>
      </x:c>
      <x:c r="M211" s="634">
        <x:f t="shared" si="7"/>
        <x:v>-5453141.6200000001</x:v>
      </x:c>
      <x:c r="N211" s="634">
        <x:f t="shared" si="7"/>
        <x:v>-337646.88</x:v>
      </x:c>
      <x:c r="O211" s="634">
        <x:f t="shared" si="7"/>
        <x:v>-127.97</x:v>
      </x:c>
      <x:c r="P211" s="634">
        <x:f t="shared" si="7"/>
        <x:v>0</x:v>
      </x:c>
      <x:c r="Q211" s="634">
        <x:f t="shared" si="7"/>
        <x:v>0</x:v>
      </x:c>
      <x:c r="R211" s="634">
        <x:f t="shared" si="7"/>
        <x:v>0</x:v>
      </x:c>
    </x:row>
    <x:row r="212" spans="1:18" ht="12.75" customHeight="1" x14ac:dyDescent="0.25">
      <x:c r="A212" s="777"/>
      <x:c r="B212" s="776"/>
      <x:c r="C212" s="634" t="s">
        <x:v>73</x:v>
      </x:c>
      <x:c r="D212" s="634">
        <x:f>D192</x:f>
        <x:v>-4430593.18</x:v>
      </x:c>
      <x:c r="E212" s="619"/>
      <x:c r="F212" s="619"/>
      <x:c r="G212" s="619"/>
      <x:c r="H212" s="619"/>
      <x:c r="I212" s="619"/>
      <x:c r="J212" s="619"/>
      <x:c r="K212" s="619"/>
      <x:c r="L212" s="619"/>
      <x:c r="M212" s="619"/>
      <x:c r="N212" s="619"/>
      <x:c r="O212" s="619"/>
      <x:c r="P212" s="619"/>
      <x:c r="Q212" s="619"/>
      <x:c r="R212" s="619"/>
    </x:row>
    <x:row r="213" spans="1:18" ht="12.75" customHeight="1" x14ac:dyDescent="0.25">
      <x:c r="A213" s="723"/>
      <x:c r="B213" s="722"/>
      <x:c r="C213" s="619"/>
      <x:c r="D213" s="619"/>
      <x:c r="E213" s="619"/>
      <x:c r="F213" s="619"/>
      <x:c r="G213" s="619"/>
      <x:c r="H213" s="619"/>
      <x:c r="I213" s="619"/>
      <x:c r="J213" s="619"/>
      <x:c r="K213" s="619"/>
      <x:c r="L213" s="619"/>
      <x:c r="M213" s="619"/>
      <x:c r="N213" s="619"/>
      <x:c r="O213" s="619"/>
      <x:c r="P213" s="619"/>
      <x:c r="Q213" s="619"/>
      <x:c r="R213" s="619"/>
    </x:row>
    <x:row r="214" spans="1:18" ht="12.75" customHeight="1" x14ac:dyDescent="0.25">
      <x:c r="A214" s="775" t="s">
        <x:v>328</x:v>
      </x:c>
      <x:c r="B214" s="776" t="s">
        <x:v>132</x:v>
      </x:c>
      <x:c r="C214" s="634" t="s">
        <x:v>70</x:v>
      </x:c>
      <x:c r="D214" s="721">
        <x:v>0</x:v>
      </x:c>
      <x:c r="E214" s="721">
        <x:v>0</x:v>
      </x:c>
      <x:c r="F214" s="721">
        <x:v>0</x:v>
      </x:c>
      <x:c r="G214" s="721">
        <x:v>0</x:v>
      </x:c>
      <x:c r="H214" s="721">
        <x:v>0</x:v>
      </x:c>
      <x:c r="I214" s="721">
        <x:v>0</x:v>
      </x:c>
      <x:c r="J214" s="721">
        <x:v>0</x:v>
      </x:c>
      <x:c r="K214" s="721">
        <x:v>0</x:v>
      </x:c>
      <x:c r="L214" s="721">
        <x:v>0</x:v>
      </x:c>
      <x:c r="M214" s="721">
        <x:v>0</x:v>
      </x:c>
      <x:c r="N214" s="721">
        <x:v>0</x:v>
      </x:c>
      <x:c r="O214" s="721">
        <x:v>0</x:v>
      </x:c>
      <x:c r="P214" s="721">
        <x:v>0</x:v>
      </x:c>
      <x:c r="Q214" s="721">
        <x:v>0</x:v>
      </x:c>
      <x:c r="R214" s="721">
        <x:v>0</x:v>
      </x:c>
    </x:row>
    <x:row r="215" spans="1:18" ht="12.75" customHeight="1" x14ac:dyDescent="0.25">
      <x:c r="A215" s="775"/>
      <x:c r="B215" s="776"/>
      <x:c r="C215" s="634" t="s">
        <x:v>73</x:v>
      </x:c>
      <x:c r="D215" s="721">
        <x:v>0</x:v>
      </x:c>
      <x:c r="E215" s="619"/>
      <x:c r="F215" s="619"/>
      <x:c r="G215" s="619"/>
      <x:c r="H215" s="619"/>
      <x:c r="I215" s="619"/>
      <x:c r="J215" s="619"/>
      <x:c r="K215" s="619"/>
      <x:c r="L215" s="619"/>
      <x:c r="M215" s="619"/>
      <x:c r="N215" s="619"/>
      <x:c r="O215" s="619"/>
      <x:c r="P215" s="619"/>
      <x:c r="Q215" s="619"/>
    </x:row>
    <x:row r="216" spans="1:18" ht="12.75" customHeight="1" x14ac:dyDescent="0.3">
      <x:c r="A216" s="618"/>
      <x:c r="D216" s="619"/>
      <x:c r="E216" s="619"/>
      <x:c r="F216" s="619"/>
      <x:c r="G216" s="619"/>
      <x:c r="H216" s="619"/>
      <x:c r="I216" s="619"/>
      <x:c r="J216" s="619"/>
      <x:c r="K216" s="619"/>
      <x:c r="L216" s="619"/>
      <x:c r="M216" s="619"/>
      <x:c r="N216" s="619"/>
      <x:c r="O216" s="619"/>
      <x:c r="P216" s="619"/>
      <x:c r="Q216" s="619"/>
      <x:c r="R216" s="619"/>
    </x:row>
    <x:row r="217" spans="1:18" ht="12.75" customHeight="1" x14ac:dyDescent="0.25">
      <x:c r="A217" s="777" t="s">
        <x:v>119</x:v>
      </x:c>
      <x:c r="B217" s="776" t="s">
        <x:v>132</x:v>
      </x:c>
      <x:c r="C217" s="629" t="s">
        <x:v>70</x:v>
      </x:c>
      <x:c r="D217" s="629">
        <x:f>D199-P199</x:f>
        <x:v>-306659.8</x:v>
      </x:c>
      <x:c r="E217" s="629">
        <x:f>E196</x:f>
        <x:v>-18693.55</x:v>
      </x:c>
      <x:c r="F217" s="629">
        <x:f t="shared" ref="F217:R217" si="8">F196</x:f>
        <x:v>-10379.85</x:v>
      </x:c>
      <x:c r="G217" s="629">
        <x:f t="shared" si="8"/>
        <x:v>-4689.01</x:v>
      </x:c>
      <x:c r="H217" s="629">
        <x:f t="shared" si="8"/>
        <x:v>-109918.57</x:v>
      </x:c>
      <x:c r="I217" s="629">
        <x:f t="shared" si="8"/>
        <x:v>-3364.6</x:v>
      </x:c>
      <x:c r="J217" s="629">
        <x:f t="shared" si="8"/>
        <x:v>-29514.26</x:v>
      </x:c>
      <x:c r="K217" s="629">
        <x:f t="shared" si="8"/>
        <x:v>-33174.65</x:v>
      </x:c>
      <x:c r="L217" s="629">
        <x:f t="shared" si="8"/>
        <x:v>-139418.01</x:v>
      </x:c>
      <x:c r="M217" s="629">
        <x:f t="shared" si="8"/>
        <x:v>-43609.04</x:v>
      </x:c>
      <x:c r="N217" s="629">
        <x:f t="shared" si="8"/>
        <x:v>-5073.46</x:v>
      </x:c>
      <x:c r="O217" s="629">
        <x:f t="shared" si="8"/>
        <x:v>-0.6</x:v>
      </x:c>
      <x:c r="P217" s="629">
        <x:f t="shared" si="8"/>
        <x:v>0</x:v>
      </x:c>
      <x:c r="Q217" s="629">
        <x:f t="shared" si="8"/>
        <x:v>0</x:v>
      </x:c>
      <x:c r="R217" s="629">
        <x:f t="shared" si="8"/>
        <x:v>0</x:v>
      </x:c>
    </x:row>
    <x:row r="218" spans="1:18" ht="12.75" customHeight="1" x14ac:dyDescent="0.25">
      <x:c r="A218" s="777"/>
      <x:c r="B218" s="776"/>
      <x:c r="C218" s="629" t="s">
        <x:v>73</x:v>
      </x:c>
      <x:c r="D218" s="629">
        <x:f>D198</x:f>
        <x:v>91175.8</x:v>
      </x:c>
      <x:c r="E218" s="619"/>
      <x:c r="F218" s="619"/>
      <x:c r="G218" s="619"/>
      <x:c r="H218" s="619"/>
      <x:c r="I218" s="619"/>
      <x:c r="J218" s="619"/>
      <x:c r="K218" s="619"/>
      <x:c r="L218" s="619"/>
      <x:c r="M218" s="619"/>
      <x:c r="N218" s="619"/>
      <x:c r="O218" s="619"/>
      <x:c r="P218" s="619"/>
      <x:c r="Q218" s="619"/>
      <x:c r="R218" s="619"/>
    </x:row>
    <x:row r="219" spans="1:18" ht="12.75" customHeight="1" x14ac:dyDescent="0.3">
      <x:c r="A219" s="618"/>
      <x:c r="D219" s="619"/>
      <x:c r="E219" s="619"/>
      <x:c r="F219" s="619"/>
      <x:c r="G219" s="619"/>
      <x:c r="H219" s="619"/>
      <x:c r="I219" s="619"/>
      <x:c r="J219" s="619"/>
      <x:c r="K219" s="619"/>
      <x:c r="L219" s="619"/>
      <x:c r="M219" s="619"/>
      <x:c r="N219" s="619"/>
      <x:c r="O219" s="619"/>
      <x:c r="P219" s="619"/>
      <x:c r="Q219" s="619"/>
      <x:c r="R219" s="619"/>
    </x:row>
    <x:row r="220" spans="1:18" ht="12.75" customHeight="1" x14ac:dyDescent="0.25">
      <x:c r="A220" s="778" t="s">
        <x:v>161</x:v>
      </x:c>
      <x:c r="B220" s="776" t="s">
        <x:v>132</x:v>
      </x:c>
      <x:c r="C220" s="635" t="s">
        <x:v>70</x:v>
      </x:c>
      <x:c r="D220" s="635">
        <x:v>0</x:v>
      </x:c>
      <x:c r="E220" s="635">
        <x:v>0</x:v>
      </x:c>
      <x:c r="F220" s="635">
        <x:v>0</x:v>
      </x:c>
      <x:c r="G220" s="635">
        <x:v>0</x:v>
      </x:c>
      <x:c r="H220" s="635">
        <x:v>0</x:v>
      </x:c>
      <x:c r="I220" s="635">
        <x:v>0</x:v>
      </x:c>
      <x:c r="J220" s="635">
        <x:v>0</x:v>
      </x:c>
      <x:c r="K220" s="635">
        <x:v>0</x:v>
      </x:c>
      <x:c r="L220" s="635">
        <x:v>0</x:v>
      </x:c>
      <x:c r="M220" s="635">
        <x:v>0</x:v>
      </x:c>
      <x:c r="N220" s="635">
        <x:v>0</x:v>
      </x:c>
      <x:c r="O220" s="635">
        <x:v>0</x:v>
      </x:c>
      <x:c r="P220" s="635">
        <x:v>0</x:v>
      </x:c>
      <x:c r="Q220" s="635">
        <x:v>0</x:v>
      </x:c>
      <x:c r="R220" s="635">
        <x:v>0</x:v>
      </x:c>
    </x:row>
    <x:row r="221" spans="1:18" ht="12.75" customHeight="1" x14ac:dyDescent="0.25">
      <x:c r="A221" s="778"/>
      <x:c r="B221" s="776"/>
      <x:c r="C221" s="635" t="s">
        <x:v>73</x:v>
      </x:c>
      <x:c r="D221" s="635">
        <x:v>0</x:v>
      </x:c>
      <x:c r="E221" s="619"/>
      <x:c r="F221" s="619"/>
      <x:c r="G221" s="619"/>
      <x:c r="H221" s="619"/>
      <x:c r="I221" s="619"/>
      <x:c r="J221" s="619"/>
      <x:c r="K221" s="619"/>
      <x:c r="L221" s="619"/>
      <x:c r="M221" s="619"/>
      <x:c r="N221" s="619"/>
      <x:c r="O221" s="619"/>
      <x:c r="P221" s="619"/>
      <x:c r="Q221" s="619"/>
    </x:row>
    <x:row r="222" spans="1:18" s="636" customFormat="1" x14ac:dyDescent="0.25"/>
    <x:row r="223" spans="1:18" ht="13" x14ac:dyDescent="0.3">
      <x:c r="B223" s="618" t="s">
        <x:v>88</x:v>
      </x:c>
    </x:row>
    <x:row r="224" spans="1:18" ht="12.75" customHeight="1" x14ac:dyDescent="0.25">
      <x:c r="D224" s="619" t="s">
        <x:v>70</x:v>
      </x:c>
      <x:c r="E224" s="619" t="s">
        <x:v>64</x:v>
      </x:c>
      <x:c r="F224" s="619" t="s">
        <x:v>65</x:v>
      </x:c>
      <x:c r="G224" s="620" t="s">
        <x:v>164</x:v>
      </x:c>
      <x:c r="H224" s="619" t="s">
        <x:v>69</x:v>
      </x:c>
      <x:c r="I224" s="619" t="s">
        <x:v>68</x:v>
      </x:c>
      <x:c r="J224" s="619" t="s">
        <x:v>66</x:v>
      </x:c>
      <x:c r="K224" s="619" t="s">
        <x:v>63</x:v>
      </x:c>
      <x:c r="L224" s="619" t="s">
        <x:v>61</x:v>
      </x:c>
      <x:c r="M224" s="619" t="s">
        <x:v>62</x:v>
      </x:c>
      <x:c r="N224" s="619" t="s">
        <x:v>67</x:v>
      </x:c>
      <x:c r="O224" s="619" t="s">
        <x:v>77</x:v>
      </x:c>
      <x:c r="P224" s="619" t="s">
        <x:v>71</x:v>
      </x:c>
      <x:c r="Q224" s="619" t="s">
        <x:v>80</x:v>
      </x:c>
      <x:c r="R224" s="617" t="s">
        <x:v>168</x:v>
      </x:c>
    </x:row>
    <x:row r="225" spans="1:18" ht="12.75" customHeight="1" x14ac:dyDescent="0.25">
      <x:c r="C225" s="617" t="s">
        <x:v>72</x:v>
      </x:c>
      <x:c r="D225" s="621">
        <x:v>-21566863.359999999</x:v>
      </x:c>
      <x:c r="E225" s="619">
        <x:v>-1602733.56</x:v>
      </x:c>
      <x:c r="F225" s="619">
        <x:v>-896891.02</x:v>
      </x:c>
      <x:c r="G225" s="621">
        <x:v>-475692.34</x:v>
      </x:c>
      <x:c r="H225" s="619">
        <x:v>-4329801.24</x:v>
      </x:c>
      <x:c r="I225" s="619">
        <x:v>-156115.79</x:v>
      </x:c>
      <x:c r="J225" s="619">
        <x:v>-1354110.99</x:v>
      </x:c>
      <x:c r="K225" s="619">
        <x:v>-1357517.45</x:v>
      </x:c>
      <x:c r="L225" s="619">
        <x:v>-6863140.8499999996</x:v>
      </x:c>
      <x:c r="M225" s="619">
        <x:v>-4276100.4400000004</x:v>
      </x:c>
      <x:c r="N225" s="619">
        <x:v>-254729.55</x:v>
      </x:c>
      <x:c r="O225" s="619">
        <x:v>-30.13</x:v>
      </x:c>
      <x:c r="P225" s="619">
        <x:v>0</x:v>
      </x:c>
      <x:c r="Q225" s="619">
        <x:v>0</x:v>
      </x:c>
      <x:c r="R225" s="617">
        <x:v>0</x:v>
      </x:c>
    </x:row>
    <x:row r="226" spans="1:18" ht="12.75" customHeight="1" x14ac:dyDescent="0.25">
      <x:c r="C226" s="617" t="s">
        <x:v>81</x:v>
      </x:c>
      <x:c r="D226" s="621">
        <x:v>-10375865.33</x:v>
      </x:c>
      <x:c r="E226" s="619">
        <x:v>-1376999.44</x:v>
      </x:c>
      <x:c r="F226" s="619">
        <x:v>-590233.5</x:v>
      </x:c>
      <x:c r="G226" s="621">
        <x:v>-209963.97</x:v>
      </x:c>
      <x:c r="H226" s="619">
        <x:v>-1412012.61</x:v>
      </x:c>
      <x:c r="I226" s="619">
        <x:v>-55947.15</x:v>
      </x:c>
      <x:c r="J226" s="619">
        <x:v>-490779.37</x:v>
      </x:c>
      <x:c r="K226" s="619">
        <x:v>-582672.57999999996</x:v>
      </x:c>
      <x:c r="L226" s="619">
        <x:v>-1966418.97</x:v>
      </x:c>
      <x:c r="M226" s="619">
        <x:v>-3599557.03</x:v>
      </x:c>
      <x:c r="N226" s="619">
        <x:v>-91288.76</x:v>
      </x:c>
      <x:c r="O226" s="619">
        <x:v>8.34</x:v>
      </x:c>
      <x:c r="P226" s="619">
        <x:v>0</x:v>
      </x:c>
      <x:c r="Q226" s="619">
        <x:v>0</x:v>
      </x:c>
      <x:c r="R226" s="617">
        <x:v>-0.28999999999999998</x:v>
      </x:c>
    </x:row>
    <x:row r="227" spans="1:18" s="622" customFormat="1" ht="12.75" customHeight="1" x14ac:dyDescent="0.25">
      <x:c r="B227" s="623" t="s">
        <x:v>78</x:v>
      </x:c>
      <x:c r="C227" s="623" t="s">
        <x:v>70</x:v>
      </x:c>
      <x:c r="D227" s="623">
        <x:v>-31942728.690000001</x:v>
      </x:c>
      <x:c r="E227" s="623">
        <x:v>-2979733</x:v>
      </x:c>
      <x:c r="F227" s="623">
        <x:v>-1487124.52</x:v>
      </x:c>
      <x:c r="G227" s="623">
        <x:v>-685656.31</x:v>
      </x:c>
      <x:c r="H227" s="623">
        <x:v>-5741813.8499999996</x:v>
      </x:c>
      <x:c r="I227" s="623">
        <x:v>-212062.94</x:v>
      </x:c>
      <x:c r="J227" s="623">
        <x:v>-1844890.36</x:v>
      </x:c>
      <x:c r="K227" s="623">
        <x:v>-1940190.03</x:v>
      </x:c>
      <x:c r="L227" s="623">
        <x:v>-8829559.8200000003</x:v>
      </x:c>
      <x:c r="M227" s="623">
        <x:v>-7875657.4699999997</x:v>
      </x:c>
      <x:c r="N227" s="623">
        <x:v>-346018.31</x:v>
      </x:c>
      <x:c r="O227" s="623">
        <x:v>-21.79</x:v>
      </x:c>
      <x:c r="P227" s="622">
        <x:v>0</x:v>
      </x:c>
      <x:c r="Q227" s="623">
        <x:v>0</x:v>
      </x:c>
      <x:c r="R227" s="623">
        <x:v>-0.28999999999999998</x:v>
      </x:c>
    </x:row>
    <x:row r="228" spans="1:18" ht="12.75" customHeight="1" x14ac:dyDescent="0.25">
      <x:c r="C228" s="617" t="s">
        <x:v>73</x:v>
      </x:c>
      <x:c r="D228" s="621">
        <x:v>2174082.7999999998</x:v>
      </x:c>
      <x:c r="E228" s="619">
        <x:v>22089.07</x:v>
      </x:c>
      <x:c r="F228" s="619">
        <x:v>10938.57</x:v>
      </x:c>
      <x:c r="G228" s="621">
        <x:v>6096.13</x:v>
      </x:c>
      <x:c r="H228" s="619">
        <x:v>636523.27</x:v>
      </x:c>
      <x:c r="I228" s="619">
        <x:v>22219.55</x:v>
      </x:c>
      <x:c r="J228" s="619">
        <x:v>194912.33</x:v>
      </x:c>
      <x:c r="K228" s="619">
        <x:v>197393.84</x:v>
      </x:c>
      <x:c r="L228" s="619">
        <x:v>989072.18</x:v>
      </x:c>
      <x:c r="M228" s="619">
        <x:v>58583.97</x:v>
      </x:c>
      <x:c r="N228" s="619">
        <x:v>36253.89</x:v>
      </x:c>
      <x:c r="O228" s="619">
        <x:v>0</x:v>
      </x:c>
      <x:c r="P228" s="619">
        <x:v>0</x:v>
      </x:c>
      <x:c r="Q228" s="619">
        <x:v>0</x:v>
      </x:c>
      <x:c r="R228" s="617">
        <x:v>0</x:v>
      </x:c>
    </x:row>
    <x:row r="229" spans="1:18" s="624" customFormat="1" ht="12.75" customHeight="1" x14ac:dyDescent="0.25">
      <x:c r="B229" s="625" t="s">
        <x:v>79</x:v>
      </x:c>
      <x:c r="C229" s="625" t="s">
        <x:v>70</x:v>
      </x:c>
      <x:c r="D229" s="625">
        <x:v>2174082.7999999998</x:v>
      </x:c>
      <x:c r="E229" s="625">
        <x:v>22089.07</x:v>
      </x:c>
      <x:c r="F229" s="625">
        <x:v>10938.57</x:v>
      </x:c>
      <x:c r="G229" s="625">
        <x:v>6096.13</x:v>
      </x:c>
      <x:c r="H229" s="625">
        <x:v>636523.27</x:v>
      </x:c>
      <x:c r="I229" s="625">
        <x:v>22219.55</x:v>
      </x:c>
      <x:c r="J229" s="625">
        <x:v>194912.33</x:v>
      </x:c>
      <x:c r="K229" s="625">
        <x:v>197393.84</x:v>
      </x:c>
      <x:c r="L229" s="625">
        <x:v>989072.18</x:v>
      </x:c>
      <x:c r="M229" s="625">
        <x:v>58583.97</x:v>
      </x:c>
      <x:c r="N229" s="625">
        <x:v>36253.89</x:v>
      </x:c>
      <x:c r="O229" s="625">
        <x:v>0</x:v>
      </x:c>
      <x:c r="P229" s="624">
        <x:v>0</x:v>
      </x:c>
      <x:c r="Q229" s="625">
        <x:v>0</x:v>
      </x:c>
      <x:c r="R229" s="625">
        <x:v>0</x:v>
      </x:c>
    </x:row>
    <x:row r="230" spans="1:18" s="756" customFormat="1" ht="12.75" customHeight="1" x14ac:dyDescent="0.25">
      <x:c r="A230" s="756" t="s">
        <x:v>155</x:v>
      </x:c>
      <x:c r="B230" s="756" t="s">
        <x:v>70</x:v>
      </x:c>
      <x:c r="D230" s="757">
        <x:v>-29768645.890000001</x:v>
      </x:c>
      <x:c r="E230" s="758">
        <x:v>-2957643.93</x:v>
      </x:c>
      <x:c r="F230" s="758">
        <x:v>-1476185.95</x:v>
      </x:c>
      <x:c r="G230" s="757">
        <x:v>-679560.18</x:v>
      </x:c>
      <x:c r="H230" s="758">
        <x:v>-5105290.58</x:v>
      </x:c>
      <x:c r="I230" s="758">
        <x:v>-189843.39</x:v>
      </x:c>
      <x:c r="J230" s="758">
        <x:v>-1649978.03</x:v>
      </x:c>
      <x:c r="K230" s="758">
        <x:v>-1742796.19</x:v>
      </x:c>
      <x:c r="L230" s="758">
        <x:v>-7840487.6399999997</x:v>
      </x:c>
      <x:c r="M230" s="758">
        <x:v>-7817073.5</x:v>
      </x:c>
      <x:c r="N230" s="758">
        <x:v>-309764.42</x:v>
      </x:c>
      <x:c r="O230" s="758">
        <x:v>-21.79</x:v>
      </x:c>
      <x:c r="P230" s="758">
        <x:v>0</x:v>
      </x:c>
      <x:c r="Q230" s="758">
        <x:v>0</x:v>
      </x:c>
      <x:c r="R230" s="756">
        <x:v>-0.28999999999999998</x:v>
      </x:c>
    </x:row>
    <x:row r="231" spans="1:18" ht="12.75" customHeight="1" x14ac:dyDescent="0.25">
      <x:c r="C231" s="617" t="s">
        <x:v>72</x:v>
      </x:c>
      <x:c r="D231" s="621">
        <x:v>-855911.65</x:v>
      </x:c>
      <x:c r="E231" s="619">
        <x:v>-56578.79</x:v>
      </x:c>
      <x:c r="F231" s="619">
        <x:v>-29944.45</x:v>
      </x:c>
      <x:c r="G231" s="621">
        <x:v>-16676.990000000002</x:v>
      </x:c>
      <x:c r="H231" s="619">
        <x:v>-192512.79</x:v>
      </x:c>
      <x:c r="I231" s="619">
        <x:v>-5218.1499999999996</x:v>
      </x:c>
      <x:c r="J231" s="619">
        <x:v>-44076.57</x:v>
      </x:c>
      <x:c r="K231" s="619">
        <x:v>-55205.51</x:v>
      </x:c>
      <x:c r="L231" s="619">
        <x:v>-296108.40999999997</x:v>
      </x:c>
      <x:c r="M231" s="619">
        <x:v>-151081.81</x:v>
      </x:c>
      <x:c r="N231" s="619">
        <x:v>-8513.86</x:v>
      </x:c>
      <x:c r="O231" s="619">
        <x:v>5.68</x:v>
      </x:c>
      <x:c r="P231" s="619">
        <x:v>0</x:v>
      </x:c>
      <x:c r="Q231" s="619">
        <x:v>0</x:v>
      </x:c>
      <x:c r="R231" s="617">
        <x:v>0</x:v>
      </x:c>
    </x:row>
    <x:row r="232" spans="1:18" ht="12.75" customHeight="1" x14ac:dyDescent="0.25">
      <x:c r="C232" s="617" t="s">
        <x:v>81</x:v>
      </x:c>
      <x:c r="D232" s="621">
        <x:v>-456.33</x:v>
      </x:c>
      <x:c r="E232" s="619">
        <x:v>-43.08</x:v>
      </x:c>
      <x:c r="F232" s="619">
        <x:v>-19.82</x:v>
      </x:c>
      <x:c r="G232" s="621">
        <x:v>-11.45</x:v>
      </x:c>
      <x:c r="H232" s="619">
        <x:v>-92.32</x:v>
      </x:c>
      <x:c r="I232" s="619">
        <x:v>-2.2799999999999998</x:v>
      </x:c>
      <x:c r="J232" s="619">
        <x:v>-19.89</x:v>
      </x:c>
      <x:c r="K232" s="619">
        <x:v>-24.84</x:v>
      </x:c>
      <x:c r="L232" s="619">
        <x:v>-122.9</x:v>
      </x:c>
      <x:c r="M232" s="619">
        <x:v>-116.06</x:v>
      </x:c>
      <x:c r="N232" s="619">
        <x:v>-3.69</x:v>
      </x:c>
      <x:c r="O232" s="619">
        <x:v>0</x:v>
      </x:c>
      <x:c r="P232" s="619">
        <x:v>0</x:v>
      </x:c>
      <x:c r="Q232" s="619">
        <x:v>0</x:v>
      </x:c>
      <x:c r="R232" s="617">
        <x:v>0</x:v>
      </x:c>
    </x:row>
    <x:row r="233" spans="1:18" s="622" customFormat="1" ht="12.75" customHeight="1" x14ac:dyDescent="0.25">
      <x:c r="B233" s="623" t="s">
        <x:v>78</x:v>
      </x:c>
      <x:c r="C233" s="623" t="s">
        <x:v>70</x:v>
      </x:c>
      <x:c r="D233" s="623">
        <x:v>-856367.98</x:v>
      </x:c>
      <x:c r="E233" s="623">
        <x:v>-56621.87</x:v>
      </x:c>
      <x:c r="F233" s="623">
        <x:v>-29964.27</x:v>
      </x:c>
      <x:c r="G233" s="623">
        <x:v>-16688.439999999999</x:v>
      </x:c>
      <x:c r="H233" s="623">
        <x:v>-192605.11</x:v>
      </x:c>
      <x:c r="I233" s="623">
        <x:v>-5220.43</x:v>
      </x:c>
      <x:c r="J233" s="623">
        <x:v>-44096.46</x:v>
      </x:c>
      <x:c r="K233" s="623">
        <x:v>-55230.35</x:v>
      </x:c>
      <x:c r="L233" s="623">
        <x:v>-296231.31</x:v>
      </x:c>
      <x:c r="M233" s="623">
        <x:v>-151197.87</x:v>
      </x:c>
      <x:c r="N233" s="623">
        <x:v>-8517.5499999999993</x:v>
      </x:c>
      <x:c r="O233" s="623">
        <x:v>5.68</x:v>
      </x:c>
      <x:c r="P233" s="622">
        <x:v>0</x:v>
      </x:c>
      <x:c r="Q233" s="623">
        <x:v>0</x:v>
      </x:c>
      <x:c r="R233" s="623">
        <x:v>0</x:v>
      </x:c>
    </x:row>
    <x:row r="234" spans="1:18" ht="12.75" customHeight="1" x14ac:dyDescent="0.25">
      <x:c r="C234" s="617" t="s">
        <x:v>73</x:v>
      </x:c>
      <x:c r="D234" s="621">
        <x:v>120337.98</x:v>
      </x:c>
      <x:c r="E234" s="619">
        <x:v>-5853.75</x:v>
      </x:c>
      <x:c r="F234" s="619">
        <x:v>-3466.39</x:v>
      </x:c>
      <x:c r="G234" s="621">
        <x:v>-1802.77</x:v>
      </x:c>
      <x:c r="H234" s="619">
        <x:v>44564.39</x:v>
      </x:c>
      <x:c r="I234" s="619">
        <x:v>1338.88</x:v>
      </x:c>
      <x:c r="J234" s="619">
        <x:v>11744.63</x:v>
      </x:c>
      <x:c r="K234" s="619">
        <x:v>14317.92</x:v>
      </x:c>
      <x:c r="L234" s="619">
        <x:v>72511.87</x:v>
      </x:c>
      <x:c r="M234" s="619">
        <x:v>-15201.3</x:v>
      </x:c>
      <x:c r="N234" s="619">
        <x:v>2184.5</x:v>
      </x:c>
      <x:c r="O234" s="619">
        <x:v>0</x:v>
      </x:c>
      <x:c r="P234" s="619">
        <x:v>0</x:v>
      </x:c>
      <x:c r="Q234" s="619">
        <x:v>0</x:v>
      </x:c>
      <x:c r="R234" s="617">
        <x:v>0</x:v>
      </x:c>
    </x:row>
    <x:row r="235" spans="1:18" s="624" customFormat="1" ht="12.75" customHeight="1" x14ac:dyDescent="0.25">
      <x:c r="B235" s="625" t="s">
        <x:v>79</x:v>
      </x:c>
      <x:c r="C235" s="625" t="s">
        <x:v>70</x:v>
      </x:c>
      <x:c r="D235" s="625">
        <x:v>120337.98</x:v>
      </x:c>
      <x:c r="E235" s="625">
        <x:v>-5853.75</x:v>
      </x:c>
      <x:c r="F235" s="625">
        <x:v>-3466.39</x:v>
      </x:c>
      <x:c r="G235" s="625">
        <x:v>-1802.77</x:v>
      </x:c>
      <x:c r="H235" s="625">
        <x:v>44564.39</x:v>
      </x:c>
      <x:c r="I235" s="625">
        <x:v>1338.88</x:v>
      </x:c>
      <x:c r="J235" s="625">
        <x:v>11744.63</x:v>
      </x:c>
      <x:c r="K235" s="625">
        <x:v>14317.92</x:v>
      </x:c>
      <x:c r="L235" s="625">
        <x:v>72511.87</x:v>
      </x:c>
      <x:c r="M235" s="625">
        <x:v>-15201.3</x:v>
      </x:c>
      <x:c r="N235" s="625">
        <x:v>2184.5</x:v>
      </x:c>
      <x:c r="O235" s="625">
        <x:v>0</x:v>
      </x:c>
      <x:c r="P235" s="624">
        <x:v>0</x:v>
      </x:c>
      <x:c r="Q235" s="625">
        <x:v>0</x:v>
      </x:c>
      <x:c r="R235" s="625">
        <x:v>0</x:v>
      </x:c>
    </x:row>
    <x:row r="236" spans="1:18" s="764" customFormat="1" ht="12.75" customHeight="1" x14ac:dyDescent="0.25">
      <x:c r="A236" s="764" t="s">
        <x:v>120</x:v>
      </x:c>
      <x:c r="B236" s="764" t="s">
        <x:v>70</x:v>
      </x:c>
      <x:c r="D236" s="766">
        <x:v>-736030</x:v>
      </x:c>
      <x:c r="E236" s="765">
        <x:v>-62475.62</x:v>
      </x:c>
      <x:c r="F236" s="765">
        <x:v>-33430.660000000003</x:v>
      </x:c>
      <x:c r="G236" s="766">
        <x:v>-18491.21</x:v>
      </x:c>
      <x:c r="H236" s="765">
        <x:v>-148040.72</x:v>
      </x:c>
      <x:c r="I236" s="765">
        <x:v>-3881.55</x:v>
      </x:c>
      <x:c r="J236" s="765">
        <x:v>-32351.83</x:v>
      </x:c>
      <x:c r="K236" s="765">
        <x:v>-40912.43</x:v>
      </x:c>
      <x:c r="L236" s="765">
        <x:v>-223719.44</x:v>
      </x:c>
      <x:c r="M236" s="765">
        <x:v>-166399.17000000001</x:v>
      </x:c>
      <x:c r="N236" s="765">
        <x:v>-6333.05</x:v>
      </x:c>
      <x:c r="O236" s="765">
        <x:v>5.68</x:v>
      </x:c>
      <x:c r="P236" s="765">
        <x:v>0</x:v>
      </x:c>
      <x:c r="Q236" s="765">
        <x:v>0</x:v>
      </x:c>
      <x:c r="R236" s="764">
        <x:v>0</x:v>
      </x:c>
    </x:row>
    <x:row r="237" spans="1:18" ht="12.75" customHeight="1" x14ac:dyDescent="0.25">
      <x:c r="C237" s="617" t="s">
        <x:v>72</x:v>
      </x:c>
      <x:c r="D237" s="621">
        <x:v>-3952597.5</x:v>
      </x:c>
      <x:c r="E237" s="619">
        <x:v>-239180.98</x:v>
      </x:c>
      <x:c r="F237" s="619">
        <x:v>-134746.5</x:v>
      </x:c>
      <x:c r="G237" s="621">
        <x:v>-69663.42</x:v>
      </x:c>
      <x:c r="H237" s="619">
        <x:v>-865036.73</x:v>
      </x:c>
      <x:c r="I237" s="619">
        <x:v>-28695.58</x:v>
      </x:c>
      <x:c r="J237" s="619">
        <x:v>-279525.13</x:v>
      </x:c>
      <x:c r="K237" s="619">
        <x:v>-279118.37</x:v>
      </x:c>
      <x:c r="L237" s="619">
        <x:v>-1359152.73</x:v>
      </x:c>
      <x:c r="M237" s="619">
        <x:v>-648894.61</x:v>
      </x:c>
      <x:c r="N237" s="619">
        <x:v>-48597.18</x:v>
      </x:c>
      <x:c r="O237" s="619">
        <x:v>13.73</x:v>
      </x:c>
      <x:c r="P237" s="619">
        <x:v>0</x:v>
      </x:c>
      <x:c r="Q237" s="619">
        <x:v>0</x:v>
      </x:c>
      <x:c r="R237" s="617">
        <x:v>0</x:v>
      </x:c>
    </x:row>
    <x:row r="238" spans="1:18" ht="12.75" customHeight="1" x14ac:dyDescent="0.25">
      <x:c r="C238" s="617" t="s">
        <x:v>81</x:v>
      </x:c>
      <x:c r="D238" s="621">
        <x:v>-72621.509999999995</x:v>
      </x:c>
      <x:c r="E238" s="619">
        <x:v>-5294.3</x:v>
      </x:c>
      <x:c r="F238" s="619">
        <x:v>-1735.02</x:v>
      </x:c>
      <x:c r="G238" s="621">
        <x:v>-406.34</x:v>
      </x:c>
      <x:c r="H238" s="619">
        <x:v>-9879.81</x:v>
      </x:c>
      <x:c r="I238" s="619">
        <x:v>-851.94</x:v>
      </x:c>
      <x:c r="J238" s="619">
        <x:v>-7477.78</x:v>
      </x:c>
      <x:c r="K238" s="619">
        <x:v>-6895.96</x:v>
      </x:c>
      <x:c r="L238" s="619">
        <x:v>-23542.38</x:v>
      </x:c>
      <x:c r="M238" s="619">
        <x:v>-15148.31</x:v>
      </x:c>
      <x:c r="N238" s="619">
        <x:v>-1390.75</x:v>
      </x:c>
      <x:c r="O238" s="619">
        <x:v>1.08</x:v>
      </x:c>
      <x:c r="P238" s="619">
        <x:v>0</x:v>
      </x:c>
      <x:c r="Q238" s="619">
        <x:v>0</x:v>
      </x:c>
      <x:c r="R238" s="617">
        <x:v>0</x:v>
      </x:c>
    </x:row>
    <x:row r="239" spans="1:18" s="622" customFormat="1" ht="12.75" customHeight="1" x14ac:dyDescent="0.25">
      <x:c r="B239" s="623" t="s">
        <x:v>78</x:v>
      </x:c>
      <x:c r="C239" s="623" t="s">
        <x:v>70</x:v>
      </x:c>
      <x:c r="D239" s="623">
        <x:v>-4025219.01</x:v>
      </x:c>
      <x:c r="E239" s="623">
        <x:v>-244475.28</x:v>
      </x:c>
      <x:c r="F239" s="623">
        <x:v>-136481.51999999999</x:v>
      </x:c>
      <x:c r="G239" s="623">
        <x:v>-70069.759999999995</x:v>
      </x:c>
      <x:c r="H239" s="623">
        <x:v>-874916.54</x:v>
      </x:c>
      <x:c r="I239" s="623">
        <x:v>-29547.52</x:v>
      </x:c>
      <x:c r="J239" s="623">
        <x:v>-287002.90999999997</x:v>
      </x:c>
      <x:c r="K239" s="623">
        <x:v>-286014.33</x:v>
      </x:c>
      <x:c r="L239" s="623">
        <x:v>-1382695.11</x:v>
      </x:c>
      <x:c r="M239" s="623">
        <x:v>-664042.92000000004</x:v>
      </x:c>
      <x:c r="N239" s="623">
        <x:v>-49987.93</x:v>
      </x:c>
      <x:c r="O239" s="623">
        <x:v>14.81</x:v>
      </x:c>
      <x:c r="P239" s="622">
        <x:v>0</x:v>
      </x:c>
      <x:c r="Q239" s="623">
        <x:v>0</x:v>
      </x:c>
      <x:c r="R239" s="623">
        <x:v>0</x:v>
      </x:c>
    </x:row>
    <x:row r="240" spans="1:18" ht="12.75" customHeight="1" x14ac:dyDescent="0.25">
      <x:c r="C240" s="617" t="s">
        <x:v>73</x:v>
      </x:c>
      <x:c r="D240" s="619">
        <x:v>791790.67</x:v>
      </x:c>
      <x:c r="E240" s="619">
        <x:v>30614.54</x:v>
      </x:c>
      <x:c r="F240" s="619">
        <x:v>15664.41</x:v>
      </x:c>
      <x:c r="G240" s="621">
        <x:v>8427.0300000000007</x:v>
      </x:c>
      <x:c r="H240" s="619">
        <x:v>198488.51</x:v>
      </x:c>
      <x:c r="I240" s="619">
        <x:v>7139.75</x:v>
      </x:c>
      <x:c r="J240" s="619">
        <x:v>62630.13</x:v>
      </x:c>
      <x:c r="K240" s="619">
        <x:v>62193.599999999999</x:v>
      </x:c>
      <x:c r="L240" s="619">
        <x:v>307975.48</x:v>
      </x:c>
      <x:c r="M240" s="619">
        <x:v>87007.94</x:v>
      </x:c>
      <x:c r="N240" s="619">
        <x:v>11649.28</x:v>
      </x:c>
      <x:c r="O240" s="619">
        <x:v>0</x:v>
      </x:c>
      <x:c r="P240" s="619">
        <x:v>0</x:v>
      </x:c>
      <x:c r="Q240" s="619">
        <x:v>0</x:v>
      </x:c>
      <x:c r="R240" s="617">
        <x:v>0</x:v>
      </x:c>
    </x:row>
    <x:row r="241" spans="1:18" s="624" customFormat="1" ht="12.75" customHeight="1" x14ac:dyDescent="0.25">
      <x:c r="B241" s="625" t="s">
        <x:v>79</x:v>
      </x:c>
      <x:c r="C241" s="625" t="s">
        <x:v>70</x:v>
      </x:c>
      <x:c r="D241" s="625">
        <x:v>791790.67</x:v>
      </x:c>
      <x:c r="E241" s="625">
        <x:v>30614.54</x:v>
      </x:c>
      <x:c r="F241" s="625">
        <x:v>15664.41</x:v>
      </x:c>
      <x:c r="G241" s="625">
        <x:v>8427.0300000000007</x:v>
      </x:c>
      <x:c r="H241" s="625">
        <x:v>198488.51</x:v>
      </x:c>
      <x:c r="I241" s="625">
        <x:v>7139.75</x:v>
      </x:c>
      <x:c r="J241" s="625">
        <x:v>62630.13</x:v>
      </x:c>
      <x:c r="K241" s="625">
        <x:v>62193.599999999999</x:v>
      </x:c>
      <x:c r="L241" s="625">
        <x:v>307975.48</x:v>
      </x:c>
      <x:c r="M241" s="625">
        <x:v>87007.94</x:v>
      </x:c>
      <x:c r="N241" s="625">
        <x:v>11649.28</x:v>
      </x:c>
      <x:c r="O241" s="625">
        <x:v>0</x:v>
      </x:c>
      <x:c r="P241" s="624">
        <x:v>0</x:v>
      </x:c>
      <x:c r="Q241" s="625">
        <x:v>0</x:v>
      </x:c>
      <x:c r="R241" s="625">
        <x:v>0</x:v>
      </x:c>
    </x:row>
    <x:row r="242" spans="1:18" s="755" customFormat="1" ht="12.75" customHeight="1" x14ac:dyDescent="0.25">
      <x:c r="A242" s="755" t="s">
        <x:v>119</x:v>
      </x:c>
      <x:c r="B242" s="629" t="s">
        <x:v>70</x:v>
      </x:c>
      <x:c r="C242" s="629"/>
      <x:c r="D242" s="629">
        <x:v>-3233428.34</x:v>
      </x:c>
      <x:c r="E242" s="629">
        <x:v>-213860.74</x:v>
      </x:c>
      <x:c r="F242" s="629">
        <x:v>-120817.11</x:v>
      </x:c>
      <x:c r="G242" s="629">
        <x:v>-61642.73</x:v>
      </x:c>
      <x:c r="H242" s="629">
        <x:v>-676428.03</x:v>
      </x:c>
      <x:c r="I242" s="629">
        <x:v>-22407.77</x:v>
      </x:c>
      <x:c r="J242" s="629">
        <x:v>-224372.78</x:v>
      </x:c>
      <x:c r="K242" s="629">
        <x:v>-223820.73</x:v>
      </x:c>
      <x:c r="L242" s="629">
        <x:v>-1074719.6299999999</x:v>
      </x:c>
      <x:c r="M242" s="629">
        <x:v>-577034.98</x:v>
      </x:c>
      <x:c r="N242" s="629">
        <x:v>-38338.65</x:v>
      </x:c>
      <x:c r="O242" s="629">
        <x:v>14.81</x:v>
      </x:c>
      <x:c r="P242" s="755">
        <x:v>0</x:v>
      </x:c>
      <x:c r="Q242" s="629">
        <x:v>0</x:v>
      </x:c>
      <x:c r="R242" s="629">
        <x:v>0</x:v>
      </x:c>
    </x:row>
    <x:row r="243" spans="1:18" s="632" customFormat="1" ht="12.75" customHeight="1" x14ac:dyDescent="0.25">
      <x:c r="A243" s="631" t="s">
        <x:v>70</x:v>
      </x:c>
      <x:c r="D243" s="631" t="n">
        <x:v>-15663330</x:v>
      </x:c>
      <x:c r="E243" s="631">
        <x:v>-3233980.29</x:v>
      </x:c>
      <x:c r="F243" s="631">
        <x:v>-1630433.72</x:v>
      </x:c>
      <x:c r="G243" s="631">
        <x:v>-759694.12</x:v>
      </x:c>
      <x:c r="H243" s="631">
        <x:v>-5929759.3300000001</x:v>
      </x:c>
      <x:c r="I243" s="631">
        <x:v>-216132.71</x:v>
      </x:c>
      <x:c r="J243" s="631">
        <x:v>-1906702.64</x:v>
      </x:c>
      <x:c r="K243" s="631">
        <x:v>-2007529.35</x:v>
      </x:c>
      <x:c r="L243" s="631">
        <x:v>-9138926.7100000009</x:v>
      </x:c>
      <x:c r="M243" s="631">
        <x:v>-8560507.6500000004</x:v>
      </x:c>
      <x:c r="N243" s="631">
        <x:v>-354436.12</x:v>
      </x:c>
      <x:c r="O243" s="631">
        <x:v>-1.3</x:v>
      </x:c>
      <x:c r="P243" s="632" t="n">
        <x:v>0</x:v>
      </x:c>
      <x:c r="Q243" s="632">
        <x:v>0</x:v>
      </x:c>
      <x:c r="R243" s="632">
        <x:v>-0.28999999999999998</x:v>
      </x:c>
    </x:row>
    <x:row r="244" spans="1:18" ht="12.75" customHeight="1" x14ac:dyDescent="0.25">
      <x:c r="A244" s="619"/>
      <x:c r="B244" s="619"/>
      <x:c r="D244" s="619"/>
      <x:c r="E244" s="619"/>
      <x:c r="F244" s="619"/>
      <x:c r="G244" s="619"/>
      <x:c r="H244" s="619"/>
      <x:c r="I244" s="619"/>
      <x:c r="J244" s="619"/>
      <x:c r="K244" s="619"/>
      <x:c r="L244" s="619"/>
      <x:c r="M244" s="619"/>
      <x:c r="N244" s="619"/>
      <x:c r="O244" s="619"/>
    </x:row>
    <x:row r="245" spans="1:18" ht="12.75" customHeight="1" x14ac:dyDescent="0.25">
      <x:c r="A245" s="619"/>
      <x:c r="D245" s="619"/>
      <x:c r="E245" s="619"/>
      <x:c r="F245" s="619"/>
      <x:c r="G245" s="619"/>
      <x:c r="H245" s="619"/>
      <x:c r="I245" s="619"/>
      <x:c r="J245" s="619"/>
      <x:c r="K245" s="619"/>
      <x:c r="L245" s="619"/>
      <x:c r="M245" s="619"/>
      <x:c r="N245" s="619"/>
      <x:c r="O245" s="619"/>
    </x:row>
    <x:row r="246" spans="1:18" ht="12.75" customHeight="1" x14ac:dyDescent="0.25">
      <x:c r="B246" s="619"/>
      <x:c r="C246" s="619"/>
      <x:c r="D246" s="619"/>
      <x:c r="E246" s="619"/>
      <x:c r="F246" s="619"/>
      <x:c r="G246" s="619"/>
      <x:c r="H246" s="619"/>
      <x:c r="I246" s="619"/>
      <x:c r="J246" s="619"/>
      <x:c r="K246" s="619"/>
      <x:c r="L246" s="619"/>
      <x:c r="M246" s="619"/>
      <x:c r="N246" s="619"/>
      <x:c r="O246" s="619"/>
    </x:row>
    <x:row r="247" spans="1:18" ht="12.75" hidden="1" customHeight="1" x14ac:dyDescent="0.25">
      <x:c r="B247" s="619"/>
      <x:c r="C247" s="619"/>
      <x:c r="D247" s="619"/>
      <x:c r="E247" s="619"/>
      <x:c r="F247" s="619"/>
      <x:c r="G247" s="619"/>
      <x:c r="H247" s="619"/>
      <x:c r="I247" s="619"/>
      <x:c r="J247" s="619"/>
      <x:c r="K247" s="619"/>
      <x:c r="L247" s="619"/>
      <x:c r="M247" s="619"/>
      <x:c r="N247" s="619"/>
      <x:c r="O247" s="619"/>
    </x:row>
    <x:row r="248" spans="1:18" ht="12.75" hidden="1" customHeight="1" x14ac:dyDescent="0.25">
      <x:c r="B248" s="619"/>
      <x:c r="C248" s="619"/>
      <x:c r="D248" s="619"/>
      <x:c r="E248" s="619"/>
      <x:c r="F248" s="619"/>
      <x:c r="G248" s="619"/>
      <x:c r="H248" s="619"/>
      <x:c r="I248" s="619"/>
      <x:c r="J248" s="619"/>
      <x:c r="K248" s="619"/>
      <x:c r="L248" s="619"/>
      <x:c r="M248" s="619"/>
      <x:c r="N248" s="619"/>
      <x:c r="O248" s="619"/>
    </x:row>
    <x:row r="249" spans="1:18" ht="12.75" hidden="1" customHeight="1" x14ac:dyDescent="0.25">
      <x:c r="B249" s="619"/>
      <x:c r="C249" s="619"/>
      <x:c r="D249" s="619"/>
      <x:c r="E249" s="619"/>
      <x:c r="F249" s="619"/>
      <x:c r="G249" s="619"/>
      <x:c r="H249" s="619"/>
      <x:c r="I249" s="619"/>
      <x:c r="J249" s="619"/>
      <x:c r="K249" s="619"/>
      <x:c r="L249" s="619"/>
      <x:c r="M249" s="619"/>
      <x:c r="N249" s="619"/>
      <x:c r="O249" s="619"/>
    </x:row>
    <x:row r="250" spans="1:18" ht="12.75" hidden="1" customHeight="1" x14ac:dyDescent="0.25">
      <x:c r="B250" s="619"/>
      <x:c r="C250" s="619"/>
      <x:c r="D250" s="619"/>
      <x:c r="E250" s="619"/>
      <x:c r="F250" s="619"/>
      <x:c r="G250" s="619"/>
      <x:c r="H250" s="619"/>
      <x:c r="I250" s="619"/>
      <x:c r="J250" s="619"/>
      <x:c r="K250" s="619"/>
      <x:c r="L250" s="619"/>
      <x:c r="M250" s="619"/>
      <x:c r="N250" s="619"/>
      <x:c r="O250" s="619"/>
    </x:row>
    <x:row r="251" spans="1:18" ht="12.75" hidden="1" customHeight="1" x14ac:dyDescent="0.25">
      <x:c r="B251" s="619"/>
      <x:c r="C251" s="619"/>
      <x:c r="D251" s="619"/>
      <x:c r="E251" s="619"/>
      <x:c r="F251" s="619"/>
      <x:c r="G251" s="619"/>
      <x:c r="H251" s="619"/>
      <x:c r="I251" s="619"/>
      <x:c r="J251" s="619"/>
      <x:c r="K251" s="619"/>
      <x:c r="L251" s="619"/>
      <x:c r="M251" s="619"/>
      <x:c r="N251" s="619"/>
      <x:c r="O251" s="619"/>
    </x:row>
    <x:row r="252" spans="1:18" ht="12.75" hidden="1" customHeight="1" x14ac:dyDescent="0.25">
      <x:c r="B252" s="619"/>
      <x:c r="C252" s="619"/>
      <x:c r="D252" s="619"/>
      <x:c r="E252" s="619"/>
      <x:c r="F252" s="619"/>
      <x:c r="G252" s="619"/>
      <x:c r="H252" s="619"/>
      <x:c r="I252" s="619"/>
      <x:c r="J252" s="619"/>
      <x:c r="K252" s="619"/>
      <x:c r="L252" s="619"/>
      <x:c r="M252" s="619"/>
      <x:c r="N252" s="619"/>
      <x:c r="O252" s="619"/>
    </x:row>
    <x:row r="253" spans="1:18" ht="12.75" hidden="1" customHeight="1" x14ac:dyDescent="0.25">
      <x:c r="B253" s="619"/>
      <x:c r="C253" s="619"/>
      <x:c r="D253" s="619"/>
      <x:c r="E253" s="619"/>
      <x:c r="F253" s="619"/>
      <x:c r="G253" s="619"/>
      <x:c r="H253" s="619"/>
      <x:c r="I253" s="619"/>
      <x:c r="J253" s="619"/>
      <x:c r="K253" s="619"/>
      <x:c r="L253" s="619"/>
      <x:c r="M253" s="619"/>
      <x:c r="N253" s="619"/>
      <x:c r="O253" s="619"/>
    </x:row>
    <x:row r="254" spans="1:18" ht="12.75" hidden="1" customHeight="1" x14ac:dyDescent="0.25">
      <x:c r="B254" s="619"/>
      <x:c r="C254" s="619"/>
      <x:c r="D254" s="619"/>
      <x:c r="E254" s="619"/>
      <x:c r="F254" s="619"/>
      <x:c r="G254" s="619"/>
      <x:c r="H254" s="619"/>
      <x:c r="I254" s="619"/>
      <x:c r="J254" s="619"/>
      <x:c r="K254" s="619"/>
      <x:c r="L254" s="619"/>
      <x:c r="M254" s="619"/>
      <x:c r="N254" s="619"/>
      <x:c r="O254" s="619"/>
    </x:row>
    <x:row r="255" spans="1:18" ht="12.75" hidden="1" customHeight="1" x14ac:dyDescent="0.25">
      <x:c r="B255" s="619"/>
      <x:c r="C255" s="619"/>
      <x:c r="D255" s="619"/>
      <x:c r="E255" s="619"/>
      <x:c r="F255" s="619"/>
      <x:c r="G255" s="619"/>
      <x:c r="H255" s="619"/>
      <x:c r="I255" s="619"/>
      <x:c r="J255" s="619"/>
      <x:c r="K255" s="619"/>
      <x:c r="L255" s="619"/>
      <x:c r="M255" s="619"/>
      <x:c r="N255" s="619"/>
      <x:c r="O255" s="619"/>
    </x:row>
    <x:row r="256" spans="1:18" ht="12.75" hidden="1" customHeight="1" x14ac:dyDescent="0.25">
      <x:c r="B256" s="619"/>
      <x:c r="C256" s="619"/>
      <x:c r="D256" s="619"/>
      <x:c r="E256" s="619"/>
      <x:c r="F256" s="619"/>
      <x:c r="G256" s="619"/>
      <x:c r="H256" s="619"/>
      <x:c r="I256" s="619"/>
      <x:c r="J256" s="619"/>
      <x:c r="K256" s="619"/>
      <x:c r="L256" s="619"/>
      <x:c r="M256" s="619"/>
      <x:c r="N256" s="619"/>
      <x:c r="O256" s="619"/>
    </x:row>
    <x:row r="257" spans="2:15" ht="12.75" hidden="1" customHeight="1" x14ac:dyDescent="0.25">
      <x:c r="B257" s="619"/>
      <x:c r="C257" s="619"/>
      <x:c r="D257" s="619"/>
      <x:c r="E257" s="619"/>
      <x:c r="F257" s="619"/>
      <x:c r="G257" s="619"/>
      <x:c r="H257" s="619"/>
      <x:c r="I257" s="619"/>
      <x:c r="J257" s="619"/>
      <x:c r="K257" s="619"/>
      <x:c r="L257" s="619"/>
      <x:c r="M257" s="619"/>
      <x:c r="N257" s="619"/>
      <x:c r="O257" s="619"/>
    </x:row>
    <x:row r="258" spans="2:15" ht="12.75" hidden="1" customHeight="1" x14ac:dyDescent="0.25">
      <x:c r="B258" s="619"/>
      <x:c r="C258" s="619"/>
      <x:c r="D258" s="619"/>
      <x:c r="E258" s="619"/>
      <x:c r="F258" s="619"/>
      <x:c r="G258" s="619"/>
      <x:c r="H258" s="619"/>
      <x:c r="I258" s="619"/>
      <x:c r="J258" s="619"/>
      <x:c r="K258" s="619"/>
      <x:c r="L258" s="619"/>
      <x:c r="M258" s="619"/>
      <x:c r="N258" s="619"/>
      <x:c r="O258" s="619"/>
    </x:row>
    <x:row r="259" spans="2:15" ht="12.75" hidden="1" customHeight="1" x14ac:dyDescent="0.25">
      <x:c r="B259" s="619"/>
      <x:c r="C259" s="619"/>
      <x:c r="D259" s="619"/>
      <x:c r="E259" s="619"/>
      <x:c r="F259" s="619"/>
      <x:c r="G259" s="619"/>
      <x:c r="H259" s="619"/>
      <x:c r="I259" s="619"/>
      <x:c r="J259" s="619"/>
      <x:c r="K259" s="619"/>
      <x:c r="L259" s="619"/>
      <x:c r="M259" s="619"/>
      <x:c r="N259" s="619"/>
      <x:c r="O259" s="619"/>
    </x:row>
    <x:row r="260" spans="2:15" ht="12.75" hidden="1" customHeight="1" x14ac:dyDescent="0.25">
      <x:c r="B260" s="619"/>
      <x:c r="C260" s="619"/>
      <x:c r="D260" s="619"/>
      <x:c r="E260" s="619"/>
      <x:c r="F260" s="619"/>
      <x:c r="G260" s="619"/>
      <x:c r="H260" s="619"/>
      <x:c r="I260" s="619"/>
      <x:c r="J260" s="619"/>
      <x:c r="K260" s="619"/>
      <x:c r="L260" s="619"/>
      <x:c r="M260" s="619"/>
      <x:c r="N260" s="619"/>
      <x:c r="O260" s="619"/>
    </x:row>
    <x:row r="261" spans="2:15" ht="12.75" hidden="1" customHeight="1" x14ac:dyDescent="0.25">
      <x:c r="B261" s="619"/>
      <x:c r="C261" s="619"/>
      <x:c r="D261" s="619"/>
      <x:c r="E261" s="619"/>
      <x:c r="F261" s="619"/>
      <x:c r="G261" s="619"/>
      <x:c r="H261" s="619"/>
      <x:c r="I261" s="619"/>
      <x:c r="J261" s="619"/>
      <x:c r="K261" s="619"/>
      <x:c r="L261" s="619"/>
      <x:c r="M261" s="619"/>
      <x:c r="N261" s="619"/>
      <x:c r="O261" s="619"/>
    </x:row>
    <x:row r="262" spans="2:15" ht="12.75" hidden="1" customHeight="1" x14ac:dyDescent="0.25">
      <x:c r="B262" s="619"/>
      <x:c r="C262" s="619"/>
      <x:c r="D262" s="619"/>
      <x:c r="E262" s="619"/>
      <x:c r="F262" s="619"/>
      <x:c r="G262" s="619"/>
      <x:c r="H262" s="619"/>
      <x:c r="I262" s="619"/>
      <x:c r="J262" s="619"/>
      <x:c r="K262" s="619"/>
      <x:c r="L262" s="619"/>
      <x:c r="M262" s="619"/>
      <x:c r="N262" s="619"/>
      <x:c r="O262" s="619"/>
    </x:row>
    <x:row r="263" spans="2:15" ht="12.75" hidden="1" customHeight="1" x14ac:dyDescent="0.25">
      <x:c r="B263" s="619"/>
      <x:c r="C263" s="619"/>
      <x:c r="D263" s="619"/>
      <x:c r="E263" s="619"/>
      <x:c r="F263" s="619"/>
      <x:c r="G263" s="619"/>
      <x:c r="H263" s="619"/>
      <x:c r="I263" s="619"/>
      <x:c r="J263" s="619"/>
      <x:c r="K263" s="619"/>
      <x:c r="L263" s="619"/>
      <x:c r="M263" s="619"/>
      <x:c r="N263" s="619"/>
      <x:c r="O263" s="619"/>
    </x:row>
    <x:row r="264" spans="2:15" ht="12.75" hidden="1" customHeight="1" x14ac:dyDescent="0.25">
      <x:c r="B264" s="619"/>
      <x:c r="C264" s="619"/>
      <x:c r="D264" s="619"/>
      <x:c r="E264" s="619"/>
      <x:c r="F264" s="619"/>
      <x:c r="G264" s="619"/>
      <x:c r="H264" s="619"/>
      <x:c r="I264" s="619"/>
      <x:c r="J264" s="619"/>
      <x:c r="K264" s="619"/>
      <x:c r="L264" s="619"/>
      <x:c r="M264" s="619"/>
      <x:c r="N264" s="619"/>
      <x:c r="O264" s="619"/>
    </x:row>
    <x:row r="265" spans="2:15" ht="12.75" hidden="1" customHeight="1" x14ac:dyDescent="0.25">
      <x:c r="B265" s="619"/>
      <x:c r="C265" s="619"/>
      <x:c r="D265" s="619"/>
      <x:c r="E265" s="619"/>
      <x:c r="F265" s="619"/>
      <x:c r="G265" s="619"/>
      <x:c r="H265" s="619"/>
      <x:c r="I265" s="619"/>
      <x:c r="J265" s="619"/>
      <x:c r="K265" s="619"/>
      <x:c r="L265" s="619"/>
      <x:c r="M265" s="619"/>
      <x:c r="N265" s="619"/>
      <x:c r="O265" s="619"/>
    </x:row>
    <x:row r="266" spans="2:15" ht="12.75" hidden="1" customHeight="1" x14ac:dyDescent="0.25">
      <x:c r="B266" s="619"/>
      <x:c r="C266" s="619"/>
      <x:c r="D266" s="619"/>
      <x:c r="E266" s="619"/>
      <x:c r="F266" s="619"/>
      <x:c r="G266" s="619"/>
      <x:c r="H266" s="619"/>
      <x:c r="I266" s="619"/>
      <x:c r="J266" s="619"/>
      <x:c r="K266" s="619"/>
      <x:c r="L266" s="619"/>
      <x:c r="M266" s="619"/>
      <x:c r="N266" s="619"/>
      <x:c r="O266" s="619"/>
    </x:row>
    <x:row r="267" spans="2:15" ht="12.75" hidden="1" customHeight="1" x14ac:dyDescent="0.25">
      <x:c r="B267" s="619"/>
      <x:c r="C267" s="619"/>
      <x:c r="D267" s="619"/>
      <x:c r="E267" s="619"/>
      <x:c r="F267" s="619"/>
      <x:c r="G267" s="619"/>
      <x:c r="H267" s="619"/>
      <x:c r="I267" s="619"/>
      <x:c r="J267" s="619"/>
      <x:c r="K267" s="619"/>
      <x:c r="L267" s="619"/>
      <x:c r="M267" s="619"/>
      <x:c r="N267" s="619"/>
      <x:c r="O267" s="619"/>
    </x:row>
    <x:row r="268" spans="2:15" ht="12.75" hidden="1" customHeight="1" x14ac:dyDescent="0.25">
      <x:c r="B268" s="619"/>
      <x:c r="C268" s="619"/>
      <x:c r="D268" s="619"/>
      <x:c r="E268" s="619"/>
      <x:c r="F268" s="619"/>
      <x:c r="G268" s="619"/>
      <x:c r="H268" s="619"/>
      <x:c r="I268" s="619"/>
      <x:c r="J268" s="619"/>
      <x:c r="K268" s="619"/>
      <x:c r="L268" s="619"/>
      <x:c r="M268" s="619"/>
      <x:c r="N268" s="619"/>
      <x:c r="O268" s="619"/>
    </x:row>
    <x:row r="269" spans="2:15" ht="12.75" hidden="1" customHeight="1" x14ac:dyDescent="0.25">
      <x:c r="B269" s="619"/>
      <x:c r="C269" s="619"/>
      <x:c r="D269" s="619"/>
      <x:c r="E269" s="619"/>
      <x:c r="F269" s="619"/>
      <x:c r="G269" s="619"/>
      <x:c r="H269" s="619"/>
      <x:c r="I269" s="619"/>
      <x:c r="J269" s="619"/>
      <x:c r="K269" s="619"/>
      <x:c r="L269" s="619"/>
      <x:c r="M269" s="619"/>
      <x:c r="N269" s="619"/>
      <x:c r="O269" s="619"/>
    </x:row>
    <x:row r="270" spans="2:15" ht="12.75" hidden="1" customHeight="1" x14ac:dyDescent="0.25">
      <x:c r="B270" s="619"/>
      <x:c r="C270" s="619"/>
      <x:c r="D270" s="619"/>
      <x:c r="E270" s="619"/>
      <x:c r="F270" s="619"/>
      <x:c r="G270" s="619"/>
      <x:c r="H270" s="619"/>
      <x:c r="I270" s="619"/>
      <x:c r="J270" s="619"/>
      <x:c r="K270" s="619"/>
      <x:c r="L270" s="619"/>
      <x:c r="M270" s="619"/>
      <x:c r="N270" s="619"/>
      <x:c r="O270" s="619"/>
    </x:row>
    <x:row r="271" spans="2:15" ht="12.75" hidden="1" customHeight="1" x14ac:dyDescent="0.25">
      <x:c r="B271" s="619"/>
      <x:c r="C271" s="619"/>
      <x:c r="D271" s="619"/>
      <x:c r="E271" s="619"/>
      <x:c r="F271" s="619"/>
      <x:c r="G271" s="619"/>
      <x:c r="H271" s="619"/>
      <x:c r="I271" s="619"/>
      <x:c r="J271" s="619"/>
      <x:c r="K271" s="619"/>
      <x:c r="L271" s="619"/>
      <x:c r="M271" s="619"/>
      <x:c r="N271" s="619"/>
      <x:c r="O271" s="619"/>
    </x:row>
    <x:row r="272" spans="2:15" ht="12.75" hidden="1" customHeight="1" x14ac:dyDescent="0.25">
      <x:c r="B272" s="619"/>
      <x:c r="C272" s="619"/>
      <x:c r="D272" s="619"/>
      <x:c r="E272" s="619"/>
      <x:c r="F272" s="619"/>
      <x:c r="G272" s="619"/>
      <x:c r="H272" s="619"/>
      <x:c r="I272" s="619"/>
      <x:c r="J272" s="619"/>
      <x:c r="K272" s="619"/>
      <x:c r="L272" s="619"/>
      <x:c r="M272" s="619"/>
      <x:c r="N272" s="619"/>
      <x:c r="O272" s="619"/>
    </x:row>
    <x:row r="273" spans="2:15" ht="12.75" hidden="1" customHeight="1" x14ac:dyDescent="0.25">
      <x:c r="B273" s="619"/>
      <x:c r="C273" s="619"/>
      <x:c r="D273" s="619"/>
      <x:c r="E273" s="619"/>
      <x:c r="F273" s="619"/>
      <x:c r="G273" s="619"/>
      <x:c r="H273" s="619"/>
      <x:c r="I273" s="619"/>
      <x:c r="J273" s="619"/>
      <x:c r="K273" s="619"/>
      <x:c r="L273" s="619"/>
      <x:c r="M273" s="619"/>
      <x:c r="N273" s="619"/>
      <x:c r="O273" s="619"/>
    </x:row>
    <x:row r="274" spans="2:15" ht="12.75" hidden="1" customHeight="1" x14ac:dyDescent="0.25">
      <x:c r="B274" s="619"/>
      <x:c r="C274" s="619"/>
      <x:c r="D274" s="619"/>
      <x:c r="E274" s="619"/>
      <x:c r="F274" s="619"/>
      <x:c r="G274" s="619"/>
      <x:c r="H274" s="619"/>
      <x:c r="I274" s="619"/>
      <x:c r="J274" s="619"/>
      <x:c r="K274" s="619"/>
      <x:c r="L274" s="619"/>
      <x:c r="M274" s="619"/>
      <x:c r="N274" s="619"/>
      <x:c r="O274" s="619"/>
    </x:row>
    <x:row r="275" spans="2:15" ht="12.75" hidden="1" customHeight="1" x14ac:dyDescent="0.25">
      <x:c r="B275" s="619"/>
      <x:c r="C275" s="619"/>
      <x:c r="D275" s="619"/>
      <x:c r="E275" s="619"/>
      <x:c r="F275" s="619"/>
      <x:c r="G275" s="619"/>
      <x:c r="H275" s="619"/>
      <x:c r="I275" s="619"/>
      <x:c r="J275" s="619"/>
      <x:c r="K275" s="619"/>
      <x:c r="L275" s="619"/>
      <x:c r="M275" s="619"/>
      <x:c r="N275" s="619"/>
      <x:c r="O275" s="619"/>
    </x:row>
    <x:row r="276" spans="2:15" ht="12.75" hidden="1" customHeight="1" x14ac:dyDescent="0.25">
      <x:c r="B276" s="619"/>
      <x:c r="C276" s="619"/>
      <x:c r="D276" s="619"/>
      <x:c r="E276" s="619"/>
      <x:c r="F276" s="619"/>
      <x:c r="G276" s="619"/>
      <x:c r="H276" s="619"/>
      <x:c r="I276" s="619"/>
      <x:c r="J276" s="619"/>
      <x:c r="K276" s="619"/>
      <x:c r="L276" s="619"/>
      <x:c r="M276" s="619"/>
      <x:c r="N276" s="619"/>
      <x:c r="O276" s="619"/>
    </x:row>
    <x:row r="277" spans="2:15" ht="12.75" hidden="1" customHeight="1" x14ac:dyDescent="0.25">
      <x:c r="B277" s="619"/>
      <x:c r="C277" s="619"/>
      <x:c r="D277" s="619"/>
      <x:c r="E277" s="619"/>
      <x:c r="F277" s="619"/>
      <x:c r="G277" s="619"/>
      <x:c r="H277" s="619"/>
      <x:c r="I277" s="619"/>
      <x:c r="J277" s="619"/>
      <x:c r="K277" s="619"/>
      <x:c r="L277" s="619"/>
      <x:c r="M277" s="619"/>
      <x:c r="N277" s="619"/>
      <x:c r="O277" s="619"/>
    </x:row>
    <x:row r="278" spans="2:15" ht="12.75" hidden="1" customHeight="1" x14ac:dyDescent="0.25">
      <x:c r="B278" s="619"/>
      <x:c r="C278" s="619"/>
      <x:c r="D278" s="619"/>
      <x:c r="E278" s="619"/>
      <x:c r="F278" s="619"/>
      <x:c r="G278" s="619"/>
      <x:c r="H278" s="619"/>
      <x:c r="I278" s="619"/>
      <x:c r="J278" s="619"/>
      <x:c r="K278" s="619"/>
      <x:c r="L278" s="619"/>
      <x:c r="M278" s="619"/>
      <x:c r="N278" s="619"/>
      <x:c r="O278" s="619"/>
    </x:row>
    <x:row r="279" spans="2:15" ht="12.75" hidden="1" customHeight="1" x14ac:dyDescent="0.25">
      <x:c r="B279" s="619"/>
      <x:c r="C279" s="619"/>
      <x:c r="D279" s="619"/>
      <x:c r="E279" s="619"/>
      <x:c r="F279" s="619"/>
      <x:c r="G279" s="619"/>
      <x:c r="H279" s="619"/>
      <x:c r="I279" s="619"/>
      <x:c r="J279" s="619"/>
      <x:c r="K279" s="619"/>
      <x:c r="L279" s="619"/>
      <x:c r="M279" s="619"/>
      <x:c r="N279" s="619"/>
      <x:c r="O279" s="619"/>
    </x:row>
    <x:row r="280" spans="2:15" ht="12.75" hidden="1" customHeight="1" x14ac:dyDescent="0.25">
      <x:c r="B280" s="619"/>
      <x:c r="C280" s="619"/>
      <x:c r="D280" s="619"/>
      <x:c r="E280" s="619"/>
      <x:c r="F280" s="619"/>
      <x:c r="G280" s="619"/>
      <x:c r="H280" s="619"/>
      <x:c r="I280" s="619"/>
      <x:c r="J280" s="619"/>
      <x:c r="K280" s="619"/>
      <x:c r="L280" s="619"/>
      <x:c r="M280" s="619"/>
      <x:c r="N280" s="619"/>
      <x:c r="O280" s="619"/>
    </x:row>
    <x:row r="281" spans="2:15" ht="12.75" hidden="1" customHeight="1" x14ac:dyDescent="0.25">
      <x:c r="B281" s="619"/>
      <x:c r="C281" s="619"/>
      <x:c r="D281" s="619"/>
      <x:c r="E281" s="619"/>
      <x:c r="F281" s="619"/>
      <x:c r="G281" s="619"/>
      <x:c r="H281" s="619"/>
      <x:c r="I281" s="619"/>
      <x:c r="J281" s="619"/>
      <x:c r="K281" s="619"/>
      <x:c r="L281" s="619"/>
      <x:c r="M281" s="619"/>
      <x:c r="N281" s="619"/>
      <x:c r="O281" s="619"/>
    </x:row>
    <x:row r="282" spans="2:15" ht="12.75" hidden="1" customHeight="1" x14ac:dyDescent="0.25">
      <x:c r="B282" s="619"/>
      <x:c r="C282" s="619"/>
      <x:c r="D282" s="619"/>
      <x:c r="E282" s="619"/>
      <x:c r="F282" s="619"/>
      <x:c r="G282" s="619"/>
      <x:c r="H282" s="619"/>
      <x:c r="I282" s="619"/>
      <x:c r="J282" s="619"/>
      <x:c r="K282" s="619"/>
      <x:c r="L282" s="619"/>
      <x:c r="M282" s="619"/>
      <x:c r="N282" s="619"/>
      <x:c r="O282" s="619"/>
    </x:row>
    <x:row r="283" spans="2:15" ht="12.75" hidden="1" customHeight="1" x14ac:dyDescent="0.25">
      <x:c r="B283" s="619"/>
      <x:c r="C283" s="619"/>
      <x:c r="D283" s="619"/>
      <x:c r="E283" s="619"/>
      <x:c r="F283" s="619"/>
      <x:c r="G283" s="619"/>
      <x:c r="H283" s="619"/>
      <x:c r="I283" s="619"/>
      <x:c r="J283" s="619"/>
      <x:c r="K283" s="619"/>
      <x:c r="L283" s="619"/>
      <x:c r="M283" s="619"/>
      <x:c r="N283" s="619"/>
      <x:c r="O283" s="619"/>
    </x:row>
    <x:row r="284" spans="2:15" ht="12.75" hidden="1" customHeight="1" x14ac:dyDescent="0.25">
      <x:c r="B284" s="619"/>
      <x:c r="C284" s="619"/>
      <x:c r="D284" s="619"/>
      <x:c r="E284" s="619"/>
      <x:c r="F284" s="619"/>
      <x:c r="G284" s="619"/>
      <x:c r="H284" s="619"/>
      <x:c r="I284" s="619"/>
      <x:c r="J284" s="619"/>
      <x:c r="K284" s="619"/>
      <x:c r="L284" s="619"/>
      <x:c r="M284" s="619"/>
      <x:c r="N284" s="619"/>
      <x:c r="O284" s="619"/>
    </x:row>
    <x:row r="285" spans="2:15" ht="12.75" hidden="1" customHeight="1" x14ac:dyDescent="0.25">
      <x:c r="B285" s="619"/>
      <x:c r="C285" s="619"/>
      <x:c r="D285" s="619"/>
      <x:c r="E285" s="619"/>
      <x:c r="F285" s="619"/>
      <x:c r="G285" s="619"/>
      <x:c r="H285" s="619"/>
      <x:c r="I285" s="619"/>
      <x:c r="J285" s="619"/>
      <x:c r="K285" s="619"/>
      <x:c r="L285" s="619"/>
      <x:c r="M285" s="619"/>
      <x:c r="N285" s="619"/>
      <x:c r="O285" s="619"/>
    </x:row>
    <x:row r="286" spans="2:15" ht="12.75" hidden="1" customHeight="1" x14ac:dyDescent="0.25">
      <x:c r="B286" s="619"/>
      <x:c r="C286" s="619"/>
      <x:c r="D286" s="619"/>
      <x:c r="E286" s="619"/>
      <x:c r="F286" s="619"/>
      <x:c r="G286" s="619"/>
      <x:c r="H286" s="619"/>
      <x:c r="I286" s="619"/>
      <x:c r="J286" s="619"/>
      <x:c r="K286" s="619"/>
      <x:c r="L286" s="619"/>
      <x:c r="M286" s="619"/>
      <x:c r="N286" s="619"/>
      <x:c r="O286" s="619"/>
    </x:row>
    <x:row r="287" spans="2:15" ht="12.75" hidden="1" customHeight="1" x14ac:dyDescent="0.25">
      <x:c r="B287" s="619"/>
      <x:c r="C287" s="619"/>
      <x:c r="D287" s="619"/>
      <x:c r="E287" s="619"/>
      <x:c r="F287" s="619"/>
      <x:c r="G287" s="619"/>
      <x:c r="H287" s="619"/>
      <x:c r="I287" s="619"/>
      <x:c r="J287" s="619"/>
      <x:c r="K287" s="619"/>
      <x:c r="L287" s="619"/>
      <x:c r="M287" s="619"/>
      <x:c r="N287" s="619"/>
      <x:c r="O287" s="619"/>
    </x:row>
    <x:row r="288" spans="2:15" ht="12.75" hidden="1" customHeight="1" x14ac:dyDescent="0.25">
      <x:c r="B288" s="619"/>
      <x:c r="C288" s="619"/>
      <x:c r="D288" s="619"/>
      <x:c r="E288" s="619"/>
      <x:c r="F288" s="619"/>
      <x:c r="G288" s="619"/>
      <x:c r="H288" s="619"/>
      <x:c r="I288" s="619"/>
      <x:c r="J288" s="619"/>
      <x:c r="K288" s="619"/>
      <x:c r="L288" s="619"/>
      <x:c r="M288" s="619"/>
      <x:c r="N288" s="619"/>
      <x:c r="O288" s="619"/>
    </x:row>
    <x:row r="289" spans="2:15" ht="12.75" hidden="1" customHeight="1" x14ac:dyDescent="0.25">
      <x:c r="B289" s="619"/>
      <x:c r="C289" s="619"/>
      <x:c r="D289" s="619"/>
      <x:c r="E289" s="619"/>
      <x:c r="F289" s="619"/>
      <x:c r="G289" s="619"/>
      <x:c r="H289" s="619"/>
      <x:c r="I289" s="619"/>
      <x:c r="J289" s="619"/>
      <x:c r="K289" s="619"/>
      <x:c r="L289" s="619"/>
      <x:c r="M289" s="619"/>
      <x:c r="N289" s="619"/>
      <x:c r="O289" s="619"/>
    </x:row>
    <x:row r="290" spans="2:15" ht="12.75" hidden="1" customHeight="1" x14ac:dyDescent="0.25">
      <x:c r="B290" s="619"/>
      <x:c r="C290" s="619"/>
      <x:c r="D290" s="619"/>
      <x:c r="E290" s="619"/>
      <x:c r="F290" s="619"/>
      <x:c r="G290" s="619"/>
      <x:c r="H290" s="619"/>
      <x:c r="I290" s="619"/>
      <x:c r="J290" s="619"/>
      <x:c r="K290" s="619"/>
      <x:c r="L290" s="619"/>
      <x:c r="M290" s="619"/>
      <x:c r="N290" s="619"/>
      <x:c r="O290" s="619"/>
    </x:row>
    <x:row r="291" spans="2:15" ht="12.75" hidden="1" customHeight="1" x14ac:dyDescent="0.25">
      <x:c r="B291" s="619"/>
      <x:c r="C291" s="619"/>
      <x:c r="D291" s="619"/>
      <x:c r="E291" s="619"/>
      <x:c r="F291" s="619"/>
      <x:c r="G291" s="619"/>
      <x:c r="H291" s="619"/>
      <x:c r="I291" s="619"/>
      <x:c r="J291" s="619"/>
      <x:c r="K291" s="619"/>
      <x:c r="L291" s="619"/>
      <x:c r="M291" s="619"/>
      <x:c r="N291" s="619"/>
      <x:c r="O291" s="619"/>
    </x:row>
    <x:row r="292" spans="2:15" ht="12.75" hidden="1" customHeight="1" x14ac:dyDescent="0.25">
      <x:c r="B292" s="619"/>
      <x:c r="C292" s="619"/>
      <x:c r="D292" s="619"/>
      <x:c r="E292" s="619"/>
      <x:c r="F292" s="619"/>
      <x:c r="G292" s="619"/>
      <x:c r="H292" s="619"/>
      <x:c r="I292" s="619"/>
      <x:c r="J292" s="619"/>
      <x:c r="K292" s="619"/>
      <x:c r="L292" s="619"/>
      <x:c r="M292" s="619"/>
      <x:c r="N292" s="619"/>
      <x:c r="O292" s="619"/>
    </x:row>
    <x:row r="293" spans="2:15" ht="12.75" hidden="1" customHeight="1" x14ac:dyDescent="0.25">
      <x:c r="B293" s="619"/>
      <x:c r="C293" s="619"/>
      <x:c r="D293" s="619"/>
      <x:c r="E293" s="619"/>
      <x:c r="F293" s="619"/>
      <x:c r="G293" s="619"/>
      <x:c r="H293" s="619"/>
      <x:c r="I293" s="619"/>
      <x:c r="J293" s="619"/>
      <x:c r="K293" s="619"/>
      <x:c r="L293" s="619"/>
      <x:c r="M293" s="619"/>
      <x:c r="N293" s="619"/>
      <x:c r="O293" s="619"/>
    </x:row>
    <x:row r="294" spans="2:15" ht="12.75" hidden="1" customHeight="1" x14ac:dyDescent="0.25">
      <x:c r="B294" s="619"/>
      <x:c r="C294" s="619"/>
      <x:c r="D294" s="619"/>
      <x:c r="E294" s="619"/>
      <x:c r="F294" s="619"/>
      <x:c r="G294" s="619"/>
      <x:c r="H294" s="619"/>
      <x:c r="I294" s="619"/>
      <x:c r="J294" s="619"/>
      <x:c r="K294" s="619"/>
      <x:c r="L294" s="619"/>
      <x:c r="M294" s="619"/>
      <x:c r="N294" s="619"/>
      <x:c r="O294" s="619"/>
    </x:row>
    <x:row r="295" spans="2:15" ht="12.75" hidden="1" customHeight="1" x14ac:dyDescent="0.25">
      <x:c r="B295" s="619"/>
      <x:c r="C295" s="619"/>
      <x:c r="D295" s="619"/>
      <x:c r="E295" s="619"/>
      <x:c r="F295" s="619"/>
      <x:c r="G295" s="619"/>
      <x:c r="H295" s="619"/>
      <x:c r="I295" s="619"/>
      <x:c r="J295" s="619"/>
      <x:c r="K295" s="619"/>
      <x:c r="L295" s="619"/>
      <x:c r="M295" s="619"/>
      <x:c r="N295" s="619"/>
      <x:c r="O295" s="619"/>
    </x:row>
    <x:row r="296" spans="2:15" ht="12.75" hidden="1" customHeight="1" x14ac:dyDescent="0.25">
      <x:c r="B296" s="619"/>
      <x:c r="C296" s="619"/>
      <x:c r="D296" s="619"/>
      <x:c r="E296" s="619"/>
      <x:c r="F296" s="619"/>
      <x:c r="G296" s="619"/>
      <x:c r="H296" s="619"/>
      <x:c r="I296" s="619"/>
      <x:c r="J296" s="619"/>
      <x:c r="K296" s="619"/>
      <x:c r="L296" s="619"/>
      <x:c r="M296" s="619"/>
      <x:c r="N296" s="619"/>
      <x:c r="O296" s="619"/>
    </x:row>
    <x:row r="297" spans="2:15" ht="12.75" hidden="1" customHeight="1" x14ac:dyDescent="0.25">
      <x:c r="B297" s="619"/>
      <x:c r="C297" s="619"/>
      <x:c r="D297" s="619"/>
      <x:c r="E297" s="619"/>
      <x:c r="F297" s="619"/>
      <x:c r="G297" s="619"/>
      <x:c r="H297" s="619"/>
      <x:c r="I297" s="619"/>
      <x:c r="J297" s="619"/>
      <x:c r="K297" s="619"/>
      <x:c r="L297" s="619"/>
      <x:c r="M297" s="619"/>
      <x:c r="N297" s="619"/>
      <x:c r="O297" s="619"/>
    </x:row>
    <x:row r="298" spans="2:15" ht="12.75" hidden="1" customHeight="1" x14ac:dyDescent="0.25">
      <x:c r="B298" s="619"/>
      <x:c r="C298" s="619"/>
      <x:c r="D298" s="619"/>
      <x:c r="E298" s="619"/>
      <x:c r="F298" s="619"/>
      <x:c r="G298" s="619"/>
      <x:c r="H298" s="619"/>
      <x:c r="I298" s="619"/>
      <x:c r="J298" s="619"/>
      <x:c r="K298" s="619"/>
      <x:c r="L298" s="619"/>
      <x:c r="M298" s="619"/>
      <x:c r="N298" s="619"/>
      <x:c r="O298" s="619"/>
    </x:row>
    <x:row r="299" spans="2:15" ht="12.75" hidden="1" customHeight="1" x14ac:dyDescent="0.25">
      <x:c r="B299" s="619"/>
      <x:c r="C299" s="619"/>
      <x:c r="D299" s="619"/>
      <x:c r="E299" s="619"/>
      <x:c r="F299" s="619"/>
      <x:c r="G299" s="619"/>
      <x:c r="H299" s="619"/>
      <x:c r="I299" s="619"/>
      <x:c r="J299" s="619"/>
      <x:c r="K299" s="619"/>
      <x:c r="L299" s="619"/>
      <x:c r="M299" s="619"/>
      <x:c r="N299" s="619"/>
      <x:c r="O299" s="619"/>
    </x:row>
    <x:row r="300" spans="2:15" ht="12.75" hidden="1" customHeight="1" x14ac:dyDescent="0.25">
      <x:c r="B300" s="619"/>
      <x:c r="C300" s="619"/>
      <x:c r="D300" s="619"/>
      <x:c r="E300" s="619"/>
      <x:c r="F300" s="619"/>
      <x:c r="G300" s="619"/>
      <x:c r="H300" s="619"/>
      <x:c r="I300" s="619"/>
      <x:c r="J300" s="619"/>
      <x:c r="K300" s="619"/>
      <x:c r="L300" s="619"/>
      <x:c r="M300" s="619"/>
      <x:c r="N300" s="619"/>
      <x:c r="O300" s="619"/>
    </x:row>
    <x:row r="301" spans="2:15" ht="12.75" hidden="1" customHeight="1" x14ac:dyDescent="0.25">
      <x:c r="B301" s="619"/>
      <x:c r="C301" s="619"/>
      <x:c r="D301" s="619"/>
      <x:c r="E301" s="619"/>
      <x:c r="F301" s="619"/>
      <x:c r="G301" s="619"/>
      <x:c r="H301" s="619"/>
      <x:c r="I301" s="619"/>
      <x:c r="J301" s="619"/>
      <x:c r="K301" s="619"/>
      <x:c r="L301" s="619"/>
      <x:c r="M301" s="619"/>
      <x:c r="N301" s="619"/>
      <x:c r="O301" s="619"/>
    </x:row>
    <x:row r="302" spans="2:15" ht="12.75" hidden="1" customHeight="1" x14ac:dyDescent="0.25">
      <x:c r="B302" s="619"/>
      <x:c r="C302" s="619"/>
      <x:c r="D302" s="619"/>
      <x:c r="E302" s="619"/>
      <x:c r="F302" s="619"/>
      <x:c r="G302" s="619"/>
      <x:c r="H302" s="619"/>
      <x:c r="I302" s="619"/>
      <x:c r="J302" s="619"/>
      <x:c r="K302" s="619"/>
      <x:c r="L302" s="619"/>
      <x:c r="M302" s="619"/>
      <x:c r="N302" s="619"/>
      <x:c r="O302" s="619"/>
    </x:row>
    <x:row r="303" spans="2:15" ht="12.75" hidden="1" customHeight="1" x14ac:dyDescent="0.25">
      <x:c r="B303" s="619"/>
      <x:c r="C303" s="619"/>
      <x:c r="D303" s="619"/>
      <x:c r="E303" s="619"/>
      <x:c r="F303" s="619"/>
      <x:c r="G303" s="619"/>
      <x:c r="H303" s="619"/>
      <x:c r="I303" s="619"/>
      <x:c r="J303" s="619"/>
      <x:c r="K303" s="619"/>
      <x:c r="L303" s="619"/>
      <x:c r="M303" s="619"/>
      <x:c r="N303" s="619"/>
      <x:c r="O303" s="619"/>
    </x:row>
    <x:row r="304" spans="2:15" ht="12.75" hidden="1" customHeight="1" x14ac:dyDescent="0.25">
      <x:c r="B304" s="619"/>
      <x:c r="C304" s="619"/>
      <x:c r="D304" s="619"/>
      <x:c r="E304" s="619"/>
      <x:c r="F304" s="619"/>
      <x:c r="G304" s="619"/>
      <x:c r="H304" s="619"/>
      <x:c r="I304" s="619"/>
      <x:c r="J304" s="619"/>
      <x:c r="K304" s="619"/>
      <x:c r="L304" s="619"/>
      <x:c r="M304" s="619"/>
      <x:c r="N304" s="619"/>
      <x:c r="O304" s="619"/>
    </x:row>
    <x:row r="305" spans="1:18" ht="12.75" hidden="1" customHeight="1" x14ac:dyDescent="0.25">
      <x:c r="B305" s="619"/>
      <x:c r="C305" s="619"/>
      <x:c r="D305" s="619"/>
      <x:c r="E305" s="619"/>
      <x:c r="F305" s="619"/>
      <x:c r="G305" s="619"/>
      <x:c r="H305" s="619"/>
      <x:c r="I305" s="619"/>
      <x:c r="J305" s="619"/>
      <x:c r="K305" s="619"/>
      <x:c r="L305" s="619"/>
      <x:c r="M305" s="619"/>
      <x:c r="N305" s="619"/>
      <x:c r="O305" s="619"/>
    </x:row>
    <x:row r="306" spans="1:18" ht="12.75" hidden="1" customHeight="1" x14ac:dyDescent="0.25">
      <x:c r="B306" s="619"/>
      <x:c r="C306" s="619"/>
      <x:c r="D306" s="619"/>
      <x:c r="E306" s="619"/>
      <x:c r="F306" s="619"/>
      <x:c r="G306" s="619"/>
      <x:c r="H306" s="619"/>
      <x:c r="I306" s="619"/>
      <x:c r="J306" s="619"/>
      <x:c r="K306" s="619"/>
      <x:c r="L306" s="619"/>
      <x:c r="M306" s="619"/>
      <x:c r="N306" s="619"/>
      <x:c r="O306" s="619"/>
    </x:row>
    <x:row r="307" spans="1:18" ht="12.75" hidden="1" customHeight="1" x14ac:dyDescent="0.25">
      <x:c r="B307" s="619"/>
      <x:c r="C307" s="619"/>
      <x:c r="D307" s="619"/>
      <x:c r="E307" s="619"/>
      <x:c r="F307" s="619"/>
      <x:c r="G307" s="619"/>
      <x:c r="H307" s="619"/>
      <x:c r="I307" s="619"/>
      <x:c r="J307" s="619"/>
      <x:c r="K307" s="619"/>
      <x:c r="L307" s="619"/>
      <x:c r="M307" s="619"/>
      <x:c r="N307" s="619"/>
      <x:c r="O307" s="619"/>
    </x:row>
    <x:row r="308" spans="1:18" ht="12.75" hidden="1" customHeight="1" x14ac:dyDescent="0.25">
      <x:c r="B308" s="619"/>
      <x:c r="C308" s="619"/>
      <x:c r="D308" s="619"/>
      <x:c r="E308" s="619"/>
      <x:c r="F308" s="619"/>
      <x:c r="G308" s="619"/>
      <x:c r="H308" s="619"/>
      <x:c r="I308" s="619"/>
      <x:c r="J308" s="619"/>
      <x:c r="K308" s="619"/>
      <x:c r="L308" s="619"/>
      <x:c r="M308" s="619"/>
      <x:c r="N308" s="619"/>
      <x:c r="O308" s="619"/>
    </x:row>
    <x:row r="309" spans="1:18" ht="12.75" hidden="1" customHeight="1" x14ac:dyDescent="0.25">
      <x:c r="B309" s="619"/>
      <x:c r="C309" s="619"/>
      <x:c r="D309" s="619"/>
      <x:c r="E309" s="619"/>
      <x:c r="F309" s="619"/>
      <x:c r="G309" s="619"/>
      <x:c r="H309" s="619"/>
      <x:c r="I309" s="619"/>
      <x:c r="J309" s="619"/>
      <x:c r="K309" s="619"/>
      <x:c r="L309" s="619"/>
      <x:c r="M309" s="619"/>
      <x:c r="N309" s="619"/>
      <x:c r="O309" s="619"/>
    </x:row>
    <x:row r="310" spans="1:18" ht="12.75" hidden="1" customHeight="1" x14ac:dyDescent="0.25">
      <x:c r="B310" s="619"/>
      <x:c r="C310" s="619"/>
      <x:c r="D310" s="619"/>
      <x:c r="E310" s="619"/>
      <x:c r="F310" s="619"/>
      <x:c r="G310" s="619"/>
      <x:c r="H310" s="619"/>
      <x:c r="I310" s="619"/>
      <x:c r="J310" s="619"/>
      <x:c r="K310" s="619"/>
      <x:c r="L310" s="619"/>
      <x:c r="M310" s="619"/>
      <x:c r="N310" s="619"/>
      <x:c r="O310" s="619"/>
    </x:row>
    <x:row r="311" spans="1:18" ht="12.75" hidden="1" customHeight="1" x14ac:dyDescent="0.25">
      <x:c r="B311" s="619"/>
      <x:c r="C311" s="619"/>
      <x:c r="D311" s="619"/>
      <x:c r="E311" s="619"/>
      <x:c r="F311" s="619"/>
      <x:c r="G311" s="619"/>
      <x:c r="H311" s="619"/>
      <x:c r="I311" s="619"/>
      <x:c r="J311" s="619"/>
      <x:c r="K311" s="619"/>
      <x:c r="L311" s="619"/>
      <x:c r="M311" s="619"/>
      <x:c r="N311" s="619"/>
      <x:c r="O311" s="619"/>
    </x:row>
    <x:row r="312" spans="1:18" ht="12.75" hidden="1" customHeight="1" x14ac:dyDescent="0.25">
      <x:c r="B312" s="619"/>
      <x:c r="C312" s="619"/>
      <x:c r="D312" s="619"/>
      <x:c r="E312" s="619"/>
      <x:c r="F312" s="619"/>
      <x:c r="G312" s="619"/>
      <x:c r="H312" s="619"/>
      <x:c r="I312" s="619"/>
      <x:c r="J312" s="619"/>
      <x:c r="K312" s="619"/>
      <x:c r="L312" s="619"/>
      <x:c r="M312" s="619"/>
      <x:c r="N312" s="619"/>
      <x:c r="O312" s="619"/>
    </x:row>
    <x:row r="313" spans="1:18" ht="12.75" hidden="1" customHeight="1" x14ac:dyDescent="0.25">
      <x:c r="B313" s="619"/>
      <x:c r="C313" s="619"/>
      <x:c r="D313" s="619"/>
      <x:c r="E313" s="619"/>
      <x:c r="F313" s="619"/>
      <x:c r="G313" s="619"/>
      <x:c r="H313" s="619"/>
      <x:c r="I313" s="619"/>
      <x:c r="J313" s="619"/>
      <x:c r="K313" s="619"/>
      <x:c r="L313" s="619"/>
      <x:c r="M313" s="619"/>
      <x:c r="N313" s="619"/>
      <x:c r="O313" s="619"/>
    </x:row>
    <x:row r="314" spans="1:18" ht="12.75" hidden="1" customHeight="1" x14ac:dyDescent="0.25">
      <x:c r="B314" s="619"/>
      <x:c r="C314" s="619"/>
      <x:c r="D314" s="619"/>
      <x:c r="E314" s="619"/>
      <x:c r="F314" s="619"/>
      <x:c r="G314" s="619"/>
      <x:c r="H314" s="619"/>
      <x:c r="I314" s="619"/>
      <x:c r="J314" s="619"/>
      <x:c r="K314" s="619"/>
      <x:c r="L314" s="619"/>
      <x:c r="M314" s="619"/>
      <x:c r="N314" s="619"/>
      <x:c r="O314" s="619"/>
    </x:row>
    <x:row r="315" spans="1:18" ht="12.75" hidden="1" customHeight="1" x14ac:dyDescent="0.25">
      <x:c r="B315" s="619"/>
      <x:c r="C315" s="619"/>
      <x:c r="D315" s="619"/>
      <x:c r="E315" s="619"/>
      <x:c r="F315" s="619"/>
      <x:c r="G315" s="619"/>
      <x:c r="H315" s="619"/>
      <x:c r="I315" s="619"/>
      <x:c r="J315" s="619"/>
      <x:c r="K315" s="619"/>
      <x:c r="L315" s="619"/>
      <x:c r="M315" s="619"/>
      <x:c r="N315" s="619"/>
      <x:c r="O315" s="619"/>
    </x:row>
    <x:row r="316" spans="1:18" ht="12.75" hidden="1" customHeight="1" x14ac:dyDescent="0.25">
      <x:c r="B316" s="619"/>
      <x:c r="C316" s="619"/>
      <x:c r="D316" s="619"/>
      <x:c r="E316" s="619"/>
      <x:c r="F316" s="619"/>
      <x:c r="G316" s="619"/>
      <x:c r="H316" s="619"/>
      <x:c r="I316" s="619"/>
      <x:c r="J316" s="619"/>
      <x:c r="K316" s="619"/>
      <x:c r="L316" s="619"/>
      <x:c r="M316" s="619"/>
      <x:c r="N316" s="619"/>
      <x:c r="O316" s="619"/>
    </x:row>
    <x:row r="317" spans="1:18" ht="12.75" hidden="1" customHeight="1" x14ac:dyDescent="0.25">
      <x:c r="B317" s="619"/>
      <x:c r="C317" s="619"/>
      <x:c r="D317" s="619"/>
      <x:c r="E317" s="619"/>
      <x:c r="F317" s="619"/>
      <x:c r="G317" s="619"/>
      <x:c r="H317" s="619"/>
      <x:c r="I317" s="619"/>
      <x:c r="J317" s="619"/>
      <x:c r="K317" s="619"/>
      <x:c r="L317" s="619"/>
      <x:c r="M317" s="619"/>
      <x:c r="N317" s="619"/>
      <x:c r="O317" s="619"/>
    </x:row>
    <x:row r="318" spans="1:18" ht="12.75" hidden="1" customHeight="1" x14ac:dyDescent="0.25">
      <x:c r="B318" s="619"/>
      <x:c r="C318" s="619"/>
      <x:c r="D318" s="619"/>
      <x:c r="E318" s="619"/>
      <x:c r="F318" s="619"/>
      <x:c r="G318" s="619"/>
      <x:c r="H318" s="619"/>
      <x:c r="I318" s="619"/>
      <x:c r="J318" s="619"/>
      <x:c r="K318" s="619"/>
      <x:c r="L318" s="619"/>
      <x:c r="M318" s="619"/>
      <x:c r="N318" s="619"/>
      <x:c r="O318" s="619"/>
    </x:row>
    <x:row r="319" spans="1:18" ht="12.75" customHeight="1" x14ac:dyDescent="0.25">
      <x:c r="B319" s="619"/>
      <x:c r="C319" s="619"/>
      <x:c r="D319" s="619"/>
      <x:c r="E319" s="619"/>
      <x:c r="F319" s="619"/>
      <x:c r="G319" s="619"/>
      <x:c r="H319" s="619"/>
      <x:c r="I319" s="619"/>
      <x:c r="J319" s="619"/>
      <x:c r="K319" s="619"/>
      <x:c r="L319" s="619"/>
      <x:c r="M319" s="619"/>
      <x:c r="N319" s="619"/>
      <x:c r="O319" s="619"/>
    </x:row>
    <x:row r="320" spans="1:18" ht="12.75" customHeight="1" x14ac:dyDescent="0.25">
      <x:c r="A320" s="777" t="s">
        <x:v>2</x:v>
      </x:c>
      <x:c r="B320" s="776" t="s">
        <x:v>132</x:v>
      </x:c>
      <x:c r="C320" s="767" t="s">
        <x:v>70</x:v>
      </x:c>
      <x:c r="D320" s="767">
        <x:f>D243-P243</x:f>
        <x:v>-33738104.229999997</x:v>
      </x:c>
      <x:c r="E320" s="767">
        <x:f>E239+E233+E227</x:f>
        <x:v>-3280830.15</x:v>
      </x:c>
      <x:c r="F320" s="767">
        <x:f t="shared" ref="F320:R320" si="9">F239+F233+F227</x:f>
        <x:v>-1653570.31</x:v>
      </x:c>
      <x:c r="G320" s="767">
        <x:f t="shared" si="9"/>
        <x:v>-772414.51</x:v>
      </x:c>
      <x:c r="H320" s="767">
        <x:f t="shared" si="9"/>
        <x:v>-6809335.5</x:v>
      </x:c>
      <x:c r="I320" s="767">
        <x:f t="shared" si="9"/>
        <x:v>-246830.89</x:v>
      </x:c>
      <x:c r="J320" s="767">
        <x:f t="shared" si="9"/>
        <x:v>-2175989.73</x:v>
      </x:c>
      <x:c r="K320" s="767">
        <x:f t="shared" si="9"/>
        <x:v>-2281434.71</x:v>
      </x:c>
      <x:c r="L320" s="767">
        <x:f t="shared" si="9"/>
        <x:v>-10508486.24</x:v>
      </x:c>
      <x:c r="M320" s="767">
        <x:f t="shared" si="9"/>
        <x:v>-8690898.2599999998</x:v>
      </x:c>
      <x:c r="N320" s="767">
        <x:f t="shared" si="9"/>
        <x:v>-404523.79</x:v>
      </x:c>
      <x:c r="O320" s="767">
        <x:f t="shared" si="9"/>
        <x:v>-1.2999999999999972</x:v>
      </x:c>
      <x:c r="P320" s="767">
        <x:f t="shared" si="9"/>
        <x:v>0</x:v>
      </x:c>
      <x:c r="Q320" s="767">
        <x:f t="shared" si="9"/>
        <x:v>0</x:v>
      </x:c>
      <x:c r="R320" s="767">
        <x:f t="shared" si="9"/>
        <x:v>-0.28999999999999998</x:v>
      </x:c>
    </x:row>
    <x:row r="321" spans="1:18" ht="12.75" customHeight="1" x14ac:dyDescent="0.25">
      <x:c r="A321" s="777"/>
      <x:c r="B321" s="776"/>
      <x:c r="C321" s="767" t="s">
        <x:v>73</x:v>
      </x:c>
      <x:c r="D321" s="767">
        <x:f>D241+D235+D229</x:f>
        <x:v>3086211.4499999997</x:v>
      </x:c>
      <x:c r="E321" s="619"/>
      <x:c r="F321" s="619"/>
      <x:c r="G321" s="619"/>
      <x:c r="H321" s="619"/>
      <x:c r="I321" s="619"/>
      <x:c r="J321" s="619"/>
      <x:c r="K321" s="619"/>
      <x:c r="L321" s="619"/>
      <x:c r="M321" s="619"/>
      <x:c r="N321" s="619"/>
      <x:c r="O321" s="619"/>
      <x:c r="P321" s="619"/>
      <x:c r="Q321" s="619"/>
      <x:c r="R321" s="619"/>
    </x:row>
    <x:row r="322" spans="1:18" ht="12.75" customHeight="1" x14ac:dyDescent="0.3">
      <x:c r="A322" s="618"/>
      <x:c r="D322" s="619"/>
      <x:c r="E322" s="619"/>
      <x:c r="F322" s="619"/>
      <x:c r="G322" s="619"/>
      <x:c r="H322" s="619"/>
      <x:c r="I322" s="619"/>
      <x:c r="J322" s="619"/>
      <x:c r="K322" s="619"/>
      <x:c r="L322" s="619"/>
      <x:c r="M322" s="619"/>
      <x:c r="N322" s="619"/>
      <x:c r="O322" s="619"/>
      <x:c r="P322" s="619"/>
      <x:c r="Q322" s="619"/>
      <x:c r="R322" s="619"/>
    </x:row>
    <x:row r="323" spans="1:18" ht="12.75" customHeight="1" x14ac:dyDescent="0.25">
      <x:c r="A323" s="777" t="s">
        <x:v>160</x:v>
      </x:c>
      <x:c r="B323" s="776" t="s">
        <x:v>132</x:v>
      </x:c>
      <x:c r="C323" s="633" t="s">
        <x:v>70</x:v>
      </x:c>
      <x:c r="D323" s="633">
        <x:f>D236-P236</x:f>
        <x:v>-736030</x:v>
      </x:c>
      <x:c r="E323" s="633">
        <x:f>E233</x:f>
        <x:v>-56621.87</x:v>
      </x:c>
      <x:c r="F323" s="633">
        <x:f t="shared" ref="F323:R323" si="10">F233</x:f>
        <x:v>-29964.27</x:v>
      </x:c>
      <x:c r="G323" s="633">
        <x:f t="shared" si="10"/>
        <x:v>-16688.439999999999</x:v>
      </x:c>
      <x:c r="H323" s="633">
        <x:f t="shared" si="10"/>
        <x:v>-192605.11</x:v>
      </x:c>
      <x:c r="I323" s="633">
        <x:f t="shared" si="10"/>
        <x:v>-5220.43</x:v>
      </x:c>
      <x:c r="J323" s="633">
        <x:f t="shared" si="10"/>
        <x:v>-44096.46</x:v>
      </x:c>
      <x:c r="K323" s="633">
        <x:f t="shared" si="10"/>
        <x:v>-55230.35</x:v>
      </x:c>
      <x:c r="L323" s="633">
        <x:f t="shared" si="10"/>
        <x:v>-296231.31</x:v>
      </x:c>
      <x:c r="M323" s="633">
        <x:f t="shared" si="10"/>
        <x:v>-151197.87</x:v>
      </x:c>
      <x:c r="N323" s="633">
        <x:f t="shared" si="10"/>
        <x:v>-8517.5499999999993</x:v>
      </x:c>
      <x:c r="O323" s="633">
        <x:f t="shared" si="10"/>
        <x:v>5.68</x:v>
      </x:c>
      <x:c r="P323" s="633">
        <x:f t="shared" si="10"/>
        <x:v>0</x:v>
      </x:c>
      <x:c r="Q323" s="633">
        <x:f t="shared" si="10"/>
        <x:v>0</x:v>
      </x:c>
      <x:c r="R323" s="633">
        <x:f t="shared" si="10"/>
        <x:v>0</x:v>
      </x:c>
    </x:row>
    <x:row r="324" spans="1:18" ht="12.75" customHeight="1" x14ac:dyDescent="0.25">
      <x:c r="A324" s="777"/>
      <x:c r="B324" s="776"/>
      <x:c r="C324" s="633" t="s">
        <x:v>73</x:v>
      </x:c>
      <x:c r="D324" s="715">
        <x:f>D235</x:f>
        <x:v>120337.98</x:v>
      </x:c>
      <x:c r="E324" s="619"/>
      <x:c r="F324" s="619"/>
      <x:c r="G324" s="619"/>
      <x:c r="H324" s="619"/>
      <x:c r="I324" s="619"/>
      <x:c r="J324" s="619"/>
      <x:c r="K324" s="619"/>
      <x:c r="L324" s="619"/>
      <x:c r="M324" s="619"/>
      <x:c r="N324" s="619"/>
      <x:c r="O324" s="619"/>
      <x:c r="P324" s="619"/>
      <x:c r="Q324" s="619"/>
      <x:c r="R324" s="619"/>
    </x:row>
    <x:row r="325" spans="1:18" ht="12.75" customHeight="1" x14ac:dyDescent="0.3">
      <x:c r="A325" s="618"/>
      <x:c r="D325" s="619"/>
      <x:c r="E325" s="619"/>
      <x:c r="F325" s="619"/>
      <x:c r="G325" s="619"/>
      <x:c r="H325" s="619"/>
      <x:c r="I325" s="619"/>
      <x:c r="J325" s="619"/>
      <x:c r="K325" s="619"/>
      <x:c r="L325" s="619"/>
      <x:c r="M325" s="619"/>
      <x:c r="N325" s="619"/>
      <x:c r="O325" s="619"/>
      <x:c r="P325" s="619"/>
      <x:c r="Q325" s="619"/>
      <x:c r="R325" s="619"/>
    </x:row>
    <x:row r="326" spans="1:18" ht="12.75" customHeight="1" x14ac:dyDescent="0.25">
      <x:c r="A326" s="777" t="s">
        <x:v>155</x:v>
      </x:c>
      <x:c r="B326" s="776" t="s">
        <x:v>132</x:v>
      </x:c>
      <x:c r="C326" s="634" t="s">
        <x:v>70</x:v>
      </x:c>
      <x:c r="D326" s="634">
        <x:f>D230-P230</x:f>
        <x:v>-29768645.890000001</x:v>
      </x:c>
      <x:c r="E326" s="634">
        <x:f>E227</x:f>
        <x:v>-2979733</x:v>
      </x:c>
      <x:c r="F326" s="634">
        <x:f t="shared" ref="F326:R326" si="11">F227</x:f>
        <x:v>-1487124.52</x:v>
      </x:c>
      <x:c r="G326" s="634">
        <x:f t="shared" si="11"/>
        <x:v>-685656.31</x:v>
      </x:c>
      <x:c r="H326" s="634">
        <x:f t="shared" si="11"/>
        <x:v>-5741813.8499999996</x:v>
      </x:c>
      <x:c r="I326" s="634">
        <x:f t="shared" si="11"/>
        <x:v>-212062.94</x:v>
      </x:c>
      <x:c r="J326" s="634">
        <x:f t="shared" si="11"/>
        <x:v>-1844890.36</x:v>
      </x:c>
      <x:c r="K326" s="634">
        <x:f t="shared" si="11"/>
        <x:v>-1940190.03</x:v>
      </x:c>
      <x:c r="L326" s="634">
        <x:f t="shared" si="11"/>
        <x:v>-8829559.8200000003</x:v>
      </x:c>
      <x:c r="M326" s="634">
        <x:f t="shared" si="11"/>
        <x:v>-7875657.4699999997</x:v>
      </x:c>
      <x:c r="N326" s="634">
        <x:f t="shared" si="11"/>
        <x:v>-346018.31</x:v>
      </x:c>
      <x:c r="O326" s="634">
        <x:f t="shared" si="11"/>
        <x:v>-21.79</x:v>
      </x:c>
      <x:c r="P326" s="634">
        <x:f t="shared" si="11"/>
        <x:v>0</x:v>
      </x:c>
      <x:c r="Q326" s="634">
        <x:f t="shared" si="11"/>
        <x:v>0</x:v>
      </x:c>
      <x:c r="R326" s="634">
        <x:f t="shared" si="11"/>
        <x:v>-0.28999999999999998</x:v>
      </x:c>
    </x:row>
    <x:row r="327" spans="1:18" ht="12.75" customHeight="1" x14ac:dyDescent="0.25">
      <x:c r="A327" s="777"/>
      <x:c r="B327" s="776"/>
      <x:c r="C327" s="634" t="s">
        <x:v>73</x:v>
      </x:c>
      <x:c r="D327" s="634">
        <x:f>D229</x:f>
        <x:v>2174082.7999999998</x:v>
      </x:c>
      <x:c r="E327" s="619"/>
      <x:c r="F327" s="619"/>
      <x:c r="G327" s="619"/>
      <x:c r="H327" s="619"/>
      <x:c r="I327" s="619"/>
      <x:c r="J327" s="619"/>
      <x:c r="K327" s="619"/>
      <x:c r="L327" s="619"/>
      <x:c r="M327" s="619"/>
      <x:c r="N327" s="619"/>
      <x:c r="O327" s="619"/>
      <x:c r="P327" s="619"/>
      <x:c r="Q327" s="619"/>
      <x:c r="R327" s="619"/>
    </x:row>
    <x:row r="328" spans="1:18" ht="12.75" customHeight="1" x14ac:dyDescent="0.25">
      <x:c r="A328" s="723"/>
      <x:c r="B328" s="722"/>
      <x:c r="C328" s="619"/>
      <x:c r="D328" s="619"/>
      <x:c r="E328" s="619"/>
      <x:c r="F328" s="619"/>
      <x:c r="G328" s="619"/>
      <x:c r="H328" s="619"/>
      <x:c r="I328" s="619"/>
      <x:c r="J328" s="619"/>
      <x:c r="K328" s="619"/>
      <x:c r="L328" s="619"/>
      <x:c r="M328" s="619"/>
      <x:c r="N328" s="619"/>
      <x:c r="O328" s="619"/>
      <x:c r="P328" s="619"/>
      <x:c r="Q328" s="619"/>
      <x:c r="R328" s="619"/>
    </x:row>
    <x:row r="329" spans="1:18" ht="12.75" customHeight="1" x14ac:dyDescent="0.25">
      <x:c r="A329" s="775" t="s">
        <x:v>328</x:v>
      </x:c>
      <x:c r="B329" s="776" t="s">
        <x:v>132</x:v>
      </x:c>
      <x:c r="C329" s="634" t="s">
        <x:v>70</x:v>
      </x:c>
      <x:c r="D329" s="721">
        <x:v>0</x:v>
      </x:c>
      <x:c r="E329" s="721">
        <x:v>0</x:v>
      </x:c>
      <x:c r="F329" s="721">
        <x:v>0</x:v>
      </x:c>
      <x:c r="G329" s="721">
        <x:v>0</x:v>
      </x:c>
      <x:c r="H329" s="721">
        <x:v>0</x:v>
      </x:c>
      <x:c r="I329" s="721">
        <x:v>0</x:v>
      </x:c>
      <x:c r="J329" s="721">
        <x:v>0</x:v>
      </x:c>
      <x:c r="K329" s="721">
        <x:v>0</x:v>
      </x:c>
      <x:c r="L329" s="721">
        <x:v>0</x:v>
      </x:c>
      <x:c r="M329" s="721">
        <x:v>0</x:v>
      </x:c>
      <x:c r="N329" s="721">
        <x:v>0</x:v>
      </x:c>
      <x:c r="O329" s="721">
        <x:v>0</x:v>
      </x:c>
      <x:c r="P329" s="721">
        <x:v>0</x:v>
      </x:c>
      <x:c r="Q329" s="721">
        <x:v>0</x:v>
      </x:c>
      <x:c r="R329" s="721">
        <x:v>0</x:v>
      </x:c>
    </x:row>
    <x:row r="330" spans="1:18" ht="12.75" customHeight="1" x14ac:dyDescent="0.25">
      <x:c r="A330" s="775"/>
      <x:c r="B330" s="776"/>
      <x:c r="C330" s="634" t="s">
        <x:v>73</x:v>
      </x:c>
      <x:c r="D330" s="721">
        <x:v>0</x:v>
      </x:c>
      <x:c r="E330" s="619"/>
      <x:c r="F330" s="619"/>
      <x:c r="G330" s="619"/>
      <x:c r="H330" s="619"/>
      <x:c r="I330" s="619"/>
      <x:c r="J330" s="619"/>
      <x:c r="K330" s="619"/>
      <x:c r="L330" s="619"/>
      <x:c r="M330" s="619"/>
      <x:c r="N330" s="619"/>
      <x:c r="O330" s="619"/>
      <x:c r="P330" s="619"/>
      <x:c r="Q330" s="619"/>
    </x:row>
    <x:row r="331" spans="1:18" ht="12.75" customHeight="1" x14ac:dyDescent="0.3">
      <x:c r="A331" s="618"/>
      <x:c r="D331" s="619"/>
      <x:c r="E331" s="619"/>
      <x:c r="F331" s="619"/>
      <x:c r="G331" s="619"/>
      <x:c r="H331" s="619"/>
      <x:c r="I331" s="619"/>
      <x:c r="J331" s="619"/>
      <x:c r="K331" s="619"/>
      <x:c r="L331" s="619"/>
      <x:c r="M331" s="619"/>
      <x:c r="N331" s="619"/>
      <x:c r="O331" s="619"/>
      <x:c r="P331" s="619"/>
      <x:c r="Q331" s="619"/>
      <x:c r="R331" s="619"/>
    </x:row>
    <x:row r="332" spans="1:18" ht="12.75" customHeight="1" x14ac:dyDescent="0.25">
      <x:c r="A332" s="777" t="s">
        <x:v>119</x:v>
      </x:c>
      <x:c r="B332" s="776" t="s">
        <x:v>132</x:v>
      </x:c>
      <x:c r="C332" s="629" t="s">
        <x:v>70</x:v>
      </x:c>
      <x:c r="D332" s="629">
        <x:f>D242-P242</x:f>
        <x:v>-3233428.34</x:v>
      </x:c>
      <x:c r="E332" s="629">
        <x:f>E239</x:f>
        <x:v>-244475.28</x:v>
      </x:c>
      <x:c r="F332" s="629">
        <x:f t="shared" ref="F332:R332" si="12">F239</x:f>
        <x:v>-136481.51999999999</x:v>
      </x:c>
      <x:c r="G332" s="629">
        <x:f t="shared" si="12"/>
        <x:v>-70069.759999999995</x:v>
      </x:c>
      <x:c r="H332" s="629">
        <x:f t="shared" si="12"/>
        <x:v>-874916.54</x:v>
      </x:c>
      <x:c r="I332" s="629">
        <x:f t="shared" si="12"/>
        <x:v>-29547.52</x:v>
      </x:c>
      <x:c r="J332" s="629">
        <x:f t="shared" si="12"/>
        <x:v>-287002.90999999997</x:v>
      </x:c>
      <x:c r="K332" s="629">
        <x:f t="shared" si="12"/>
        <x:v>-286014.33</x:v>
      </x:c>
      <x:c r="L332" s="629">
        <x:f t="shared" si="12"/>
        <x:v>-1382695.11</x:v>
      </x:c>
      <x:c r="M332" s="629">
        <x:f t="shared" si="12"/>
        <x:v>-664042.92000000004</x:v>
      </x:c>
      <x:c r="N332" s="629">
        <x:f t="shared" si="12"/>
        <x:v>-49987.93</x:v>
      </x:c>
      <x:c r="O332" s="629">
        <x:f t="shared" si="12"/>
        <x:v>14.81</x:v>
      </x:c>
      <x:c r="P332" s="629">
        <x:f t="shared" si="12"/>
        <x:v>0</x:v>
      </x:c>
      <x:c r="Q332" s="629">
        <x:f t="shared" si="12"/>
        <x:v>0</x:v>
      </x:c>
      <x:c r="R332" s="629">
        <x:f t="shared" si="12"/>
        <x:v>0</x:v>
      </x:c>
    </x:row>
    <x:row r="333" spans="1:18" ht="12.75" customHeight="1" x14ac:dyDescent="0.25">
      <x:c r="A333" s="777"/>
      <x:c r="B333" s="776"/>
      <x:c r="C333" s="629" t="s">
        <x:v>73</x:v>
      </x:c>
      <x:c r="D333" s="629">
        <x:f>D241</x:f>
        <x:v>791790.67</x:v>
      </x:c>
      <x:c r="E333" s="619"/>
      <x:c r="F333" s="619"/>
      <x:c r="G333" s="619"/>
      <x:c r="H333" s="619"/>
      <x:c r="I333" s="619"/>
      <x:c r="J333" s="619"/>
      <x:c r="K333" s="619"/>
      <x:c r="L333" s="619"/>
      <x:c r="M333" s="619"/>
      <x:c r="N333" s="619"/>
      <x:c r="O333" s="619"/>
      <x:c r="P333" s="619"/>
      <x:c r="Q333" s="619"/>
      <x:c r="R333" s="619"/>
    </x:row>
    <x:row r="334" spans="1:18" ht="12.75" customHeight="1" x14ac:dyDescent="0.3">
      <x:c r="A334" s="618"/>
      <x:c r="D334" s="619"/>
      <x:c r="E334" s="619"/>
      <x:c r="F334" s="619"/>
      <x:c r="G334" s="619"/>
      <x:c r="H334" s="619"/>
      <x:c r="I334" s="619"/>
      <x:c r="J334" s="619"/>
      <x:c r="K334" s="619"/>
      <x:c r="L334" s="619"/>
      <x:c r="M334" s="619"/>
      <x:c r="N334" s="619"/>
      <x:c r="O334" s="619"/>
      <x:c r="P334" s="619"/>
      <x:c r="Q334" s="619"/>
      <x:c r="R334" s="619"/>
    </x:row>
    <x:row r="335" spans="1:18" ht="12.75" customHeight="1" x14ac:dyDescent="0.25">
      <x:c r="A335" s="778" t="s">
        <x:v>161</x:v>
      </x:c>
      <x:c r="B335" s="776" t="s">
        <x:v>132</x:v>
      </x:c>
      <x:c r="C335" s="635" t="s">
        <x:v>70</x:v>
      </x:c>
      <x:c r="D335" s="635">
        <x:v>0</x:v>
      </x:c>
      <x:c r="E335" s="635">
        <x:v>0</x:v>
      </x:c>
      <x:c r="F335" s="635">
        <x:v>0</x:v>
      </x:c>
      <x:c r="G335" s="635">
        <x:v>0</x:v>
      </x:c>
      <x:c r="H335" s="635">
        <x:v>0</x:v>
      </x:c>
      <x:c r="I335" s="635">
        <x:v>0</x:v>
      </x:c>
      <x:c r="J335" s="635">
        <x:v>0</x:v>
      </x:c>
      <x:c r="K335" s="635">
        <x:v>0</x:v>
      </x:c>
      <x:c r="L335" s="635">
        <x:v>0</x:v>
      </x:c>
      <x:c r="M335" s="635">
        <x:v>0</x:v>
      </x:c>
      <x:c r="N335" s="635">
        <x:v>0</x:v>
      </x:c>
      <x:c r="O335" s="635">
        <x:v>0</x:v>
      </x:c>
      <x:c r="P335" s="635">
        <x:v>0</x:v>
      </x:c>
      <x:c r="Q335" s="635">
        <x:v>0</x:v>
      </x:c>
      <x:c r="R335" s="635">
        <x:v>0</x:v>
      </x:c>
    </x:row>
    <x:row r="336" spans="1:18" ht="12.75" customHeight="1" x14ac:dyDescent="0.25">
      <x:c r="A336" s="778"/>
      <x:c r="B336" s="776"/>
      <x:c r="C336" s="635" t="s">
        <x:v>73</x:v>
      </x:c>
      <x:c r="D336" s="635">
        <x:v>0</x:v>
      </x:c>
      <x:c r="E336" s="619"/>
      <x:c r="F336" s="619"/>
      <x:c r="G336" s="619"/>
      <x:c r="H336" s="619"/>
      <x:c r="I336" s="619"/>
      <x:c r="J336" s="619"/>
      <x:c r="K336" s="619"/>
      <x:c r="L336" s="619"/>
      <x:c r="M336" s="619"/>
      <x:c r="N336" s="619"/>
      <x:c r="O336" s="619"/>
      <x:c r="P336" s="619"/>
      <x:c r="Q336" s="619"/>
    </x:row>
    <x:row r="337" spans="1:18" s="636" customFormat="1" x14ac:dyDescent="0.25"/>
    <x:row r="338" spans="1:18" ht="13" x14ac:dyDescent="0.3">
      <x:c r="B338" s="618" t="s">
        <x:v>93</x:v>
      </x:c>
    </x:row>
    <x:row r="339" spans="1:18" ht="12.75" customHeight="1" x14ac:dyDescent="0.25">
      <x:c r="D339" s="619" t="s">
        <x:v>70</x:v>
      </x:c>
      <x:c r="E339" s="619" t="s">
        <x:v>64</x:v>
      </x:c>
      <x:c r="F339" s="619" t="s">
        <x:v>65</x:v>
      </x:c>
      <x:c r="G339" s="620" t="s">
        <x:v>164</x:v>
      </x:c>
      <x:c r="H339" s="619" t="s">
        <x:v>69</x:v>
      </x:c>
      <x:c r="I339" s="619" t="s">
        <x:v>68</x:v>
      </x:c>
      <x:c r="J339" s="619" t="s">
        <x:v>66</x:v>
      </x:c>
      <x:c r="K339" s="619" t="s">
        <x:v>63</x:v>
      </x:c>
      <x:c r="L339" s="619" t="s">
        <x:v>61</x:v>
      </x:c>
      <x:c r="M339" s="619" t="s">
        <x:v>62</x:v>
      </x:c>
      <x:c r="N339" s="619" t="s">
        <x:v>67</x:v>
      </x:c>
      <x:c r="O339" s="619" t="s">
        <x:v>77</x:v>
      </x:c>
      <x:c r="P339" s="617" t="s">
        <x:v>71</x:v>
      </x:c>
      <x:c r="Q339" s="619" t="s">
        <x:v>80</x:v>
      </x:c>
      <x:c r="R339" s="617" t="s">
        <x:v>168</x:v>
      </x:c>
    </x:row>
    <x:row r="340" spans="1:18" ht="12" customHeight="1" x14ac:dyDescent="0.25">
      <x:c r="C340" s="619" t="s">
        <x:v>72</x:v>
      </x:c>
      <x:c r="D340" s="619">
        <x:v>-2459958.9900000002</x:v>
      </x:c>
      <x:c r="E340" s="619">
        <x:v>-131176.29999999999</x:v>
      </x:c>
      <x:c r="F340" s="619">
        <x:v>-73947.600000000006</x:v>
      </x:c>
      <x:c r="G340" s="619">
        <x:v>-38360.959999999999</x:v>
      </x:c>
      <x:c r="H340" s="619">
        <x:v>-516845.27</x:v>
      </x:c>
      <x:c r="I340" s="619">
        <x:v>-20608.349999999999</x:v>
      </x:c>
      <x:c r="J340" s="619">
        <x:v>-180773.73</x:v>
      </x:c>
      <x:c r="K340" s="619">
        <x:v>-177017.02</x:v>
      </x:c>
      <x:c r="L340" s="619">
        <x:v>-903639.16</x:v>
      </x:c>
      <x:c r="M340" s="619">
        <x:v>-383975.32</x:v>
      </x:c>
      <x:c r="N340" s="619">
        <x:v>-33624.080000000002</x:v>
      </x:c>
      <x:c r="O340" s="619">
        <x:v>8.8000000000000007</x:v>
      </x:c>
      <x:c r="P340" s="617">
        <x:v>0</x:v>
      </x:c>
      <x:c r="Q340" s="619">
        <x:v>0</x:v>
      </x:c>
      <x:c r="R340" s="617">
        <x:v>0</x:v>
      </x:c>
    </x:row>
    <x:row r="341" spans="1:18" ht="12" customHeight="1" x14ac:dyDescent="0.25">
      <x:c r="C341" s="619" t="s">
        <x:v>81</x:v>
      </x:c>
      <x:c r="D341" s="619">
        <x:v>-1530.78</x:v>
      </x:c>
      <x:c r="E341" s="619">
        <x:v>-92.42</x:v>
      </x:c>
      <x:c r="F341" s="619">
        <x:v>-52.15</x:v>
      </x:c>
      <x:c r="G341" s="619">
        <x:v>-27.92</x:v>
      </x:c>
      <x:c r="H341" s="619">
        <x:v>-308.89999999999998</x:v>
      </x:c>
      <x:c r="I341" s="619">
        <x:v>-11.75</x:v>
      </x:c>
      <x:c r="J341" s="619">
        <x:v>-106.44</x:v>
      </x:c>
      <x:c r="K341" s="619">
        <x:v>-103.99</x:v>
      </x:c>
      <x:c r="L341" s="619">
        <x:v>-527.01</x:v>
      </x:c>
      <x:c r="M341" s="619">
        <x:v>-281.02999999999997</x:v>
      </x:c>
      <x:c r="N341" s="619">
        <x:v>-19.16</x:v>
      </x:c>
      <x:c r="O341" s="619">
        <x:v>-0.01</x:v>
      </x:c>
      <x:c r="P341" s="617">
        <x:v>0</x:v>
      </x:c>
      <x:c r="Q341" s="619">
        <x:v>0</x:v>
      </x:c>
      <x:c r="R341" s="617">
        <x:v>0</x:v>
      </x:c>
    </x:row>
    <x:row r="342" spans="1:18" s="622" customFormat="1" ht="12.75" customHeight="1" x14ac:dyDescent="0.25">
      <x:c r="A342" s="623"/>
      <x:c r="B342" s="622" t="s">
        <x:v>78</x:v>
      </x:c>
      <x:c r="C342" s="622" t="s">
        <x:v>70</x:v>
      </x:c>
      <x:c r="D342" s="623">
        <x:v>-2461489.77</x:v>
      </x:c>
      <x:c r="E342" s="623">
        <x:v>-131268.72</x:v>
      </x:c>
      <x:c r="F342" s="623">
        <x:v>-73999.75</x:v>
      </x:c>
      <x:c r="G342" s="623">
        <x:v>-38388.879999999997</x:v>
      </x:c>
      <x:c r="H342" s="623">
        <x:v>-517154.17</x:v>
      </x:c>
      <x:c r="I342" s="623">
        <x:v>-20620.099999999999</x:v>
      </x:c>
      <x:c r="J342" s="623">
        <x:v>-180880.17</x:v>
      </x:c>
      <x:c r="K342" s="623">
        <x:v>-177121.01</x:v>
      </x:c>
      <x:c r="L342" s="623">
        <x:v>-904166.17</x:v>
      </x:c>
      <x:c r="M342" s="623">
        <x:v>-384256.35</x:v>
      </x:c>
      <x:c r="N342" s="623">
        <x:v>-33643.24</x:v>
      </x:c>
      <x:c r="O342" s="623">
        <x:v>8.7899999999999991</x:v>
      </x:c>
      <x:c r="P342" s="622">
        <x:v>0</x:v>
      </x:c>
      <x:c r="Q342" s="622">
        <x:v>0</x:v>
      </x:c>
      <x:c r="R342" s="622">
        <x:v>0</x:v>
      </x:c>
    </x:row>
    <x:row r="343" spans="1:18" ht="12" customHeight="1" x14ac:dyDescent="0.25">
      <x:c r="C343" s="619" t="s">
        <x:v>73</x:v>
      </x:c>
      <x:c r="D343" s="619">
        <x:v>395889.77</x:v>
      </x:c>
      <x:c r="E343" s="619">
        <x:v>21738.99</x:v>
      </x:c>
      <x:c r="F343" s="619">
        <x:v>12237.73</x:v>
      </x:c>
      <x:c r="G343" s="619">
        <x:v>6281.21</x:v>
      </x:c>
      <x:c r="H343" s="619">
        <x:v>77529.75</x:v>
      </x:c>
      <x:c r="I343" s="619">
        <x:v>3370.36</x:v>
      </x:c>
      <x:c r="J343" s="619">
        <x:v>29563.65</x:v>
      </x:c>
      <x:c r="K343" s="619">
        <x:v>28884.29</x:v>
      </x:c>
      <x:c r="L343" s="619">
        <x:v>147901.79</x:v>
      </x:c>
      <x:c r="M343" s="619">
        <x:v>62883.22</x:v>
      </x:c>
      <x:c r="N343" s="619">
        <x:v>5498.78</x:v>
      </x:c>
      <x:c r="O343" s="619">
        <x:v>0</x:v>
      </x:c>
      <x:c r="P343" s="617">
        <x:v>0</x:v>
      </x:c>
      <x:c r="Q343" s="619">
        <x:v>0</x:v>
      </x:c>
      <x:c r="R343" s="617">
        <x:v>0</x:v>
      </x:c>
    </x:row>
    <x:row r="344" spans="1:18" s="624" customFormat="1" ht="12.75" customHeight="1" x14ac:dyDescent="0.25">
      <x:c r="A344" s="625"/>
      <x:c r="B344" s="625" t="s">
        <x:v>79</x:v>
      </x:c>
      <x:c r="C344" s="624" t="s">
        <x:v>70</x:v>
      </x:c>
      <x:c r="D344" s="625">
        <x:v>395889.77</x:v>
      </x:c>
      <x:c r="E344" s="625">
        <x:v>21738.99</x:v>
      </x:c>
      <x:c r="F344" s="625">
        <x:v>12237.73</x:v>
      </x:c>
      <x:c r="G344" s="625">
        <x:v>6281.21</x:v>
      </x:c>
      <x:c r="H344" s="625">
        <x:v>77529.75</x:v>
      </x:c>
      <x:c r="I344" s="625">
        <x:v>3370.36</x:v>
      </x:c>
      <x:c r="J344" s="625">
        <x:v>29563.65</x:v>
      </x:c>
      <x:c r="K344" s="625">
        <x:v>28884.29</x:v>
      </x:c>
      <x:c r="L344" s="625">
        <x:v>147901.79</x:v>
      </x:c>
      <x:c r="M344" s="625">
        <x:v>62883.22</x:v>
      </x:c>
      <x:c r="N344" s="625">
        <x:v>5498.78</x:v>
      </x:c>
      <x:c r="O344" s="625">
        <x:v>0</x:v>
      </x:c>
      <x:c r="P344" s="624">
        <x:v>0</x:v>
      </x:c>
      <x:c r="Q344" s="624">
        <x:v>0</x:v>
      </x:c>
      <x:c r="R344" s="624">
        <x:v>0</x:v>
      </x:c>
    </x:row>
    <x:row r="345" spans="1:18" s="626" customFormat="1" ht="12.75" customHeight="1" x14ac:dyDescent="0.25">
      <x:c r="A345" s="626" t="s">
        <x:v>155</x:v>
      </x:c>
      <x:c r="B345" s="626" t="s">
        <x:v>70</x:v>
      </x:c>
      <x:c r="D345" s="627">
        <x:v>-2065600</x:v>
      </x:c>
      <x:c r="E345" s="627">
        <x:v>-109529.73</x:v>
      </x:c>
      <x:c r="F345" s="627">
        <x:v>-61762.02</x:v>
      </x:c>
      <x:c r="G345" s="628">
        <x:v>-32107.67</x:v>
      </x:c>
      <x:c r="H345" s="627">
        <x:v>-439624.42</x:v>
      </x:c>
      <x:c r="I345" s="627">
        <x:v>-17249.740000000002</x:v>
      </x:c>
      <x:c r="J345" s="627">
        <x:v>-151316.51999999999</x:v>
      </x:c>
      <x:c r="K345" s="627">
        <x:v>-148236.72</x:v>
      </x:c>
      <x:c r="L345" s="627">
        <x:v>-756264.38</x:v>
      </x:c>
      <x:c r="M345" s="627">
        <x:v>-321373.13</x:v>
      </x:c>
      <x:c r="N345" s="627">
        <x:v>-28144.46</x:v>
      </x:c>
      <x:c r="O345" s="627">
        <x:v>8.7899999999999991</x:v>
      </x:c>
      <x:c r="P345" s="627">
        <x:v>0</x:v>
      </x:c>
      <x:c r="Q345" s="627">
        <x:v>0</x:v>
      </x:c>
      <x:c r="R345" s="626">
        <x:v>0</x:v>
      </x:c>
    </x:row>
    <x:row r="346" spans="1:18" ht="12.75" customHeight="1" x14ac:dyDescent="0.25">
      <x:c r="C346" s="617" t="s">
        <x:v>72</x:v>
      </x:c>
      <x:c r="D346" s="619">
        <x:v>-1083123.76</x:v>
      </x:c>
      <x:c r="E346" s="619">
        <x:v>-72781.119999999995</x:v>
      </x:c>
      <x:c r="F346" s="619">
        <x:v>-39747.019999999997</x:v>
      </x:c>
      <x:c r="G346" s="621">
        <x:v>-20862.82</x:v>
      </x:c>
      <x:c r="H346" s="619">
        <x:v>-236215.25</x:v>
      </x:c>
      <x:c r="I346" s="619">
        <x:v>-6590.57</x:v>
      </x:c>
      <x:c r="J346" s="619">
        <x:v>-57811.55</x:v>
      </x:c>
      <x:c r="K346" s="619">
        <x:v>-68511.12</x:v>
      </x:c>
      <x:c r="L346" s="619">
        <x:v>-351743.19</x:v>
      </x:c>
      <x:c r="M346" s="619">
        <x:v>-218096.95</x:v>
      </x:c>
      <x:c r="N346" s="619">
        <x:v>-10752.99</x:v>
      </x:c>
      <x:c r="O346" s="619">
        <x:v>-11.18</x:v>
      </x:c>
      <x:c r="P346" s="619">
        <x:v>0</x:v>
      </x:c>
      <x:c r="Q346" s="619">
        <x:v>0</x:v>
      </x:c>
      <x:c r="R346" s="617">
        <x:v>0</x:v>
      </x:c>
    </x:row>
    <x:row r="347" spans="1:18" ht="12.75" customHeight="1" x14ac:dyDescent="0.25">
      <x:c r="C347" s="617" t="s">
        <x:v>81</x:v>
      </x:c>
      <x:c r="D347" s="619">
        <x:v>-7940.15</x:v>
      </x:c>
      <x:c r="E347" s="619">
        <x:v>-601.51</x:v>
      </x:c>
      <x:c r="F347" s="619">
        <x:v>-315.89</x:v>
      </x:c>
      <x:c r="G347" s="621">
        <x:v>-174.4</x:v>
      </x:c>
      <x:c r="H347" s="619">
        <x:v>-1696</x:v>
      </x:c>
      <x:c r="I347" s="619">
        <x:v>-40.25</x:v>
      </x:c>
      <x:c r="J347" s="619">
        <x:v>-352.25</x:v>
      </x:c>
      <x:c r="K347" s="619">
        <x:v>-482.43</x:v>
      </x:c>
      <x:c r="L347" s="619">
        <x:v>-2396.34</x:v>
      </x:c>
      <x:c r="M347" s="619">
        <x:v>-1815.36</x:v>
      </x:c>
      <x:c r="N347" s="619">
        <x:v>-65.55</x:v>
      </x:c>
      <x:c r="O347" s="619">
        <x:v>-0.17</x:v>
      </x:c>
      <x:c r="P347" s="619">
        <x:v>0</x:v>
      </x:c>
      <x:c r="Q347" s="619">
        <x:v>0</x:v>
      </x:c>
      <x:c r="R347" s="617">
        <x:v>0</x:v>
      </x:c>
    </x:row>
    <x:row r="348" spans="1:18" s="622" customFormat="1" ht="12.75" customHeight="1" x14ac:dyDescent="0.25">
      <x:c r="A348" s="623"/>
      <x:c r="B348" s="622" t="s">
        <x:v>78</x:v>
      </x:c>
      <x:c r="C348" s="622" t="s">
        <x:v>70</x:v>
      </x:c>
      <x:c r="D348" s="623">
        <x:v>-1091063.9099999999</x:v>
      </x:c>
      <x:c r="E348" s="623">
        <x:v>-73382.63</x:v>
      </x:c>
      <x:c r="F348" s="623">
        <x:v>-40062.910000000003</x:v>
      </x:c>
      <x:c r="G348" s="623">
        <x:v>-21037.22</x:v>
      </x:c>
      <x:c r="H348" s="623">
        <x:v>-237911.25</x:v>
      </x:c>
      <x:c r="I348" s="623">
        <x:v>-6630.82</x:v>
      </x:c>
      <x:c r="J348" s="623">
        <x:v>-58163.8</x:v>
      </x:c>
      <x:c r="K348" s="623">
        <x:v>-68993.55</x:v>
      </x:c>
      <x:c r="L348" s="623">
        <x:v>-354139.53</x:v>
      </x:c>
      <x:c r="M348" s="623">
        <x:v>-219912.31</x:v>
      </x:c>
      <x:c r="N348" s="623">
        <x:v>-10818.54</x:v>
      </x:c>
      <x:c r="O348" s="623">
        <x:v>-11.35</x:v>
      </x:c>
      <x:c r="P348" s="622">
        <x:v>0</x:v>
      </x:c>
      <x:c r="Q348" s="622">
        <x:v>0</x:v>
      </x:c>
      <x:c r="R348" s="622">
        <x:v>0</x:v>
      </x:c>
    </x:row>
    <x:row r="349" spans="1:18" ht="12.75" customHeight="1" x14ac:dyDescent="0.25">
      <x:c r="C349" s="617" t="s">
        <x:v>73</x:v>
      </x:c>
      <x:c r="D349" s="619">
        <x:v>64288.38</x:v>
      </x:c>
      <x:c r="E349" s="619">
        <x:v>-653.33000000000004</x:v>
      </x:c>
      <x:c r="F349" s="619">
        <x:v>-464.25</x:v>
      </x:c>
      <x:c r="G349" s="621">
        <x:v>-316.04000000000002</x:v>
      </x:c>
      <x:c r="H349" s="619">
        <x:v>19509.96</x:v>
      </x:c>
      <x:c r="I349" s="619">
        <x:v>788.95</x:v>
      </x:c>
      <x:c r="J349" s="619">
        <x:v>6920.78</x:v>
      </x:c>
      <x:c r="K349" s="619">
        <x:v>7226.71</x:v>
      </x:c>
      <x:c r="L349" s="619">
        <x:v>32486.74</x:v>
      </x:c>
      <x:c r="M349" s="619">
        <x:v>-2498.41</x:v>
      </x:c>
      <x:c r="N349" s="619">
        <x:v>1287.27</x:v>
      </x:c>
      <x:c r="O349" s="619">
        <x:v>0</x:v>
      </x:c>
      <x:c r="P349" s="619">
        <x:v>0</x:v>
      </x:c>
      <x:c r="Q349" s="619">
        <x:v>0</x:v>
      </x:c>
      <x:c r="R349" s="617">
        <x:v>0</x:v>
      </x:c>
    </x:row>
    <x:row r="350" spans="1:18" s="624" customFormat="1" ht="12.75" customHeight="1" x14ac:dyDescent="0.25">
      <x:c r="A350" s="625"/>
      <x:c r="B350" s="625" t="s">
        <x:v>79</x:v>
      </x:c>
      <x:c r="C350" s="624" t="s">
        <x:v>70</x:v>
      </x:c>
      <x:c r="D350" s="625">
        <x:v>64288.38</x:v>
      </x:c>
      <x:c r="E350" s="625">
        <x:v>-653.33000000000004</x:v>
      </x:c>
      <x:c r="F350" s="625">
        <x:v>-464.25</x:v>
      </x:c>
      <x:c r="G350" s="625">
        <x:v>-316.04000000000002</x:v>
      </x:c>
      <x:c r="H350" s="625">
        <x:v>19509.96</x:v>
      </x:c>
      <x:c r="I350" s="625">
        <x:v>788.95</x:v>
      </x:c>
      <x:c r="J350" s="625">
        <x:v>6920.78</x:v>
      </x:c>
      <x:c r="K350" s="625">
        <x:v>7226.71</x:v>
      </x:c>
      <x:c r="L350" s="625">
        <x:v>32486.74</x:v>
      </x:c>
      <x:c r="M350" s="625">
        <x:v>-2498.41</x:v>
      </x:c>
      <x:c r="N350" s="625">
        <x:v>1287.27</x:v>
      </x:c>
      <x:c r="O350" s="625">
        <x:v>0</x:v>
      </x:c>
      <x:c r="P350" s="624">
        <x:v>0</x:v>
      </x:c>
      <x:c r="Q350" s="624">
        <x:v>0</x:v>
      </x:c>
      <x:c r="R350" s="624">
        <x:v>0</x:v>
      </x:c>
    </x:row>
    <x:row r="351" spans="1:18" s="755" customFormat="1" ht="12.75" customHeight="1" x14ac:dyDescent="0.25">
      <x:c r="A351" s="755" t="s">
        <x:v>119</x:v>
      </x:c>
      <x:c r="B351" s="629" t="s">
        <x:v>70</x:v>
      </x:c>
      <x:c r="C351" s="629"/>
      <x:c r="D351" s="629">
        <x:v>-1026775.53</x:v>
      </x:c>
      <x:c r="E351" s="629">
        <x:v>-74035.960000000006</x:v>
      </x:c>
      <x:c r="F351" s="629">
        <x:v>-40527.160000000003</x:v>
      </x:c>
      <x:c r="G351" s="629">
        <x:v>-21353.26</x:v>
      </x:c>
      <x:c r="H351" s="629">
        <x:v>-218401.29</x:v>
      </x:c>
      <x:c r="I351" s="629">
        <x:v>-5841.87</x:v>
      </x:c>
      <x:c r="J351" s="629">
        <x:v>-51243.02</x:v>
      </x:c>
      <x:c r="K351" s="629">
        <x:v>-61766.84</x:v>
      </x:c>
      <x:c r="L351" s="629">
        <x:v>-321652.78999999998</x:v>
      </x:c>
      <x:c r="M351" s="629">
        <x:v>-222410.72</x:v>
      </x:c>
      <x:c r="N351" s="629">
        <x:v>-9531.27</x:v>
      </x:c>
      <x:c r="O351" s="629">
        <x:v>-11.35</x:v>
      </x:c>
      <x:c r="P351" s="755">
        <x:v>0</x:v>
      </x:c>
      <x:c r="Q351" s="629">
        <x:v>0</x:v>
      </x:c>
      <x:c r="R351" s="629">
        <x:v>0</x:v>
      </x:c>
    </x:row>
    <x:row r="352" spans="1:18" s="632" customFormat="1" ht="12.75" customHeight="1" x14ac:dyDescent="0.25">
      <x:c r="A352" s="631" t="s">
        <x:v>70</x:v>
      </x:c>
      <x:c r="D352" s="631" t="n">
        <x:v>-4011371.65</x:v>
      </x:c>
      <x:c r="E352" s="631">
        <x:v>-183565.69</x:v>
      </x:c>
      <x:c r="F352" s="631">
        <x:v>-102289.18</x:v>
      </x:c>
      <x:c r="G352" s="631">
        <x:v>-53460.93</x:v>
      </x:c>
      <x:c r="H352" s="631">
        <x:v>-658025.71</x:v>
      </x:c>
      <x:c r="I352" s="631">
        <x:v>-23091.61</x:v>
      </x:c>
      <x:c r="J352" s="631">
        <x:v>-202559.54</x:v>
      </x:c>
      <x:c r="K352" s="631">
        <x:v>-210003.56</x:v>
      </x:c>
      <x:c r="L352" s="631">
        <x:v>-1077917.17</x:v>
      </x:c>
      <x:c r="M352" s="631">
        <x:v>-543783.85</x:v>
      </x:c>
      <x:c r="N352" s="631">
        <x:v>-37675.730000000003</x:v>
      </x:c>
      <x:c r="O352" s="631">
        <x:v>-2.56</x:v>
      </x:c>
      <x:c r="P352" s="632" t="n">
        <x:v>0</x:v>
      </x:c>
      <x:c r="Q352" s="632">
        <x:v>0</x:v>
      </x:c>
      <x:c r="R352" s="632">
        <x:v>0</x:v>
      </x:c>
    </x:row>
    <x:row r="353" spans="1:18" ht="12.75" customHeight="1" x14ac:dyDescent="0.25">
      <x:c r="C353" s="619"/>
      <x:c r="D353" s="619"/>
      <x:c r="E353" s="619"/>
      <x:c r="F353" s="619"/>
      <x:c r="G353" s="619"/>
      <x:c r="H353" s="619"/>
      <x:c r="I353" s="619"/>
      <x:c r="J353" s="619"/>
      <x:c r="K353" s="619"/>
      <x:c r="L353" s="619"/>
      <x:c r="M353" s="619"/>
      <x:c r="N353" s="619"/>
      <x:c r="O353" s="619"/>
      <x:c r="Q353" s="619"/>
    </x:row>
    <x:row r="354" spans="1:18" ht="12.75" customHeight="1" x14ac:dyDescent="0.25">
      <x:c r="C354" s="619"/>
      <x:c r="D354" s="619"/>
      <x:c r="E354" s="619"/>
      <x:c r="F354" s="619"/>
      <x:c r="G354" s="619"/>
      <x:c r="H354" s="619"/>
      <x:c r="I354" s="619"/>
      <x:c r="J354" s="619"/>
      <x:c r="K354" s="619"/>
      <x:c r="L354" s="619"/>
      <x:c r="M354" s="619"/>
      <x:c r="N354" s="619"/>
      <x:c r="O354" s="619"/>
      <x:c r="Q354" s="619"/>
    </x:row>
    <x:row r="355" spans="1:18" ht="12.75" customHeight="1" x14ac:dyDescent="0.25">
      <x:c r="A355" s="777" t="s">
        <x:v>2</x:v>
      </x:c>
      <x:c r="B355" s="776" t="s">
        <x:v>132</x:v>
      </x:c>
      <x:c r="C355" s="767" t="s">
        <x:v>70</x:v>
      </x:c>
      <x:c r="D355" s="767">
        <x:f>D352-P352</x:f>
        <x:v>-3092375.53</x:v>
      </x:c>
      <x:c r="E355" s="767">
        <x:f>E342+E348</x:f>
        <x:v>-204651.35</x:v>
      </x:c>
      <x:c r="F355" s="767">
        <x:f t="shared" ref="F355:R355" si="13">F342+F348</x:f>
        <x:v>-114062.66</x:v>
      </x:c>
      <x:c r="G355" s="767">
        <x:f t="shared" si="13"/>
        <x:v>-59426.1</x:v>
      </x:c>
      <x:c r="H355" s="767">
        <x:f t="shared" si="13"/>
        <x:v>-755065.41999999993</x:v>
      </x:c>
      <x:c r="I355" s="767">
        <x:f t="shared" si="13"/>
        <x:v>-27250.92</x:v>
      </x:c>
      <x:c r="J355" s="767">
        <x:f t="shared" si="13"/>
        <x:v>-239043.97000000003</x:v>
      </x:c>
      <x:c r="K355" s="767">
        <x:f t="shared" si="13"/>
        <x:v>-246114.56</x:v>
      </x:c>
      <x:c r="L355" s="767">
        <x:f t="shared" si="13"/>
        <x:v>-1258305.7000000002</x:v>
      </x:c>
      <x:c r="M355" s="767">
        <x:f t="shared" si="13"/>
        <x:v>-604168.65999999992</x:v>
      </x:c>
      <x:c r="N355" s="767">
        <x:f t="shared" si="13"/>
        <x:v>-44461.78</x:v>
      </x:c>
      <x:c r="O355" s="767">
        <x:f t="shared" si="13"/>
        <x:v>-2.5600000000000005</x:v>
      </x:c>
      <x:c r="P355" s="767">
        <x:f t="shared" si="13"/>
        <x:v>0</x:v>
      </x:c>
      <x:c r="Q355" s="767">
        <x:f t="shared" si="13"/>
        <x:v>0</x:v>
      </x:c>
      <x:c r="R355" s="767">
        <x:f t="shared" si="13"/>
        <x:v>0</x:v>
      </x:c>
    </x:row>
    <x:row r="356" spans="1:18" ht="12.75" customHeight="1" x14ac:dyDescent="0.25">
      <x:c r="A356" s="777"/>
      <x:c r="B356" s="776"/>
      <x:c r="C356" s="767" t="s">
        <x:v>73</x:v>
      </x:c>
      <x:c r="D356" s="768">
        <x:f>D344+D350</x:f>
        <x:v>460178.15</x:v>
      </x:c>
      <x:c r="E356" s="619"/>
      <x:c r="F356" s="619"/>
      <x:c r="G356" s="619"/>
      <x:c r="H356" s="619"/>
      <x:c r="I356" s="619"/>
      <x:c r="J356" s="619"/>
      <x:c r="K356" s="619"/>
      <x:c r="L356" s="619"/>
      <x:c r="M356" s="619"/>
      <x:c r="N356" s="619"/>
      <x:c r="O356" s="619"/>
      <x:c r="P356" s="619"/>
      <x:c r="Q356" s="619"/>
      <x:c r="R356" s="619"/>
    </x:row>
    <x:row r="357" spans="1:18" ht="12.75" customHeight="1" x14ac:dyDescent="0.3">
      <x:c r="A357" s="618"/>
      <x:c r="D357" s="619"/>
      <x:c r="E357" s="619"/>
      <x:c r="F357" s="619"/>
      <x:c r="G357" s="619"/>
      <x:c r="H357" s="619"/>
      <x:c r="I357" s="619"/>
      <x:c r="J357" s="619"/>
      <x:c r="K357" s="619"/>
      <x:c r="L357" s="619"/>
      <x:c r="M357" s="619"/>
      <x:c r="N357" s="619"/>
      <x:c r="O357" s="619"/>
      <x:c r="P357" s="619"/>
      <x:c r="Q357" s="619"/>
      <x:c r="R357" s="619"/>
    </x:row>
    <x:row r="358" spans="1:18" ht="12.75" customHeight="1" x14ac:dyDescent="0.25">
      <x:c r="A358" s="777" t="s">
        <x:v>160</x:v>
      </x:c>
      <x:c r="B358" s="776" t="s">
        <x:v>132</x:v>
      </x:c>
      <x:c r="C358" s="633" t="s">
        <x:v>70</x:v>
      </x:c>
      <x:c r="D358" s="633">
        <x:v>0</x:v>
      </x:c>
      <x:c r="E358" s="633">
        <x:v>0</x:v>
      </x:c>
      <x:c r="F358" s="633">
        <x:v>0</x:v>
      </x:c>
      <x:c r="G358" s="633">
        <x:v>0</x:v>
      </x:c>
      <x:c r="H358" s="633">
        <x:v>0</x:v>
      </x:c>
      <x:c r="I358" s="633">
        <x:v>0</x:v>
      </x:c>
      <x:c r="J358" s="633">
        <x:v>0</x:v>
      </x:c>
      <x:c r="K358" s="633">
        <x:v>0</x:v>
      </x:c>
      <x:c r="L358" s="633">
        <x:v>0</x:v>
      </x:c>
      <x:c r="M358" s="633">
        <x:v>0</x:v>
      </x:c>
      <x:c r="N358" s="633">
        <x:v>0</x:v>
      </x:c>
      <x:c r="O358" s="633">
        <x:v>0</x:v>
      </x:c>
      <x:c r="P358" s="633">
        <x:v>0</x:v>
      </x:c>
      <x:c r="Q358" s="633">
        <x:v>0</x:v>
      </x:c>
      <x:c r="R358" s="633">
        <x:v>0</x:v>
      </x:c>
    </x:row>
    <x:row r="359" spans="1:18" ht="12.75" customHeight="1" x14ac:dyDescent="0.25">
      <x:c r="A359" s="777"/>
      <x:c r="B359" s="776"/>
      <x:c r="C359" s="633" t="s">
        <x:v>73</x:v>
      </x:c>
      <x:c r="D359" s="633">
        <x:v>0</x:v>
      </x:c>
      <x:c r="E359" s="619"/>
      <x:c r="F359" s="619"/>
      <x:c r="G359" s="619"/>
      <x:c r="H359" s="619"/>
      <x:c r="I359" s="619"/>
      <x:c r="J359" s="619"/>
      <x:c r="K359" s="619"/>
      <x:c r="L359" s="619"/>
      <x:c r="M359" s="619"/>
      <x:c r="N359" s="619"/>
      <x:c r="O359" s="619"/>
      <x:c r="P359" s="619"/>
      <x:c r="Q359" s="619"/>
      <x:c r="R359" s="619"/>
    </x:row>
    <x:row r="360" spans="1:18" ht="12.75" customHeight="1" x14ac:dyDescent="0.3">
      <x:c r="A360" s="618"/>
      <x:c r="D360" s="619"/>
      <x:c r="E360" s="619"/>
      <x:c r="F360" s="619"/>
      <x:c r="G360" s="619"/>
      <x:c r="H360" s="619"/>
      <x:c r="I360" s="619"/>
      <x:c r="J360" s="619"/>
      <x:c r="K360" s="619"/>
      <x:c r="L360" s="619"/>
      <x:c r="M360" s="619"/>
      <x:c r="N360" s="619"/>
      <x:c r="O360" s="619"/>
      <x:c r="P360" s="619"/>
      <x:c r="Q360" s="619"/>
      <x:c r="R360" s="619"/>
    </x:row>
    <x:row r="361" spans="1:18" ht="12.75" customHeight="1" x14ac:dyDescent="0.25">
      <x:c r="A361" s="777" t="s">
        <x:v>155</x:v>
      </x:c>
      <x:c r="B361" s="776" t="s">
        <x:v>132</x:v>
      </x:c>
      <x:c r="C361" s="634" t="s">
        <x:v>70</x:v>
      </x:c>
      <x:c r="D361" s="634">
        <x:f>D345-P345</x:f>
        <x:v>-2065600</x:v>
      </x:c>
      <x:c r="E361" s="634">
        <x:f t="shared" ref="E361:R361" si="14">E342</x:f>
        <x:v>-131268.72</x:v>
      </x:c>
      <x:c r="F361" s="634">
        <x:f t="shared" si="14"/>
        <x:v>-73999.75</x:v>
      </x:c>
      <x:c r="G361" s="634">
        <x:f t="shared" si="14"/>
        <x:v>-38388.879999999997</x:v>
      </x:c>
      <x:c r="H361" s="634">
        <x:f t="shared" si="14"/>
        <x:v>-517154.17</x:v>
      </x:c>
      <x:c r="I361" s="634">
        <x:f t="shared" si="14"/>
        <x:v>-20620.099999999999</x:v>
      </x:c>
      <x:c r="J361" s="634">
        <x:f t="shared" si="14"/>
        <x:v>-180880.17</x:v>
      </x:c>
      <x:c r="K361" s="634">
        <x:f t="shared" si="14"/>
        <x:v>-177121.01</x:v>
      </x:c>
      <x:c r="L361" s="634">
        <x:f t="shared" si="14"/>
        <x:v>-904166.17</x:v>
      </x:c>
      <x:c r="M361" s="634">
        <x:f t="shared" si="14"/>
        <x:v>-384256.35</x:v>
      </x:c>
      <x:c r="N361" s="634">
        <x:f t="shared" si="14"/>
        <x:v>-33643.24</x:v>
      </x:c>
      <x:c r="O361" s="634">
        <x:f t="shared" si="14"/>
        <x:v>8.7899999999999991</x:v>
      </x:c>
      <x:c r="P361" s="634">
        <x:f t="shared" si="14"/>
        <x:v>0</x:v>
      </x:c>
      <x:c r="Q361" s="634">
        <x:f t="shared" si="14"/>
        <x:v>0</x:v>
      </x:c>
      <x:c r="R361" s="634">
        <x:f t="shared" si="14"/>
        <x:v>0</x:v>
      </x:c>
    </x:row>
    <x:row r="362" spans="1:18" ht="12.75" customHeight="1" x14ac:dyDescent="0.25">
      <x:c r="A362" s="777"/>
      <x:c r="B362" s="776"/>
      <x:c r="C362" s="634" t="s">
        <x:v>73</x:v>
      </x:c>
      <x:c r="D362" s="634">
        <x:f>D344</x:f>
        <x:v>395889.77</x:v>
      </x:c>
      <x:c r="E362" s="619"/>
      <x:c r="F362" s="619"/>
      <x:c r="G362" s="619"/>
      <x:c r="H362" s="619"/>
      <x:c r="I362" s="619"/>
      <x:c r="J362" s="619"/>
      <x:c r="K362" s="619"/>
      <x:c r="L362" s="619"/>
      <x:c r="M362" s="619"/>
      <x:c r="N362" s="619"/>
      <x:c r="O362" s="619"/>
      <x:c r="P362" s="619"/>
      <x:c r="Q362" s="619"/>
    </x:row>
    <x:row r="363" spans="1:18" ht="12.75" customHeight="1" x14ac:dyDescent="0.3">
      <x:c r="A363" s="618"/>
      <x:c r="D363" s="619"/>
      <x:c r="E363" s="619"/>
      <x:c r="F363" s="619"/>
      <x:c r="G363" s="619"/>
      <x:c r="H363" s="619"/>
      <x:c r="I363" s="619"/>
      <x:c r="J363" s="619"/>
      <x:c r="K363" s="619"/>
      <x:c r="L363" s="619"/>
      <x:c r="M363" s="619"/>
      <x:c r="N363" s="619"/>
      <x:c r="O363" s="619"/>
      <x:c r="P363" s="619"/>
      <x:c r="Q363" s="619"/>
    </x:row>
    <x:row r="364" spans="1:18" ht="12.75" customHeight="1" x14ac:dyDescent="0.25">
      <x:c r="A364" s="775" t="s">
        <x:v>328</x:v>
      </x:c>
      <x:c r="B364" s="776" t="s">
        <x:v>132</x:v>
      </x:c>
      <x:c r="C364" s="634" t="s">
        <x:v>70</x:v>
      </x:c>
      <x:c r="D364" s="721">
        <x:v>0</x:v>
      </x:c>
      <x:c r="E364" s="721">
        <x:v>0</x:v>
      </x:c>
      <x:c r="F364" s="721">
        <x:v>0</x:v>
      </x:c>
      <x:c r="G364" s="721">
        <x:v>0</x:v>
      </x:c>
      <x:c r="H364" s="721">
        <x:v>0</x:v>
      </x:c>
      <x:c r="I364" s="721">
        <x:v>0</x:v>
      </x:c>
      <x:c r="J364" s="721">
        <x:v>0</x:v>
      </x:c>
      <x:c r="K364" s="721">
        <x:v>0</x:v>
      </x:c>
      <x:c r="L364" s="721">
        <x:v>0</x:v>
      </x:c>
      <x:c r="M364" s="721">
        <x:v>0</x:v>
      </x:c>
      <x:c r="N364" s="721">
        <x:v>0</x:v>
      </x:c>
      <x:c r="O364" s="721">
        <x:v>0</x:v>
      </x:c>
      <x:c r="P364" s="721">
        <x:v>0</x:v>
      </x:c>
      <x:c r="Q364" s="721">
        <x:v>0</x:v>
      </x:c>
      <x:c r="R364" s="721">
        <x:v>0</x:v>
      </x:c>
    </x:row>
    <x:row r="365" spans="1:18" ht="12.75" customHeight="1" x14ac:dyDescent="0.25">
      <x:c r="A365" s="775"/>
      <x:c r="B365" s="776"/>
      <x:c r="C365" s="634" t="s">
        <x:v>73</x:v>
      </x:c>
      <x:c r="D365" s="721">
        <x:v>0</x:v>
      </x:c>
      <x:c r="E365" s="619"/>
      <x:c r="F365" s="619"/>
      <x:c r="G365" s="619"/>
      <x:c r="H365" s="619"/>
      <x:c r="I365" s="619"/>
      <x:c r="J365" s="619"/>
      <x:c r="K365" s="619"/>
      <x:c r="L365" s="619"/>
      <x:c r="M365" s="619"/>
      <x:c r="N365" s="619"/>
      <x:c r="O365" s="619"/>
      <x:c r="P365" s="619"/>
      <x:c r="Q365" s="619"/>
    </x:row>
    <x:row r="366" spans="1:18" ht="12.75" customHeight="1" x14ac:dyDescent="0.3">
      <x:c r="A366" s="618"/>
      <x:c r="D366" s="619"/>
      <x:c r="E366" s="619"/>
      <x:c r="F366" s="619"/>
      <x:c r="G366" s="619"/>
      <x:c r="H366" s="619"/>
      <x:c r="I366" s="619"/>
      <x:c r="J366" s="619"/>
      <x:c r="K366" s="619"/>
      <x:c r="L366" s="619"/>
      <x:c r="M366" s="619"/>
      <x:c r="N366" s="619"/>
      <x:c r="O366" s="619"/>
      <x:c r="P366" s="619"/>
      <x:c r="Q366" s="619"/>
    </x:row>
    <x:row r="367" spans="1:18" ht="12.75" customHeight="1" x14ac:dyDescent="0.25">
      <x:c r="A367" s="777" t="s">
        <x:v>119</x:v>
      </x:c>
      <x:c r="B367" s="776" t="s">
        <x:v>132</x:v>
      </x:c>
      <x:c r="C367" s="629" t="s">
        <x:v>70</x:v>
      </x:c>
      <x:c r="D367" s="629">
        <x:f>D351-P351</x:f>
        <x:v>-1026775.53</x:v>
      </x:c>
      <x:c r="E367" s="629">
        <x:f>E348</x:f>
        <x:v>-73382.63</x:v>
      </x:c>
      <x:c r="F367" s="629">
        <x:f t="shared" ref="F367:R367" si="15">F348</x:f>
        <x:v>-40062.910000000003</x:v>
      </x:c>
      <x:c r="G367" s="629">
        <x:f t="shared" si="15"/>
        <x:v>-21037.22</x:v>
      </x:c>
      <x:c r="H367" s="629">
        <x:f t="shared" si="15"/>
        <x:v>-237911.25</x:v>
      </x:c>
      <x:c r="I367" s="629">
        <x:f t="shared" si="15"/>
        <x:v>-6630.82</x:v>
      </x:c>
      <x:c r="J367" s="629">
        <x:f t="shared" si="15"/>
        <x:v>-58163.8</x:v>
      </x:c>
      <x:c r="K367" s="629">
        <x:f t="shared" si="15"/>
        <x:v>-68993.55</x:v>
      </x:c>
      <x:c r="L367" s="629">
        <x:f t="shared" si="15"/>
        <x:v>-354139.53</x:v>
      </x:c>
      <x:c r="M367" s="629">
        <x:f t="shared" si="15"/>
        <x:v>-219912.31</x:v>
      </x:c>
      <x:c r="N367" s="629">
        <x:f t="shared" si="15"/>
        <x:v>-10818.54</x:v>
      </x:c>
      <x:c r="O367" s="629">
        <x:f t="shared" si="15"/>
        <x:v>-11.35</x:v>
      </x:c>
      <x:c r="P367" s="629">
        <x:f t="shared" si="15"/>
        <x:v>0</x:v>
      </x:c>
      <x:c r="Q367" s="629">
        <x:f t="shared" si="15"/>
        <x:v>0</x:v>
      </x:c>
      <x:c r="R367" s="629">
        <x:f t="shared" si="15"/>
        <x:v>0</x:v>
      </x:c>
    </x:row>
    <x:row r="368" spans="1:18" ht="12.75" customHeight="1" x14ac:dyDescent="0.25">
      <x:c r="A368" s="777"/>
      <x:c r="B368" s="776"/>
      <x:c r="C368" s="629" t="s">
        <x:v>73</x:v>
      </x:c>
      <x:c r="D368" s="630">
        <x:f>D350</x:f>
        <x:v>64288.38</x:v>
      </x:c>
      <x:c r="E368" s="619"/>
      <x:c r="F368" s="619"/>
      <x:c r="G368" s="619"/>
      <x:c r="H368" s="619"/>
      <x:c r="I368" s="619"/>
      <x:c r="J368" s="619"/>
      <x:c r="K368" s="619"/>
      <x:c r="L368" s="619"/>
      <x:c r="M368" s="619"/>
      <x:c r="N368" s="619"/>
      <x:c r="O368" s="619"/>
      <x:c r="P368" s="619"/>
      <x:c r="Q368" s="619"/>
    </x:row>
    <x:row r="369" spans="1:18" ht="12.75" customHeight="1" x14ac:dyDescent="0.3">
      <x:c r="A369" s="618"/>
      <x:c r="D369" s="619"/>
      <x:c r="E369" s="619"/>
      <x:c r="F369" s="619"/>
      <x:c r="G369" s="619"/>
      <x:c r="H369" s="619"/>
      <x:c r="I369" s="619"/>
      <x:c r="J369" s="619"/>
      <x:c r="K369" s="619"/>
      <x:c r="L369" s="619"/>
      <x:c r="M369" s="619"/>
      <x:c r="N369" s="619"/>
      <x:c r="O369" s="619"/>
      <x:c r="P369" s="619"/>
      <x:c r="Q369" s="619"/>
    </x:row>
    <x:row r="370" spans="1:18" x14ac:dyDescent="0.25">
      <x:c r="A370" s="778" t="s">
        <x:v>161</x:v>
      </x:c>
      <x:c r="B370" s="776" t="s">
        <x:v>132</x:v>
      </x:c>
      <x:c r="C370" s="635" t="s">
        <x:v>70</x:v>
      </x:c>
      <x:c r="D370" s="635">
        <x:v>0</x:v>
      </x:c>
      <x:c r="E370" s="635">
        <x:v>0</x:v>
      </x:c>
      <x:c r="F370" s="635">
        <x:v>0</x:v>
      </x:c>
      <x:c r="G370" s="635">
        <x:v>0</x:v>
      </x:c>
      <x:c r="H370" s="635">
        <x:v>0</x:v>
      </x:c>
      <x:c r="I370" s="635">
        <x:v>0</x:v>
      </x:c>
      <x:c r="J370" s="635">
        <x:v>0</x:v>
      </x:c>
      <x:c r="K370" s="635">
        <x:v>0</x:v>
      </x:c>
      <x:c r="L370" s="635">
        <x:v>0</x:v>
      </x:c>
      <x:c r="M370" s="635">
        <x:v>0</x:v>
      </x:c>
      <x:c r="N370" s="635">
        <x:v>0</x:v>
      </x:c>
      <x:c r="O370" s="635">
        <x:v>0</x:v>
      </x:c>
      <x:c r="P370" s="635">
        <x:v>0</x:v>
      </x:c>
      <x:c r="Q370" s="635">
        <x:v>0</x:v>
      </x:c>
      <x:c r="R370" s="635">
        <x:v>0</x:v>
      </x:c>
    </x:row>
    <x:row r="371" spans="1:18" x14ac:dyDescent="0.25">
      <x:c r="A371" s="778"/>
      <x:c r="B371" s="776"/>
      <x:c r="C371" s="635" t="s">
        <x:v>73</x:v>
      </x:c>
      <x:c r="D371" s="635">
        <x:v>0</x:v>
      </x:c>
      <x:c r="E371" s="619"/>
      <x:c r="F371" s="619"/>
      <x:c r="G371" s="619"/>
      <x:c r="H371" s="619"/>
      <x:c r="I371" s="619"/>
      <x:c r="J371" s="619"/>
      <x:c r="K371" s="619"/>
      <x:c r="L371" s="619"/>
      <x:c r="M371" s="619"/>
      <x:c r="N371" s="619"/>
      <x:c r="O371" s="619"/>
      <x:c r="P371" s="619"/>
      <x:c r="Q371" s="619"/>
    </x:row>
    <x:row r="372" spans="1:18" s="636" customFormat="1" x14ac:dyDescent="0.25"/>
    <x:row r="375" spans="1:18" x14ac:dyDescent="0.25">
      <x:c r="D375" s="617">
        <x:f t="shared" ref="D375:R375" si="16">D73+D168+D205+D320+D355</x:f>
        <x:v>-156747931.65000001</x:v>
      </x:c>
      <x:c r="E375" s="617">
        <x:f t="shared" si="16"/>
        <x:v>-22568475.98</x:v>
      </x:c>
      <x:c r="F375" s="617">
        <x:f t="shared" si="16"/>
        <x:v>-10927711.75</x:v>
      </x:c>
      <x:c r="G375" s="617">
        <x:f t="shared" si="16"/>
        <x:v>-5814176.8499999996</x:v>
      </x:c>
      <x:c r="H375" s="617">
        <x:f t="shared" si="16"/>
        <x:v>-20545989.630000003</x:v>
      </x:c>
      <x:c r="I375" s="617">
        <x:f t="shared" si="16"/>
        <x:v>-747388.07000000007</x:v>
      </x:c>
      <x:c r="J375" s="617">
        <x:f t="shared" si="16"/>
        <x:v>-6605814.3799999999</x:v>
      </x:c>
      <x:c r="K375" s="617">
        <x:f t="shared" si="16"/>
        <x:v>-6607232.419999999</x:v>
      </x:c>
      <x:c r="L375" s="617">
        <x:f t="shared" si="16"/>
        <x:v>-30776419.849999998</x:v>
      </x:c>
      <x:c r="M375" s="617">
        <x:f t="shared" si="16"/>
        <x:v>-49285206.960000001</x:v>
      </x:c>
      <x:c r="N375" s="617">
        <x:f t="shared" si="16"/>
        <x:v>-1224099.24</x:v>
      </x:c>
      <x:c r="O375" s="617">
        <x:f t="shared" si="16"/>
        <x:v>-3.3999999999999897</x:v>
      </x:c>
      <x:c r="P375" s="617">
        <x:f t="shared" si="16"/>
        <x:v>0</x:v>
      </x:c>
      <x:c r="Q375" s="617">
        <x:f t="shared" si="16"/>
        <x:v>0</x:v>
      </x:c>
      <x:c r="R375" s="617">
        <x:f t="shared" si="16"/>
        <x:v>-0.28999999999999998</x:v>
      </x:c>
    </x:row>
    <x:row r="376" spans="1:18" x14ac:dyDescent="0.25">
      <x:c r="D376" s="617">
        <x:f>D74+D169+D206+D321+D356</x:f>
        <x:v>-1645412.83</x:v>
      </x:c>
    </x:row>
  </x:sheetData>
  <x:mergeCells count="60"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  <x:mergeCell ref="A326:A327"/>
    <x:mergeCell ref="B326:B327"/>
    <x:mergeCell ref="A332:A333"/>
    <x:mergeCell ref="B332:B333"/>
    <x:mergeCell ref="A329:A330"/>
    <x:mergeCell ref="B329:B330"/>
    <x:mergeCell ref="A220:A221"/>
    <x:mergeCell ref="B220:B221"/>
    <x:mergeCell ref="A320:A321"/>
    <x:mergeCell ref="B320:B321"/>
    <x:mergeCell ref="A323:A324"/>
    <x:mergeCell ref="B323:B324"/>
    <x:mergeCell ref="A208:A209"/>
    <x:mergeCell ref="B208:B209"/>
    <x:mergeCell ref="A211:A212"/>
    <x:mergeCell ref="B211:B212"/>
    <x:mergeCell ref="A217:A218"/>
    <x:mergeCell ref="B217:B218"/>
    <x:mergeCell ref="A180:A181"/>
    <x:mergeCell ref="B180:B181"/>
    <x:mergeCell ref="A183:A184"/>
    <x:mergeCell ref="B183:B184"/>
    <x:mergeCell ref="A205:A206"/>
    <x:mergeCell ref="B205:B206"/>
    <x:mergeCell ref="A73:A74"/>
    <x:mergeCell ref="B73:B74"/>
    <x:mergeCell ref="A76:A77"/>
    <x:mergeCell ref="B76:B77"/>
    <x:mergeCell ref="A79:A80"/>
    <x:mergeCell ref="B79:B80"/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1"/>
  <x:sheetViews>
    <x:sheetView zoomScale="90" zoomScaleNormal="90" workbookViewId="0"/>
  </x:sheetViews>
  <x:sheetFormatPr baseColWidth="10" defaultRowHeight="12.5" x14ac:dyDescent="0.25"/>
  <x:cols>
    <x:col min="2" max="2" width="24.453125" bestFit="1" customWidth="1"/>
    <x:col min="3" max="3" width="17" style="144" bestFit="1" customWidth="1"/>
    <x:col min="4" max="4" width="23.1796875" bestFit="1" customWidth="1"/>
    <x:col min="5" max="5" width="15.81640625" bestFit="1" customWidth="1"/>
    <x:col min="6" max="6" width="16.1796875" customWidth="1"/>
    <x:col min="7" max="7" width="15.453125" bestFit="1" customWidth="1"/>
    <x:col min="8" max="8" width="15" bestFit="1" customWidth="1"/>
    <x:col min="9" max="9" width="15.1796875" bestFit="1" customWidth="1"/>
    <x:col min="10" max="10" width="17" bestFit="1" customWidth="1"/>
    <x:col min="11" max="12" width="15.54296875" bestFit="1" customWidth="1"/>
    <x:col min="13" max="13" width="15.1796875" bestFit="1" customWidth="1"/>
    <x:col min="14" max="14" width="17.81640625" bestFit="1" customWidth="1"/>
    <x:col min="15" max="15" width="15.54296875" customWidth="1"/>
    <x:col min="16" max="16" width="20.453125" bestFit="1" customWidth="1"/>
  </x:cols>
  <x:sheetData>
    <x:row r="1" spans="1:16" ht="13" x14ac:dyDescent="0.3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803959.68</x:v>
      </x:c>
      <x:c r="D3" s="90" t="n">
        <x:v>65039.95</x:v>
      </x:c>
      <x:c r="E3" s="90" t="n">
        <x:v>36337.02</x:v>
      </x:c>
      <x:c r="F3" s="90" t="n">
        <x:v>19274.13</x:v>
      </x:c>
      <x:c r="G3" s="90" t="n">
        <x:v>155423.91</x:v>
      </x:c>
      <x:c r="H3" s="90" t="n">
        <x:v>5618.35</x:v>
      </x:c>
      <x:c r="I3" s="90" t="n">
        <x:v>0</x:v>
      </x:c>
      <x:c r="J3" s="90" t="n">
        <x:v>56003.23</x:v>
      </x:c>
      <x:c r="K3" s="90" t="n">
        <x:v>48167.15</x:v>
      </x:c>
      <x:c r="L3" s="90" t="n">
        <x:v>226758.45</x:v>
      </x:c>
      <x:c r="M3" s="90" t="n">
        <x:v>182170.76</x:v>
      </x:c>
      <x:c r="N3" s="90" t="n">
        <x:v>9166.69</x:v>
      </x:c>
      <x:c r="O3" s="90" t="n">
        <x:v>0.04</x:v>
      </x:c>
    </x:row>
    <x:row r="4" spans="1:16" ht="12.75" customHeight="1" x14ac:dyDescent="0.25">
      <x:c r="A4" s="376" t="s">
        <x:v>78</x:v>
      </x:c>
      <x:c r="B4" s="376" t="s">
        <x:v>70</x:v>
      </x:c>
      <x:c r="C4" s="377" t="n">
        <x:v>803959.68</x:v>
      </x:c>
      <x:c r="D4" s="377" t="n">
        <x:v>65039.95</x:v>
      </x:c>
      <x:c r="E4" s="377" t="n">
        <x:v>36337.02</x:v>
      </x:c>
      <x:c r="F4" s="377" t="n">
        <x:v>19274.13</x:v>
      </x:c>
      <x:c r="G4" s="377" t="n">
        <x:v>155423.91</x:v>
      </x:c>
      <x:c r="H4" s="377" t="n">
        <x:v>5618.35</x:v>
      </x:c>
      <x:c r="I4" s="377" t="n">
        <x:v>0</x:v>
      </x:c>
      <x:c r="J4" s="377" t="n">
        <x:v>56003.23</x:v>
      </x:c>
      <x:c r="K4" s="377" t="n">
        <x:v>48167.15</x:v>
      </x:c>
      <x:c r="L4" s="377" t="n">
        <x:v>226758.45</x:v>
      </x:c>
      <x:c r="M4" s="377" t="n">
        <x:v>182170.76</x:v>
      </x:c>
      <x:c r="N4" s="377" t="n">
        <x:v>9166.69</x:v>
      </x:c>
      <x:c r="O4" s="377" t="n">
        <x:v>0.04</x:v>
      </x:c>
      <x:c r="P4" s="378"/>
    </x:row>
    <x:row r="5" spans="1:16" ht="12.75" customHeight="1" x14ac:dyDescent="0.25">
      <x:c r="B5" s="89" t="s">
        <x:v>73</x:v>
      </x:c>
      <x:c r="C5" s="90" t="n">
        <x:v>2996.3</x:v>
      </x:c>
      <x:c r="D5" s="90" t="n">
        <x:v>701.47</x:v>
      </x:c>
      <x:c r="E5" s="90" t="n">
        <x:v>403.84</x:v>
      </x:c>
      <x:c r="F5" s="90" t="n">
        <x:v>207.9</x:v>
      </x:c>
      <x:c r="G5" s="90" t="n">
        <x:v>-7189.94</x:v>
      </x:c>
      <x:c r="H5" s="90" t="n">
        <x:v>-331.56</x:v>
      </x:c>
      <x:c r="I5" s="90" t="n">
        <x:v>0</x:v>
      </x:c>
      <x:c r="J5" s="90" t="n">
        <x:v>-1228.7</x:v>
      </x:c>
      <x:c r="K5" s="90" t="n">
        <x:v>624.41</x:v>
      </x:c>
      <x:c r="L5" s="90" t="n">
        <x:v>3023.5</x:v>
      </x:c>
      <x:c r="M5" s="90" t="n">
        <x:v>7326.36</x:v>
      </x:c>
      <x:c r="N5" s="90" t="n">
        <x:v>-540.98</x:v>
      </x:c>
      <x:c r="O5" s="90" t="n">
        <x:v>0</x:v>
      </x:c>
    </x:row>
    <x:row r="6" spans="1:16" ht="12.75" customHeight="1" x14ac:dyDescent="0.25">
      <x:c r="A6" s="373" t="s">
        <x:v>79</x:v>
      </x:c>
      <x:c r="B6" s="373" t="s">
        <x:v>70</x:v>
      </x:c>
      <x:c r="C6" s="374" t="n">
        <x:v>2996.3</x:v>
      </x:c>
      <x:c r="D6" s="374" t="n">
        <x:v>701.47</x:v>
      </x:c>
      <x:c r="E6" s="374" t="n">
        <x:v>403.84</x:v>
      </x:c>
      <x:c r="F6" s="374" t="n">
        <x:v>207.9</x:v>
      </x:c>
      <x:c r="G6" s="374" t="n">
        <x:v>-7189.94</x:v>
      </x:c>
      <x:c r="H6" s="374" t="n">
        <x:v>-331.56</x:v>
      </x:c>
      <x:c r="I6" s="374" t="n">
        <x:v>0</x:v>
      </x:c>
      <x:c r="J6" s="374" t="n">
        <x:v>-1228.7</x:v>
      </x:c>
      <x:c r="K6" s="374" t="n">
        <x:v>624.41</x:v>
      </x:c>
      <x:c r="L6" s="374" t="n">
        <x:v>3023.5</x:v>
      </x:c>
      <x:c r="M6" s="374" t="n">
        <x:v>7326.36</x:v>
      </x:c>
      <x:c r="N6" s="374" t="n">
        <x:v>-540.98</x:v>
      </x:c>
      <x:c r="O6" s="374" t="n">
        <x:v>0</x:v>
      </x:c>
      <x:c r="P6" s="372"/>
    </x:row>
    <x:row r="7" spans="1:16" ht="12.75" customHeight="1" x14ac:dyDescent="0.25">
      <x:c r="A7" s="89" t="s">
        <x:v>70</x:v>
      </x:c>
      <x:c r="C7" s="90" t="n">
        <x:v>806955.98</x:v>
      </x:c>
      <x:c r="D7" s="90" t="n">
        <x:v>65741.42</x:v>
      </x:c>
      <x:c r="E7" s="90" t="n">
        <x:v>36740.86</x:v>
      </x:c>
      <x:c r="F7" s="90" t="n">
        <x:v>19482.03</x:v>
      </x:c>
      <x:c r="G7" s="90" t="n">
        <x:v>148233.97</x:v>
      </x:c>
      <x:c r="H7" s="90" t="n">
        <x:v>5286.79</x:v>
      </x:c>
      <x:c r="I7" s="90" t="n">
        <x:v>0</x:v>
      </x:c>
      <x:c r="J7" s="90" t="n">
        <x:v>54774.53</x:v>
      </x:c>
      <x:c r="K7" s="90" t="n">
        <x:v>48791.56</x:v>
      </x:c>
      <x:c r="L7" s="90" t="n">
        <x:v>229781.95</x:v>
      </x:c>
      <x:c r="M7" s="90" t="n">
        <x:v>189497.12</x:v>
      </x:c>
      <x:c r="N7" s="90" t="n">
        <x:v>8625.71</x:v>
      </x:c>
      <x:c r="O7" s="90" t="n">
        <x:v>0.04</x:v>
      </x:c>
    </x:row>
    <x:row r="8" spans="1:16" ht="12.75" customHeight="1" x14ac:dyDescent="0.25"/>
    <x:row r="9" spans="1:16" ht="12.75" customHeight="1" x14ac:dyDescent="0.25">
      <x:c r="B9" s="145" t="s">
        <x:v>70</x:v>
      </x:c>
      <x:c r="C9" s="99">
        <x:f>C7-I7</x:f>
        <x:v>973693.46</x:v>
      </x:c>
      <x:c r="D9" s="99">
        <x:f>D4</x:f>
        <x:v>65524.22</x:v>
      </x:c>
      <x:c r="E9" s="99">
        <x:f t="shared" ref="E9:P9" si="0">E4</x:f>
        <x:v>36995.019999999997</x:v>
      </x:c>
      <x:c r="F9" s="99">
        <x:f t="shared" si="0"/>
        <x:v>19417.650000000001</x:v>
      </x:c>
      <x:c r="G9" s="99">
        <x:f t="shared" si="0"/>
        <x:v>156624.35</x:v>
      </x:c>
      <x:c r="H9" s="99">
        <x:f t="shared" si="0"/>
        <x:v>5557.5</x:v>
      </x:c>
      <x:c r="I9" s="99">
        <x:f t="shared" si="0"/>
        <x:v>0</x:v>
      </x:c>
      <x:c r="J9" s="99">
        <x:f t="shared" si="0"/>
        <x:v>52109.79</x:v>
      </x:c>
      <x:c r="K9" s="99">
        <x:f t="shared" si="0"/>
        <x:v>47607.03</x:v>
      </x:c>
      <x:c r="L9" s="99">
        <x:f t="shared" si="0"/>
        <x:v>225441.17</x:v>
      </x:c>
      <x:c r="M9" s="99">
        <x:f t="shared" si="0"/>
        <x:v>178429.31</x:v>
      </x:c>
      <x:c r="N9" s="99">
        <x:f t="shared" si="0"/>
        <x:v>9067.43</x:v>
      </x:c>
      <x:c r="O9" s="99">
        <x:f>O4</x:f>
        <x:v>0</x:v>
      </x:c>
      <x:c r="P9" s="99">
        <x:f t="shared" si="0"/>
        <x:v>0</x:v>
      </x:c>
    </x:row>
    <x:row r="10" spans="1:16" ht="12.75" customHeight="1" x14ac:dyDescent="0.25">
      <x:c r="B10" s="145" t="s">
        <x:v>73</x:v>
      </x:c>
      <x:c r="C10" s="99">
        <x:f>C6</x:f>
        <x:v>176919.99</x:v>
      </x:c>
      <x:c r="D10" s="150"/>
    </x:row>
    <x:row r="11" spans="1:16" x14ac:dyDescent="0.25">
      <x:c r="D11" s="150"/>
    </x:row>
    <x:row r="12" spans="1:16" x14ac:dyDescent="0.25">
      <x:c r="A12" s="94"/>
      <x:c r="B12" s="94"/>
      <x:c r="C12" s="146"/>
      <x:c r="D12" s="94"/>
      <x:c r="E12" s="94"/>
      <x:c r="F12" s="94"/>
      <x:c r="G12" s="94"/>
      <x:c r="H12" s="94"/>
      <x:c r="I12" s="94"/>
      <x:c r="J12" s="94"/>
      <x:c r="K12" s="94"/>
      <x:c r="L12" s="94"/>
      <x:c r="M12" s="94"/>
      <x:c r="N12" s="94"/>
      <x:c r="O12" s="94"/>
      <x:c r="P12" s="94"/>
    </x:row>
    <x:row r="13" spans="1:16" ht="13" x14ac:dyDescent="0.3">
      <x:c r="B13" s="97" t="s">
        <x:v>75</x:v>
      </x:c>
    </x:row>
    <x:row r="14" spans="1:16" ht="12.75" customHeight="1" x14ac:dyDescent="0.25">
      <x:c r="C14" s="89" t="s">
        <x:v>70</x:v>
      </x:c>
      <x:c r="D14" s="89" t="s">
        <x:v>64</x:v>
      </x:c>
      <x:c r="E14" s="89" t="s">
        <x:v>65</x:v>
      </x:c>
      <x:c r="F14" s="219" t="s">
        <x:v>164</x:v>
      </x:c>
      <x:c r="G14" s="89" t="s">
        <x:v>69</x:v>
      </x:c>
      <x:c r="H14" s="89" t="s">
        <x:v>68</x:v>
      </x:c>
      <x:c r="I14" s="89" t="s">
        <x:v>83</x:v>
      </x:c>
      <x:c r="J14" s="89" t="s">
        <x:v>66</x:v>
      </x:c>
      <x:c r="K14" s="89" t="s">
        <x:v>63</x:v>
      </x:c>
      <x:c r="L14" s="89" t="s">
        <x:v>61</x:v>
      </x:c>
      <x:c r="M14" s="89" t="s">
        <x:v>62</x:v>
      </x:c>
      <x:c r="N14" s="89" t="s">
        <x:v>67</x:v>
      </x:c>
      <x:c r="O14" s="89" t="s">
        <x:v>84</x:v>
      </x:c>
    </x:row>
    <x:row r="15" spans="1:16" ht="12.75" customHeight="1" x14ac:dyDescent="0.25">
      <x:c r="B15" t="s">
        <x:v>72</x:v>
      </x:c>
      <x:c r="C15" s="89" t="n">
        <x:v>931073.72</x:v>
      </x:c>
      <x:c r="D15" s="89" t="n">
        <x:v>42296.72</x:v>
      </x:c>
      <x:c r="E15" s="89" t="n">
        <x:v>23907.98</x:v>
      </x:c>
      <x:c r="F15" s="384" t="n">
        <x:v>12706.35</x:v>
      </x:c>
      <x:c r="G15" s="89" t="n">
        <x:v>265979.53</x:v>
      </x:c>
      <x:c r="H15" s="89" t="n">
        <x:v>11995.53</x:v>
      </x:c>
      <x:c r="I15" s="89" t="n">
        <x:v>0</x:v>
      </x:c>
      <x:c r="J15" s="89" t="n">
        <x:v>66026.12</x:v>
      </x:c>
      <x:c r="K15" s="89" t="n">
        <x:v>73645.62</x:v>
      </x:c>
      <x:c r="L15" s="89" t="n">
        <x:v>345565.65</x:v>
      </x:c>
      <x:c r="M15" s="89" t="n">
        <x:v>81955.14</x:v>
      </x:c>
      <x:c r="N15" s="89" t="n">
        <x:v>6998.74</x:v>
      </x:c>
      <x:c r="O15" s="89" t="n">
        <x:v>-3.66</x:v>
      </x:c>
    </x:row>
    <x:row r="16" spans="1:16" ht="12.75" customHeight="1" x14ac:dyDescent="0.25">
      <x:c r="B16" s="89" t="s">
        <x:v>81</x:v>
      </x:c>
      <x:c r="C16" s="90" t="n">
        <x:v>0</x:v>
      </x:c>
      <x:c r="D16" s="90" t="n">
        <x:v>0</x:v>
      </x:c>
      <x:c r="E16" s="90" t="n">
        <x:v>0</x:v>
      </x:c>
      <x:c r="F16" s="90" t="n">
        <x:v>0</x:v>
      </x:c>
      <x:c r="G16" s="90" t="n">
        <x:v>0</x:v>
      </x:c>
      <x:c r="H16" s="90" t="n">
        <x:v>0</x:v>
      </x:c>
      <x:c r="I16" s="90" t="n">
        <x:v>0</x:v>
      </x:c>
      <x:c r="J16" s="90" t="n">
        <x:v>0</x:v>
      </x:c>
      <x:c r="K16" s="90" t="n">
        <x:v>0</x:v>
      </x:c>
      <x:c r="L16" s="90" t="n">
        <x:v>0</x:v>
      </x:c>
      <x:c r="M16" s="90" t="n">
        <x:v>0</x:v>
      </x:c>
      <x:c r="N16" s="90" t="n">
        <x:v>0</x:v>
      </x:c>
      <x:c r="O16" s="90">
        <x:v>0.01</x:v>
      </x:c>
    </x:row>
    <x:row r="17" spans="1:16" ht="12.75" customHeight="1" x14ac:dyDescent="0.25">
      <x:c r="A17" s="376" t="s">
        <x:v>78</x:v>
      </x:c>
      <x:c r="B17" s="376" t="s">
        <x:v>70</x:v>
      </x:c>
      <x:c r="C17" s="377" t="n">
        <x:v>931073.72</x:v>
      </x:c>
      <x:c r="D17" s="377" t="n">
        <x:v>42296.72</x:v>
      </x:c>
      <x:c r="E17" s="377" t="n">
        <x:v>23907.98</x:v>
      </x:c>
      <x:c r="F17" s="377" t="n">
        <x:v>12706.35</x:v>
      </x:c>
      <x:c r="G17" s="377" t="n">
        <x:v>265979.53</x:v>
      </x:c>
      <x:c r="H17" s="377" t="n">
        <x:v>11995.53</x:v>
      </x:c>
      <x:c r="I17" s="377" t="n">
        <x:v>0</x:v>
      </x:c>
      <x:c r="J17" s="377" t="n">
        <x:v>66026.12</x:v>
      </x:c>
      <x:c r="K17" s="377" t="n">
        <x:v>73645.62</x:v>
      </x:c>
      <x:c r="L17" s="377" t="n">
        <x:v>345565.65</x:v>
      </x:c>
      <x:c r="M17" s="377" t="n">
        <x:v>81955.14</x:v>
      </x:c>
      <x:c r="N17" s="377" t="n">
        <x:v>6998.74</x:v>
      </x:c>
      <x:c r="O17" s="377" t="n">
        <x:v>-3.66</x:v>
      </x:c>
      <x:c r="P17" s="378"/>
    </x:row>
    <x:row r="18" spans="1:16" ht="12.75" customHeight="1" x14ac:dyDescent="0.25">
      <x:c r="B18" s="89" t="s">
        <x:v>73</x:v>
      </x:c>
      <x:c r="C18" s="90" t="n">
        <x:v>-424218.36</x:v>
      </x:c>
      <x:c r="D18" s="90" t="n">
        <x:v>-25301.13</x:v>
      </x:c>
      <x:c r="E18" s="90" t="n">
        <x:v>-14256.81</x:v>
      </x:c>
      <x:c r="F18" s="90" t="n">
        <x:v>-7179.68</x:v>
      </x:c>
      <x:c r="G18" s="90" t="n">
        <x:v>-99943.77</x:v>
      </x:c>
      <x:c r="H18" s="90" t="n">
        <x:v>-3389</x:v>
      </x:c>
      <x:c r="I18" s="90" t="n">
        <x:v>0</x:v>
      </x:c>
      <x:c r="J18" s="90" t="n">
        <x:v>-52251.81</x:v>
      </x:c>
      <x:c r="K18" s="90" t="n">
        <x:v>-30693.42</x:v>
      </x:c>
      <x:c r="L18" s="90" t="n">
        <x:v>-136897.35</x:v>
      </x:c>
      <x:c r="M18" s="90" t="n">
        <x:v>-48943.73</x:v>
      </x:c>
      <x:c r="N18" s="90" t="n">
        <x:v>-5361.66</x:v>
      </x:c>
      <x:c r="O18" s="90" t="n">
        <x:v>0</x:v>
      </x:c>
    </x:row>
    <x:row r="19" spans="1:16" ht="12.75" customHeight="1" x14ac:dyDescent="0.25">
      <x:c r="A19" s="373" t="s">
        <x:v>79</x:v>
      </x:c>
      <x:c r="B19" s="373" t="s">
        <x:v>70</x:v>
      </x:c>
      <x:c r="C19" s="374" t="n">
        <x:v>-424218.36</x:v>
      </x:c>
      <x:c r="D19" s="374" t="n">
        <x:v>-25301.13</x:v>
      </x:c>
      <x:c r="E19" s="374" t="n">
        <x:v>-14256.81</x:v>
      </x:c>
      <x:c r="F19" s="374" t="n">
        <x:v>-7179.68</x:v>
      </x:c>
      <x:c r="G19" s="374" t="n">
        <x:v>-99943.77</x:v>
      </x:c>
      <x:c r="H19" s="374" t="n">
        <x:v>-3389</x:v>
      </x:c>
      <x:c r="I19" s="374" t="n">
        <x:v>0</x:v>
      </x:c>
      <x:c r="J19" s="374" t="n">
        <x:v>-52251.81</x:v>
      </x:c>
      <x:c r="K19" s="374" t="n">
        <x:v>-30693.42</x:v>
      </x:c>
      <x:c r="L19" s="374" t="n">
        <x:v>-136897.35</x:v>
      </x:c>
      <x:c r="M19" s="374" t="n">
        <x:v>-48943.73</x:v>
      </x:c>
      <x:c r="N19" s="374" t="n">
        <x:v>-5361.66</x:v>
      </x:c>
      <x:c r="O19" s="374" t="n">
        <x:v>0</x:v>
      </x:c>
      <x:c r="P19" s="372"/>
    </x:row>
    <x:row r="20" spans="1:16" ht="12.75" customHeight="1" x14ac:dyDescent="0.25">
      <x:c r="A20" s="89" t="s">
        <x:v>70</x:v>
      </x:c>
      <x:c r="C20" s="90" t="n">
        <x:v>506855.36</x:v>
      </x:c>
      <x:c r="D20" s="90" t="n">
        <x:v>16995.59</x:v>
      </x:c>
      <x:c r="E20" s="90" t="n">
        <x:v>9651.17</x:v>
      </x:c>
      <x:c r="F20" s="90" t="n">
        <x:v>5526.67</x:v>
      </x:c>
      <x:c r="G20" s="90" t="n">
        <x:v>166035.76</x:v>
      </x:c>
      <x:c r="H20" s="90" t="n">
        <x:v>8606.53</x:v>
      </x:c>
      <x:c r="I20" s="90" t="n">
        <x:v>0</x:v>
      </x:c>
      <x:c r="J20" s="90" t="n">
        <x:v>13774.31</x:v>
      </x:c>
      <x:c r="K20" s="90" t="n">
        <x:v>42952.2</x:v>
      </x:c>
      <x:c r="L20" s="90" t="n">
        <x:v>208668.3</x:v>
      </x:c>
      <x:c r="M20" s="90" t="n">
        <x:v>33011.41</x:v>
      </x:c>
      <x:c r="N20" s="90" t="n">
        <x:v>1637.08</x:v>
      </x:c>
      <x:c r="O20" s="90" t="n">
        <x:v>-3.66</x:v>
      </x:c>
    </x:row>
    <x:row r="21" spans="1:16" ht="12.75" customHeight="1" x14ac:dyDescent="0.25">
      <x:c r="A21" s="89"/>
      <x:c r="C21" s="90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</x:row>
    <x:row r="22" spans="1:16" ht="12.75" customHeight="1" x14ac:dyDescent="0.25">
      <x:c r="B22" s="145" t="s">
        <x:v>70</x:v>
      </x:c>
      <x:c r="C22" s="99">
        <x:f>C20-I20</x:f>
        <x:v>216025.77</x:v>
      </x:c>
      <x:c r="D22" s="99">
        <x:f>D17</x:f>
        <x:v>31897.62</x:v>
      </x:c>
      <x:c r="E22" s="99">
        <x:f t="shared" ref="E22:P22" si="1">E17</x:f>
        <x:v>18572.91</x:v>
      </x:c>
      <x:c r="F22" s="99">
        <x:f t="shared" si="1"/>
        <x:v>8867.14</x:v>
      </x:c>
      <x:c r="G22" s="99">
        <x:f t="shared" si="1"/>
        <x:v>92959.49</x:v>
      </x:c>
      <x:c r="H22" s="99">
        <x:f t="shared" si="1"/>
        <x:v>3883.88</x:v>
      </x:c>
      <x:c r="I22" s="99">
        <x:f t="shared" si="1"/>
        <x:v>0</x:v>
      </x:c>
      <x:c r="J22" s="99">
        <x:f t="shared" si="1"/>
        <x:v>61358.09</x:v>
      </x:c>
      <x:c r="K22" s="99">
        <x:f t="shared" si="1"/>
        <x:v>33534.01</x:v>
      </x:c>
      <x:c r="L22" s="99">
        <x:f t="shared" si="1"/>
        <x:v>127815.87</x:v>
      </x:c>
      <x:c r="M22" s="99">
        <x:f t="shared" si="1"/>
        <x:v>64515.32</x:v>
      </x:c>
      <x:c r="N22" s="99">
        <x:f t="shared" si="1"/>
        <x:v>5139.92</x:v>
      </x:c>
      <x:c r="O22" s="99">
        <x:f>O17</x:f>
        <x:v>-0.36</x:v>
      </x:c>
      <x:c r="P22" s="99">
        <x:f t="shared" si="1"/>
        <x:v>0</x:v>
      </x:c>
    </x:row>
    <x:row r="23" spans="1:16" ht="12.75" customHeight="1" x14ac:dyDescent="0.25">
      <x:c r="B23" s="145" t="s">
        <x:v>73</x:v>
      </x:c>
      <x:c r="C23" s="99">
        <x:f>C19</x:f>
        <x:v>-232518.12</x:v>
      </x:c>
    </x:row>
    <x:row r="25" spans="1:16" x14ac:dyDescent="0.25">
      <x:c r="A25" s="94"/>
      <x:c r="B25" s="94"/>
      <x:c r="C25" s="146"/>
      <x:c r="D25" s="94"/>
      <x:c r="E25" s="94"/>
      <x:c r="F25" s="94"/>
      <x:c r="G25" s="94"/>
      <x:c r="H25" s="94"/>
      <x:c r="I25" s="94"/>
      <x:c r="J25" s="94"/>
      <x:c r="K25" s="94"/>
      <x:c r="L25" s="94"/>
      <x:c r="M25" s="94"/>
      <x:c r="N25" s="94"/>
      <x:c r="O25" s="94"/>
      <x:c r="P25" s="94"/>
    </x:row>
    <x:row r="26" spans="1:16" ht="13" x14ac:dyDescent="0.3">
      <x:c r="B26" s="97" t="s">
        <x:v>76</x:v>
      </x:c>
    </x:row>
    <x:row r="27" spans="1:16" ht="12.75" customHeight="1" x14ac:dyDescent="0.25">
      <x:c r="C27" s="89" t="s">
        <x:v>70</x:v>
      </x:c>
      <x:c r="D27" s="89" t="s">
        <x:v>64</x:v>
      </x:c>
      <x:c r="E27" s="89" t="s">
        <x:v>65</x:v>
      </x:c>
      <x:c r="F27" s="219" t="s">
        <x:v>164</x:v>
      </x:c>
      <x:c r="G27" s="89" t="s">
        <x:v>69</x:v>
      </x:c>
      <x:c r="H27" s="89" t="s">
        <x:v>68</x:v>
      </x:c>
      <x:c r="I27" s="89" t="s">
        <x:v>83</x:v>
      </x:c>
      <x:c r="J27" s="89" t="s">
        <x:v>66</x:v>
      </x:c>
      <x:c r="K27" s="89" t="s">
        <x:v>63</x:v>
      </x:c>
      <x:c r="L27" s="89" t="s">
        <x:v>61</x:v>
      </x:c>
      <x:c r="M27" s="89" t="s">
        <x:v>62</x:v>
      </x:c>
      <x:c r="N27" s="89" t="s">
        <x:v>67</x:v>
      </x:c>
      <x:c r="O27" s="89" t="s">
        <x:v>84</x:v>
      </x:c>
    </x:row>
    <x:row r="28" spans="1:16" ht="12.75" customHeight="1" x14ac:dyDescent="0.25">
      <x:c r="B28" s="89" t="s">
        <x:v>72</x:v>
      </x:c>
      <x:c r="C28" s="90" t="n">
        <x:v>114219.07</x:v>
      </x:c>
      <x:c r="D28" s="90" t="n">
        <x:v>6267.13</x:v>
      </x:c>
      <x:c r="E28" s="90" t="n">
        <x:v>3538.42</x:v>
      </x:c>
      <x:c r="F28" s="90" t="n">
        <x:v>1857.22</x:v>
      </x:c>
      <x:c r="G28" s="90" t="n">
        <x:v>42966.81</x:v>
      </x:c>
      <x:c r="H28" s="90" t="n">
        <x:v>743.08</x:v>
      </x:c>
      <x:c r="I28" s="90" t="n">
        <x:v>0</x:v>
      </x:c>
      <x:c r="J28" s="90" t="n">
        <x:v>6518.28</x:v>
      </x:c>
      <x:c r="K28" s="90" t="n">
        <x:v>6322.58</x:v>
      </x:c>
      <x:c r="L28" s="90" t="n">
        <x:v>29933.14</x:v>
      </x:c>
      <x:c r="M28" s="90" t="n">
        <x:v>14860.01</x:v>
      </x:c>
      <x:c r="N28" s="90" t="n">
        <x:v>1212.4</x:v>
      </x:c>
      <x:c r="O28" s="90">
        <x:v>0</x:v>
      </x:c>
    </x:row>
    <x:row r="29" spans="1:16" ht="12.75" customHeight="1" x14ac:dyDescent="0.25">
      <x:c r="A29" s="376" t="s">
        <x:v>78</x:v>
      </x:c>
      <x:c r="B29" s="376" t="s">
        <x:v>70</x:v>
      </x:c>
      <x:c r="C29" s="377" t="n">
        <x:v>114219.07</x:v>
      </x:c>
      <x:c r="D29" s="377" t="n">
        <x:v>6267.13</x:v>
      </x:c>
      <x:c r="E29" s="377" t="n">
        <x:v>3538.42</x:v>
      </x:c>
      <x:c r="F29" s="377" t="n">
        <x:v>1857.22</x:v>
      </x:c>
      <x:c r="G29" s="377" t="n">
        <x:v>42966.81</x:v>
      </x:c>
      <x:c r="H29" s="377" t="n">
        <x:v>743.08</x:v>
      </x:c>
      <x:c r="I29" s="377" t="n">
        <x:v>0</x:v>
      </x:c>
      <x:c r="J29" s="377" t="n">
        <x:v>6518.28</x:v>
      </x:c>
      <x:c r="K29" s="377" t="n">
        <x:v>6322.58</x:v>
      </x:c>
      <x:c r="L29" s="377" t="n">
        <x:v>29933.14</x:v>
      </x:c>
      <x:c r="M29" s="377" t="n">
        <x:v>14860.01</x:v>
      </x:c>
      <x:c r="N29" s="377" t="n">
        <x:v>1212.4</x:v>
      </x:c>
      <x:c r="O29" s="377">
        <x:v>0</x:v>
      </x:c>
      <x:c r="P29" s="378"/>
    </x:row>
    <x:row r="30" spans="1:16" ht="12.75" customHeight="1" x14ac:dyDescent="0.25">
      <x:c r="B30" s="89" t="s">
        <x:v>73</x:v>
      </x:c>
      <x:c r="C30" s="90" t="n">
        <x:v>4655.77</x:v>
      </x:c>
      <x:c r="D30" s="90" t="n">
        <x:v>1594.44</x:v>
      </x:c>
      <x:c r="E30" s="90" t="n">
        <x:v>900.22</x:v>
      </x:c>
      <x:c r="F30" s="90" t="n">
        <x:v>472.5</x:v>
      </x:c>
      <x:c r="G30" s="90" t="n">
        <x:v>-4328.45</x:v>
      </x:c>
      <x:c r="H30" s="90" t="n">
        <x:v>37.15</x:v>
      </x:c>
      <x:c r="I30" s="90" t="n">
        <x:v>0</x:v>
      </x:c>
      <x:c r="J30" s="90" t="n">
        <x:v>325.91</x:v>
      </x:c>
      <x:c r="K30" s="90" t="n">
        <x:v>316.13</x:v>
      </x:c>
      <x:c r="L30" s="90" t="n">
        <x:v>1496.66</x:v>
      </x:c>
      <x:c r="M30" s="90" t="n">
        <x:v>3780.59</x:v>
      </x:c>
      <x:c r="N30" s="90" t="n">
        <x:v>60.62</x:v>
      </x:c>
      <x:c r="O30" s="90">
        <x:v>0</x:v>
      </x:c>
    </x:row>
    <x:row r="31" spans="1:16" ht="12.75" customHeight="1" x14ac:dyDescent="0.25">
      <x:c r="A31" s="373" t="s">
        <x:v>79</x:v>
      </x:c>
      <x:c r="B31" s="373" t="s">
        <x:v>70</x:v>
      </x:c>
      <x:c r="C31" s="374" t="n">
        <x:v>4655.77</x:v>
      </x:c>
      <x:c r="D31" s="374" t="n">
        <x:v>1594.44</x:v>
      </x:c>
      <x:c r="E31" s="374" t="n">
        <x:v>900.22</x:v>
      </x:c>
      <x:c r="F31" s="374" t="n">
        <x:v>472.5</x:v>
      </x:c>
      <x:c r="G31" s="374" t="n">
        <x:v>-4328.45</x:v>
      </x:c>
      <x:c r="H31" s="374" t="n">
        <x:v>37.15</x:v>
      </x:c>
      <x:c r="I31" s="374" t="n">
        <x:v>0</x:v>
      </x:c>
      <x:c r="J31" s="374" t="n">
        <x:v>325.91</x:v>
      </x:c>
      <x:c r="K31" s="374" t="n">
        <x:v>316.13</x:v>
      </x:c>
      <x:c r="L31" s="374" t="n">
        <x:v>1496.66</x:v>
      </x:c>
      <x:c r="M31" s="374" t="n">
        <x:v>3780.59</x:v>
      </x:c>
      <x:c r="N31" s="374" t="n">
        <x:v>60.62</x:v>
      </x:c>
      <x:c r="O31" s="374">
        <x:v>0</x:v>
      </x:c>
      <x:c r="P31" s="372"/>
    </x:row>
    <x:row r="32" spans="1:16" ht="12.75" customHeight="1" x14ac:dyDescent="0.25">
      <x:c r="A32" s="89" t="s">
        <x:v>70</x:v>
      </x:c>
      <x:c r="C32" s="90" t="n">
        <x:v>118874.84</x:v>
      </x:c>
      <x:c r="D32" s="90" t="n">
        <x:v>7861.57</x:v>
      </x:c>
      <x:c r="E32" s="90" t="n">
        <x:v>4438.64</x:v>
      </x:c>
      <x:c r="F32" s="90" t="n">
        <x:v>2329.72</x:v>
      </x:c>
      <x:c r="G32" s="90" t="n">
        <x:v>38638.36</x:v>
      </x:c>
      <x:c r="H32" s="90" t="n">
        <x:v>780.23</x:v>
      </x:c>
      <x:c r="I32" s="90" t="n">
        <x:v>0</x:v>
      </x:c>
      <x:c r="J32" s="90" t="n">
        <x:v>6844.19</x:v>
      </x:c>
      <x:c r="K32" s="90" t="n">
        <x:v>6638.71</x:v>
      </x:c>
      <x:c r="L32" s="90" t="n">
        <x:v>31429.8</x:v>
      </x:c>
      <x:c r="M32" s="90" t="n">
        <x:v>18640.6</x:v>
      </x:c>
      <x:c r="N32" s="90" t="n">
        <x:v>1273.02</x:v>
      </x:c>
      <x:c r="O32" s="90">
        <x:v>0</x:v>
      </x:c>
    </x:row>
    <x:row r="33" spans="1:16" ht="12.75" customHeight="1" x14ac:dyDescent="0.25">
      <x:c r="A33" s="89"/>
      <x:c r="C33" s="90"/>
      <x:c r="D33" s="90"/>
      <x:c r="E33" s="90"/>
      <x:c r="F33" s="90"/>
      <x:c r="G33" s="90"/>
      <x:c r="H33" s="90"/>
      <x:c r="I33" s="90"/>
      <x:c r="J33" s="90"/>
      <x:c r="L33" s="90"/>
      <x:c r="M33" s="90"/>
      <x:c r="N33" s="90"/>
      <x:c r="O33" s="90"/>
      <x:c r="P33" s="90"/>
    </x:row>
    <x:row r="34" spans="1:16" ht="12.75" customHeight="1" x14ac:dyDescent="0.25">
      <x:c r="B34" s="145" t="s">
        <x:v>70</x:v>
      </x:c>
      <x:c r="C34" s="99">
        <x:f>C32-I32</x:f>
        <x:v>104231.83</x:v>
      </x:c>
      <x:c r="D34" s="99">
        <x:f>D29</x:f>
        <x:v>6620.63</x:v>
      </x:c>
      <x:c r="E34" s="99">
        <x:f t="shared" ref="E34:P34" si="2">E29</x:f>
        <x:v>3738.02</x:v>
      </x:c>
      <x:c r="F34" s="99">
        <x:f t="shared" si="2"/>
        <x:v>1961.98</x:v>
      </x:c>
      <x:c r="G34" s="99">
        <x:f t="shared" si="2"/>
        <x:v>20927.5</x:v>
      </x:c>
      <x:c r="H34" s="99">
        <x:f t="shared" si="2"/>
        <x:v>743.08</x:v>
      </x:c>
      <x:c r="I34" s="99">
        <x:f t="shared" si="2"/>
        <x:v>0</x:v>
      </x:c>
      <x:c r="J34" s="99">
        <x:f t="shared" si="2"/>
        <x:v>6518.28</x:v>
      </x:c>
      <x:c r="K34" s="99">
        <x:f t="shared" si="2"/>
        <x:v>6410.86</x:v>
      </x:c>
      <x:c r="L34" s="99">
        <x:f t="shared" si="2"/>
        <x:v>30349.1</x:v>
      </x:c>
      <x:c r="M34" s="99">
        <x:f t="shared" si="2"/>
        <x:v>15383.1</x:v>
      </x:c>
      <x:c r="N34" s="99">
        <x:f t="shared" si="2"/>
        <x:v>1212.4000000000001</x:v>
      </x:c>
      <x:c r="O34" s="99">
        <x:f>O29</x:f>
        <x:v>0</x:v>
      </x:c>
      <x:c r="P34" s="99">
        <x:f t="shared" si="2"/>
        <x:v>0</x:v>
      </x:c>
    </x:row>
    <x:row r="35" spans="1:16" ht="12.75" customHeight="1" x14ac:dyDescent="0.25">
      <x:c r="B35" s="145" t="s">
        <x:v>73</x:v>
      </x:c>
      <x:c r="C35" s="99">
        <x:f>C31</x:f>
        <x:v>10366.879999999999</x:v>
      </x:c>
    </x:row>
    <x:row r="37" spans="1:16" x14ac:dyDescent="0.25">
      <x:c r="A37" s="94"/>
      <x:c r="B37" s="94"/>
      <x:c r="C37" s="146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</x:row>
    <x:row r="38" spans="1:16" ht="13" x14ac:dyDescent="0.3">
      <x:c r="B38" s="97" t="s">
        <x:v>88</x:v>
      </x:c>
    </x:row>
    <x:row r="39" spans="1:16" ht="12.75" customHeight="1" x14ac:dyDescent="0.25">
      <x:c r="C39" s="89" t="s">
        <x:v>70</x:v>
      </x:c>
      <x:c r="D39" s="89" t="s">
        <x:v>64</x:v>
      </x:c>
      <x:c r="E39" s="89" t="s">
        <x:v>65</x:v>
      </x:c>
      <x:c r="F39" s="219" t="s">
        <x:v>164</x:v>
      </x:c>
      <x:c r="G39" s="89" t="s">
        <x:v>69</x:v>
      </x:c>
      <x:c r="H39" s="89" t="s">
        <x:v>68</x:v>
      </x:c>
      <x:c r="I39" s="89" t="s">
        <x:v>83</x:v>
      </x:c>
      <x:c r="J39" s="89" t="s">
        <x:v>66</x:v>
      </x:c>
      <x:c r="K39" s="89" t="s">
        <x:v>63</x:v>
      </x:c>
      <x:c r="L39" s="89" t="s">
        <x:v>61</x:v>
      </x:c>
      <x:c r="M39" s="89" t="s">
        <x:v>62</x:v>
      </x:c>
      <x:c r="N39" s="89" t="s">
        <x:v>67</x:v>
      </x:c>
      <x:c r="O39" s="89" t="s">
        <x:v>84</x:v>
      </x:c>
    </x:row>
    <x:row r="40" spans="1:16" ht="12.75" customHeight="1" x14ac:dyDescent="0.25">
      <x:c r="B40" t="s">
        <x:v>72</x:v>
      </x:c>
      <x:c r="C40" s="89" t="n">
        <x:v>1030030.24</x:v>
      </x:c>
      <x:c r="D40" s="89" t="n">
        <x:v>30353.42</x:v>
      </x:c>
      <x:c r="E40" s="89" t="n">
        <x:v>17272.31</x:v>
      </x:c>
      <x:c r="F40" s="384" t="n">
        <x:v>7260.85</x:v>
      </x:c>
      <x:c r="G40" s="89" t="n">
        <x:v>195770.56</x:v>
      </x:c>
      <x:c r="H40" s="89" t="n">
        <x:v>5001.67</x:v>
      </x:c>
      <x:c r="I40" s="89" t="n">
        <x:v>0</x:v>
      </x:c>
      <x:c r="J40" s="89" t="n">
        <x:v>31654.75</x:v>
      </x:c>
      <x:c r="K40" s="89" t="n">
        <x:v>16169.51</x:v>
      </x:c>
      <x:c r="L40" s="89" t="n">
        <x:v>630665.63</x:v>
      </x:c>
      <x:c r="M40" s="89" t="n">
        <x:v>92025.49</x:v>
      </x:c>
      <x:c r="N40" s="89" t="n">
        <x:v>3836.24</x:v>
      </x:c>
      <x:c r="O40" s="89" t="n">
        <x:v>19.81</x:v>
      </x:c>
    </x:row>
    <x:row r="41" spans="1:16" ht="12.75" customHeight="1" x14ac:dyDescent="0.25">
      <x:c r="B41" s="89" t="s">
        <x:v>81</x:v>
      </x:c>
      <x:c r="C41" s="90" t="n">
        <x:v>-5455.56</x:v>
      </x:c>
      <x:c r="D41" s="90" t="n">
        <x:v>0</x:v>
      </x:c>
      <x:c r="E41" s="90" t="n">
        <x:v>0</x:v>
      </x:c>
      <x:c r="F41" s="90" t="n">
        <x:v>0</x:v>
      </x:c>
      <x:c r="G41" s="90" t="n">
        <x:v>0</x:v>
      </x:c>
      <x:c r="H41" s="90" t="n">
        <x:v>0</x:v>
      </x:c>
      <x:c r="I41" s="90" t="n">
        <x:v>0</x:v>
      </x:c>
      <x:c r="J41" s="90" t="n">
        <x:v>0</x:v>
      </x:c>
      <x:c r="K41" s="90" t="n">
        <x:v>0</x:v>
      </x:c>
      <x:c r="L41" s="90" t="n">
        <x:v>-5455.76</x:v>
      </x:c>
      <x:c r="M41" s="90" t="n">
        <x:v>0</x:v>
      </x:c>
      <x:c r="N41" s="90" t="n">
        <x:v>0</x:v>
      </x:c>
      <x:c r="O41" s="90" t="n">
        <x:v>0.2</x:v>
      </x:c>
    </x:row>
    <x:row r="42" spans="1:16" ht="12.75" customHeight="1" x14ac:dyDescent="0.25">
      <x:c r="A42" s="376" t="s">
        <x:v>78</x:v>
      </x:c>
      <x:c r="B42" s="376" t="s">
        <x:v>70</x:v>
      </x:c>
      <x:c r="C42" s="377" t="n">
        <x:v>1024574.68</x:v>
      </x:c>
      <x:c r="D42" s="377" t="n">
        <x:v>30353.42</x:v>
      </x:c>
      <x:c r="E42" s="377" t="n">
        <x:v>17272.31</x:v>
      </x:c>
      <x:c r="F42" s="377" t="n">
        <x:v>7260.85</x:v>
      </x:c>
      <x:c r="G42" s="377" t="n">
        <x:v>195770.56</x:v>
      </x:c>
      <x:c r="H42" s="377" t="n">
        <x:v>5001.67</x:v>
      </x:c>
      <x:c r="I42" s="377" t="n">
        <x:v>0</x:v>
      </x:c>
      <x:c r="J42" s="377" t="n">
        <x:v>31654.75</x:v>
      </x:c>
      <x:c r="K42" s="377" t="n">
        <x:v>16169.51</x:v>
      </x:c>
      <x:c r="L42" s="377" t="n">
        <x:v>625209.87</x:v>
      </x:c>
      <x:c r="M42" s="377" t="n">
        <x:v>92025.49</x:v>
      </x:c>
      <x:c r="N42" s="377" t="n">
        <x:v>3836.24</x:v>
      </x:c>
      <x:c r="O42" s="377" t="n">
        <x:v>20.01</x:v>
      </x:c>
      <x:c r="P42" s="378"/>
    </x:row>
    <x:row r="43" spans="1:16" ht="12.75" customHeight="1" x14ac:dyDescent="0.25">
      <x:c r="B43" s="89" t="s">
        <x:v>73</x:v>
      </x:c>
      <x:c r="C43" s="90" t="n">
        <x:v>-706260.2</x:v>
      </x:c>
      <x:c r="D43" s="90" t="n">
        <x:v>-35225.22</x:v>
      </x:c>
      <x:c r="E43" s="90" t="n">
        <x:v>-19886.85</x:v>
      </x:c>
      <x:c r="F43" s="90" t="n">
        <x:v>-10438.97</x:v>
      </x:c>
      <x:c r="G43" s="90" t="n">
        <x:v>-172708.87</x:v>
      </x:c>
      <x:c r="H43" s="90" t="n">
        <x:v>-4226.24</x:v>
      </x:c>
      <x:c r="I43" s="90" t="n">
        <x:v>0</x:v>
      </x:c>
      <x:c r="J43" s="90" t="n">
        <x:v>-37074.28</x:v>
      </x:c>
      <x:c r="K43" s="90" t="n">
        <x:v>-53305.25</x:v>
      </x:c>
      <x:c r="L43" s="90" t="n">
        <x:v>-273257.91</x:v>
      </x:c>
      <x:c r="M43" s="90" t="n">
        <x:v>-93241.08</x:v>
      </x:c>
      <x:c r="N43" s="90" t="n">
        <x:v>-6895.53</x:v>
      </x:c>
      <x:c r="O43" s="90" t="n">
        <x:v>0</x:v>
      </x:c>
    </x:row>
    <x:row r="44" spans="1:16" ht="12.75" customHeight="1" x14ac:dyDescent="0.25">
      <x:c r="A44" s="373" t="s">
        <x:v>79</x:v>
      </x:c>
      <x:c r="B44" s="373" t="s">
        <x:v>70</x:v>
      </x:c>
      <x:c r="C44" s="374" t="n">
        <x:v>-706260.2</x:v>
      </x:c>
      <x:c r="D44" s="374" t="n">
        <x:v>-35225.22</x:v>
      </x:c>
      <x:c r="E44" s="374" t="n">
        <x:v>-19886.85</x:v>
      </x:c>
      <x:c r="F44" s="374" t="n">
        <x:v>-10438.97</x:v>
      </x:c>
      <x:c r="G44" s="374" t="n">
        <x:v>-172708.87</x:v>
      </x:c>
      <x:c r="H44" s="374" t="n">
        <x:v>-4226.24</x:v>
      </x:c>
      <x:c r="I44" s="374" t="n">
        <x:v>0</x:v>
      </x:c>
      <x:c r="J44" s="374" t="n">
        <x:v>-37074.28</x:v>
      </x:c>
      <x:c r="K44" s="374" t="n">
        <x:v>-53305.25</x:v>
      </x:c>
      <x:c r="L44" s="374" t="n">
        <x:v>-273257.91</x:v>
      </x:c>
      <x:c r="M44" s="374" t="n">
        <x:v>-93241.08</x:v>
      </x:c>
      <x:c r="N44" s="374" t="n">
        <x:v>-6895.53</x:v>
      </x:c>
      <x:c r="O44" s="374" t="n">
        <x:v>0</x:v>
      </x:c>
      <x:c r="P44" s="372"/>
    </x:row>
    <x:row r="45" spans="1:16" ht="12.75" customHeight="1" x14ac:dyDescent="0.25">
      <x:c r="A45" s="89" t="s">
        <x:v>70</x:v>
      </x:c>
      <x:c r="C45" s="90" t="n">
        <x:v>318314.48</x:v>
      </x:c>
      <x:c r="D45" s="90" t="n">
        <x:v>-4871.8</x:v>
      </x:c>
      <x:c r="E45" s="90" t="n">
        <x:v>-2614.54</x:v>
      </x:c>
      <x:c r="F45" s="90" t="n">
        <x:v>-3178.12</x:v>
      </x:c>
      <x:c r="G45" s="90" t="n">
        <x:v>23061.69</x:v>
      </x:c>
      <x:c r="H45" s="90" t="n">
        <x:v>775.43</x:v>
      </x:c>
      <x:c r="I45" s="90" t="n">
        <x:v>0</x:v>
      </x:c>
      <x:c r="J45" s="90" t="n">
        <x:v>-5419.53</x:v>
      </x:c>
      <x:c r="K45" s="90" t="n">
        <x:v>-37135.74</x:v>
      </x:c>
      <x:c r="L45" s="90" t="n">
        <x:v>351951.96</x:v>
      </x:c>
      <x:c r="M45" s="90" t="n">
        <x:v>-1215.59</x:v>
      </x:c>
      <x:c r="N45" s="90" t="n">
        <x:v>-3059.29</x:v>
      </x:c>
      <x:c r="O45" s="90" t="n">
        <x:v>20.01</x:v>
      </x:c>
    </x:row>
    <x:row r="46" spans="1:16" ht="12.75" customHeight="1" x14ac:dyDescent="0.25">
      <x:c r="A46" s="89"/>
      <x:c r="C46" s="90"/>
      <x:c r="D46" s="90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</x:row>
    <x:row r="47" spans="1:16" ht="12.75" customHeight="1" x14ac:dyDescent="0.25">
      <x:c r="B47" s="145" t="s">
        <x:v>70</x:v>
      </x:c>
      <x:c r="C47" s="99">
        <x:f>C45-I45</x:f>
        <x:v>35954.44</x:v>
      </x:c>
      <x:c r="D47" s="99">
        <x:f>D42</x:f>
        <x:v>1890.6</x:v>
      </x:c>
      <x:c r="E47" s="99">
        <x:f t="shared" ref="E47:P47" si="3">E42</x:f>
        <x:v>1067.43</x:v>
      </x:c>
      <x:c r="F47" s="99">
        <x:f t="shared" si="3"/>
        <x:v>560.27</x:v>
      </x:c>
      <x:c r="G47" s="99">
        <x:f t="shared" si="3"/>
        <x:v>10800.02</x:v>
      </x:c>
      <x:c r="H47" s="99">
        <x:f t="shared" si="3"/>
        <x:v>371.66</x:v>
      </x:c>
      <x:c r="I47" s="99">
        <x:f t="shared" si="3"/>
        <x:v>0</x:v>
      </x:c>
      <x:c r="J47" s="99">
        <x:f t="shared" si="3"/>
        <x:v>3260.18</x:v>
      </x:c>
      <x:c r="K47" s="99">
        <x:f t="shared" si="3"/>
        <x:v>3149.08</x:v>
      </x:c>
      <x:c r="L47" s="99">
        <x:f t="shared" si="3"/>
        <x:v>15696.81</x:v>
      </x:c>
      <x:c r="M47" s="99">
        <x:f t="shared" si="3"/>
        <x:v>5005.76</x:v>
      </x:c>
      <x:c r="N47" s="99">
        <x:f t="shared" si="3"/>
        <x:v>606.39</x:v>
      </x:c>
      <x:c r="O47" s="99">
        <x:f>O42</x:f>
        <x:v>0</x:v>
      </x:c>
      <x:c r="P47" s="99">
        <x:f t="shared" si="3"/>
        <x:v>0</x:v>
      </x:c>
    </x:row>
    <x:row r="48" spans="1:16" ht="12.75" customHeight="1" x14ac:dyDescent="0.25">
      <x:c r="B48" s="145" t="s">
        <x:v>73</x:v>
      </x:c>
      <x:c r="C48" s="99">
        <x:f>C44</x:f>
        <x:v>-6453.76</x:v>
      </x:c>
    </x:row>
    <x:row r="50" spans="1:16" x14ac:dyDescent="0.25">
      <x:c r="A50" s="94"/>
      <x:c r="B50" s="94"/>
      <x:c r="C50" s="146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  <x:c r="N50" s="94"/>
      <x:c r="O50" s="94"/>
      <x:c r="P50" s="94"/>
    </x:row>
    <x:row r="51" spans="1:16" ht="13" x14ac:dyDescent="0.3">
      <x:c r="B51" s="97" t="s">
        <x:v>93</x:v>
      </x:c>
    </x:row>
    <x:row r="52" spans="1:16" ht="12.75" customHeight="1" x14ac:dyDescent="0.25">
      <x:c r="C52" s="89" t="s">
        <x:v>70</x:v>
      </x:c>
      <x:c r="D52" s="89" t="s">
        <x:v>64</x:v>
      </x:c>
      <x:c r="E52" s="89" t="s">
        <x:v>65</x:v>
      </x:c>
      <x:c r="F52" s="219" t="s">
        <x:v>164</x:v>
      </x:c>
      <x:c r="G52" s="89" t="s">
        <x:v>69</x:v>
      </x:c>
      <x:c r="H52" s="89" t="s">
        <x:v>68</x:v>
      </x:c>
      <x:c r="I52" t="s">
        <x:v>83</x:v>
      </x:c>
      <x:c r="J52" s="89" t="s">
        <x:v>66</x:v>
      </x:c>
      <x:c r="K52" s="89" t="s">
        <x:v>63</x:v>
      </x:c>
      <x:c r="L52" s="89" t="s">
        <x:v>61</x:v>
      </x:c>
      <x:c r="M52" s="89" t="s">
        <x:v>62</x:v>
      </x:c>
      <x:c r="N52" s="89" t="s">
        <x:v>67</x:v>
      </x:c>
      <x:c r="O52" s="89" t="s">
        <x:v>84</x:v>
      </x:c>
    </x:row>
    <x:row r="53" spans="1:16" ht="12.75" customHeight="1" x14ac:dyDescent="0.25">
      <x:c r="B53" s="89" t="s">
        <x:v>72</x:v>
      </x:c>
      <x:c r="C53" s="90">
        <x:v>0</x:v>
      </x:c>
      <x:c r="D53" s="90">
        <x:v>0</x:v>
      </x:c>
      <x:c r="E53" s="90">
        <x:v>0</x:v>
      </x:c>
      <x:c r="F53" s="90">
        <x:v>0</x:v>
      </x:c>
      <x:c r="G53" s="90">
        <x:v>0</x:v>
      </x:c>
      <x:c r="H53" s="90">
        <x:v>0</x:v>
      </x:c>
      <x:c r="I53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</x:row>
    <x:row r="54" spans="1:16" ht="12.75" customHeight="1" x14ac:dyDescent="0.25">
      <x:c r="B54" s="89" t="s">
        <x:v>81</x:v>
      </x:c>
      <x:c r="C54" s="90">
        <x:v>0</x:v>
      </x:c>
      <x:c r="D54" s="90">
        <x:v>0</x:v>
      </x:c>
      <x:c r="E54" s="90">
        <x:v>0</x:v>
      </x:c>
      <x:c r="F54" s="90">
        <x:v>0</x:v>
      </x:c>
      <x:c r="G54" s="90">
        <x:v>0</x:v>
      </x:c>
      <x:c r="H54" s="90">
        <x:v>0</x:v>
      </x:c>
      <x:c r="I54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</x:row>
    <x:row r="55" spans="1:16" ht="12.75" customHeight="1" x14ac:dyDescent="0.25">
      <x:c r="A55" s="376" t="s">
        <x:v>78</x:v>
      </x:c>
      <x:c r="B55" s="376" t="s">
        <x:v>70</x:v>
      </x:c>
      <x:c r="C55" s="377">
        <x:v>0</x:v>
      </x:c>
      <x:c r="D55" s="377">
        <x:v>0</x:v>
      </x:c>
      <x:c r="E55" s="377">
        <x:v>0</x:v>
      </x:c>
      <x:c r="F55" s="377">
        <x:v>0</x:v>
      </x:c>
      <x:c r="G55" s="377">
        <x:v>0</x:v>
      </x:c>
      <x:c r="H55" s="377">
        <x:v>0</x:v>
      </x:c>
      <x:c r="I55" s="378">
        <x:v>0</x:v>
      </x:c>
      <x:c r="J55" s="377">
        <x:v>0</x:v>
      </x:c>
      <x:c r="K55" s="377">
        <x:v>0</x:v>
      </x:c>
      <x:c r="L55" s="377">
        <x:v>0</x:v>
      </x:c>
      <x:c r="M55" s="377">
        <x:v>0</x:v>
      </x:c>
      <x:c r="N55" s="377">
        <x:v>0</x:v>
      </x:c>
      <x:c r="O55" s="377">
        <x:v>0</x:v>
      </x:c>
      <x:c r="P55" s="378"/>
    </x:row>
    <x:row r="56" spans="1:16" ht="12.75" customHeight="1" x14ac:dyDescent="0.25">
      <x:c r="B56" s="89" t="s">
        <x:v>73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3" t="s">
        <x:v>79</x:v>
      </x:c>
      <x:c r="B57" s="373" t="s">
        <x:v>70</x:v>
      </x:c>
      <x:c r="C57" s="374">
        <x:v>0</x:v>
      </x:c>
      <x:c r="D57" s="374">
        <x:v>0</x:v>
      </x:c>
      <x:c r="E57" s="374">
        <x:v>0</x:v>
      </x:c>
      <x:c r="F57" s="374">
        <x:v>0</x:v>
      </x:c>
      <x:c r="G57" s="374">
        <x:v>0</x:v>
      </x:c>
      <x:c r="H57" s="374">
        <x:v>0</x:v>
      </x:c>
      <x:c r="I57" s="372">
        <x:v>0</x:v>
      </x:c>
      <x:c r="J57" s="374">
        <x:v>0</x:v>
      </x:c>
      <x:c r="K57" s="374">
        <x:v>0</x:v>
      </x:c>
      <x:c r="L57" s="374">
        <x:v>0</x:v>
      </x:c>
      <x:c r="M57" s="374">
        <x:v>0</x:v>
      </x:c>
      <x:c r="N57" s="374">
        <x:v>0</x:v>
      </x:c>
      <x:c r="O57" s="374">
        <x:v>0</x:v>
      </x:c>
      <x:c r="P57" s="372"/>
    </x:row>
    <x:row r="58" spans="1:16" ht="12.75" customHeight="1" x14ac:dyDescent="0.25">
      <x:c r="A58" s="89" t="s">
        <x:v>70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60" spans="1:16" ht="12.75" customHeight="1" x14ac:dyDescent="0.25">
      <x:c r="B60" s="145" t="s">
        <x:v>70</x:v>
      </x:c>
      <x:c r="C60" s="99">
        <x:f>C58-I58</x:f>
        <x:v>0</x:v>
      </x:c>
      <x:c r="D60" s="99">
        <x:f>D55</x:f>
        <x:v>0</x:v>
      </x:c>
      <x:c r="E60" s="99">
        <x:f t="shared" ref="E60:P60" si="4">E55</x:f>
        <x:v>0</x:v>
      </x:c>
      <x:c r="F60" s="99">
        <x:f t="shared" si="4"/>
        <x:v>0</x:v>
      </x:c>
      <x:c r="G60" s="99">
        <x:f t="shared" si="4"/>
        <x:v>0</x:v>
      </x:c>
      <x:c r="H60" s="99">
        <x:f t="shared" si="4"/>
        <x:v>0</x:v>
      </x:c>
      <x:c r="I60" s="99">
        <x:f t="shared" si="4"/>
        <x:v>0</x:v>
      </x:c>
      <x:c r="J60" s="99">
        <x:f t="shared" si="4"/>
        <x:v>0</x:v>
      </x:c>
      <x:c r="K60" s="99">
        <x:f t="shared" si="4"/>
        <x:v>0</x:v>
      </x:c>
      <x:c r="L60" s="99">
        <x:f t="shared" si="4"/>
        <x:v>0</x:v>
      </x:c>
      <x:c r="M60" s="99">
        <x:f t="shared" si="4"/>
        <x:v>0</x:v>
      </x:c>
      <x:c r="N60" s="99">
        <x:f t="shared" si="4"/>
        <x:v>0</x:v>
      </x:c>
      <x:c r="O60" s="99">
        <x:f t="shared" si="4"/>
        <x:v>0</x:v>
      </x:c>
      <x:c r="P60" s="99">
        <x:f t="shared" si="4"/>
        <x:v>0</x:v>
      </x:c>
    </x:row>
    <x:row r="61" spans="1:16" ht="12.75" customHeight="1" x14ac:dyDescent="0.25">
      <x:c r="B61" s="145" t="s">
        <x:v>73</x:v>
      </x:c>
      <x:c r="C61" s="99">
        <x:f>C57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2"/>
  <x:sheetViews>
    <x:sheetView zoomScale="90" zoomScaleNormal="90" workbookViewId="0">
      <x:pane ySplit="2" topLeftCell="A6" activePane="bottomLeft" state="frozen"/>
      <x:selection activeCell="C50" sqref="C50"/>
      <x:selection pane="bottomLeft"/>
    </x:sheetView>
  </x:sheetViews>
  <x:sheetFormatPr baseColWidth="10" defaultRowHeight="12.5" x14ac:dyDescent="0.25"/>
  <x:cols>
    <x:col min="2" max="2" width="24.453125" bestFit="1" customWidth="1"/>
    <x:col min="3" max="3" width="15.1796875" style="144" bestFit="1" customWidth="1"/>
    <x:col min="4" max="4" width="23.1796875" bestFit="1" customWidth="1"/>
    <x:col min="5" max="5" width="15.81640625" bestFit="1" customWidth="1"/>
    <x:col min="6" max="6" width="16.54296875" customWidth="1"/>
    <x:col min="7" max="7" width="15.453125" bestFit="1" customWidth="1"/>
    <x:col min="8" max="8" width="15" bestFit="1" customWidth="1"/>
    <x:col min="9" max="10" width="15" customWidth="1"/>
    <x:col min="11" max="11" width="15.1796875" bestFit="1" customWidth="1"/>
    <x:col min="12" max="12" width="17" bestFit="1" customWidth="1"/>
    <x:col min="13" max="14" width="15.54296875" bestFit="1" customWidth="1"/>
    <x:col min="15" max="15" width="15.1796875" bestFit="1" customWidth="1"/>
  </x:cols>
  <x:sheetData>
    <x:row r="1" spans="1:15" ht="13" x14ac:dyDescent="0.3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ht="13" x14ac:dyDescent="0.3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ht="13" x14ac:dyDescent="0.3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ht="13" x14ac:dyDescent="0.3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ht="13" x14ac:dyDescent="0.3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5" s="378" customFormat="1" ht="12.75" customHeight="1" x14ac:dyDescent="0.25">
      <x:c r="A56" s="376" t="s">
        <x:v>78</x:v>
      </x:c>
      <x:c r="B56" s="376" t="s">
        <x:v>70</x:v>
      </x:c>
      <x:c r="C56" s="377">
        <x:v>0</x:v>
      </x:c>
      <x:c r="D56" s="377">
        <x:v>0</x:v>
      </x:c>
      <x:c r="E56" s="377">
        <x:v>0</x:v>
      </x:c>
      <x:c r="F56" s="377">
        <x:v>0</x:v>
      </x:c>
      <x:c r="G56" s="377">
        <x:v>0</x:v>
      </x:c>
      <x:c r="H56" s="377">
        <x:v>0</x:v>
      </x:c>
      <x:c r="I56" s="378">
        <x:v>0</x:v>
      </x:c>
      <x:c r="J56" s="377">
        <x:v>0</x:v>
      </x:c>
      <x:c r="K56" s="377">
        <x:v>0</x:v>
      </x:c>
      <x:c r="L56" s="377">
        <x:v>0</x:v>
      </x:c>
      <x:c r="M56" s="377">
        <x:v>0</x:v>
      </x:c>
      <x:c r="N56" s="377">
        <x:v>0</x:v>
      </x:c>
      <x:c r="O56" s="377">
        <x:v>0</x:v>
      </x:c>
    </x:row>
    <x:row r="57" spans="1:15" ht="12.75" customHeight="1" x14ac:dyDescent="0.25">
      <x:c r="B57" s="89" t="s">
        <x:v>73</x:v>
      </x:c>
      <x:c r="C57" s="90">
        <x:v>0</x:v>
      </x:c>
      <x:c r="D57" s="90">
        <x:v>0</x:v>
      </x:c>
      <x:c r="E57" s="90">
        <x:v>0</x:v>
      </x:c>
      <x:c r="F57" s="90">
        <x:v>0</x:v>
      </x:c>
      <x:c r="G57" s="90">
        <x:v>0</x:v>
      </x:c>
      <x:c r="H57" s="90">
        <x:v>0</x:v>
      </x:c>
      <x:c r="I57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</x:row>
    <x:row r="58" spans="1:15" s="372" customFormat="1" ht="12.75" customHeight="1" x14ac:dyDescent="0.25">
      <x:c r="A58" s="373" t="s">
        <x:v>79</x:v>
      </x:c>
      <x:c r="B58" s="373" t="s">
        <x:v>70</x:v>
      </x:c>
      <x:c r="C58" s="374">
        <x:v>0</x:v>
      </x:c>
      <x:c r="D58" s="374">
        <x:v>0</x:v>
      </x:c>
      <x:c r="E58" s="374">
        <x:v>0</x:v>
      </x:c>
      <x:c r="F58" s="374">
        <x:v>0</x:v>
      </x:c>
      <x:c r="G58" s="374">
        <x:v>0</x:v>
      </x:c>
      <x:c r="H58" s="374">
        <x:v>0</x:v>
      </x:c>
      <x:c r="I58" s="372">
        <x:v>0</x:v>
      </x:c>
      <x:c r="J58" s="374">
        <x:v>0</x:v>
      </x:c>
      <x:c r="K58" s="374">
        <x:v>0</x:v>
      </x:c>
      <x:c r="L58" s="374">
        <x:v>0</x:v>
      </x:c>
      <x:c r="M58" s="374">
        <x:v>0</x:v>
      </x:c>
      <x:c r="N58" s="374">
        <x:v>0</x:v>
      </x:c>
      <x:c r="O58" s="374">
        <x:v>0</x:v>
      </x:c>
    </x:row>
    <x:row r="59" spans="1:15" ht="12.75" customHeight="1" x14ac:dyDescent="0.25">
      <x:c r="A59" s="89" t="s">
        <x:v>70</x:v>
      </x:c>
      <x:c r="C59" s="90">
        <x:v>0</x:v>
      </x:c>
      <x:c r="D59" s="90">
        <x:v>0</x:v>
      </x:c>
      <x:c r="E59" s="90">
        <x:v>0</x:v>
      </x:c>
      <x:c r="F59" s="90">
        <x:v>0</x:v>
      </x:c>
      <x:c r="G59" s="90">
        <x:v>0</x:v>
      </x:c>
      <x:c r="H59" s="90">
        <x:v>0</x:v>
      </x:c>
      <x:c r="I59">
        <x:v>0</x:v>
      </x:c>
      <x:c r="J59" s="90">
        <x:v>0</x:v>
      </x:c>
      <x:c r="K59" s="90">
        <x:v>0</x:v>
      </x:c>
      <x:c r="L59" s="90">
        <x:v>0</x:v>
      </x:c>
      <x:c r="M59" s="90">
        <x:v>0</x:v>
      </x:c>
      <x:c r="N59" s="90">
        <x:v>0</x:v>
      </x:c>
      <x:c r="O59" s="90">
        <x:v>0</x:v>
      </x:c>
    </x:row>
    <x:row r="61" spans="1:15" ht="12.75" customHeight="1" x14ac:dyDescent="0.25">
      <x:c r="B61" s="145" t="s">
        <x:v>70</x:v>
      </x:c>
      <x:c r="C61" s="99">
        <x:f>C59-I59</x:f>
        <x:v>0</x:v>
      </x:c>
      <x:c r="D61" s="99">
        <x:f>D56</x:f>
        <x:v>0</x:v>
      </x:c>
      <x:c r="E61" s="99">
        <x:f t="shared" ref="E61:O61" si="4">E56</x:f>
        <x:v>0</x:v>
      </x:c>
      <x:c r="F61" s="99">
        <x:f t="shared" si="4"/>
        <x:v>0</x:v>
      </x:c>
      <x:c r="G61" s="99">
        <x:f t="shared" si="4"/>
        <x:v>0</x:v>
      </x:c>
      <x:c r="H61" s="99">
        <x:f t="shared" si="4"/>
        <x:v>0</x:v>
      </x:c>
      <x:c r="I61" s="99">
        <x:f t="shared" si="4"/>
        <x:v>0</x:v>
      </x:c>
      <x:c r="J61" s="99">
        <x:f t="shared" si="4"/>
        <x:v>0</x:v>
      </x:c>
      <x:c r="K61" s="99">
        <x:f t="shared" si="4"/>
        <x:v>0</x:v>
      </x:c>
      <x:c r="L61" s="99">
        <x:f t="shared" si="4"/>
        <x:v>0</x:v>
      </x:c>
      <x:c r="M61" s="99">
        <x:f t="shared" si="4"/>
        <x:v>0</x:v>
      </x:c>
      <x:c r="N61" s="99">
        <x:f t="shared" si="4"/>
        <x:v>0</x:v>
      </x:c>
      <x:c r="O61" s="99">
        <x:f t="shared" si="4"/>
        <x:v>0</x:v>
      </x:c>
    </x:row>
    <x:row r="62" spans="1:15" ht="12.75" customHeight="1" x14ac:dyDescent="0.25">
      <x:c r="B62" s="145" t="s">
        <x:v>73</x:v>
      </x:c>
      <x:c r="C62" s="99">
        <x:f>C58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6" zoomScaleNormal="100" workbookViewId="0"/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7" style="1" bestFit="1" customWidth="1"/>
    <x:col min="13" max="13" width="19.81640625" style="1" customWidth="1"/>
    <x:col min="14" max="14" width="19.1796875" style="1" bestFit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8" width="16.81640625" style="1" customWidth="1"/>
    <x:col min="29" max="30" width="15.81640625" style="1" bestFit="1" customWidth="1"/>
    <x:col min="31" max="31" width="16.1796875" style="1" customWidth="1"/>
    <x:col min="32" max="32" width="18.1796875" style="1" customWidth="1"/>
    <x:col min="33" max="33" width="13.81640625" style="1" customWidth="1"/>
    <x:col min="34" max="34" width="3.453125" style="1" customWidth="1"/>
    <x:col min="35" max="35" width="13.81640625" style="1" bestFit="1" customWidth="1"/>
    <x:col min="36" max="16384" width="11.453125" style="1"/>
  </x:cols>
  <x:sheetData>
    <x:row r="1" spans="1:34" ht="12" thickBot="1" x14ac:dyDescent="0.3">
      <x:c r="A1" s="1" t="s">
        <x:v>1</x:v>
      </x:c>
      <x:c r="Q1" s="4"/>
      <x:c r="AH1" s="4"/>
    </x:row>
    <x:row r="2" spans="1:34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5" x14ac:dyDescent="0.3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5">
      <x:c r="B9" s="14">
        <x:v>1</x:v>
      </x:c>
      <x:c r="C9" s="61" t="s">
        <x:v>10</x:v>
      </x:c>
      <x:c r="D9" s="66">
        <x:f>'SALDOS POR NOTA'!C9</x:f>
        <x:v>973693.46</x:v>
      </x:c>
      <x:c r="E9" s="66">
        <x:f>'SALDOS POR NOTA'!D9</x:f>
        <x:v>65524.22</x:v>
      </x:c>
      <x:c r="F9" s="66">
        <x:f>'SALDOS POR NOTA'!E9</x:f>
        <x:v>36995.019999999997</x:v>
      </x:c>
      <x:c r="G9" s="66">
        <x:f>'SALDOS POR NOTA'!F9</x:f>
        <x:v>19417.650000000001</x:v>
      </x:c>
      <x:c r="H9" s="66">
        <x:f>'SALDOS POR NOTA'!G9</x:f>
        <x:v>156624.35</x:v>
      </x:c>
      <x:c r="I9" s="66">
        <x:f>'SALDOS POR NOTA'!H9</x:f>
        <x:v>5557.5</x:v>
      </x:c>
      <x:c r="J9" s="66">
        <x:v>0</x:v>
      </x:c>
      <x:c r="K9" s="30">
        <x:f>D9-E9-F9-G9-H9-I9-J9</x:f>
        <x:v>689574.72</x:v>
      </x:c>
      <x:c r="L9" s="37">
        <x:v>0</x:v>
      </x:c>
      <x:c r="M9" s="30">
        <x:f>K9-L9</x:f>
        <x:v>689574.72</x:v>
      </x:c>
      <x:c r="N9" s="37">
        <x:f>'SALDOS POR NOTA'!I9</x:f>
        <x:v>0</x:v>
      </x:c>
      <x:c r="O9" s="30">
        <x:f>M9+N9</x:f>
        <x:v>689574.72</x:v>
      </x:c>
      <x:c r="Q9" s="4"/>
      <x:c r="S9" s="14">
        <x:v>1</x:v>
      </x:c>
      <x:c r="T9" s="61" t="s">
        <x:v>10</x:v>
      </x:c>
      <x:c r="U9" s="66">
        <x:f>'SALDOS POR NOTA'!J9</x:f>
        <x:v>52109.79</x:v>
      </x:c>
      <x:c r="V9" s="66">
        <x:f>'SALDOS POR NOTA'!K9</x:f>
        <x:v>47607.03</x:v>
      </x:c>
      <x:c r="W9" s="66">
        <x:f>'SALDOS POR NOTA'!L9</x:f>
        <x:v>225441.17</x:v>
      </x:c>
      <x:c r="X9" s="66">
        <x:f>'SALDOS POR NOTA'!M9</x:f>
        <x:v>178429.31</x:v>
      </x:c>
      <x:c r="Y9" s="66">
        <x:f>'SALDOS POR NOTA'!N9</x:f>
        <x:v>9067.43</x:v>
      </x:c>
      <x:c r="Z9" s="379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176919.99</x:v>
      </x:c>
      <x:c r="AD9" s="66">
        <x:f>'SALDOS POR NOTA'!C10</x:f>
        <x:v>176919.99</x:v>
      </x:c>
      <x:c r="AE9" s="115">
        <x:f>SUM(U9:AC9)</x:f>
        <x:v>689574.72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5">
      <x:c r="B10" s="16">
        <x:v>2</x:v>
      </x:c>
      <x:c r="C10" s="62" t="s">
        <x:v>11</x:v>
      </x:c>
      <x:c r="D10" s="66">
        <x:f>'SALDOS POR NOTA'!C22</x:f>
        <x:v>216025.77</x:v>
      </x:c>
      <x:c r="E10" s="66">
        <x:f>'SALDOS POR NOTA'!D22</x:f>
        <x:v>31897.62</x:v>
      </x:c>
      <x:c r="F10" s="66">
        <x:f>'SALDOS POR NOTA'!E22</x:f>
        <x:v>18572.91</x:v>
      </x:c>
      <x:c r="G10" s="66">
        <x:f>'SALDOS POR NOTA'!F22</x:f>
        <x:v>8867.14</x:v>
      </x:c>
      <x:c r="H10" s="66">
        <x:f>'SALDOS POR NOTA'!G22</x:f>
        <x:v>92959.49</x:v>
      </x:c>
      <x:c r="I10" s="66">
        <x:f>'SALDOS POR NOTA'!H22</x:f>
        <x:v>3883.88</x:v>
      </x:c>
      <x:c r="J10" s="66">
        <x:v>0</x:v>
      </x:c>
      <x:c r="K10" s="31">
        <x:f t="shared" ref="K10:K13" si="0">D10-E10-F10-G10-H10-I10-J10</x:f>
        <x:v>59844.729999999974</x:v>
      </x:c>
      <x:c r="L10" s="38">
        <x:v>0</x:v>
      </x:c>
      <x:c r="M10" s="31">
        <x:f>K10-L10</x:f>
        <x:v>59844.729999999974</x:v>
      </x:c>
      <x:c r="N10" s="37">
        <x:f>'SALDOS POR NOTA'!I22</x:f>
        <x:v>0</x:v>
      </x:c>
      <x:c r="O10" s="31">
        <x:f t="shared" ref="O10:O12" si="1">M10+N10</x:f>
        <x:v>59844.729999999974</x:v>
      </x:c>
      <x:c r="Q10" s="4"/>
      <x:c r="S10" s="16">
        <x:v>2</x:v>
      </x:c>
      <x:c r="T10" s="62" t="s">
        <x:v>11</x:v>
      </x:c>
      <x:c r="U10" s="66">
        <x:f>'SALDOS POR NOTA'!J22</x:f>
        <x:v>61358.09</x:v>
      </x:c>
      <x:c r="V10" s="66">
        <x:f>'SALDOS POR NOTA'!K22</x:f>
        <x:v>33534.01</x:v>
      </x:c>
      <x:c r="W10" s="66">
        <x:f>'SALDOS POR NOTA'!L22</x:f>
        <x:v>127815.87</x:v>
      </x:c>
      <x:c r="X10" s="66">
        <x:f>'SALDOS POR NOTA'!M22</x:f>
        <x:v>64515.32</x:v>
      </x:c>
      <x:c r="Y10" s="66">
        <x:f>'SALDOS POR NOTA'!N22</x:f>
        <x:v>5139.92</x:v>
      </x:c>
      <x:c r="Z10" s="38">
        <x:f>L10*-1</x:f>
        <x:v>0</x:v>
      </x:c>
      <x:c r="AA10" s="382">
        <x:f>'SALDOS POR NOTA'!O22</x:f>
        <x:v>-0.36</x:v>
      </x:c>
      <x:c r="AB10" s="37">
        <x:f>N10</x:f>
        <x:v>0</x:v>
      </x:c>
      <x:c r="AC10" s="66">
        <x:f t="shared" ref="AC10:AC13" si="2">-J10+AD10</x:f>
        <x:v>-232518.12</x:v>
      </x:c>
      <x:c r="AD10" s="66">
        <x:f>'SALDOS POR NOTA'!C23</x:f>
        <x:v>-232518.12</x:v>
      </x:c>
      <x:c r="AE10" s="116">
        <x:f>SUM(U10:AC10)</x:f>
        <x:v>59844.729999999981</x:v>
      </x:c>
      <x:c r="AF10" s="118">
        <x:f>(AE10-O10)</x:f>
        <x:v>7.2759576141834259E-12</x:v>
      </x:c>
      <x:c r="AG10" s="1" t="b">
        <x:f t="shared" ref="AG10:AG14" si="3">AF10=0</x:f>
        <x:v>0</x:v>
      </x:c>
      <x:c r="AH10" s="4"/>
    </x:row>
    <x:row r="11" spans="1:34" x14ac:dyDescent="0.25">
      <x:c r="B11" s="16">
        <x:v>3</x:v>
      </x:c>
      <x:c r="C11" s="62" t="s">
        <x:v>12</x:v>
      </x:c>
      <x:c r="D11" s="66">
        <x:f>'SALDOS POR NOTA'!C34</x:f>
        <x:v>104231.83</x:v>
      </x:c>
      <x:c r="E11" s="66">
        <x:f>'SALDOS POR NOTA'!D34</x:f>
        <x:v>6620.63</x:v>
      </x:c>
      <x:c r="F11" s="66">
        <x:f>'SALDOS POR NOTA'!E34</x:f>
        <x:v>3738.02</x:v>
      </x:c>
      <x:c r="G11" s="66">
        <x:f>'SALDOS POR NOTA'!F34</x:f>
        <x:v>1961.98</x:v>
      </x:c>
      <x:c r="H11" s="66">
        <x:f>'SALDOS POR NOTA'!G34</x:f>
        <x:v>20927.5</x:v>
      </x:c>
      <x:c r="I11" s="66">
        <x:f>'SALDOS POR NOTA'!H34</x:f>
        <x:v>743.08</x:v>
      </x:c>
      <x:c r="J11" s="66">
        <x:v>0</x:v>
      </x:c>
      <x:c r="K11" s="31">
        <x:f t="shared" si="0"/>
        <x:v>70240.62</x:v>
      </x:c>
      <x:c r="L11" s="38">
        <x:v>0</x:v>
      </x:c>
      <x:c r="M11" s="31">
        <x:f>K11-L11</x:f>
        <x:v>70240.62</x:v>
      </x:c>
      <x:c r="N11" s="37">
        <x:f>'SALDOS POR NOTA'!I34</x:f>
        <x:v>0</x:v>
      </x:c>
      <x:c r="O11" s="31">
        <x:f t="shared" si="1"/>
        <x:v>70240.62</x:v>
      </x:c>
      <x:c r="Q11" s="4"/>
      <x:c r="S11" s="16">
        <x:v>3</x:v>
      </x:c>
      <x:c r="T11" s="62" t="s">
        <x:v>12</x:v>
      </x:c>
      <x:c r="U11" s="66">
        <x:f>'SALDOS POR NOTA'!J34</x:f>
        <x:v>6518.28</x:v>
      </x:c>
      <x:c r="V11" s="66">
        <x:f>'SALDOS POR NOTA'!K34</x:f>
        <x:v>6410.86</x:v>
      </x:c>
      <x:c r="W11" s="66">
        <x:f>'SALDOS POR NOTA'!L34</x:f>
        <x:v>30349.1</x:v>
      </x:c>
      <x:c r="X11" s="66">
        <x:f>'SALDOS POR NOTA'!M34</x:f>
        <x:v>15383.1</x:v>
      </x:c>
      <x:c r="Y11" s="66">
        <x:f>'SALDOS POR NOTA'!N34</x:f>
        <x:v>1212.4000000000001</x:v>
      </x:c>
      <x:c r="Z11" s="38">
        <x:f>L11*-1</x:f>
        <x:v>0</x:v>
      </x:c>
      <x:c r="AA11" s="382">
        <x:f>'SALDOS POR NOTA'!O34</x:f>
        <x:v>0</x:v>
      </x:c>
      <x:c r="AB11" s="37">
        <x:f>N11</x:f>
        <x:v>0</x:v>
      </x:c>
      <x:c r="AC11" s="66">
        <x:f t="shared" si="2"/>
        <x:v>10366.879999999999</x:v>
      </x:c>
      <x:c r="AD11" s="66">
        <x:f>'SALDOS POR NOTA'!C35</x:f>
        <x:v>10366.879999999999</x:v>
      </x:c>
      <x:c r="AE11" s="116">
        <x:f>SUM(U11:AC11)</x:f>
        <x:v>70240.62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5">
      <x:c r="B12" s="16">
        <x:v>4</x:v>
      </x:c>
      <x:c r="C12" s="62" t="s">
        <x:v>13</x:v>
      </x:c>
      <x:c r="D12" s="66">
        <x:f>'SALDOS POR NOTA'!C47</x:f>
        <x:v>35954.44</x:v>
      </x:c>
      <x:c r="E12" s="66">
        <x:f>'SALDOS POR NOTA'!D47</x:f>
        <x:v>1890.6</x:v>
      </x:c>
      <x:c r="F12" s="66">
        <x:f>'SALDOS POR NOTA'!E47</x:f>
        <x:v>1067.43</x:v>
      </x:c>
      <x:c r="G12" s="66">
        <x:f>'SALDOS POR NOTA'!F47</x:f>
        <x:v>560.27</x:v>
      </x:c>
      <x:c r="H12" s="66">
        <x:f>'SALDOS POR NOTA'!G47</x:f>
        <x:v>10800.02</x:v>
      </x:c>
      <x:c r="I12" s="66">
        <x:f>'SALDOS POR NOTA'!H47</x:f>
        <x:v>371.66</x:v>
      </x:c>
      <x:c r="J12" s="66">
        <x:v>0</x:v>
      </x:c>
      <x:c r="K12" s="31">
        <x:f t="shared" si="0"/>
        <x:v>21264.460000000003</x:v>
      </x:c>
      <x:c r="L12" s="38">
        <x:v>0</x:v>
      </x:c>
      <x:c r="M12" s="31">
        <x:f>K12-L12</x:f>
        <x:v>21264.460000000003</x:v>
      </x:c>
      <x:c r="N12" s="37">
        <x:f>'SALDOS POR NOTA'!I47</x:f>
        <x:v>0</x:v>
      </x:c>
      <x:c r="O12" s="31">
        <x:f t="shared" si="1"/>
        <x:v>21264.460000000003</x:v>
      </x:c>
      <x:c r="Q12" s="4"/>
      <x:c r="S12" s="16">
        <x:v>4</x:v>
      </x:c>
      <x:c r="T12" s="62" t="s">
        <x:v>13</x:v>
      </x:c>
      <x:c r="U12" s="66">
        <x:f>'SALDOS POR NOTA'!J47</x:f>
        <x:v>3260.18</x:v>
      </x:c>
      <x:c r="V12" s="66">
        <x:f>'SALDOS POR NOTA'!K47</x:f>
        <x:v>3149.08</x:v>
      </x:c>
      <x:c r="W12" s="66">
        <x:f>'SALDOS POR NOTA'!L47</x:f>
        <x:v>15696.81</x:v>
      </x:c>
      <x:c r="X12" s="66">
        <x:f>'SALDOS POR NOTA'!M47</x:f>
        <x:v>5005.76</x:v>
      </x:c>
      <x:c r="Y12" s="66">
        <x:f>'SALDOS POR NOTA'!N47</x:f>
        <x:v>606.39</x:v>
      </x:c>
      <x:c r="Z12" s="38">
        <x:f>L12*-1</x:f>
        <x:v>0</x:v>
      </x:c>
      <x:c r="AA12" s="382">
        <x:f>'SALDOS POR NOTA'!O47</x:f>
        <x:v>0</x:v>
      </x:c>
      <x:c r="AB12" s="37">
        <x:f>N12</x:f>
        <x:v>0</x:v>
      </x:c>
      <x:c r="AC12" s="66">
        <x:f t="shared" si="2"/>
        <x:v>-6453.76</x:v>
      </x:c>
      <x:c r="AD12" s="66">
        <x:f>'SALDOS POR NOTA'!C48</x:f>
        <x:v>-6453.76</x:v>
      </x:c>
      <x:c r="AE12" s="116">
        <x:f>SUM(U12:AC12)</x:f>
        <x:v>21264.46</x:v>
      </x:c>
      <x:c r="AF12" s="118">
        <x:f>(AE12-O12)</x:f>
        <x:v>-3.637978807091713E-12</x:v>
      </x:c>
      <x:c r="AG12" s="1" t="b">
        <x:f t="shared" si="3"/>
        <x:v>0</x:v>
      </x:c>
      <x:c r="AH12" s="4"/>
    </x:row>
    <x:row r="13" spans="1:34" ht="12" thickBot="1" x14ac:dyDescent="0.3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83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35">
      <x:c r="B14" s="21"/>
      <x:c r="C14" s="22" t="s">
        <x:v>2</x:v>
      </x:c>
      <x:c r="D14" s="43">
        <x:f>SUM(D9:D13)</x:f>
        <x:v>1329905.5</x:v>
      </x:c>
      <x:c r="E14" s="43">
        <x:f t="shared" ref="E14:N14" si="4">SUM(E9:E13)</x:f>
        <x:v>105933.07</x:v>
      </x:c>
      <x:c r="F14" s="43">
        <x:f t="shared" si="4"/>
        <x:v>60373.37999999999</x:v>
      </x:c>
      <x:c r="G14" s="43">
        <x:f t="shared" si="4"/>
        <x:v>30807.040000000001</x:v>
      </x:c>
      <x:c r="H14" s="43">
        <x:f t="shared" si="4"/>
        <x:v>281311.36000000004</x:v>
      </x:c>
      <x:c r="I14" s="43">
        <x:f t="shared" si="4"/>
        <x:v>10556.12</x:v>
      </x:c>
      <x:c r="J14" s="43">
        <x:f t="shared" si="4"/>
        <x:v>0</x:v>
      </x:c>
      <x:c r="K14" s="32">
        <x:f t="shared" si="4"/>
        <x:v>840924.52999999991</x:v>
      </x:c>
      <x:c r="L14" s="23">
        <x:f t="shared" si="4"/>
        <x:v>0</x:v>
      </x:c>
      <x:c r="M14" s="76">
        <x:f t="shared" si="4"/>
        <x:v>840924.52999999991</x:v>
      </x:c>
      <x:c r="N14" s="23">
        <x:f t="shared" si="4"/>
        <x:v>0</x:v>
      </x:c>
      <x:c r="O14" s="76">
        <x:f>SUM(O9:O13)</x:f>
        <x:v>840924.52999999991</x:v>
      </x:c>
      <x:c r="P14" s="2"/>
      <x:c r="Q14" s="4"/>
      <x:c r="S14" s="21"/>
      <x:c r="T14" s="22" t="s">
        <x:v>2</x:v>
      </x:c>
      <x:c r="U14" s="43">
        <x:f>SUM(U9:U13)</x:f>
        <x:v>123246.34</x:v>
      </x:c>
      <x:c r="V14" s="43">
        <x:f t="shared" ref="V14:AB14" si="5">SUM(V9:V13)</x:f>
        <x:v>90700.98000000001</x:v>
      </x:c>
      <x:c r="W14" s="43">
        <x:f t="shared" si="5"/>
        <x:v>399302.95</x:v>
      </x:c>
      <x:c r="X14" s="43">
        <x:f t="shared" si="5"/>
        <x:v>263333.49</x:v>
      </x:c>
      <x:c r="Y14" s="43">
        <x:f t="shared" si="5"/>
        <x:v>16026.14</x:v>
      </x:c>
      <x:c r="Z14" s="43">
        <x:f t="shared" si="5"/>
        <x:v>0</x:v>
      </x:c>
      <x:c r="AA14" s="381">
        <x:f>SUM(AA9:AA13)</x:f>
        <x:v>-0.36</x:v>
      </x:c>
      <x:c r="AB14" s="43">
        <x:f t="shared" si="5"/>
        <x:v>0</x:v>
      </x:c>
      <x:c r="AC14" s="43">
        <x:f>SUM(AC9:AC13)</x:f>
        <x:v>-51685.010000000009</x:v>
      </x:c>
      <x:c r="AD14" s="43">
        <x:f>SUM(AD9:AD13)</x:f>
        <x:v>-51685.010000000009</x:v>
      </x:c>
      <x:c r="AE14" s="68">
        <x:f>SUM(AE9:AE13)</x:f>
        <x:v>840924.52999999991</x:v>
      </x:c>
      <x:c r="AF14" s="120">
        <x:f>SUM(AF9:AF13)</x:f>
        <x:v>3.637978807091713E-12</x:v>
      </x:c>
      <x:c r="AG14" s="1" t="b">
        <x:f t="shared" si="3"/>
        <x:v>0</x:v>
      </x:c>
      <x:c r="AH14" s="4"/>
    </x:row>
    <x:row r="15" spans="1:34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892609.9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3">
      <x:c r="Q20" s="4"/>
      <x:c r="AH20" s="4"/>
    </x:row>
    <x:row r="21" spans="1:34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5" x14ac:dyDescent="0.3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" thickBot="1" x14ac:dyDescent="0.3">
      <x:c r="B32" s="324">
        <x:v>5</x:v>
      </x:c>
      <x:c r="C32" s="325" t="s">
        <x:v>14</x:v>
      </x:c>
      <x:c r="D32" s="296">
        <x:f>'RETRIBUCION NEGATIVA'!C61</x:f>
        <x:v>0</x:v>
      </x:c>
      <x:c r="E32" s="297">
        <x:f>'RETRIBUCION NEGATIVA'!D61</x:f>
        <x:v>0</x:v>
      </x:c>
      <x:c r="F32" s="297">
        <x:f>'RETRIBUCION NEGATIVA'!E61</x:f>
        <x:v>0</x:v>
      </x:c>
      <x:c r="G32" s="297">
        <x:f>'RETRIBUCION NEGATIVA'!F61</x:f>
        <x:v>0</x:v>
      </x:c>
      <x:c r="H32" s="297">
        <x:f>'RETRIBUCION NEGATIVA'!G61</x:f>
        <x:v>0</x:v>
      </x:c>
      <x:c r="I32" s="297">
        <x:f>'RETRIBUCION NEGATIVA'!H61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NEGATIVA'!I61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NEGATIVA'!J61</x:f>
        <x:v>0</x:v>
      </x:c>
      <x:c r="V32" s="296">
        <x:f>'RETRIBUCION NEGATIVA'!K61</x:f>
        <x:v>0</x:v>
      </x:c>
      <x:c r="W32" s="296">
        <x:f>'RETRIBUCION NEGATIVA'!L61</x:f>
        <x:v>0</x:v>
      </x:c>
      <x:c r="X32" s="296">
        <x:f>'RETRIBUCION NEGATIVA'!M61</x:f>
        <x:v>0</x:v>
      </x:c>
      <x:c r="Y32" s="296">
        <x:f>'RETRIBUCION NEGATIVA'!N61</x:f>
        <x:v>0</x:v>
      </x:c>
      <x:c r="Z32" s="319">
        <x:f>L32*-1</x:f>
        <x:v>0</x:v>
      </x:c>
      <x:c r="AA32" s="320">
        <x:f>'RETRIBUCION NEGATIVA'!O61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NEGATIVA'!C62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3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267</x:v>
      </x:c>
      <x:c r="M35" s="640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3">
      <x:c r="Q39" s="4"/>
      <x:c r="AH39" s="4"/>
    </x:row>
    <x:row r="40" spans="1:34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5" x14ac:dyDescent="0.3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5">
      <x:c r="B47" s="14">
        <x:v>1</x:v>
      </x:c>
      <x:c r="C47" s="61" t="s">
        <x:v>10</x:v>
      </x:c>
      <x:c r="D47" s="66">
        <x:f>D9+D28</x:f>
        <x:v>973693.46</x:v>
      </x:c>
      <x:c r="E47" s="66">
        <x:f t="shared" ref="E47:F47" si="13">E9+E28</x:f>
        <x:v>65524.22</x:v>
      </x:c>
      <x:c r="F47" s="66">
        <x:f t="shared" si="13"/>
        <x:v>36995.019999999997</x:v>
      </x:c>
      <x:c r="G47" s="66">
        <x:f t="shared" ref="G47" si="14">G9+G28</x:f>
        <x:v>19417.650000000001</x:v>
      </x:c>
      <x:c r="H47" s="66">
        <x:f t="shared" ref="H47:J51" si="15">H9+H28</x:f>
        <x:v>156624.35</x:v>
      </x:c>
      <x:c r="I47" s="66">
        <x:f t="shared" si="15"/>
        <x:v>5557.5</x:v>
      </x:c>
      <x:c r="J47" s="66">
        <x:f>J9+J28</x:f>
        <x:v>0</x:v>
      </x:c>
      <x:c r="K47" s="30">
        <x:f>D47-E47-F47-G47-H47-I47-J47</x:f>
        <x:v>689574.72</x:v>
      </x:c>
      <x:c r="L47" s="37">
        <x:v>0</x:v>
      </x:c>
      <x:c r="M47" s="30">
        <x:f>K47-L47</x:f>
        <x:v>689574.72</x:v>
      </x:c>
      <x:c r="N47" s="66">
        <x:f>N9+N28</x:f>
        <x:v>0</x:v>
      </x:c>
      <x:c r="O47" s="30">
        <x:f>M47+N47</x:f>
        <x:v>689574.72</x:v>
      </x:c>
      <x:c r="Q47" s="4"/>
      <x:c r="S47" s="14">
        <x:v>1</x:v>
      </x:c>
      <x:c r="T47" s="61" t="s">
        <x:v>10</x:v>
      </x:c>
      <x:c r="U47" s="140">
        <x:f t="shared" ref="U47:Y51" si="16">U9+U28</x:f>
        <x:v>52109.79</x:v>
      </x:c>
      <x:c r="V47" s="140">
        <x:f t="shared" si="16"/>
        <x:v>47607.03</x:v>
      </x:c>
      <x:c r="W47" s="140">
        <x:f t="shared" si="16"/>
        <x:v>225441.17</x:v>
      </x:c>
      <x:c r="X47" s="140">
        <x:f t="shared" si="16"/>
        <x:v>178429.31</x:v>
      </x:c>
      <x:c r="Y47" s="140">
        <x:f t="shared" si="16"/>
        <x:v>9067.43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176919.99</x:v>
      </x:c>
      <x:c r="AD47" s="75">
        <x:f t="shared" si="17"/>
        <x:v>176919.99</x:v>
      </x:c>
      <x:c r="AE47" s="69">
        <x:f>SUM(U47:AC47)</x:f>
        <x:v>689574.72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5">
      <x:c r="B48" s="16">
        <x:v>2</x:v>
      </x:c>
      <x:c r="C48" s="62" t="s">
        <x:v>11</x:v>
      </x:c>
      <x:c r="D48" s="66">
        <x:f t="shared" ref="D48:F51" si="18">D10+D29</x:f>
        <x:v>216025.77</x:v>
      </x:c>
      <x:c r="E48" s="66">
        <x:f t="shared" si="18"/>
        <x:v>31897.62</x:v>
      </x:c>
      <x:c r="F48" s="66">
        <x:f t="shared" si="18"/>
        <x:v>18572.91</x:v>
      </x:c>
      <x:c r="G48" s="66">
        <x:f t="shared" ref="G48" si="19">G10+G29</x:f>
        <x:v>8867.14</x:v>
      </x:c>
      <x:c r="H48" s="66">
        <x:f t="shared" si="15"/>
        <x:v>92959.49</x:v>
      </x:c>
      <x:c r="I48" s="66">
        <x:f t="shared" si="15"/>
        <x:v>3883.88</x:v>
      </x:c>
      <x:c r="J48" s="66">
        <x:f t="shared" si="15"/>
        <x:v>0</x:v>
      </x:c>
      <x:c r="K48" s="31">
        <x:f>D48-E48-F48-G48-H48-I48-J48</x:f>
        <x:v>59844.729999999974</x:v>
      </x:c>
      <x:c r="L48" s="38">
        <x:v>0</x:v>
      </x:c>
      <x:c r="M48" s="31">
        <x:f>K48-L48</x:f>
        <x:v>59844.729999999974</x:v>
      </x:c>
      <x:c r="N48" s="66">
        <x:f>N10+N29</x:f>
        <x:v>0</x:v>
      </x:c>
      <x:c r="O48" s="31">
        <x:f t="shared" ref="O48:O51" si="20">M48+N48</x:f>
        <x:v>59844.729999999974</x:v>
      </x:c>
      <x:c r="Q48" s="4"/>
      <x:c r="S48" s="16">
        <x:v>2</x:v>
      </x:c>
      <x:c r="T48" s="62" t="s">
        <x:v>11</x:v>
      </x:c>
      <x:c r="U48" s="82">
        <x:f t="shared" si="16"/>
        <x:v>61358.09</x:v>
      </x:c>
      <x:c r="V48" s="82">
        <x:f t="shared" si="16"/>
        <x:v>33534.01</x:v>
      </x:c>
      <x:c r="W48" s="82">
        <x:f t="shared" si="16"/>
        <x:v>127815.87</x:v>
      </x:c>
      <x:c r="X48" s="82">
        <x:f t="shared" si="16"/>
        <x:v>64515.32</x:v>
      </x:c>
      <x:c r="Y48" s="82">
        <x:f t="shared" si="16"/>
        <x:v>5139.92</x:v>
      </x:c>
      <x:c r="Z48" s="88">
        <x:f>-L48</x:f>
        <x:v>0</x:v>
      </x:c>
      <x:c r="AA48" s="67">
        <x:f>AA10+AA29</x:f>
        <x:v>-0.36</x:v>
      </x:c>
      <x:c r="AB48" s="67">
        <x:f>AB10+AB29</x:f>
        <x:v>0</x:v>
      </x:c>
      <x:c r="AC48" s="67">
        <x:f t="shared" si="17"/>
        <x:v>-232518.12</x:v>
      </x:c>
      <x:c r="AD48" s="67">
        <x:f t="shared" si="17"/>
        <x:v>-232518.12</x:v>
      </x:c>
      <x:c r="AE48" s="70">
        <x:f>SUM(U48:AC48)</x:f>
        <x:v>59844.729999999981</x:v>
      </x:c>
      <x:c r="AF48" s="118">
        <x:f>(AE48-O48)</x:f>
        <x:v>7.2759576141834259E-12</x:v>
      </x:c>
      <x:c r="AG48" s="1" t="b">
        <x:f t="shared" ref="AG48:AG52" si="21">AF48=0</x:f>
        <x:v>0</x:v>
      </x:c>
      <x:c r="AH48" s="4"/>
    </x:row>
    <x:row r="49" spans="1:34" x14ac:dyDescent="0.25">
      <x:c r="B49" s="16">
        <x:v>3</x:v>
      </x:c>
      <x:c r="C49" s="62" t="s">
        <x:v>12</x:v>
      </x:c>
      <x:c r="D49" s="66">
        <x:f t="shared" si="18"/>
        <x:v>104231.83</x:v>
      </x:c>
      <x:c r="E49" s="66">
        <x:f t="shared" si="18"/>
        <x:v>6620.63</x:v>
      </x:c>
      <x:c r="F49" s="66">
        <x:f t="shared" si="18"/>
        <x:v>3738.02</x:v>
      </x:c>
      <x:c r="G49" s="66">
        <x:f t="shared" ref="G49" si="22">G11+G30</x:f>
        <x:v>1961.98</x:v>
      </x:c>
      <x:c r="H49" s="66">
        <x:f t="shared" si="15"/>
        <x:v>20927.5</x:v>
      </x:c>
      <x:c r="I49" s="66">
        <x:f t="shared" si="15"/>
        <x:v>743.08</x:v>
      </x:c>
      <x:c r="J49" s="66">
        <x:f t="shared" si="15"/>
        <x:v>0</x:v>
      </x:c>
      <x:c r="K49" s="31">
        <x:f t="shared" ref="K49:K51" si="23">D49-E49-F49-G49-H49-I49-J49</x:f>
        <x:v>70240.62</x:v>
      </x:c>
      <x:c r="L49" s="38">
        <x:v>0</x:v>
      </x:c>
      <x:c r="M49" s="31">
        <x:f>K49-L49</x:f>
        <x:v>70240.62</x:v>
      </x:c>
      <x:c r="N49" s="66">
        <x:f>N11+N30</x:f>
        <x:v>0</x:v>
      </x:c>
      <x:c r="O49" s="31">
        <x:f t="shared" si="20"/>
        <x:v>70240.62</x:v>
      </x:c>
      <x:c r="Q49" s="4"/>
      <x:c r="S49" s="16">
        <x:v>3</x:v>
      </x:c>
      <x:c r="T49" s="62" t="s">
        <x:v>12</x:v>
      </x:c>
      <x:c r="U49" s="82">
        <x:f t="shared" si="16"/>
        <x:v>6518.28</x:v>
      </x:c>
      <x:c r="V49" s="82">
        <x:f t="shared" si="16"/>
        <x:v>6410.86</x:v>
      </x:c>
      <x:c r="W49" s="82">
        <x:f t="shared" si="16"/>
        <x:v>30349.1</x:v>
      </x:c>
      <x:c r="X49" s="82">
        <x:f t="shared" si="16"/>
        <x:v>15383.1</x:v>
      </x:c>
      <x:c r="Y49" s="82">
        <x:f t="shared" si="16"/>
        <x:v>1212.4000000000001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10366.879999999999</x:v>
      </x:c>
      <x:c r="AD49" s="67">
        <x:f t="shared" si="17"/>
        <x:v>10366.879999999999</x:v>
      </x:c>
      <x:c r="AE49" s="70">
        <x:f t="shared" ref="AE49:AE51" si="24">SUM(U49:AC49)</x:f>
        <x:v>70240.62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5">
      <x:c r="B50" s="16">
        <x:v>4</x:v>
      </x:c>
      <x:c r="C50" s="62" t="s">
        <x:v>13</x:v>
      </x:c>
      <x:c r="D50" s="66">
        <x:f t="shared" si="18"/>
        <x:v>35954.44</x:v>
      </x:c>
      <x:c r="E50" s="66">
        <x:f t="shared" si="18"/>
        <x:v>1890.6</x:v>
      </x:c>
      <x:c r="F50" s="66">
        <x:f t="shared" si="18"/>
        <x:v>1067.43</x:v>
      </x:c>
      <x:c r="G50" s="66">
        <x:f t="shared" ref="G50" si="25">G12+G31</x:f>
        <x:v>560.27</x:v>
      </x:c>
      <x:c r="H50" s="66">
        <x:f t="shared" si="15"/>
        <x:v>10800.02</x:v>
      </x:c>
      <x:c r="I50" s="66">
        <x:f t="shared" si="15"/>
        <x:v>371.66</x:v>
      </x:c>
      <x:c r="J50" s="66">
        <x:f t="shared" si="15"/>
        <x:v>0</x:v>
      </x:c>
      <x:c r="K50" s="31">
        <x:f t="shared" si="23"/>
        <x:v>21264.460000000003</x:v>
      </x:c>
      <x:c r="L50" s="38">
        <x:v>0</x:v>
      </x:c>
      <x:c r="M50" s="31">
        <x:f>K50-L50</x:f>
        <x:v>21264.460000000003</x:v>
      </x:c>
      <x:c r="N50" s="66">
        <x:f>N12+N31</x:f>
        <x:v>0</x:v>
      </x:c>
      <x:c r="O50" s="31">
        <x:f t="shared" si="20"/>
        <x:v>21264.460000000003</x:v>
      </x:c>
      <x:c r="Q50" s="4"/>
      <x:c r="S50" s="16">
        <x:v>4</x:v>
      </x:c>
      <x:c r="T50" s="62" t="s">
        <x:v>13</x:v>
      </x:c>
      <x:c r="U50" s="82">
        <x:f t="shared" si="16"/>
        <x:v>3260.18</x:v>
      </x:c>
      <x:c r="V50" s="82">
        <x:f t="shared" si="16"/>
        <x:v>3149.08</x:v>
      </x:c>
      <x:c r="W50" s="82">
        <x:f t="shared" si="16"/>
        <x:v>15696.81</x:v>
      </x:c>
      <x:c r="X50" s="82">
        <x:f t="shared" si="16"/>
        <x:v>5005.76</x:v>
      </x:c>
      <x:c r="Y50" s="82">
        <x:f t="shared" si="16"/>
        <x:v>606.39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-6453.76</x:v>
      </x:c>
      <x:c r="AD50" s="67">
        <x:f t="shared" si="17"/>
        <x:v>-6453.76</x:v>
      </x:c>
      <x:c r="AE50" s="70">
        <x:f t="shared" si="24"/>
        <x:v>21264.46</x:v>
      </x:c>
      <x:c r="AF50" s="118">
        <x:f>(AE50-O50)</x:f>
        <x:v>-3.637978807091713E-12</x:v>
      </x:c>
      <x:c r="AG50" s="1" t="b">
        <x:f t="shared" si="21"/>
        <x:v>0</x:v>
      </x:c>
      <x:c r="AH50" s="4"/>
    </x:row>
    <x:row r="51" spans="1:34" ht="12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35">
      <x:c r="B52" s="21"/>
      <x:c r="C52" s="22" t="s">
        <x:v>2</x:v>
      </x:c>
      <x:c r="D52" s="43">
        <x:f t="shared" ref="D52:O52" si="27">SUM(D47:D51)</x:f>
        <x:v>1329905.5</x:v>
      </x:c>
      <x:c r="E52" s="43">
        <x:f t="shared" si="27"/>
        <x:v>105933.07</x:v>
      </x:c>
      <x:c r="F52" s="43">
        <x:f t="shared" si="27"/>
        <x:v>60373.37999999999</x:v>
      </x:c>
      <x:c r="G52" s="43">
        <x:f t="shared" si="27"/>
        <x:v>30807.040000000001</x:v>
      </x:c>
      <x:c r="H52" s="43">
        <x:f t="shared" si="27"/>
        <x:v>281311.36000000004</x:v>
      </x:c>
      <x:c r="I52" s="43">
        <x:f t="shared" si="27"/>
        <x:v>10556.12</x:v>
      </x:c>
      <x:c r="J52" s="43">
        <x:f t="shared" si="27"/>
        <x:v>0</x:v>
      </x:c>
      <x:c r="K52" s="32">
        <x:f t="shared" si="27"/>
        <x:v>840924.52999999991</x:v>
      </x:c>
      <x:c r="L52" s="23">
        <x:f t="shared" si="27"/>
        <x:v>0</x:v>
      </x:c>
      <x:c r="M52" s="76">
        <x:f t="shared" si="27"/>
        <x:v>840924.52999999991</x:v>
      </x:c>
      <x:c r="N52" s="23">
        <x:f t="shared" si="27"/>
        <x:v>0</x:v>
      </x:c>
      <x:c r="O52" s="76">
        <x:f t="shared" si="27"/>
        <x:v>840924.52999999991</x:v>
      </x:c>
      <x:c r="P52" s="2"/>
      <x:c r="Q52" s="4"/>
      <x:c r="S52" s="21"/>
      <x:c r="T52" s="22" t="s">
        <x:v>2</x:v>
      </x:c>
      <x:c r="U52" s="43">
        <x:f>SUM(U47:U51)</x:f>
        <x:v>123246.34</x:v>
      </x:c>
      <x:c r="V52" s="43">
        <x:f t="shared" ref="V52:AE52" si="28">SUM(V47:V51)</x:f>
        <x:v>90700.98000000001</x:v>
      </x:c>
      <x:c r="W52" s="43">
        <x:f t="shared" si="28"/>
        <x:v>399302.95</x:v>
      </x:c>
      <x:c r="X52" s="43">
        <x:f t="shared" si="28"/>
        <x:v>263333.49</x:v>
      </x:c>
      <x:c r="Y52" s="43">
        <x:f t="shared" si="28"/>
        <x:v>16026.14</x:v>
      </x:c>
      <x:c r="Z52" s="43">
        <x:f t="shared" si="28"/>
        <x:v>0</x:v>
      </x:c>
      <x:c r="AA52" s="43">
        <x:f>SUM(AA47:AA51)</x:f>
        <x:v>-0.36</x:v>
      </x:c>
      <x:c r="AB52" s="43">
        <x:f t="shared" si="28"/>
        <x:v>0</x:v>
      </x:c>
      <x:c r="AC52" s="43">
        <x:f>SUM(AC47:AC51)</x:f>
        <x:v>-51685.010000000009</x:v>
      </x:c>
      <x:c r="AD52" s="43">
        <x:f>SUM(AD47:AD51)</x:f>
        <x:v>-51685.010000000009</x:v>
      </x:c>
      <x:c r="AE52" s="68">
        <x:f t="shared" si="28"/>
        <x:v>840924.52999999991</x:v>
      </x:c>
      <x:c r="AF52" s="120">
        <x:f>SUM(AF47:AF51)</x:f>
        <x:v>3.637978807091713E-12</x:v>
      </x:c>
      <x:c r="AG52" s="1" t="b">
        <x:f t="shared" si="21"/>
        <x:v>0</x:v>
      </x:c>
      <x:c r="AH52" s="4"/>
    </x:row>
    <x:row r="53" spans="1:34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892609.9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5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A8" zoomScaleNormal="100" workbookViewId="0">
      <x:selection activeCell="F16" sqref="F16"/>
    </x:sheetView>
  </x:sheetViews>
  <x:sheetFormatPr baseColWidth="10" defaultRowHeight="13" x14ac:dyDescent="0.3"/>
  <x:cols>
    <x:col min="1" max="1" width="2.81640625" customWidth="1"/>
    <x:col min="2" max="2" width="17.453125" bestFit="1" customWidth="1"/>
    <x:col min="3" max="3" width="4.81640625" style="151" bestFit="1" customWidth="1"/>
    <x:col min="4" max="4" width="42.81640625" style="151" bestFit="1" customWidth="1"/>
    <x:col min="5" max="5" width="9" customWidth="1"/>
    <x:col min="6" max="6" width="15.81640625" customWidth="1"/>
    <x:col min="7" max="7" width="17.453125" bestFit="1" customWidth="1"/>
    <x:col min="8" max="8" width="14.1796875" customWidth="1"/>
    <x:col min="9" max="9" width="16.1796875" bestFit="1" customWidth="1"/>
    <x:col min="10" max="10" width="16.81640625" customWidth="1"/>
    <x:col min="11" max="11" width="17.54296875" customWidth="1"/>
    <x:col min="12" max="12" width="15.54296875" bestFit="1" customWidth="1"/>
    <x:col min="13" max="13" width="15.81640625" bestFit="1" customWidth="1"/>
    <x:col min="14" max="14" width="17" customWidth="1"/>
    <x:col min="15" max="15" width="17.81640625" customWidth="1"/>
    <x:col min="16" max="16" width="16.81640625" customWidth="1"/>
    <x:col min="17" max="17" width="18" customWidth="1"/>
    <x:col min="18" max="18" width="14.1796875" bestFit="1" customWidth="1"/>
    <x:col min="19" max="19" width="15.81640625" bestFit="1" customWidth="1"/>
    <x:col min="20" max="20" width="14.1796875" bestFit="1" customWidth="1"/>
  </x:cols>
  <x:sheetData>
    <x:row r="1" spans="2:19" ht="13.5" thickBot="1" x14ac:dyDescent="0.35"/>
    <x:row r="2" spans="2:19" s="151" customFormat="1" ht="13.5" thickBot="1" x14ac:dyDescent="0.35">
      <x:c r="B2" s="666"/>
      <x:c r="E2" s="151" t="s">
        <x:v>1</x:v>
      </x:c>
      <x:c r="F2" s="581" t="s">
        <x:v>277</x:v>
      </x:c>
      <x:c r="G2" s="582" t="s">
        <x:v>278</x:v>
      </x:c>
      <x:c r="H2" s="583" t="s">
        <x:v>279</x:v>
      </x:c>
      <x:c r="I2" s="583" t="s">
        <x:v>280</x:v>
      </x:c>
      <x:c r="J2" s="583" t="s">
        <x:v>281</x:v>
      </x:c>
      <x:c r="K2" s="582" t="s">
        <x:v>282</x:v>
      </x:c>
      <x:c r="L2" s="582" t="s">
        <x:v>283</x:v>
      </x:c>
      <x:c r="M2" s="583" t="s">
        <x:v>284</x:v>
      </x:c>
      <x:c r="N2" s="583" t="s">
        <x:v>285</x:v>
      </x:c>
      <x:c r="O2" s="583" t="s">
        <x:v>286</x:v>
      </x:c>
      <x:c r="P2" s="762" t="s">
        <x:v>287</x:v>
      </x:c>
      <x:c r="Q2" s="583" t="s">
        <x:v>288</x:v>
      </x:c>
    </x:row>
    <x:row r="3" spans="2:19" s="151" customFormat="1" ht="26.5" thickBot="1" x14ac:dyDescent="0.35">
      <x:c r="B3" s="667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289</x:v>
      </x:c>
      <x:c r="G3" s="585" t="s">
        <x:v>290</x:v>
      </x:c>
      <x:c r="H3" s="586" t="s">
        <x:v>291</x:v>
      </x:c>
      <x:c r="I3" s="587" t="s">
        <x:v>292</x:v>
      </x:c>
      <x:c r="J3" s="584" t="s">
        <x:v>293</x:v>
      </x:c>
      <x:c r="K3" s="585" t="s">
        <x:v>294</x:v>
      </x:c>
      <x:c r="L3" s="586" t="s">
        <x:v>295</x:v>
      </x:c>
      <x:c r="M3" s="587" t="s">
        <x:v>296</x:v>
      </x:c>
      <x:c r="N3" s="584" t="s">
        <x:v>297</x:v>
      </x:c>
      <x:c r="O3" s="585" t="s">
        <x:v>298</x:v>
      </x:c>
      <x:c r="P3" s="586" t="s">
        <x:v>299</x:v>
      </x:c>
      <x:c r="Q3" s="587" t="s">
        <x:v>300</x:v>
      </x:c>
    </x:row>
    <x:row r="4" spans="2:19" s="151" customFormat="1" x14ac:dyDescent="0.3">
      <x:c r="B4" s="668">
        <x:v>378371975</x:v>
      </x:c>
      <x:c r="C4" s="561">
        <x:v>1</x:v>
      </x:c>
      <x:c r="D4" s="161" t="s">
        <x:v>10</x:v>
      </x:c>
      <x:c r="E4" s="669">
        <x:v>0.22</x:v>
      </x:c>
      <x:c r="F4" s="670">
        <x:v>189185988</x:v>
      </x:c>
      <x:c r="G4" s="671">
        <x:v>189185987</x:v>
      </x:c>
      <x:c r="H4" s="672">
        <x:v>189185988</x:v>
      </x:c>
      <x:c r="I4" s="673">
        <x:v>189185987</x:v>
      </x:c>
      <x:c r="J4" s="670">
        <x:v>189185988</x:v>
      </x:c>
      <x:c r="K4" s="671">
        <x:v>189185987</x:v>
      </x:c>
      <x:c r="L4" s="672">
        <x:v>189185988</x:v>
      </x:c>
      <x:c r="M4" s="673">
        <x:v>189185987</x:v>
      </x:c>
      <x:c r="N4" s="670">
        <x:v>189185988</x:v>
      </x:c>
      <x:c r="O4" s="671">
        <x:v>189185987</x:v>
      </x:c>
      <x:c r="P4" s="672">
        <x:v>189185988</x:v>
      </x:c>
      <x:c r="Q4" s="673">
        <x:v>189185987</x:v>
      </x:c>
      <x:c r="S4" s="763"/>
    </x:row>
    <x:row r="5" spans="2:19" s="151" customFormat="1" x14ac:dyDescent="0.3">
      <x:c r="B5" s="668">
        <x:v>533160511</x:v>
      </x:c>
      <x:c r="C5" s="562">
        <x:v>2</x:v>
      </x:c>
      <x:c r="D5" s="156" t="s">
        <x:v>11</x:v>
      </x:c>
      <x:c r="E5" s="674">
        <x:v>0.31</x:v>
      </x:c>
      <x:c r="F5" s="675">
        <x:v>266580256</x:v>
      </x:c>
      <x:c r="G5" s="676">
        <x:v>266580255</x:v>
      </x:c>
      <x:c r="H5" s="677">
        <x:v>266580256</x:v>
      </x:c>
      <x:c r="I5" s="673">
        <x:v>266580255</x:v>
      </x:c>
      <x:c r="J5" s="675">
        <x:v>266580256</x:v>
      </x:c>
      <x:c r="K5" s="676">
        <x:v>266580255</x:v>
      </x:c>
      <x:c r="L5" s="677">
        <x:v>266580256</x:v>
      </x:c>
      <x:c r="M5" s="673">
        <x:v>266580255</x:v>
      </x:c>
      <x:c r="N5" s="675">
        <x:v>266580256</x:v>
      </x:c>
      <x:c r="O5" s="676">
        <x:v>266580255</x:v>
      </x:c>
      <x:c r="P5" s="677">
        <x:v>266580256</x:v>
      </x:c>
      <x:c r="Q5" s="673">
        <x:v>266580255</x:v>
      </x:c>
      <x:c r="S5" s="763"/>
    </x:row>
    <x:row r="6" spans="2:19" s="151" customFormat="1" x14ac:dyDescent="0.3">
      <x:c r="B6" s="668">
        <x:v>309577071</x:v>
      </x:c>
      <x:c r="C6" s="562">
        <x:v>3</x:v>
      </x:c>
      <x:c r="D6" s="156" t="s">
        <x:v>12</x:v>
      </x:c>
      <x:c r="E6" s="674">
        <x:v>0.18</x:v>
      </x:c>
      <x:c r="F6" s="675">
        <x:v>154788536</x:v>
      </x:c>
      <x:c r="G6" s="676">
        <x:v>154788535</x:v>
      </x:c>
      <x:c r="H6" s="677">
        <x:v>154788536</x:v>
      </x:c>
      <x:c r="I6" s="673">
        <x:v>154788535</x:v>
      </x:c>
      <x:c r="J6" s="675">
        <x:v>154788536</x:v>
      </x:c>
      <x:c r="K6" s="676">
        <x:v>154788535</x:v>
      </x:c>
      <x:c r="L6" s="677">
        <x:v>154788536</x:v>
      </x:c>
      <x:c r="M6" s="673">
        <x:v>154788535</x:v>
      </x:c>
      <x:c r="N6" s="675">
        <x:v>154788536</x:v>
      </x:c>
      <x:c r="O6" s="676">
        <x:v>154788535</x:v>
      </x:c>
      <x:c r="P6" s="677">
        <x:v>154788536</x:v>
      </x:c>
      <x:c r="Q6" s="673">
        <x:v>154788535</x:v>
      </x:c>
      <x:c r="S6" s="763"/>
    </x:row>
    <x:row r="7" spans="2:19" s="151" customFormat="1" x14ac:dyDescent="0.3">
      <x:c r="B7" s="668">
        <x:v>240782166</x:v>
      </x:c>
      <x:c r="C7" s="562">
        <x:v>4</x:v>
      </x:c>
      <x:c r="D7" s="156" t="s">
        <x:v>13</x:v>
      </x:c>
      <x:c r="E7" s="674">
        <x:v>0.14000000000000001</x:v>
      </x:c>
      <x:c r="F7" s="675">
        <x:v>120391083</x:v>
      </x:c>
      <x:c r="G7" s="676">
        <x:v>120391083</x:v>
      </x:c>
      <x:c r="H7" s="677">
        <x:v>120391083</x:v>
      </x:c>
      <x:c r="I7" s="673">
        <x:v>120391083</x:v>
      </x:c>
      <x:c r="J7" s="675">
        <x:v>120391083</x:v>
      </x:c>
      <x:c r="K7" s="676">
        <x:v>120391083</x:v>
      </x:c>
      <x:c r="L7" s="677">
        <x:v>120391083</x:v>
      </x:c>
      <x:c r="M7" s="673">
        <x:v>120391083</x:v>
      </x:c>
      <x:c r="N7" s="675">
        <x:v>120391083</x:v>
      </x:c>
      <x:c r="O7" s="676">
        <x:v>120391083</x:v>
      </x:c>
      <x:c r="P7" s="677">
        <x:v>120391083</x:v>
      </x:c>
      <x:c r="Q7" s="673">
        <x:v>120391083</x:v>
      </x:c>
      <x:c r="S7" s="763"/>
    </x:row>
    <x:row r="8" spans="2:19" s="151" customFormat="1" ht="13.5" thickBot="1" x14ac:dyDescent="0.35">
      <x:c r="B8" s="668">
        <x:v>257980891</x:v>
      </x:c>
      <x:c r="C8" s="563">
        <x:v>5</x:v>
      </x:c>
      <x:c r="D8" s="158" t="s">
        <x:v>14</x:v>
      </x:c>
      <x:c r="E8" s="678">
        <x:v>0.15</x:v>
      </x:c>
      <x:c r="F8" s="679">
        <x:v>128990446</x:v>
      </x:c>
      <x:c r="G8" s="680">
        <x:v>128990445</x:v>
      </x:c>
      <x:c r="H8" s="681">
        <x:v>128990446</x:v>
      </x:c>
      <x:c r="I8" s="682">
        <x:v>128990445</x:v>
      </x:c>
      <x:c r="J8" s="679">
        <x:v>128990446</x:v>
      </x:c>
      <x:c r="K8" s="680">
        <x:v>128990445</x:v>
      </x:c>
      <x:c r="L8" s="681">
        <x:v>128990446</x:v>
      </x:c>
      <x:c r="M8" s="682">
        <x:v>128990445</x:v>
      </x:c>
      <x:c r="N8" s="679">
        <x:v>128990446</x:v>
      </x:c>
      <x:c r="O8" s="680">
        <x:v>128990445</x:v>
      </x:c>
      <x:c r="P8" s="681">
        <x:v>128990446</x:v>
      </x:c>
      <x:c r="Q8" s="682">
        <x:v>128990445</x:v>
      </x:c>
      <x:c r="S8" s="763"/>
    </x:row>
    <x:row r="9" spans="2:19" s="151" customFormat="1" ht="13.5" thickBot="1" x14ac:dyDescent="0.35">
      <x:c r="B9" s="683">
        <x:v>1719872614</x:v>
      </x:c>
      <x:c r="C9" s="159"/>
      <x:c r="D9" s="160" t="s">
        <x:v>2</x:v>
      </x:c>
      <x:c r="E9" s="564">
        <x:v>1</x:v>
      </x:c>
      <x:c r="F9" s="684">
        <x:v>859936309</x:v>
      </x:c>
      <x:c r="G9" s="684">
        <x:v>859936305</x:v>
      </x:c>
      <x:c r="H9" s="685">
        <x:v>859936309</x:v>
      </x:c>
      <x:c r="I9" s="685">
        <x:v>859936305</x:v>
      </x:c>
      <x:c r="J9" s="684">
        <x:v>859936309</x:v>
      </x:c>
      <x:c r="K9" s="684">
        <x:v>859936305</x:v>
      </x:c>
      <x:c r="L9" s="685">
        <x:v>859936309</x:v>
      </x:c>
      <x:c r="M9" s="685">
        <x:v>859936305</x:v>
      </x:c>
      <x:c r="N9" s="684">
        <x:v>859936309</x:v>
      </x:c>
      <x:c r="O9" s="684">
        <x:v>859936305</x:v>
      </x:c>
      <x:c r="P9" s="685">
        <x:v>859936309</x:v>
      </x:c>
      <x:c r="Q9" s="685">
        <x:v>859936305</x:v>
      </x:c>
      <x:c r="S9" s="763"/>
    </x:row>
    <x:row r="10" spans="2:19" s="151" customFormat="1" ht="15.75" customHeight="1" thickBot="1" x14ac:dyDescent="0.35">
      <x:c r="B10" s="666"/>
      <x:c r="F10" s="779">
        <x:f>SUM(F9:G9)</x:f>
        <x:v>1719872614</x:v>
      </x:c>
      <x:c r="G10" s="780"/>
      <x:c r="H10" s="779">
        <x:f>SUM(H9:I9)</x:f>
        <x:v>1719872614</x:v>
      </x:c>
      <x:c r="I10" s="780"/>
      <x:c r="J10" s="779">
        <x:f>SUM(J9:K9)</x:f>
        <x:v>1719872614</x:v>
      </x:c>
      <x:c r="K10" s="780"/>
      <x:c r="L10" s="779">
        <x:f>SUM(L9:M9)</x:f>
        <x:v>1719872614</x:v>
      </x:c>
      <x:c r="M10" s="780"/>
      <x:c r="N10" s="779">
        <x:f>SUM(N9:O9)</x:f>
        <x:v>1719872614</x:v>
      </x:c>
      <x:c r="O10" s="780"/>
      <x:c r="P10" s="779">
        <x:f>SUM(P9:Q9)</x:f>
        <x:v>1719872614</x:v>
      </x:c>
      <x:c r="Q10" s="780"/>
    </x:row>
    <x:row r="12" spans="2:19" ht="13.5" thickBot="1" x14ac:dyDescent="0.35"/>
    <x:row r="13" spans="2:19" s="151" customFormat="1" ht="13.5" thickBot="1" x14ac:dyDescent="0.35">
      <x:c r="B13" s="666"/>
      <x:c r="E13" s="151" t="s">
        <x:v>1</x:v>
      </x:c>
      <x:c r="F13" s="769" t="s">
        <x:v>301</x:v>
      </x:c>
      <x:c r="G13" s="582" t="s">
        <x:v>302</x:v>
      </x:c>
      <x:c r="H13" s="582" t="s">
        <x:v>303</x:v>
      </x:c>
      <x:c r="I13" s="583" t="s">
        <x:v>304</x:v>
      </x:c>
      <x:c r="J13" s="583" t="s">
        <x:v>305</x:v>
      </x:c>
      <x:c r="K13" s="582" t="s">
        <x:v>306</x:v>
      </x:c>
      <x:c r="L13" s="582" t="s">
        <x:v>307</x:v>
      </x:c>
      <x:c r="M13" s="583" t="s">
        <x:v>308</x:v>
      </x:c>
      <x:c r="N13" s="583" t="s">
        <x:v>309</x:v>
      </x:c>
      <x:c r="O13" s="582" t="s">
        <x:v>310</x:v>
      </x:c>
      <x:c r="P13" s="582" t="s">
        <x:v>311</x:v>
      </x:c>
      <x:c r="Q13" s="583" t="s">
        <x:v>312</x:v>
      </x:c>
    </x:row>
    <x:row r="14" spans="2:19" s="151" customFormat="1" ht="26.5" thickBot="1" x14ac:dyDescent="0.35">
      <x:c r="B14" s="666"/>
      <x:c r="C14" s="152" t="s">
        <x:v>3</x:v>
      </x:c>
      <x:c r="D14" s="153" t="s">
        <x:v>9</x:v>
      </x:c>
      <x:c r="E14" s="560" t="s">
        <x:v>108</x:v>
      </x:c>
      <x:c r="F14" s="584" t="s">
        <x:v>313</x:v>
      </x:c>
      <x:c r="G14" s="585" t="s">
        <x:v>314</x:v>
      </x:c>
      <x:c r="H14" s="586" t="s">
        <x:v>315</x:v>
      </x:c>
      <x:c r="I14" s="587" t="s">
        <x:v>316</x:v>
      </x:c>
      <x:c r="J14" s="584" t="s">
        <x:v>317</x:v>
      </x:c>
      <x:c r="K14" s="585" t="s">
        <x:v>318</x:v>
      </x:c>
      <x:c r="L14" s="586" t="s">
        <x:v>319</x:v>
      </x:c>
      <x:c r="M14" s="587" t="s">
        <x:v>320</x:v>
      </x:c>
      <x:c r="N14" s="584" t="s">
        <x:v>321</x:v>
      </x:c>
      <x:c r="O14" s="585" t="s">
        <x:v>322</x:v>
      </x:c>
      <x:c r="P14" s="586" t="s">
        <x:v>323</x:v>
      </x:c>
      <x:c r="Q14" s="587" t="s">
        <x:v>324</x:v>
      </x:c>
    </x:row>
    <x:row r="15" spans="2:19" s="151" customFormat="1" x14ac:dyDescent="0.3">
      <x:c r="B15" s="666"/>
      <x:c r="C15" s="154">
        <x:v>1</x:v>
      </x:c>
      <x:c r="D15" s="161" t="s">
        <x:v>10</x:v>
      </x:c>
      <x:c r="E15" s="686">
        <x:v>0.22</x:v>
      </x:c>
      <x:c r="F15" s="670">
        <x:v>189185988</x:v>
      </x:c>
      <x:c r="G15" s="671">
        <x:v>189185987</x:v>
      </x:c>
      <x:c r="H15" s="672">
        <x:v>189185988</x:v>
      </x:c>
      <x:c r="I15" s="673">
        <x:v>189185987</x:v>
      </x:c>
      <x:c r="J15" s="670">
        <x:v>189185988</x:v>
      </x:c>
      <x:c r="K15" s="671">
        <x:v>189185987</x:v>
      </x:c>
      <x:c r="L15" s="672">
        <x:v>189185988</x:v>
      </x:c>
      <x:c r="M15" s="673">
        <x:v>189185987</x:v>
      </x:c>
      <x:c r="N15" s="670">
        <x:v>189185988</x:v>
      </x:c>
      <x:c r="O15" s="671">
        <x:v>189185987</x:v>
      </x:c>
      <x:c r="P15" s="672">
        <x:v>189185988</x:v>
      </x:c>
      <x:c r="Q15" s="673">
        <x:v>189185987</x:v>
      </x:c>
    </x:row>
    <x:row r="16" spans="2:19" s="151" customFormat="1" x14ac:dyDescent="0.3">
      <x:c r="B16" s="666"/>
      <x:c r="C16" s="155">
        <x:v>2</x:v>
      </x:c>
      <x:c r="D16" s="156" t="s">
        <x:v>11</x:v>
      </x:c>
      <x:c r="E16" s="687">
        <x:v>0.31</x:v>
      </x:c>
      <x:c r="F16" s="675">
        <x:v>266580256</x:v>
      </x:c>
      <x:c r="G16" s="676">
        <x:v>266580255</x:v>
      </x:c>
      <x:c r="H16" s="677">
        <x:v>266580256</x:v>
      </x:c>
      <x:c r="I16" s="673">
        <x:v>266580255</x:v>
      </x:c>
      <x:c r="J16" s="675">
        <x:v>266580256</x:v>
      </x:c>
      <x:c r="K16" s="676">
        <x:v>266580255</x:v>
      </x:c>
      <x:c r="L16" s="677">
        <x:v>266580256</x:v>
      </x:c>
      <x:c r="M16" s="673">
        <x:v>266580255</x:v>
      </x:c>
      <x:c r="N16" s="675">
        <x:v>266580256</x:v>
      </x:c>
      <x:c r="O16" s="676">
        <x:v>266580255</x:v>
      </x:c>
      <x:c r="P16" s="677">
        <x:v>266580256</x:v>
      </x:c>
      <x:c r="Q16" s="673">
        <x:v>266580255</x:v>
      </x:c>
    </x:row>
    <x:row r="17" spans="2:19" s="151" customFormat="1" x14ac:dyDescent="0.3">
      <x:c r="B17" s="666"/>
      <x:c r="C17" s="155">
        <x:v>3</x:v>
      </x:c>
      <x:c r="D17" s="156" t="s">
        <x:v>12</x:v>
      </x:c>
      <x:c r="E17" s="687">
        <x:v>0.18</x:v>
      </x:c>
      <x:c r="F17" s="675">
        <x:v>154788536</x:v>
      </x:c>
      <x:c r="G17" s="676">
        <x:v>154788535</x:v>
      </x:c>
      <x:c r="H17" s="677">
        <x:v>154788536</x:v>
      </x:c>
      <x:c r="I17" s="673">
        <x:v>154788535</x:v>
      </x:c>
      <x:c r="J17" s="675">
        <x:v>154788536</x:v>
      </x:c>
      <x:c r="K17" s="676">
        <x:v>154788535</x:v>
      </x:c>
      <x:c r="L17" s="677">
        <x:v>154788536</x:v>
      </x:c>
      <x:c r="M17" s="673">
        <x:v>154788535</x:v>
      </x:c>
      <x:c r="N17" s="675">
        <x:v>154788536</x:v>
      </x:c>
      <x:c r="O17" s="676">
        <x:v>154788535</x:v>
      </x:c>
      <x:c r="P17" s="677">
        <x:v>154788536</x:v>
      </x:c>
      <x:c r="Q17" s="673">
        <x:v>154788535</x:v>
      </x:c>
    </x:row>
    <x:row r="18" spans="2:19" s="151" customFormat="1" x14ac:dyDescent="0.3">
      <x:c r="B18" s="666"/>
      <x:c r="C18" s="155">
        <x:v>4</x:v>
      </x:c>
      <x:c r="D18" s="156" t="s">
        <x:v>13</x:v>
      </x:c>
      <x:c r="E18" s="687">
        <x:v>0.14000000000000001</x:v>
      </x:c>
      <x:c r="F18" s="675">
        <x:v>120391083</x:v>
      </x:c>
      <x:c r="G18" s="676">
        <x:v>120391083</x:v>
      </x:c>
      <x:c r="H18" s="677">
        <x:v>120391083</x:v>
      </x:c>
      <x:c r="I18" s="673">
        <x:v>120391083</x:v>
      </x:c>
      <x:c r="J18" s="675">
        <x:v>120391083</x:v>
      </x:c>
      <x:c r="K18" s="676">
        <x:v>120391083</x:v>
      </x:c>
      <x:c r="L18" s="677">
        <x:v>120391083</x:v>
      </x:c>
      <x:c r="M18" s="673">
        <x:v>120391083</x:v>
      </x:c>
      <x:c r="N18" s="675">
        <x:v>120391083</x:v>
      </x:c>
      <x:c r="O18" s="676">
        <x:v>120391083</x:v>
      </x:c>
      <x:c r="P18" s="677">
        <x:v>120391083</x:v>
      </x:c>
      <x:c r="Q18" s="673">
        <x:v>120391083</x:v>
      </x:c>
    </x:row>
    <x:row r="19" spans="2:19" s="151" customFormat="1" ht="13.5" thickBot="1" x14ac:dyDescent="0.35">
      <x:c r="B19" s="666"/>
      <x:c r="C19" s="157">
        <x:v>5</x:v>
      </x:c>
      <x:c r="D19" s="158" t="s">
        <x:v>14</x:v>
      </x:c>
      <x:c r="E19" s="688">
        <x:v>0.15</x:v>
      </x:c>
      <x:c r="F19" s="679">
        <x:v>128990446</x:v>
      </x:c>
      <x:c r="G19" s="680">
        <x:v>128990445</x:v>
      </x:c>
      <x:c r="H19" s="681">
        <x:v>128990446</x:v>
      </x:c>
      <x:c r="I19" s="682">
        <x:v>128990445</x:v>
      </x:c>
      <x:c r="J19" s="679">
        <x:v>128990446</x:v>
      </x:c>
      <x:c r="K19" s="680">
        <x:v>128990445</x:v>
      </x:c>
      <x:c r="L19" s="681">
        <x:v>128990446</x:v>
      </x:c>
      <x:c r="M19" s="682">
        <x:v>128990445</x:v>
      </x:c>
      <x:c r="N19" s="679">
        <x:v>128990446</x:v>
      </x:c>
      <x:c r="O19" s="680">
        <x:v>128990445</x:v>
      </x:c>
      <x:c r="P19" s="681">
        <x:v>128990446</x:v>
      </x:c>
      <x:c r="Q19" s="682">
        <x:v>128990445</x:v>
      </x:c>
    </x:row>
    <x:row r="20" spans="2:19" s="151" customFormat="1" ht="13.5" thickBot="1" x14ac:dyDescent="0.35">
      <x:c r="B20" s="666"/>
      <x:c r="C20" s="159"/>
      <x:c r="D20" s="160" t="s">
        <x:v>2</x:v>
      </x:c>
      <x:c r="E20" s="565">
        <x:v>1</x:v>
      </x:c>
      <x:c r="F20" s="684">
        <x:v>859936309</x:v>
      </x:c>
      <x:c r="G20" s="684">
        <x:v>859936305</x:v>
      </x:c>
      <x:c r="H20" s="685">
        <x:v>859936309</x:v>
      </x:c>
      <x:c r="I20" s="685">
        <x:v>859936305</x:v>
      </x:c>
      <x:c r="J20" s="684">
        <x:v>859936309</x:v>
      </x:c>
      <x:c r="K20" s="684">
        <x:v>859936305</x:v>
      </x:c>
      <x:c r="L20" s="685">
        <x:v>859936309</x:v>
      </x:c>
      <x:c r="M20" s="685">
        <x:v>859936305</x:v>
      </x:c>
      <x:c r="N20" s="684">
        <x:v>859936309</x:v>
      </x:c>
      <x:c r="O20" s="684">
        <x:v>859936305</x:v>
      </x:c>
      <x:c r="P20" s="685">
        <x:v>859936309</x:v>
      </x:c>
      <x:c r="Q20" s="685">
        <x:v>859936305</x:v>
      </x:c>
    </x:row>
    <x:row r="21" spans="2:19" s="151" customFormat="1" ht="13.5" thickBot="1" x14ac:dyDescent="0.35">
      <x:c r="B21" s="666"/>
      <x:c r="F21" s="779">
        <x:f>SUM(F20:G20)</x:f>
        <x:v>1719872614</x:v>
      </x:c>
      <x:c r="G21" s="780">
        <x:v>1191383498</x:v>
      </x:c>
      <x:c r="H21" s="779">
        <x:f>SUM(H20:I20)</x:f>
        <x:v>1719872614</x:v>
      </x:c>
      <x:c r="I21" s="780">
        <x:v>1191383498</x:v>
      </x:c>
      <x:c r="J21" s="779">
        <x:f>SUM(J20:K20)</x:f>
        <x:v>1719872614</x:v>
      </x:c>
      <x:c r="K21" s="780">
        <x:v>1191383498</x:v>
      </x:c>
      <x:c r="L21" s="779">
        <x:f>SUM(L20:M20)</x:f>
        <x:v>1719872614</x:v>
      </x:c>
      <x:c r="M21" s="780">
        <x:v>1191383498</x:v>
      </x:c>
      <x:c r="N21" s="779">
        <x:f>SUM(N20:O20)</x:f>
        <x:v>1719872614</x:v>
      </x:c>
      <x:c r="O21" s="780">
        <x:v>1191383498</x:v>
      </x:c>
      <x:c r="P21" s="779">
        <x:f>SUM(P20:Q20)</x:f>
        <x:v>1719872614</x:v>
      </x:c>
      <x:c r="Q21" s="780">
        <x:v>1191383498</x:v>
      </x:c>
    </x:row>
    <x:row r="24" spans="2:19" ht="13.5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9" t="s">
        <x:v>270</x:v>
      </x:c>
      <x:c r="L25" s="152" t="s">
        <x:v>3</x:v>
      </x:c>
      <x:c r="M25" s="645" t="s">
        <x:v>268</x:v>
      </x:c>
      <x:c r="N25" s="645" t="s">
        <x:v>269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4"/>
      <x:c r="K26" s="689">
        <x:v>378371975</x:v>
      </x:c>
      <x:c r="L26" s="154">
        <x:v>1</x:v>
      </x:c>
      <x:c r="M26" s="717">
        <x:v>189185988</x:v>
      </x:c>
      <x:c r="N26" s="180">
        <x:v>189185987</x:v>
      </x:c>
      <x:c r="O26" s="167" t="b">
        <x:f>M26=R26</x:f>
        <x:v>1</x:v>
      </x:c>
      <x:c r="P26" s="167"/>
      <x:c r="Q26" s="718">
        <x:f>'CONSOLIDADO_TOTAL RECAUDO'!L104</x:f>
        <x:v>189185988</x:v>
      </x:c>
      <x:c r="R26" s="697">
        <x:f>F15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4"/>
      <x:c r="K27" s="690">
        <x:v>533160511</x:v>
      </x:c>
      <x:c r="L27" s="155">
        <x:v>2</x:v>
      </x:c>
      <x:c r="M27" s="717">
        <x:v>266580256</x:v>
      </x:c>
      <x:c r="N27" s="180">
        <x:v>266580255</x:v>
      </x:c>
      <x:c r="O27" s="167" t="b">
        <x:f t="shared" ref="O27:O31" si="0">M27=R27</x:f>
        <x:v>1</x:v>
      </x:c>
      <x:c r="P27" s="167"/>
      <x:c r="Q27" s="718">
        <x:f>'CONSOLIDADO_TOTAL RECAUDO'!L105</x:f>
        <x:v>266580256</x:v>
      </x:c>
      <x:c r="R27" s="697">
        <x:f t="shared" ref="R27:R31" si="1">F16</x:f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4"/>
      <x:c r="K28" s="690">
        <x:v>309577071</x:v>
      </x:c>
      <x:c r="L28" s="155">
        <x:v>3</x:v>
      </x:c>
      <x:c r="M28" s="717">
        <x:v>154788536</x:v>
      </x:c>
      <x:c r="N28" s="180">
        <x:v>154788535</x:v>
      </x:c>
      <x:c r="O28" s="167" t="b">
        <x:f t="shared" si="0"/>
        <x:v>1</x:v>
      </x:c>
      <x:c r="P28" s="167"/>
      <x:c r="Q28" s="718">
        <x:f>'CONSOLIDADO_TOTAL RECAUDO'!L106</x:f>
        <x:v>154788536</x:v>
      </x:c>
      <x:c r="R28" s="697">
        <x:f t="shared" si="1"/>
        <x:v>154788536</x:v>
      </x:c>
      <x:c r="S28" t="b">
        <x:f t="shared" ref="S28:S31" si="2">Q28=R28</x:f>
        <x:v>1</x:v>
      </x:c>
    </x:row>
    <x:row r="29" spans="2:19" x14ac:dyDescent="0.3">
      <x:c r="G29" s="602"/>
      <x:c r="H29" s="212"/>
      <x:c r="I29" s="212"/>
      <x:c r="J29" s="644"/>
      <x:c r="K29" s="690">
        <x:v>240782166</x:v>
      </x:c>
      <x:c r="L29" s="155">
        <x:v>4</x:v>
      </x:c>
      <x:c r="M29" s="717">
        <x:v>120391083</x:v>
      </x:c>
      <x:c r="N29" s="691">
        <x:v>120391083</x:v>
      </x:c>
      <x:c r="O29" s="167" t="b">
        <x:f t="shared" si="0"/>
        <x:v>1</x:v>
      </x:c>
      <x:c r="P29" s="167"/>
      <x:c r="Q29" s="718">
        <x:f>'CONSOLIDADO_TOTAL RECAUDO'!L107</x:f>
        <x:v>120391083</x:v>
      </x:c>
      <x:c r="R29" s="697">
        <x:f t="shared" si="1"/>
        <x:v>120391083</x:v>
      </x:c>
      <x:c r="S29" t="b">
        <x:f t="shared" si="2"/>
        <x:v>1</x:v>
      </x:c>
    </x:row>
    <x:row r="30" spans="2:19" ht="13.5" thickBot="1" x14ac:dyDescent="0.35">
      <x:c r="G30" s="602"/>
      <x:c r="H30" s="212"/>
      <x:c r="I30" s="212"/>
      <x:c r="J30" s="644"/>
      <x:c r="K30" s="692">
        <x:v>257980891</x:v>
      </x:c>
      <x:c r="L30" s="157">
        <x:v>5</x:v>
      </x:c>
      <x:c r="M30" s="717">
        <x:v>128990446</x:v>
      </x:c>
      <x:c r="N30" s="693">
        <x:v>128990445</x:v>
      </x:c>
      <x:c r="O30" s="167" t="b">
        <x:f t="shared" si="0"/>
        <x:v>1</x:v>
      </x:c>
      <x:c r="P30" s="167"/>
      <x:c r="Q30" s="718">
        <x:f>'CONSOLIDADO_TOTAL RECAUDO'!L108</x:f>
        <x:v>128990446</x:v>
      </x:c>
      <x:c r="R30" s="697">
        <x:f t="shared" si="1"/>
        <x:v>128990446</x:v>
      </x:c>
      <x:c r="S30" t="b">
        <x:f t="shared" si="2"/>
        <x:v>1</x:v>
      </x:c>
    </x:row>
    <x:row r="31" spans="2:19" ht="13.5" thickBot="1" x14ac:dyDescent="0.35">
      <x:c r="G31" s="602"/>
      <x:c r="H31" s="167"/>
      <x:c r="I31" s="167"/>
      <x:c r="J31" s="270"/>
      <x:c r="K31" s="694">
        <x:f>SUM(K26:K30)</x:f>
        <x:v>1719872614</x:v>
      </x:c>
      <x:c r="L31" s="159"/>
      <x:c r="M31" s="695">
        <x:f>SUM(M26:M30)</x:f>
        <x:v>859936309</x:v>
      </x:c>
      <x:c r="N31" s="695">
        <x:f>SUM(N26:N30)</x:f>
        <x:v>859936305</x:v>
      </x:c>
      <x:c r="O31" s="167" t="b">
        <x:f t="shared" si="0"/>
        <x:v>1</x:v>
      </x:c>
      <x:c r="P31" s="167"/>
      <x:c r="Q31" s="718">
        <x:f>'CONSOLIDADO_TOTAL RECAUDO'!L109</x:f>
        <x:v>859936309</x:v>
      </x:c>
      <x:c r="R31" s="697">
        <x:f t="shared" si="1"/>
        <x:v>859936309</x:v>
      </x:c>
      <x:c r="S31" t="b">
        <x:f t="shared" si="2"/>
        <x:v>1</x:v>
      </x:c>
    </x:row>
    <x:row r="32" spans="2:19" x14ac:dyDescent="0.3">
      <x:c r="G32" s="602"/>
      <x:c r="H32" s="167"/>
      <x:c r="I32" s="167"/>
      <x:c r="K32" s="646">
        <x:f>SUM(M31:N31)</x:f>
        <x:v>1719872614</x:v>
      </x:c>
      <x:c r="L32" s="270"/>
    </x:row>
    <x:row r="33" spans="7:17" x14ac:dyDescent="0.3">
      <x:c r="G33" s="602"/>
      <x:c r="H33" s="167"/>
      <x:c r="J33" s="270"/>
      <x:c r="K33" s="270"/>
      <x:c r="Q33" s="212"/>
    </x:row>
    <x:row r="34" spans="7:17" x14ac:dyDescent="0.3">
      <x:c r="G34" s="602"/>
      <x:c r="H34" s="167"/>
      <x:c r="Q34" s="212"/>
    </x:row>
    <x:row r="35" spans="7:17" x14ac:dyDescent="0.3">
      <x:c r="H35" s="167"/>
      <x:c r="K35" s="696"/>
      <x:c r="Q35" s="212"/>
    </x:row>
    <x:row r="36" spans="7:17" x14ac:dyDescent="0.3">
      <x:c r="H36" s="167"/>
      <x:c r="K36" s="696"/>
      <x:c r="Q36" s="212"/>
    </x:row>
    <x:row r="37" spans="7:17" x14ac:dyDescent="0.3">
      <x:c r="H37" s="167"/>
      <x:c r="K37" s="696"/>
      <x:c r="Q37" s="212"/>
    </x:row>
    <x:row r="38" spans="7:17" x14ac:dyDescent="0.3">
      <x:c r="H38" s="167"/>
      <x:c r="K38" s="696"/>
      <x:c r="Q38" s="212"/>
    </x:row>
    <x:row r="39" spans="7:17" x14ac:dyDescent="0.3">
      <x:c r="H39" s="167"/>
      <x:c r="K39" s="696"/>
    </x:row>
    <x:row r="40" spans="7:17" x14ac:dyDescent="0.3">
      <x:c r="H40" s="167"/>
      <x:c r="K40" s="696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53125" defaultRowHeight="11.5" x14ac:dyDescent="0.25"/>
  <x:cols>
    <x:col min="1" max="1" width="3" style="389" customWidth="1"/>
    <x:col min="2" max="2" width="4.453125" style="389" bestFit="1" customWidth="1"/>
    <x:col min="3" max="3" width="38.1796875" style="389" customWidth="1"/>
    <x:col min="4" max="4" width="15.1796875" style="389" customWidth="1"/>
    <x:col min="5" max="5" width="16" style="389" customWidth="1"/>
    <x:col min="6" max="7" width="14.81640625" style="389" customWidth="1"/>
    <x:col min="8" max="9" width="16" style="389" customWidth="1"/>
    <x:col min="10" max="10" width="17.54296875" style="389" customWidth="1"/>
    <x:col min="11" max="11" width="3.81640625" style="389" customWidth="1"/>
    <x:col min="12" max="12" width="2.81640625" style="389" customWidth="1"/>
    <x:col min="13" max="13" width="4.54296875" style="389" customWidth="1"/>
    <x:col min="14" max="14" width="11.1796875" style="389" customWidth="1"/>
    <x:col min="15" max="15" width="37.54296875" style="389" bestFit="1" customWidth="1"/>
    <x:col min="16" max="16" width="19.1796875" style="389" customWidth="1"/>
    <x:col min="17" max="17" width="17.81640625" style="389" customWidth="1"/>
    <x:col min="18" max="18" width="16.453125" style="389" customWidth="1"/>
    <x:col min="19" max="19" width="17.1796875" style="389" customWidth="1"/>
    <x:col min="20" max="20" width="15.81640625" style="389" customWidth="1"/>
    <x:col min="21" max="21" width="16.1796875" style="389" customWidth="1"/>
    <x:col min="22" max="22" width="13.1796875" style="391" customWidth="1"/>
    <x:col min="23" max="23" width="13.81640625" style="389" customWidth="1"/>
    <x:col min="24" max="24" width="3.453125" style="389" customWidth="1"/>
    <x:col min="25" max="25" width="13.81640625" style="389" bestFit="1" customWidth="1"/>
    <x:col min="26" max="27" width="11.453125" style="389"/>
    <x:col min="28" max="28" width="15.81640625" style="389" bestFit="1" customWidth="1"/>
    <x:col min="29" max="16384" width="11.453125" style="389"/>
  </x:cols>
  <x:sheetData>
    <x:row r="1" spans="2:28" x14ac:dyDescent="0.25">
      <x:c r="L1" s="390"/>
      <x:c r="X1" s="390"/>
    </x:row>
    <x:row r="2" spans="2:28" x14ac:dyDescent="0.25">
      <x:c r="L2" s="390"/>
      <x:c r="X2" s="390"/>
    </x:row>
    <x:row r="3" spans="2:28" ht="12" thickBot="1" x14ac:dyDescent="0.3">
      <x:c r="L3" s="390"/>
      <x:c r="X3" s="390"/>
    </x:row>
    <x:row r="4" spans="2:28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5" x14ac:dyDescent="0.3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5" x14ac:dyDescent="0.3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5" x14ac:dyDescent="0.3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5" x14ac:dyDescent="0.3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5" x14ac:dyDescent="0.3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46219</x:v>
      </x:c>
      <x:c r="G10" s="408"/>
      <x:c r="H10" s="397" t="s">
        <x:v>28</x:v>
      </x:c>
      <x:c r="I10" s="457">
        <x:f>'CONSOLIDADO_TOTAL RECAUDO'!K102</x:f>
        <x:v>46234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69.5" thickBot="1" x14ac:dyDescent="0.3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5">
      <x:c r="B12" s="422">
        <x:v>1</x:v>
      </x:c>
      <x:c r="C12" s="423" t="s">
        <x:v>10</x:v>
      </x:c>
      <x:c r="D12" s="424">
        <x:f>'Reporte Componentes R1'!F80*$D$24</x:f>
        <x:v>11217.37</x:v>
      </x:c>
      <x:c r="E12" s="424">
        <x:f>'Reporte Componentes R1'!G80*$D$24</x:f>
        <x:v>766.38</x:v>
      </x:c>
      <x:c r="F12" s="425">
        <x:f>'Reporte Componentes R1'!H80*$D$24</x:f>
        <x:v>325.58999999999997</x:v>
      </x:c>
      <x:c r="G12" s="425">
        <x:f>'Reporte Componentes R1'!I80*$D$24</x:f>
        <x:v>142.16999999999999</x:v>
      </x:c>
      <x:c r="H12" s="425">
        <x:f>'Reporte Componentes R1'!J80*$D$24</x:f>
        <x:v>1970.37</x:v>
      </x:c>
      <x:c r="I12" s="425">
        <x:f>'Reporte Componentes R1'!K80*$D$24</x:f>
        <x:v>127.32</x:v>
      </x:c>
      <x:c r="J12" s="426">
        <x:f t="shared" ref="J12:J16" si="0">D12-E12-F12-G12-H12-I12</x:f>
        <x:v>7885.5400000000018</x:v>
      </x:c>
      <x:c r="L12" s="428"/>
      <x:c r="N12" s="422">
        <x:v>1</x:v>
      </x:c>
      <x:c r="O12" s="423" t="s">
        <x:v>10</x:v>
      </x:c>
      <x:c r="P12" s="429">
        <x:f>'Reporte Componentes R1'!M80*$P$24</x:f>
        <x:v>1116.82</x:v>
      </x:c>
      <x:c r="Q12" s="430">
        <x:f>'Reporte Componentes R1'!N80*$P$24</x:f>
        <x:v>934.67</x:v>
      </x:c>
      <x:c r="R12" s="430">
        <x:f>'Reporte Componentes R1'!O80*$P$24</x:f>
        <x:v>3730.88</x:v>
      </x:c>
      <x:c r="S12" s="430">
        <x:f>'Reporte Componentes R1'!P80*$P$24</x:f>
        <x:v>1895.43</x:v>
      </x:c>
      <x:c r="T12" s="430">
        <x:f>'Reporte Componentes R1'!Q80*$P$24</x:f>
        <x:v>207.74</x:v>
      </x:c>
      <x:c r="U12" s="464">
        <x:f>SUM(P12:T12)</x:f>
        <x:v>7885.54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5">
      <x:c r="B13" s="432">
        <x:v>2</x:v>
      </x:c>
      <x:c r="C13" s="433" t="s">
        <x:v>11</x:v>
      </x:c>
      <x:c r="D13" s="424">
        <x:f>'Reporte Componentes R1'!F224*$D$24</x:f>
        <x:v>405906.75</x:v>
      </x:c>
      <x:c r="E13" s="425">
        <x:f>'Reporte Componentes R1'!G224*$D$24</x:f>
        <x:v>36253.24</x:v>
      </x:c>
      <x:c r="F13" s="425">
        <x:f>'Reporte Componentes R1'!H224*$D$24</x:f>
        <x:v>15401.35</x:v>
      </x:c>
      <x:c r="G13" s="425">
        <x:f>'Reporte Componentes R1'!I224*$D$24</x:f>
        <x:v>6725.8</x:v>
      </x:c>
      <x:c r="H13" s="425">
        <x:f>'Reporte Componentes R1'!J224*$D$24</x:f>
        <x:v>80022.36</x:v>
      </x:c>
      <x:c r="I13" s="425">
        <x:f>'Reporte Componentes R1'!K224*$D$24</x:f>
        <x:v>3364.46</x:v>
      </x:c>
      <x:c r="J13" s="426">
        <x:f t="shared" si="0"/>
        <x:v>264139.54000000004</x:v>
      </x:c>
      <x:c r="L13" s="428"/>
      <x:c r="N13" s="432">
        <x:v>2</x:v>
      </x:c>
      <x:c r="O13" s="433" t="s">
        <x:v>11</x:v>
      </x:c>
      <x:c r="P13" s="434">
        <x:f>'Reporte Componentes R1'!M224*$P$24</x:f>
        <x:v>29514</x:v>
      </x:c>
      <x:c r="Q13" s="435">
        <x:f>'Reporte Componentes R1'!N224*$P$24</x:f>
        <x:v>36987.9</x:v>
      </x:c>
      <x:c r="R13" s="435">
        <x:f>'Reporte Componentes R1'!O224*$P$24</x:f>
        <x:v>124266.63</x:v>
      </x:c>
      <x:c r="S13" s="435">
        <x:f>'Reporte Componentes R1'!P224*$P$24</x:f>
        <x:v>67881.399999999994</x:v>
      </x:c>
      <x:c r="T13" s="435">
        <x:f>'Reporte Componentes R1'!Q224*$P$24</x:f>
        <x:v>5489.61</x:v>
      </x:c>
      <x:c r="U13" s="463">
        <x:f>SUM(P13:T13)</x:f>
        <x:v>264139.53999999998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5">
      <x:c r="B14" s="432">
        <x:v>3</x:v>
      </x:c>
      <x:c r="C14" s="433" t="s">
        <x:v>12</x:v>
      </x:c>
      <x:c r="D14" s="424">
        <x:f>'Reporte Componentes R1'!F355*$D$24</x:f>
        <x:v>16458.46</x:v>
      </x:c>
      <x:c r="E14" s="424">
        <x:f>'Reporte Componentes R1'!G355*$D$24</x:f>
        <x:v>1490.88</x:v>
      </x:c>
      <x:c r="F14" s="424">
        <x:f>'Reporte Componentes R1'!H355*$D$24</x:f>
        <x:v>633.39</x:v>
      </x:c>
      <x:c r="G14" s="424">
        <x:f>'Reporte Componentes R1'!I355*$D$24</x:f>
        <x:v>276.60000000000002</x:v>
      </x:c>
      <x:c r="H14" s="424">
        <x:f>'Reporte Componentes R1'!J355*$D$24</x:f>
        <x:v>3142.56</x:v>
      </x:c>
      <x:c r="I14" s="424">
        <x:f>'Reporte Componentes R1'!K355*$D$24</x:f>
        <x:v>129.47999999999999</x:v>
      </x:c>
      <x:c r="J14" s="426">
        <x:f t="shared" si="0"/>
        <x:v>10785.55</x:v>
      </x:c>
      <x:c r="L14" s="428"/>
      <x:c r="N14" s="432">
        <x:v>3</x:v>
      </x:c>
      <x:c r="O14" s="433" t="s">
        <x:v>12</x:v>
      </x:c>
      <x:c r="P14" s="434">
        <x:f>'Reporte Componentes R1'!M355*$P$24</x:f>
        <x:v>1135.68</x:v>
      </x:c>
      <x:c r="Q14" s="435">
        <x:f>'Reporte Componentes R1'!N355*$P$24</x:f>
        <x:v>1423.48</x:v>
      </x:c>
      <x:c r="R14" s="435">
        <x:f>'Reporte Componentes R1'!O355*$P$24</x:f>
        <x:v>4781.43</x:v>
      </x:c>
      <x:c r="S14" s="435">
        <x:f>'Reporte Componentes R1'!P355*$P$24</x:f>
        <x:v>3233.73</x:v>
      </x:c>
      <x:c r="T14" s="435">
        <x:f>'Reporte Componentes R1'!Q355*$P$24</x:f>
        <x:v>211.23</x:v>
      </x:c>
      <x:c r="U14" s="463">
        <x:f>SUM(P14:T14)</x:f>
        <x:v>10785.55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5">
      <x:c r="B15" s="432">
        <x:v>4</x:v>
      </x:c>
      <x:c r="C15" s="433" t="s">
        <x:v>13</x:v>
      </x:c>
      <x:c r="D15" s="424">
        <x:f>'Reporte Componentes R1'!F486*$D$24</x:f>
        <x:v>439956.52</x:v>
      </x:c>
      <x:c r="E15" s="425">
        <x:f>'Reporte Componentes R1'!G486*$D$24</x:f>
        <x:v>35444.410000000003</x:v>
      </x:c>
      <x:c r="F15" s="425">
        <x:f>'Reporte Componentes R1'!H486*$D$24</x:f>
        <x:v>15058.04</x:v>
      </x:c>
      <x:c r="G15" s="425">
        <x:f>'Reporte Componentes R1'!I486*$D$24</x:f>
        <x:v>6575.73</x:v>
      </x:c>
      <x:c r="H15" s="425">
        <x:f>'Reporte Componentes R1'!J486*$D$24</x:f>
        <x:v>81642.179999999993</x:v>
      </x:c>
      <x:c r="I15" s="425">
        <x:f>'Reporte Componentes R1'!K486*$D$24</x:f>
        <x:v>3324.84</x:v>
      </x:c>
      <x:c r="J15" s="426">
        <x:f t="shared" si="0"/>
        <x:v>297911.32</x:v>
      </x:c>
      <x:c r="L15" s="428"/>
      <x:c r="N15" s="432">
        <x:v>4</x:v>
      </x:c>
      <x:c r="O15" s="433" t="s">
        <x:v>13</x:v>
      </x:c>
      <x:c r="P15" s="434">
        <x:f>'Reporte Componentes R1'!M486*$P$24</x:f>
        <x:v>29164.3</x:v>
      </x:c>
      <x:c r="Q15" s="435">
        <x:f>'Reporte Componentes R1'!N486*$P$24</x:f>
        <x:v>37085.49</x:v>
      </x:c>
      <x:c r="R15" s="435">
        <x:f>'Reporte Componentes R1'!O486*$P$24</x:f>
        <x:v>136171.69</x:v>
      </x:c>
      <x:c r="S15" s="435">
        <x:f>'Reporte Componentes R1'!P486*$P$24</x:f>
        <x:v>90064.99</x:v>
      </x:c>
      <x:c r="T15" s="435">
        <x:f>'Reporte Componentes R1'!Q486*$P$24</x:f>
        <x:v>5424.85</x:v>
      </x:c>
      <x:c r="U15" s="463">
        <x:f>SUM(P15:T15)</x:f>
        <x:v>297911.31999999995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" thickBot="1" x14ac:dyDescent="0.3">
      <x:c r="B16" s="436">
        <x:v>5</x:v>
      </x:c>
      <x:c r="C16" s="437" t="s">
        <x:v>14</x:v>
      </x:c>
      <x:c r="D16" s="438">
        <x:f>'Reporte Componentes R1'!F584*$D$24</x:f>
        <x:v>0</x:v>
      </x:c>
      <x:c r="E16" s="439">
        <x:f>'Reporte Componentes R1'!G584*$D$24</x:f>
        <x:v>0</x:v>
      </x:c>
      <x:c r="F16" s="439">
        <x:f>'Reporte Componentes R1'!H584*$D$24</x:f>
        <x:v>0</x:v>
      </x:c>
      <x:c r="G16" s="439">
        <x:f>'Reporte Componentes R1'!I584*$D$24</x:f>
        <x:v>0</x:v>
      </x:c>
      <x:c r="H16" s="439">
        <x:f>'Reporte Componentes R1'!J584*$D$24</x:f>
        <x:v>0</x:v>
      </x:c>
      <x:c r="I16" s="439">
        <x:f>'Reporte Componentes R1'!K584*$D$24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R1'!M584*$P$24</x:f>
        <x:v>0</x:v>
      </x:c>
      <x:c r="Q16" s="439">
        <x:f>'Reporte Componentes R1'!N584*$P$24</x:f>
        <x:v>0</x:v>
      </x:c>
      <x:c r="R16" s="439">
        <x:f>'Reporte Componentes R1'!O584*$P$24</x:f>
        <x:v>0</x:v>
      </x:c>
      <x:c r="S16" s="439">
        <x:f>'Reporte Componentes R1'!P584*$P$24</x:f>
        <x:v>0</x:v>
      </x:c>
      <x:c r="T16" s="439">
        <x:f>'Reporte Componentes R1'!Q584*$P$24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" thickBot="1" x14ac:dyDescent="0.3">
      <x:c r="B17" s="440"/>
      <x:c r="C17" s="441" t="s">
        <x:v>2</x:v>
      </x:c>
      <x:c r="D17" s="442">
        <x:f t="shared" ref="D17:J17" si="3">SUM(D12:D16)</x:f>
        <x:v>873539.10000000009</x:v>
      </x:c>
      <x:c r="E17" s="442">
        <x:f t="shared" si="3"/>
        <x:v>73954.91</x:v>
      </x:c>
      <x:c r="F17" s="442">
        <x:f t="shared" si="3"/>
        <x:v>31418.370000000003</x:v>
      </x:c>
      <x:c r="G17" s="442">
        <x:f t="shared" si="3"/>
        <x:v>13720.3</x:v>
      </x:c>
      <x:c r="H17" s="442">
        <x:f t="shared" si="3"/>
        <x:v>166777.46999999997</x:v>
      </x:c>
      <x:c r="I17" s="442">
        <x:f t="shared" si="3"/>
        <x:v>6946.1</x:v>
      </x:c>
      <x:c r="J17" s="443">
        <x:f t="shared" si="3"/>
        <x:v>580721.94999999995</x:v>
      </x:c>
      <x:c r="K17" s="444"/>
      <x:c r="L17" s="428"/>
      <x:c r="N17" s="440"/>
      <x:c r="O17" s="441" t="s">
        <x:v>2</x:v>
      </x:c>
      <x:c r="P17" s="445">
        <x:f>SUM(P12:P16)</x:f>
        <x:v>60930.8</x:v>
      </x:c>
      <x:c r="Q17" s="445">
        <x:f t="shared" ref="Q17:U17" si="4">SUM(Q12:Q16)</x:f>
        <x:v>76431.540000000008</x:v>
      </x:c>
      <x:c r="R17" s="445">
        <x:f t="shared" si="4"/>
        <x:v>268950.63</x:v>
      </x:c>
      <x:c r="S17" s="445">
        <x:f t="shared" si="4"/>
        <x:v>163075.54999999999</x:v>
      </x:c>
      <x:c r="T17" s="445">
        <x:f t="shared" si="4"/>
        <x:v>11333.43</x:v>
      </x:c>
      <x:c r="U17" s="462">
        <x:f t="shared" si="4"/>
        <x:v>580721.94999999995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580721.95000000007</x:v>
      </x:c>
      <x:c r="U19" s="389" t="s">
        <x:v>1</x:v>
      </x:c>
      <x:c r="X19" s="390"/>
    </x:row>
    <x:row r="20" spans="1:28" ht="12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1" t="str">
        <x:f>+IF(MAX(J12:J17)&gt;500000,"VALIDAR",TRUE)</x:f>
        <x:v>VALIDAR</x:v>
      </x:c>
      <x:c r="L20" s="390"/>
      <x:c r="U20" s="451"/>
      <x:c r="X20" s="390"/>
    </x:row>
    <x:row r="21" spans="1:28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5">
      <x:c r="D24" s="456">
        <x:v>-1</x:v>
      </x:c>
      <x:c r="P24" s="456">
        <x:v>-1</x:v>
      </x:c>
    </x:row>
    <x:row r="25" spans="1:28" ht="15.5" x14ac:dyDescent="0.3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A95" zoomScaleNormal="100" workbookViewId="0">
      <x:selection activeCell="A95" sqref="A95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7.81640625" style="1" customWidth="1"/>
    <x:col min="4" max="4" width="15.1796875" style="1" customWidth="1"/>
    <x:col min="5" max="5" width="16" style="1" customWidth="1"/>
    <x:col min="6" max="7" width="14.81640625" style="1" customWidth="1"/>
    <x:col min="8" max="9" width="16" style="1" customWidth="1"/>
    <x:col min="10" max="10" width="15.54296875" style="1" customWidth="1"/>
    <x:col min="11" max="11" width="17.54296875" style="1" customWidth="1"/>
    <x:col min="12" max="12" width="17.81640625" style="1" customWidth="1"/>
    <x:col min="13" max="13" width="20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4.81640625" style="271" bestFit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38" width="11.453125" style="1"/>
    <x:col min="39" max="39" width="15.81640625" style="1" bestFit="1" customWidth="1"/>
    <x:col min="40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5" x14ac:dyDescent="0.35">
      <x:c r="B6" s="8"/>
      <x:c r="C6" s="599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" thickBot="1" x14ac:dyDescent="0.3">
      <x:c r="B7" s="8"/>
      <x:c r="C7" s="599" t="s">
        <x:v>0</x:v>
      </x:c>
      <x:c r="D7" s="241">
        <x:v>0.58333333333333337</x:v>
      </x:c>
      <x:c r="F7" s="2" t="s">
        <x:v>27</x:v>
      </x:c>
      <x:c r="G7" s="9">
        <x:v>46219</x:v>
      </x:c>
      <x:c r="J7" s="2" t="s">
        <x:v>28</x:v>
      </x:c>
      <x:c r="K7" s="9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72"/>
      <x:c r="AI7" s="4"/>
    </x:row>
    <x:row r="8" spans="2:35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226</x:v>
      </x:c>
      <x:c r="AF8" s="39" t="s">
        <x:v>23</x:v>
      </x:c>
      <x:c r="AG8" s="273"/>
      <x:c r="AI8" s="4"/>
    </x:row>
    <x:row r="9" spans="2:35" s="305" customFormat="1" x14ac:dyDescent="0.25">
      <x:c r="B9" s="303">
        <x:v>1</x:v>
      </x:c>
      <x:c r="C9" s="304" t="s">
        <x:v>10</x:v>
      </x:c>
      <x:c r="D9" s="386">
        <x:f>'Reporte Componentes R1'!F50</x:f>
        <x:v>17339793559.860001</x:v>
      </x:c>
      <x:c r="E9" s="292">
        <x:f>'Reporte Componentes R1'!G50</x:f>
        <x:v>898223141.86000001</x:v>
      </x:c>
      <x:c r="F9" s="292">
        <x:f>'Reporte Componentes R1'!H50</x:f>
        <x:v>506560790.43000001</x:v>
      </x:c>
      <x:c r="G9" s="292">
        <x:f>'Reporte Componentes R1'!I50</x:f>
        <x:v>266134388.70000002</x:v>
      </x:c>
      <x:c r="H9" s="292">
        <x:f>'Reporte Componentes R1'!J50</x:f>
        <x:v>3794558031.4300003</x:v>
      </x:c>
      <x:c r="I9" s="292">
        <x:f>'Reporte Componentes R1'!K50</x:f>
        <x:v>133542703.31</x:v>
      </x:c>
      <x:c r="J9" s="288">
        <x:f>'BCE SC POR FACT.'!F3</x:f>
        <x:v>-3589454665.5499997</x:v>
      </x:c>
      <x:c r="K9" s="293">
        <x:f>D9-E9-F9-G9-H9-I9-J9</x:f>
        <x:v>15330229169.679998</x:v>
      </x:c>
      <x:c r="L9" s="294">
        <x:f>INTERVENTORIA!F15</x:f>
        <x:v>189185988</x:v>
      </x:c>
      <x:c r="M9" s="293">
        <x:f>K9-L9</x:f>
        <x:v>15141043181.679998</x:v>
      </x:c>
      <x:c r="N9" s="387">
        <x:f>'Reporte Componentes R1'!L50</x:f>
        <x:v>25277316.260000002</x:v>
      </x:c>
      <x:c r="O9" s="293">
        <x:f>M9+N9</x:f>
        <x:v>15166320497.939999</x:v>
      </x:c>
      <x:c r="Q9" s="306"/>
      <x:c r="S9" s="303">
        <x:v>1</x:v>
      </x:c>
      <x:c r="T9" s="304" t="s">
        <x:v>10</x:v>
      </x:c>
      <x:c r="U9" s="307">
        <x:f>'Reporte Componentes R1'!M50</x:f>
        <x:v>1174928495.1000001</x:v>
      </x:c>
      <x:c r="V9" s="308">
        <x:f>'Reporte Componentes R1'!N50</x:f>
        <x:v>1130888113.8599999</x:v>
      </x:c>
      <x:c r="W9" s="308">
        <x:f>'Reporte Componentes R1'!O50</x:f>
        <x:v>5352175528.7699995</x:v>
      </x:c>
      <x:c r="X9" s="308">
        <x:f>'Reporte Componentes R1'!P50</x:f>
        <x:v>2435749635.8000002</x:v>
      </x:c>
      <x:c r="Y9" s="309">
        <x:f>'Reporte Componentes R1'!Q50</x:f>
        <x:v>217904578.31</x:v>
      </x:c>
      <x:c r="Z9" s="310">
        <x:f>L9*-1</x:f>
        <x:v>-189185988</x:v>
      </x:c>
      <x:c r="AA9" s="311">
        <x:f>'Reporte Componentes R1'!R50+'Reporte Componentes R1'!U50+'Reporte Componentes R1'!V50</x:f>
        <x:v>-17545.2</x:v>
      </x:c>
      <x:c r="AB9" s="312">
        <x:f>N9</x:f>
        <x:v>25277316.260000002</x:v>
      </x:c>
      <x:c r="AC9" s="320">
        <x:f>'Reporte Componentes R1'!T50+'Reporte Componentes R1'!W50+'Reporte Componentes R1'!X50+'Reporte Componentes R1'!Y50+'Reporte Componentes R1'!Z50+'Reporte Componentes R1'!S50</x:f>
        <x:v>-1592.61</x:v>
      </x:c>
      <x:c r="AD9" s="291">
        <x:f>-J9+AE9</x:f>
        <x:v>5018601955.6499996</x:v>
      </x:c>
      <x:c r="AE9" s="291">
        <x:f>'Reporte Componentes R1'!F51</x:f>
        <x:v>1429147290.0999999</x:v>
      </x:c>
      <x:c r="AF9" s="313">
        <x:f>SUM(U9:AD9)</x:f>
        <x:v>15166320497.939997</x:v>
      </x:c>
      <x:c r="AG9" s="521">
        <x:f>(AF9-O9)</x:f>
        <x:v>-1.9073486328125E-6</x:v>
      </x:c>
      <x:c r="AH9" s="305" t="b">
        <x:f>INT(AG9)=0</x:f>
        <x:v>0</x:v>
      </x:c>
      <x:c r="AI9" s="306"/>
    </x:row>
    <x:row r="10" spans="2:35" s="305" customFormat="1" x14ac:dyDescent="0.25">
      <x:c r="B10" s="314">
        <x:v>2</x:v>
      </x:c>
      <x:c r="C10" s="315" t="s">
        <x:v>11</x:v>
      </x:c>
      <x:c r="D10" s="291">
        <x:f>'Reporte Componentes R1'!F194</x:f>
        <x:v>20352268540.720001</x:v>
      </x:c>
      <x:c r="E10" s="292">
        <x:f>'Reporte Componentes R1'!G194</x:f>
        <x:v>1575127599.3299999</x:v>
      </x:c>
      <x:c r="F10" s="292">
        <x:f>'Reporte Componentes R1'!H194</x:f>
        <x:v>883344164.76999998</x:v>
      </x:c>
      <x:c r="G10" s="292">
        <x:f>'Reporte Componentes R1'!I194</x:f>
        <x:v>463657475.5</x:v>
      </x:c>
      <x:c r="H10" s="292">
        <x:f>'Reporte Componentes R1'!J194</x:f>
        <x:v>5770939754.4900007</x:v>
      </x:c>
      <x:c r="I10" s="292">
        <x:f>'Reporte Componentes R1'!K194</x:f>
        <x:v>221087801.44999999</x:v>
      </x:c>
      <x:c r="J10" s="288">
        <x:f>'BCE SC POR FACT.'!F4</x:f>
        <x:v>-3241193714.1100001</x:v>
      </x:c>
      <x:c r="K10" s="295">
        <x:f>D10-E10-F10-G10-H10-I10-J10</x:f>
        <x:v>14679305459.289997</x:v>
      </x:c>
      <x:c r="L10" s="294">
        <x:f>INTERVENTORIA!F16</x:f>
        <x:v>266580256</x:v>
      </x:c>
      <x:c r="M10" s="295">
        <x:f>K10-L10</x:f>
        <x:v>14412725203.289997</x:v>
      </x:c>
      <x:c r="N10" s="294">
        <x:f>'Reporte Componentes R1'!L194</x:f>
        <x:v>53454221.280000001</x:v>
      </x:c>
      <x:c r="O10" s="295">
        <x:f>M10+N10</x:f>
        <x:v>14466179424.569998</x:v>
      </x:c>
      <x:c r="Q10" s="306"/>
      <x:c r="S10" s="314">
        <x:v>2</x:v>
      </x:c>
      <x:c r="T10" s="315" t="s">
        <x:v>11</x:v>
      </x:c>
      <x:c r="U10" s="316">
        <x:f>'Reporte Componentes R1'!M194</x:f>
        <x:v>1937636226.24</x:v>
      </x:c>
      <x:c r="V10" s="317">
        <x:f>'Reporte Componentes R1'!N194</x:f>
        <x:v>1932409015.4699998</x:v>
      </x:c>
      <x:c r="W10" s="317">
        <x:f>'Reporte Componentes R1'!O194</x:f>
        <x:v>9106102089.4900017</x:v>
      </x:c>
      <x:c r="X10" s="317">
        <x:f>'Reporte Componentes R1'!P194</x:f>
        <x:v>3106141657.3499999</x:v>
      </x:c>
      <x:c r="Y10" s="318">
        <x:f>'Reporte Componentes R1'!Q194</x:f>
        <x:v>361264015.81999999</x:v>
      </x:c>
      <x:c r="Z10" s="319">
        <x:f>L10*-1</x:f>
        <x:v>-266580256</x:v>
      </x:c>
      <x:c r="AA10" s="320">
        <x:f>'Reporte Componentes R1'!R194+'Reporte Componentes R1'!U194+'Reporte Componentes R1'!V194</x:f>
        <x:v>86691.03</x:v>
      </x:c>
      <x:c r="AB10" s="321">
        <x:f>N10</x:f>
        <x:v>53454221.280000001</x:v>
      </x:c>
      <x:c r="AC10" s="320">
        <x:f>'Reporte Componentes R1'!T194+'Reporte Componentes R1'!W194+'Reporte Componentes R1'!X194+'Reporte Componentes R1'!Y194+'Reporte Componentes R1'!Z194+'Reporte Componentes R1'!S194</x:f>
        <x:v>-123.21</x:v>
      </x:c>
      <x:c r="AD10" s="291">
        <x:f t="shared" ref="AD10:AD13" si="0">-J10+AE10</x:f>
        <x:v>-1764334112.9000001</x:v>
      </x:c>
      <x:c r="AE10" s="291">
        <x:f>'Reporte Componentes R1'!F195</x:f>
        <x:v>-5005527827.0100002</x:v>
      </x:c>
      <x:c r="AF10" s="322">
        <x:f>SUM(U10:AD10)</x:f>
        <x:v>14466179424.570004</x:v>
      </x:c>
      <x:c r="AG10" s="522">
        <x:f>(AF10-O10)</x:f>
        <x:v>5.7220458984375E-6</x:v>
      </x:c>
      <x:c r="AH10" s="305" t="b">
        <x:f t="shared" ref="AH10:AH13" si="1">INT(AG10)=0</x:f>
        <x:v>1</x:v>
      </x:c>
      <x:c r="AI10" s="306"/>
    </x:row>
    <x:row r="11" spans="2:35" s="305" customFormat="1" x14ac:dyDescent="0.25">
      <x:c r="B11" s="314">
        <x:v>3</x:v>
      </x:c>
      <x:c r="C11" s="315" t="s">
        <x:v>12</x:v>
      </x:c>
      <x:c r="D11" s="291">
        <x:f>'Reporte Componentes R1'!F325</x:f>
        <x:v>15226209207.130001</x:v>
      </x:c>
      <x:c r="E11" s="292">
        <x:f>'Reporte Componentes R1'!G325</x:f>
        <x:v>1154352513.9099998</x:v>
      </x:c>
      <x:c r="F11" s="292">
        <x:f>'Reporte Componentes R1'!H325</x:f>
        <x:v>650770459.23000002</x:v>
      </x:c>
      <x:c r="G11" s="292">
        <x:f>'Reporte Componentes R1'!I325</x:f>
        <x:v>342056191.35999995</x:v>
      </x:c>
      <x:c r="H11" s="292">
        <x:f>'Reporte Componentes R1'!J325</x:f>
        <x:v>3421408839.6399999</x:v>
      </x:c>
      <x:c r="I11" s="292">
        <x:f>'Reporte Componentes R1'!K325</x:f>
        <x:v>125779556.72</x:v>
      </x:c>
      <x:c r="J11" s="288">
        <x:f>'BCE SC POR FACT.'!F5</x:f>
        <x:v>-853244564.50999999</x:v>
      </x:c>
      <x:c r="K11" s="295">
        <x:f>D11-E11-F11-G11-H11-I11-J11</x:f>
        <x:v>10385086210.780003</x:v>
      </x:c>
      <x:c r="L11" s="294">
        <x:f>INTERVENTORIA!F17</x:f>
        <x:v>154788536</x:v>
      </x:c>
      <x:c r="M11" s="295">
        <x:f>K11-L11</x:f>
        <x:v>10230297674.780003</x:v>
      </x:c>
      <x:c r="N11" s="294">
        <x:f>'Reporte Componentes R1'!L325</x:f>
        <x:v>14319220.949999999</x:v>
      </x:c>
      <x:c r="O11" s="295">
        <x:f>M11+N11</x:f>
        <x:v>10244616895.730003</x:v>
      </x:c>
      <x:c r="Q11" s="306"/>
      <x:c r="S11" s="314">
        <x:v>3</x:v>
      </x:c>
      <x:c r="T11" s="315" t="s">
        <x:v>12</x:v>
      </x:c>
      <x:c r="U11" s="316">
        <x:f>'Reporte Componentes R1'!M325</x:f>
        <x:v>1103091507.73</x:v>
      </x:c>
      <x:c r="V11" s="317">
        <x:f>'Reporte Componentes R1'!N325</x:f>
        <x:v>1086971984.1900001</x:v>
      </x:c>
      <x:c r="W11" s="317">
        <x:f>'Reporte Componentes R1'!O325</x:f>
        <x:v>5143912413.1300001</x:v>
      </x:c>
      <x:c r="X11" s="317">
        <x:f>'Reporte Componentes R1'!P325</x:f>
        <x:v>2684422813.5500002</x:v>
      </x:c>
      <x:c r="Y11" s="318">
        <x:f>'Reporte Componentes R1'!Q325</x:f>
        <x:v>205320738.77000001</x:v>
      </x:c>
      <x:c r="Z11" s="319">
        <x:f>L11*-1</x:f>
        <x:v>-154788536</x:v>
      </x:c>
      <x:c r="AA11" s="320">
        <x:f>'Reporte Componentes R1'!R325+'Reporte Componentes R1'!U325+'Reporte Componentes R1'!V325</x:f>
        <x:v>246494.88</x:v>
      </x:c>
      <x:c r="AB11" s="321">
        <x:f>N11</x:f>
        <x:v>14319220.949999999</x:v>
      </x:c>
      <x:c r="AC11" s="320">
        <x:f>'Reporte Componentes R1'!T325+'Reporte Componentes R1'!W325+'Reporte Componentes R1'!X325+'Reporte Componentes R1'!Y325+'Reporte Componentes R1'!Z325+'Reporte Componentes R1'!S325</x:f>
        <x:v>-11886.32</x:v>
      </x:c>
      <x:c r="AD11" s="291">
        <x:f t="shared" si="0"/>
        <x:v>161132144.85000002</x:v>
      </x:c>
      <x:c r="AE11" s="291">
        <x:f>'Reporte Componentes R1'!F326</x:f>
        <x:v>-692112419.65999997</x:v>
      </x:c>
      <x:c r="AF11" s="322">
        <x:f t="shared" ref="AF11:AF13" si="2">SUM(U11:AD11)</x:f>
        <x:v>10244616895.730001</x:v>
      </x:c>
      <x:c r="AG11" s="522">
        <x:f>(AF11-O11)</x:f>
        <x:v>-1.9073486328125E-6</x:v>
      </x:c>
      <x:c r="AH11" s="305" t="b">
        <x:f t="shared" si="1"/>
        <x:v>0</x:v>
      </x:c>
      <x:c r="AI11" s="306"/>
    </x:row>
    <x:row r="12" spans="2:35" s="305" customFormat="1" x14ac:dyDescent="0.25">
      <x:c r="B12" s="314">
        <x:v>4</x:v>
      </x:c>
      <x:c r="C12" s="315" t="s">
        <x:v>13</x:v>
      </x:c>
      <x:c r="D12" s="291">
        <x:f>'Reporte Componentes R1'!F456</x:f>
        <x:v>7047492494.7299986</x:v>
      </x:c>
      <x:c r="E12" s="292">
        <x:f>'Reporte Componentes R1'!G456</x:f>
        <x:v>460474439.50999999</x:v>
      </x:c>
      <x:c r="F12" s="292">
        <x:f>'Reporte Componentes R1'!H456</x:f>
        <x:v>257013372.20000002</x:v>
      </x:c>
      <x:c r="G12" s="292">
        <x:f>'Reporte Componentes R1'!I456</x:f>
        <x:v>134305930.96000001</x:v>
      </x:c>
      <x:c r="H12" s="292">
        <x:f>'Reporte Componentes R1'!J456</x:f>
        <x:v>1578923907.48</x:v>
      </x:c>
      <x:c r="I12" s="292">
        <x:f>'Reporte Componentes R1'!K456</x:f>
        <x:v>61673075.199999996</x:v>
      </x:c>
      <x:c r="J12" s="288">
        <x:f>'BCE SC POR FACT.'!F6</x:f>
        <x:v>-699882713.37000012</x:v>
      </x:c>
      <x:c r="K12" s="295">
        <x:f>D12-E12-F12-G12-H12-I12-J12</x:f>
        <x:v>5254984482.7499981</x:v>
      </x:c>
      <x:c r="L12" s="294">
        <x:f>INTERVENTORIA!F18</x:f>
        <x:v>120391083</x:v>
      </x:c>
      <x:c r="M12" s="295">
        <x:f>K12-L12</x:f>
        <x:v>5134593399.7499981</x:v>
      </x:c>
      <x:c r="N12" s="294">
        <x:f>'Reporte Componentes R1'!L456</x:f>
        <x:v>34128344.93</x:v>
      </x:c>
      <x:c r="O12" s="295">
        <x:f>M12+N12</x:f>
        <x:v>5168721744.6799984</x:v>
      </x:c>
      <x:c r="Q12" s="306"/>
      <x:c r="S12" s="314">
        <x:v>4</x:v>
      </x:c>
      <x:c r="T12" s="315" t="s">
        <x:v>13</x:v>
      </x:c>
      <x:c r="U12" s="316">
        <x:f>'Reporte Componentes R1'!M456</x:f>
        <x:v>541555023.57000005</x:v>
      </x:c>
      <x:c r="V12" s="317">
        <x:f>'Reporte Componentes R1'!N456</x:f>
        <x:v>540045654.16999996</x:v>
      </x:c>
      <x:c r="W12" s="317">
        <x:f>'Reporte Componentes R1'!O456</x:f>
        <x:v>2761855935.0099998</x:v>
      </x:c>
      <x:c r="X12" s="317">
        <x:f>'Reporte Componentes R1'!P456</x:f>
        <x:v>1218672485.6500001</x:v>
      </x:c>
      <x:c r="Y12" s="318">
        <x:f>'Reporte Componentes R1'!Q456</x:f>
        <x:v>100841209.87</x:v>
      </x:c>
      <x:c r="Z12" s="319">
        <x:f>L12*-1</x:f>
        <x:v>-120391083</x:v>
      </x:c>
      <x:c r="AA12" s="320">
        <x:f>'Reporte Componentes R1'!R456+'Reporte Componentes R1'!U456+'Reporte Componentes R1'!V456</x:f>
        <x:v>-16277.43</x:v>
      </x:c>
      <x:c r="AB12" s="321">
        <x:f>N12</x:f>
        <x:v>34128344.93</x:v>
      </x:c>
      <x:c r="AC12" s="320">
        <x:f>'Reporte Componentes R1'!T456+'Reporte Componentes R1'!W456+'Reporte Componentes R1'!X456+'Reporte Componentes R1'!Y456+'Reporte Componentes R1'!Z456+'Reporte Componentes R1'!S456</x:f>
        <x:v>-440.07</x:v>
      </x:c>
      <x:c r="AD12" s="291">
        <x:f t="shared" si="0"/>
        <x:v>92030891.980000138</x:v>
      </x:c>
      <x:c r="AE12" s="291">
        <x:f>'Reporte Componentes R1'!F457</x:f>
        <x:v>-607851821.38999999</x:v>
      </x:c>
      <x:c r="AF12" s="322">
        <x:f t="shared" si="2"/>
        <x:v>5168721744.6800003</x:v>
      </x:c>
      <x:c r="AG12" s="522">
        <x:f>(AF12-O12)</x:f>
        <x:v>1.9073486328125E-6</x:v>
      </x:c>
      <x:c r="AH12" s="305" t="b">
        <x:f t="shared" si="1"/>
        <x:v>1</x:v>
      </x:c>
      <x:c r="AI12" s="306"/>
    </x:row>
    <x:row r="13" spans="2:35" s="305" customFormat="1" ht="12" thickBot="1" x14ac:dyDescent="0.3">
      <x:c r="B13" s="324">
        <x:v>5</x:v>
      </x:c>
      <x:c r="C13" s="325" t="s">
        <x:v>14</x:v>
      </x:c>
      <x:c r="D13" s="296">
        <x:f>'Reporte Componentes R1'!F554</x:f>
        <x:v>12033011685.710001</x:v>
      </x:c>
      <x:c r="E13" s="297">
        <x:f>'Reporte Componentes R1'!G554</x:f>
        <x:v>728817640.58000004</x:v>
      </x:c>
      <x:c r="F13" s="297">
        <x:f>'Reporte Componentes R1'!H554</x:f>
        <x:v>410843194.33999997</x:v>
      </x:c>
      <x:c r="G13" s="297">
        <x:f>'Reporte Componentes R1'!I554</x:f>
        <x:v>215464172.38</x:v>
      </x:c>
      <x:c r="H13" s="297">
        <x:f>'Reporte Componentes R1'!J554</x:f>
        <x:v>2764649544.23</x:v>
      </x:c>
      <x:c r="I13" s="297">
        <x:f>'Reporte Componentes R1'!K554</x:f>
        <x:v>105636037.55</x:v>
      </x:c>
      <x:c r="J13" s="289">
        <x:f>'BCE SC POR FACT.'!F7</x:f>
        <x:v>-82959023.660000086</x:v>
      </x:c>
      <x:c r="K13" s="295">
        <x:f>D13-E13-F13-G13-H13-I13-J13</x:f>
        <x:v>7890560120.2900019</x:v>
      </x:c>
      <x:c r="L13" s="294">
        <x:f>INTERVENTORIA!F19</x:f>
        <x:v>128990446</x:v>
      </x:c>
      <x:c r="M13" s="298">
        <x:f>K13-L13</x:f>
        <x:v>7761569674.2900019</x:v>
      </x:c>
      <x:c r="N13" s="299">
        <x:f>'Reporte Componentes R1'!L554</x:f>
        <x:v>14901729.33</x:v>
      </x:c>
      <x:c r="O13" s="298">
        <x:f>M13+N13</x:f>
        <x:v>7776471403.6200018</x:v>
      </x:c>
      <x:c r="Q13" s="306"/>
      <x:c r="S13" s="324">
        <x:v>5</x:v>
      </x:c>
      <x:c r="T13" s="325" t="s">
        <x:v>14</x:v>
      </x:c>
      <x:c r="U13" s="296">
        <x:f>'Reporte Componentes R1'!M554</x:f>
        <x:v>926158791.84000003</x:v>
      </x:c>
      <x:c r="V13" s="297">
        <x:f>'Reporte Componentes R1'!N554</x:f>
        <x:v>908897384.00999999</x:v>
      </x:c>
      <x:c r="W13" s="297">
        <x:f>'Reporte Componentes R1'!O554</x:f>
        <x:v>4671478931.3900003</x:v>
      </x:c>
      <x:c r="X13" s="297">
        <x:f>'Reporte Componentes R1'!P554</x:f>
        <x:v>2165115703.0500002</x:v>
      </x:c>
      <x:c r="Y13" s="289">
        <x:f>'Reporte Componentes R1'!Q554</x:f>
        <x:v>172418576.05000001</x:v>
      </x:c>
      <x:c r="Z13" s="319">
        <x:f>L13*-1</x:f>
        <x:v>-128990446</x:v>
      </x:c>
      <x:c r="AA13" s="320">
        <x:f>'Reporte Componentes R1'!R554+'Reporte Componentes R1'!U554+'Reporte Componentes R1'!V554</x:f>
        <x:v>-147734.32999999999</x:v>
      </x:c>
      <x:c r="AB13" s="321">
        <x:f>N13</x:f>
        <x:v>14901729.33</x:v>
      </x:c>
      <x:c r="AC13" s="320">
        <x:f>'Reporte Componentes R1'!T554+'Reporte Componentes R1'!W554+'Reporte Componentes R1'!X554+'Reporte Componentes R1'!Y554+'Reporte Componentes R1'!Z554+'Reporte Componentes R1'!S554</x:f>
        <x:v>-32.979999999999997</x:v>
      </x:c>
      <x:c r="AD13" s="291">
        <x:f t="shared" si="0"/>
        <x:v>-953361498.73999989</x:v>
      </x:c>
      <x:c r="AE13" s="291">
        <x:f>'Reporte Componentes R1'!F555</x:f>
        <x:v>-1036320522.4</x:v>
      </x:c>
      <x:c r="AF13" s="322">
        <x:f t="shared" si="2"/>
        <x:v>7776471403.6200008</x:v>
      </x:c>
      <x:c r="AG13" s="523">
        <x:f>(AF13-O13)</x:f>
        <x:v>-9.5367431640625E-7</x:v>
      </x:c>
      <x:c r="AH13" s="305" t="b">
        <x:f t="shared" si="1"/>
        <x:v>0</x:v>
      </x:c>
      <x:c r="AI13" s="306"/>
    </x:row>
    <x:row r="14" spans="2:35" s="305" customFormat="1" ht="13.5" thickBot="1" x14ac:dyDescent="0.35">
      <x:c r="B14" s="327"/>
      <x:c r="C14" s="328" t="s">
        <x:v>2</x:v>
      </x:c>
      <x:c r="D14" s="290">
        <x:f>SUM(D9:D13)</x:f>
        <x:v>71998775488.150009</x:v>
      </x:c>
      <x:c r="E14" s="290">
        <x:f t="shared" ref="E14:O14" si="3">SUM(E9:E13)</x:f>
        <x:v>4816995335.1899996</x:v>
      </x:c>
      <x:c r="F14" s="290">
        <x:f t="shared" si="3"/>
        <x:v>2708531980.9700003</x:v>
      </x:c>
      <x:c r="G14" s="290">
        <x:f t="shared" ref="G14" si="4">SUM(G9:G13)</x:f>
        <x:v>1421618158.9000001</x:v>
      </x:c>
      <x:c r="H14" s="290">
        <x:f t="shared" si="3"/>
        <x:v>17330480077.27</x:v>
      </x:c>
      <x:c r="I14" s="290">
        <x:f t="shared" si="3"/>
        <x:v>647719174.23000002</x:v>
      </x:c>
      <x:c r="J14" s="290">
        <x:f t="shared" si="3"/>
        <x:v>-8466734681.1999998</x:v>
      </x:c>
      <x:c r="K14" s="300">
        <x:f>SUM(K9:K13)</x:f>
        <x:v>53540165442.790001</x:v>
      </x:c>
      <x:c r="L14" s="301">
        <x:f>SUM(L9:L13)</x:f>
        <x:v>859936309</x:v>
      </x:c>
      <x:c r="M14" s="302">
        <x:f t="shared" si="3"/>
        <x:v>52680229133.790001</x:v>
      </x:c>
      <x:c r="N14" s="301">
        <x:f t="shared" si="3"/>
        <x:v>142080832.75000003</x:v>
      </x:c>
      <x:c r="O14" s="302">
        <x:f t="shared" si="3"/>
        <x:v>52822309966.540001</x:v>
      </x:c>
      <x:c r="P14" s="329"/>
      <x:c r="Q14" s="306"/>
      <x:c r="S14" s="327"/>
      <x:c r="T14" s="328" t="s">
        <x:v>2</x:v>
      </x:c>
      <x:c r="U14" s="330">
        <x:f>SUM(U9:U13)</x:f>
        <x:v>5683370044.4800005</x:v>
      </x:c>
      <x:c r="V14" s="330">
        <x:f t="shared" ref="V14:AF14" si="5">SUM(V9:V13)</x:f>
        <x:v>5599212151.6999998</x:v>
      </x:c>
      <x:c r="W14" s="330">
        <x:f t="shared" si="5"/>
        <x:v>27035524897.790001</x:v>
      </x:c>
      <x:c r="X14" s="330">
        <x:f t="shared" si="5"/>
        <x:v>11610102295.400002</x:v>
      </x:c>
      <x:c r="Y14" s="330">
        <x:f t="shared" si="5"/>
        <x:v>1057749118.8199999</x:v>
      </x:c>
      <x:c r="Z14" s="290">
        <x:f t="shared" si="5"/>
        <x:v>-859936309</x:v>
      </x:c>
      <x:c r="AA14" s="290">
        <x:f t="shared" si="5"/>
        <x:v>151628.95000000004</x:v>
      </x:c>
      <x:c r="AB14" s="290">
        <x:f t="shared" si="5"/>
        <x:v>142080832.75000003</x:v>
      </x:c>
      <x:c r="AC14" s="290">
        <x:f>SUM(AC9:AC13)</x:f>
        <x:v>-14075.189999999999</x:v>
      </x:c>
      <x:c r="AD14" s="290">
        <x:f>SUM(AD9:AD13)</x:f>
        <x:v>2554069380.8399997</x:v>
      </x:c>
      <x:c r="AE14" s="290">
        <x:f>SUM(AE9:AE13)</x:f>
        <x:v>-5912665300.3599997</x:v>
      </x:c>
      <x:c r="AF14" s="331">
        <x:f t="shared" si="5"/>
        <x:v>52822309966.540009</x:v>
      </x:c>
      <x:c r="AG14" s="524">
        <x:f>SUM(AG9:AG13)</x:f>
        <x:v>2.86102294921875E-6</x:v>
      </x:c>
      <x:c r="AH14" s="305" t="b">
        <x:f>INT(AG14)=0</x:f>
        <x:v>1</x:v>
      </x:c>
      <x:c r="AI14" s="306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50985958508.190002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4"/>
      <x:c r="Q17" s="4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3">
      <x:c r="Q20" s="4"/>
      <x:c r="AI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5" x14ac:dyDescent="0.35">
      <x:c r="B25" s="8"/>
      <x:c r="C25" s="599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" thickBot="1" x14ac:dyDescent="0.3">
      <x:c r="B26" s="8"/>
      <x:c r="C26" s="599" t="s">
        <x:v>0</x:v>
      </x:c>
      <x:c r="D26" s="241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72"/>
      <x:c r="AI26" s="4"/>
    </x:row>
    <x:row r="27" spans="1:35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226</x:v>
      </x:c>
      <x:c r="AF27" s="39" t="s">
        <x:v>23</x:v>
      </x:c>
      <x:c r="AG27" s="273"/>
      <x:c r="AI27" s="4"/>
    </x:row>
    <x:row r="28" spans="1:35" s="305" customFormat="1" x14ac:dyDescent="0.25">
      <x:c r="B28" s="303">
        <x:v>1</x:v>
      </x:c>
      <x:c r="C28" s="304" t="s">
        <x:v>10</x:v>
      </x:c>
      <x:c r="D28" s="291">
        <x:f>'Rem. Anticipos R2'!E43</x:f>
        <x:v>125948553.12</x:v>
      </x:c>
      <x:c r="E28" s="292">
        <x:f>'Rem. Anticipos R2'!F43</x:f>
        <x:v>9640402.9100000001</x:v>
      </x:c>
      <x:c r="F28" s="292">
        <x:f>'Rem. Anticipos R2'!G43</x:f>
        <x:v>5490662.7300000004</x:v>
      </x:c>
      <x:c r="G28" s="292">
        <x:f>'Rem. Anticipos R2'!H43</x:f>
        <x:v>2785450.03</x:v>
      </x:c>
      <x:c r="H28" s="292">
        <x:f>'Rem. Anticipos R2'!I43</x:f>
        <x:v>24544067.870000001</x:v>
      </x:c>
      <x:c r="I28" s="292">
        <x:f>'Rem. Anticipos R2'!J43</x:f>
        <x:v>964886.66</x:v>
      </x:c>
      <x:c r="J28" s="288">
        <x:v>0</x:v>
      </x:c>
      <x:c r="K28" s="293">
        <x:f>D28-E28-F28-G28-H28-I28-J28</x:f>
        <x:v>82523082.920000002</x:v>
      </x:c>
      <x:c r="L28" s="294">
        <x:v>0</x:v>
      </x:c>
      <x:c r="M28" s="293">
        <x:f>K28-L28</x:f>
        <x:v>82523082.920000002</x:v>
      </x:c>
      <x:c r="N28" s="294">
        <x:f>'Rem. Anticipos R2'!K43</x:f>
        <x:v>0</x:v>
      </x:c>
      <x:c r="O28" s="293">
        <x:f>M28+N28</x:f>
        <x:v>82523082.920000002</x:v>
      </x:c>
      <x:c r="Q28" s="306"/>
      <x:c r="S28" s="303">
        <x:v>1</x:v>
      </x:c>
      <x:c r="T28" s="304" t="s">
        <x:v>10</x:v>
      </x:c>
      <x:c r="U28" s="307">
        <x:f>'Rem. Anticipos R2'!L43</x:f>
        <x:v>8824083.3000000007</x:v>
      </x:c>
      <x:c r="V28" s="308">
        <x:f>'Rem. Anticipos R2'!M43</x:f>
        <x:v>8523193.0899999999</x:v>
      </x:c>
      <x:c r="W28" s="308">
        <x:f>'Rem. Anticipos R2'!N43</x:f>
        <x:v>37613664.950000003</x:v>
      </x:c>
      <x:c r="X28" s="308">
        <x:f>'Rem. Anticipos R2'!O43</x:f>
        <x:v>27011615</x:v>
      </x:c>
      <x:c r="Y28" s="308">
        <x:f>'Rem. Anticipos R2'!P43</x:f>
        <x:v>1394039.63</x:v>
      </x:c>
      <x:c r="Z28" s="310">
        <x:f>L28*-1</x:f>
        <x:v>0</x:v>
      </x:c>
      <x:c r="AA28" s="311">
        <x:f>'Rem. Anticipos R2'!Q43</x:f>
        <x:v>-73.75</x:v>
      </x:c>
      <x:c r="AB28" s="294">
        <x:f>N28</x:f>
        <x:v>0</x:v>
      </x:c>
      <x:c r="AC28" s="311">
        <x:f>'Rem. Anticipos R2'!R43</x:f>
        <x:v>0</x:v>
      </x:c>
      <x:c r="AD28" s="291">
        <x:f>-J28+AE28</x:f>
        <x:v>-843439.3</x:v>
      </x:c>
      <x:c r="AE28" s="291">
        <x:f>'Rem. Anticipos R2'!E44</x:f>
        <x:v>-843439.3</x:v>
      </x:c>
      <x:c r="AF28" s="313">
        <x:f>SUM(U28:AD28)</x:f>
        <x:v>82523082.920000002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5">
      <x:c r="B29" s="314">
        <x:v>2</x:v>
      </x:c>
      <x:c r="C29" s="315" t="s">
        <x:v>11</x:v>
      </x:c>
      <x:c r="D29" s="291">
        <x:f>'Rem. Anticipos R2'!E139</x:f>
        <x:v>178539092.16</x:v>
      </x:c>
      <x:c r="E29" s="292">
        <x:f>'Rem. Anticipos R2'!F139</x:f>
        <x:v>17193125.32</x:v>
      </x:c>
      <x:c r="F29" s="292">
        <x:f>'Rem. Anticipos R2'!G139</x:f>
        <x:v>9759590.5199999996</x:v>
      </x:c>
      <x:c r="G29" s="292">
        <x:f>'Rem. Anticipos R2'!H139</x:f>
        <x:v>4674886.45</x:v>
      </x:c>
      <x:c r="H29" s="292">
        <x:f>'Rem. Anticipos R2'!I139</x:f>
        <x:v>47216081.210000001</x:v>
      </x:c>
      <x:c r="I29" s="292">
        <x:f>'Rem. Anticipos R2'!J139</x:f>
        <x:v>1451359.21</x:v>
      </x:c>
      <x:c r="J29" s="288">
        <x:v>0</x:v>
      </x:c>
      <x:c r="K29" s="295">
        <x:f>D29-E29-F29-G29-H29-I29-J29</x:f>
        <x:v>98244049.450000003</x:v>
      </x:c>
      <x:c r="L29" s="294">
        <x:v>0</x:v>
      </x:c>
      <x:c r="M29" s="295">
        <x:f>K29-L29</x:f>
        <x:v>98244049.450000003</x:v>
      </x:c>
      <x:c r="N29" s="294">
        <x:f>'Rem. Anticipos R2'!K139</x:f>
        <x:v>0</x:v>
      </x:c>
      <x:c r="O29" s="295">
        <x:f t="shared" ref="O29:O32" si="6">M29+N29</x:f>
        <x:v>98244049.450000003</x:v>
      </x:c>
      <x:c r="Q29" s="306"/>
      <x:c r="S29" s="314">
        <x:v>2</x:v>
      </x:c>
      <x:c r="T29" s="315" t="s">
        <x:v>11</x:v>
      </x:c>
      <x:c r="U29" s="316">
        <x:f>'Rem. Anticipos R2'!L139</x:f>
        <x:v>13193069.92</x:v>
      </x:c>
      <x:c r="V29" s="317">
        <x:f>'Rem. Anticipos R2'!M139</x:f>
        <x:v>14193303.560000001</x:v>
      </x:c>
      <x:c r="W29" s="317">
        <x:f>'Rem. Anticipos R2'!N139</x:f>
        <x:v>54326291.740000002</x:v>
      </x:c>
      <x:c r="X29" s="317">
        <x:f>'Rem. Anticipos R2'!O139</x:f>
        <x:v>52723995.280000001</x:v>
      </x:c>
      <x:c r="Y29" s="318">
        <x:f>'Rem. Anticipos R2'!P139</x:f>
        <x:v>1920514</x:v>
      </x:c>
      <x:c r="Z29" s="319">
        <x:f>L29*-1</x:f>
        <x:v>0</x:v>
      </x:c>
      <x:c r="AA29" s="320">
        <x:f>'Rem. Anticipos R2'!Q139</x:f>
        <x:v>181.61</x:v>
      </x:c>
      <x:c r="AB29" s="294">
        <x:f>N29</x:f>
        <x:v>0</x:v>
      </x:c>
      <x:c r="AC29" s="320">
        <x:f>'Rem. Anticipos R2'!R139</x:f>
        <x:v>0</x:v>
      </x:c>
      <x:c r="AD29" s="291">
        <x:f>-J29+AE29</x:f>
        <x:v>-38113306.659999996</x:v>
      </x:c>
      <x:c r="AE29" s="291">
        <x:f>'Rem. Anticipos R2'!E140</x:f>
        <x:v>-38113306.659999996</x:v>
      </x:c>
      <x:c r="AF29" s="322">
        <x:f>SUM(U29:AD29)</x:f>
        <x:v>98244049.450000018</x:v>
      </x:c>
      <x:c r="AG29" s="522">
        <x:f>(AF29-O29)</x:f>
        <x:v>1.4901161193847656E-8</x:v>
      </x:c>
      <x:c r="AH29" s="305" t="b">
        <x:f t="shared" ref="AH29:AH32" si="7">INT(AG29)=0</x:f>
        <x:v>1</x:v>
      </x:c>
      <x:c r="AI29" s="306"/>
    </x:row>
    <x:row r="30" spans="1:35" s="305" customFormat="1" x14ac:dyDescent="0.25">
      <x:c r="B30" s="314">
        <x:v>3</x:v>
      </x:c>
      <x:c r="C30" s="315" t="s">
        <x:v>12</x:v>
      </x:c>
      <x:c r="D30" s="291">
        <x:f>'Rem. Anticipos R2'!E256</x:f>
        <x:v>26586328.289999999</x:v>
      </x:c>
      <x:c r="E30" s="292">
        <x:f>'Rem. Anticipos R2'!F256</x:f>
        <x:v>2669415.9900000002</x:v>
      </x:c>
      <x:c r="F30" s="292">
        <x:f>'Rem. Anticipos R2'!G256</x:f>
        <x:v>1115118.8799999999</x:v>
      </x:c>
      <x:c r="G30" s="292">
        <x:f>'Rem. Anticipos R2'!H256</x:f>
        <x:v>766590.87</x:v>
      </x:c>
      <x:c r="H30" s="292">
        <x:f>'Rem. Anticipos R2'!I256</x:f>
        <x:v>3649866.33</x:v>
      </x:c>
      <x:c r="I30" s="292">
        <x:f>'Rem. Anticipos R2'!J256</x:f>
        <x:v>117977.5</x:v>
      </x:c>
      <x:c r="J30" s="288">
        <x:v>0</x:v>
      </x:c>
      <x:c r="K30" s="295">
        <x:f t="shared" ref="K30:K31" si="8">D30-E30-F30-G30-H30-I30-J30</x:f>
        <x:v>18267358.719999999</x:v>
      </x:c>
      <x:c r="L30" s="294">
        <x:v>0</x:v>
      </x:c>
      <x:c r="M30" s="295">
        <x:f>K30-L30</x:f>
        <x:v>18267358.719999999</x:v>
      </x:c>
      <x:c r="N30" s="294">
        <x:f>'Rem. Anticipos R2'!K256</x:f>
        <x:v>22742.37</x:v>
      </x:c>
      <x:c r="O30" s="295">
        <x:f t="shared" si="6"/>
        <x:v>18290101.09</x:v>
      </x:c>
      <x:c r="Q30" s="306"/>
      <x:c r="S30" s="314">
        <x:v>3</x:v>
      </x:c>
      <x:c r="T30" s="315" t="s">
        <x:v>12</x:v>
      </x:c>
      <x:c r="U30" s="316">
        <x:f>'Rem. Anticipos R2'!L256</x:f>
        <x:v>1069586.72</x:v>
      </x:c>
      <x:c r="V30" s="317">
        <x:f>'Rem. Anticipos R2'!M256</x:f>
        <x:v>1249645.94</x:v>
      </x:c>
      <x:c r="W30" s="317">
        <x:f>'Rem. Anticipos R2'!N256</x:f>
        <x:v>6297254.4900000002</x:v>
      </x:c>
      <x:c r="X30" s="317">
        <x:f>'Rem. Anticipos R2'!O256</x:f>
        <x:v>6569127.7699999996</x:v>
      </x:c>
      <x:c r="Y30" s="318">
        <x:f>'Rem. Anticipos R2'!P256</x:f>
        <x:v>179885.12</x:v>
      </x:c>
      <x:c r="Z30" s="319">
        <x:f>L30*-1</x:f>
        <x:v>0</x:v>
      </x:c>
      <x:c r="AA30" s="320">
        <x:f>'Rem. Anticipos R2'!Q256</x:f>
        <x:v>46.22</x:v>
      </x:c>
      <x:c r="AB30" s="294">
        <x:f>N30</x:f>
        <x:v>22742.37</x:v>
      </x:c>
      <x:c r="AC30" s="320">
        <x:f>'Rem. Anticipos R2'!R256</x:f>
        <x:v>0</x:v>
      </x:c>
      <x:c r="AD30" s="291">
        <x:f t="shared" ref="AD30:AD32" si="9">-J30+AE30</x:f>
        <x:v>2901812.46</x:v>
      </x:c>
      <x:c r="AE30" s="291">
        <x:f>'Rem. Anticipos R2'!E257</x:f>
        <x:v>2901812.46</x:v>
      </x:c>
      <x:c r="AF30" s="322">
        <x:f>SUM(U30:AD30)</x:f>
        <x:v>18290101.09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5">
      <x:c r="B31" s="314">
        <x:v>4</x:v>
      </x:c>
      <x:c r="C31" s="315" t="s">
        <x:v>13</x:v>
      </x:c>
      <x:c r="D31" s="291">
        <x:f>'Rem. Anticipos R2'!E358</x:f>
        <x:v>161461949.73000002</x:v>
      </x:c>
      <x:c r="E31" s="292">
        <x:f>'Rem. Anticipos R2'!F358</x:f>
        <x:v>16099105.310000001</x:v>
      </x:c>
      <x:c r="F31" s="292">
        <x:f>'Rem. Anticipos R2'!G358</x:f>
        <x:v>9061043.1899999995</x:v>
      </x:c>
      <x:c r="G31" s="292">
        <x:f>'Rem. Anticipos R2'!H358</x:f>
        <x:v>2852946.06</x:v>
      </x:c>
      <x:c r="H31" s="292">
        <x:f>'Rem. Anticipos R2'!I358</x:f>
        <x:v>32340245.82</x:v>
      </x:c>
      <x:c r="I31" s="292">
        <x:f>'Rem. Anticipos R2'!J358</x:f>
        <x:v>1124253.03</x:v>
      </x:c>
      <x:c r="J31" s="288">
        <x:v>0</x:v>
      </x:c>
      <x:c r="K31" s="295">
        <x:f t="shared" si="8"/>
        <x:v>99984356.320000023</x:v>
      </x:c>
      <x:c r="L31" s="294">
        <x:v>0</x:v>
      </x:c>
      <x:c r="M31" s="295">
        <x:f>K31-L31</x:f>
        <x:v>99984356.320000023</x:v>
      </x:c>
      <x:c r="N31" s="294">
        <x:f>'Rem. Anticipos R2'!K358</x:f>
        <x:v>0</x:v>
      </x:c>
      <x:c r="O31" s="295">
        <x:f t="shared" si="6"/>
        <x:v>99984356.320000023</x:v>
      </x:c>
      <x:c r="Q31" s="306"/>
      <x:c r="S31" s="314">
        <x:v>4</x:v>
      </x:c>
      <x:c r="T31" s="315" t="s">
        <x:v>13</x:v>
      </x:c>
      <x:c r="U31" s="316">
        <x:f>'Rem. Anticipos R2'!L358</x:f>
        <x:v>9787993.9299999997</x:v>
      </x:c>
      <x:c r="V31" s="317">
        <x:f>'Rem. Anticipos R2'!M358</x:f>
        <x:v>10109598.300000001</x:v>
      </x:c>
      <x:c r="W31" s="317">
        <x:f>'Rem. Anticipos R2'!N358</x:f>
        <x:v>46326513.079999998</x:v>
      </x:c>
      <x:c r="X31" s="317">
        <x:f>'Rem. Anticipos R2'!O358</x:f>
        <x:v>43710041.659999996</x:v>
      </x:c>
      <x:c r="Y31" s="318">
        <x:f>'Rem. Anticipos R2'!P358</x:f>
        <x:v>1759287.77</x:v>
      </x:c>
      <x:c r="Z31" s="319">
        <x:f>L31*-1</x:f>
        <x:v>0</x:v>
      </x:c>
      <x:c r="AA31" s="320">
        <x:f>'Rem. Anticipos R2'!Q358</x:f>
        <x:v>4.5599999999999996</x:v>
      </x:c>
      <x:c r="AB31" s="294">
        <x:f>N31</x:f>
        <x:v>0</x:v>
      </x:c>
      <x:c r="AC31" s="320">
        <x:f>'Rem. Anticipos R2'!R358</x:f>
        <x:v>0</x:v>
      </x:c>
      <x:c r="AD31" s="291">
        <x:f t="shared" si="9"/>
        <x:v>-11709082.98</x:v>
      </x:c>
      <x:c r="AE31" s="291">
        <x:f>'Rem. Anticipos R2'!E359</x:f>
        <x:v>-11709082.98</x:v>
      </x:c>
      <x:c r="AF31" s="322">
        <x:f>SUM(U31:AD31)</x:f>
        <x:v>99984356.319999993</x:v>
      </x:c>
      <x:c r="AG31" s="522">
        <x:f t="shared" si="10"/>
        <x:v>-2.9802322387695313E-8</x:v>
      </x:c>
      <x:c r="AH31" s="305" t="b">
        <x:f t="shared" si="7"/>
        <x:v>0</x:v>
      </x:c>
      <x:c r="AI31" s="306"/>
    </x:row>
    <x:row r="32" spans="1:35" s="305" customFormat="1" ht="12" thickBot="1" x14ac:dyDescent="0.3">
      <x:c r="B32" s="324">
        <x:v>5</x:v>
      </x:c>
      <x:c r="C32" s="325" t="s">
        <x:v>14</x:v>
      </x:c>
      <x:c r="D32" s="296">
        <x:f>'Rem. Anticipos R2'!E438</x:f>
        <x:v>42983502.410000004</x:v>
      </x:c>
      <x:c r="E32" s="297">
        <x:f>'Rem. Anticipos R2'!F438</x:f>
        <x:v>3046794.96</x:v>
      </x:c>
      <x:c r="F32" s="297">
        <x:f>'Rem. Anticipos R2'!G438</x:f>
        <x:v>1737546.59</x:v>
      </x:c>
      <x:c r="G32" s="297">
        <x:f>'Rem. Anticipos R2'!H438</x:f>
        <x:v>808529.7</x:v>
      </x:c>
      <x:c r="H32" s="297">
        <x:f>'Rem. Anticipos R2'!I438</x:f>
        <x:v>7182406.2400000002</x:v>
      </x:c>
      <x:c r="I32" s="297">
        <x:f>'Rem. Anticipos R2'!J438</x:f>
        <x:v>249175.55</x:v>
      </x:c>
      <x:c r="J32" s="289">
        <x:v>0</x:v>
      </x:c>
      <x:c r="K32" s="295">
        <x:f>D32-E32-F32-G32-H32-I32-J32</x:f>
        <x:v>29959049.369999994</x:v>
      </x:c>
      <x:c r="L32" s="294">
        <x:v>0</x:v>
      </x:c>
      <x:c r="M32" s="298">
        <x:f>K32-L32</x:f>
        <x:v>29959049.369999994</x:v>
      </x:c>
      <x:c r="N32" s="299">
        <x:f>'Rem. Anticipos R2'!K438</x:f>
        <x:v>990006.55</x:v>
      </x:c>
      <x:c r="O32" s="298">
        <x:f t="shared" si="6"/>
        <x:v>30949055.919999994</x:v>
      </x:c>
      <x:c r="Q32" s="306"/>
      <x:c r="S32" s="324">
        <x:v>5</x:v>
      </x:c>
      <x:c r="T32" s="325" t="s">
        <x:v>14</x:v>
      </x:c>
      <x:c r="U32" s="296">
        <x:f>'Rem. Anticipos R2'!L438</x:f>
        <x:v>2265402.94</x:v>
      </x:c>
      <x:c r="V32" s="297">
        <x:f>'Rem. Anticipos R2'!M438</x:f>
        <x:v>2501140.2999999998</x:v>
      </x:c>
      <x:c r="W32" s="297">
        <x:f>'Rem. Anticipos R2'!N438</x:f>
        <x:v>10769602.529999999</x:v>
      </x:c>
      <x:c r="X32" s="297">
        <x:f>'Rem. Anticipos R2'!O438</x:f>
        <x:v>9260216.1500000004</x:v>
      </x:c>
      <x:c r="Y32" s="289">
        <x:f>'Rem. Anticipos R2'!P438</x:f>
        <x:v>352055.57</x:v>
      </x:c>
      <x:c r="Z32" s="319">
        <x:f>L32*-1</x:f>
        <x:v>0</x:v>
      </x:c>
      <x:c r="AA32" s="320">
        <x:f>'Rem. Anticipos R2'!Q438</x:f>
        <x:v>-10.37</x:v>
      </x:c>
      <x:c r="AB32" s="294">
        <x:f>N32</x:f>
        <x:v>990006.55</x:v>
      </x:c>
      <x:c r="AC32" s="320">
        <x:f>'Rem. Anticipos R2'!R438</x:f>
        <x:v>0</x:v>
      </x:c>
      <x:c r="AD32" s="291">
        <x:f t="shared" si="9"/>
        <x:v>4810642.25</x:v>
      </x:c>
      <x:c r="AE32" s="291">
        <x:f>'Rem. Anticipos R2'!E439</x:f>
        <x:v>4810642.25</x:v>
      </x:c>
      <x:c r="AF32" s="322">
        <x:f>SUM(U32:AD32)</x:f>
        <x:v>30949055.920000002</x:v>
      </x:c>
      <x:c r="AG32" s="523">
        <x:f>(AF32-O32)</x:f>
        <x:v>7.4505805969238281E-9</x:v>
      </x:c>
      <x:c r="AH32" s="305" t="b">
        <x:f t="shared" si="7"/>
        <x:v>1</x:v>
      </x:c>
      <x:c r="AI32" s="306"/>
    </x:row>
    <x:row r="33" spans="1:35" s="305" customFormat="1" ht="13.5" thickBot="1" x14ac:dyDescent="0.35">
      <x:c r="B33" s="327"/>
      <x:c r="C33" s="328" t="s">
        <x:v>2</x:v>
      </x:c>
      <x:c r="D33" s="290">
        <x:f>SUM(D28:D32)</x:f>
        <x:v>535519425.71000004</x:v>
      </x:c>
      <x:c r="E33" s="290">
        <x:f>SUM(E28:E32)</x:f>
        <x:v>48648844.490000002</x:v>
      </x:c>
      <x:c r="F33" s="290">
        <x:f t="shared" ref="F33:O33" si="11">SUM(F28:F32)</x:f>
        <x:v>27163961.91</x:v>
      </x:c>
      <x:c r="G33" s="290">
        <x:f t="shared" ref="G33" si="12">SUM(G28:G32)</x:f>
        <x:v>11888403.109999999</x:v>
      </x:c>
      <x:c r="H33" s="290">
        <x:f t="shared" si="11"/>
        <x:v>114932667.46999998</x:v>
      </x:c>
      <x:c r="I33" s="290">
        <x:f t="shared" si="11"/>
        <x:v>3907651.95</x:v>
      </x:c>
      <x:c r="J33" s="290">
        <x:f t="shared" si="11"/>
        <x:v>0</x:v>
      </x:c>
      <x:c r="K33" s="300">
        <x:f t="shared" si="11"/>
        <x:v>328977896.78000003</x:v>
      </x:c>
      <x:c r="L33" s="301">
        <x:f t="shared" si="11"/>
        <x:v>0</x:v>
      </x:c>
      <x:c r="M33" s="302">
        <x:f t="shared" si="11"/>
        <x:v>328977896.78000003</x:v>
      </x:c>
      <x:c r="N33" s="301">
        <x:f t="shared" si="11"/>
        <x:v>1012748.92</x:v>
      </x:c>
      <x:c r="O33" s="302">
        <x:f t="shared" si="11"/>
        <x:v>329990645.70000005</x:v>
      </x:c>
      <x:c r="P33" s="329"/>
      <x:c r="Q33" s="306"/>
      <x:c r="S33" s="327"/>
      <x:c r="T33" s="328" t="s">
        <x:v>2</x:v>
      </x:c>
      <x:c r="U33" s="330">
        <x:f>SUM(U28:U32)</x:f>
        <x:v>35140136.809999995</x:v>
      </x:c>
      <x:c r="V33" s="330">
        <x:f t="shared" ref="V33:AF33" si="13">SUM(V28:V32)</x:f>
        <x:v>36576881.189999998</x:v>
      </x:c>
      <x:c r="W33" s="330">
        <x:f t="shared" si="13"/>
        <x:v>155333326.78999999</x:v>
      </x:c>
      <x:c r="X33" s="330">
        <x:f t="shared" si="13"/>
        <x:v>139274995.85999998</x:v>
      </x:c>
      <x:c r="Y33" s="330">
        <x:f t="shared" si="13"/>
        <x:v>5605782.0899999999</x:v>
      </x:c>
      <x:c r="Z33" s="290">
        <x:f t="shared" si="13"/>
        <x:v>0</x:v>
      </x:c>
      <x:c r="AA33" s="290">
        <x:f t="shared" si="13"/>
        <x:v>148.27000000000001</x:v>
      </x:c>
      <x:c r="AB33" s="290">
        <x:f t="shared" si="13"/>
        <x:v>1012748.92</x:v>
      </x:c>
      <x:c r="AC33" s="290">
        <x:f t="shared" ref="AC33" si="14">SUM(AC28:AC32)</x:f>
        <x:v>0</x:v>
      </x:c>
      <x:c r="AD33" s="290">
        <x:f>SUM(AD28:AD32)</x:f>
        <x:v>-42953374.229999989</x:v>
      </x:c>
      <x:c r="AE33" s="290">
        <x:f>SUM(AE28:AE32)</x:f>
        <x:v>-42953374.229999989</x:v>
      </x:c>
      <x:c r="AF33" s="331">
        <x:f t="shared" si="13"/>
        <x:v>329990645.69999999</x:v>
      </x:c>
      <x:c r="AG33" s="524">
        <x:f t="shared" ref="AG33" si="15">SUM(AG28:AG32)</x:f>
        <x:v>-7.4505805969238281E-9</x:v>
      </x:c>
      <x:c r="AH33" s="305" t="b">
        <x:f>INT(AG33)=0</x:f>
        <x:v>0</x:v>
      </x:c>
      <x:c r="AI33" s="306"/>
    </x:row>
    <x:row r="34" spans="1:35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371931122.73999995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3">
      <x:c r="Q39" s="4"/>
      <x:c r="AI39" s="4"/>
    </x:row>
    <x:row r="40" spans="1:35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5" x14ac:dyDescent="0.35">
      <x:c r="B44" s="8"/>
      <x:c r="C44" s="599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" thickBot="1" x14ac:dyDescent="0.3">
      <x:c r="B45" s="8"/>
      <x:c r="C45" s="599" t="s">
        <x:v>0</x:v>
      </x:c>
      <x:c r="D45" s="241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72"/>
      <x:c r="AI45" s="4"/>
    </x:row>
    <x:row r="46" spans="1:35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226</x:v>
      </x:c>
      <x:c r="AF46" s="39" t="s">
        <x:v>23</x:v>
      </x:c>
      <x:c r="AG46" s="273"/>
      <x:c r="AI46" s="4"/>
    </x:row>
    <x:row r="47" spans="1:35" s="305" customFormat="1" x14ac:dyDescent="0.25">
      <x:c r="B47" s="303">
        <x:v>1</x:v>
      </x:c>
      <x:c r="C47" s="304" t="s">
        <x:v>10</x:v>
      </x:c>
      <x:c r="D47" s="291">
        <x:f>'Reporte Componentes R1'!F52</x:f>
        <x:v>49580</x:v>
      </x:c>
      <x:c r="E47" s="292">
        <x:f>'Reporte Componentes R1'!G52</x:f>
        <x:v>2007.44</x:v>
      </x:c>
      <x:c r="F47" s="292">
        <x:f>'Reporte Componentes R1'!H52</x:f>
        <x:v>1133.3800000000001</x:v>
      </x:c>
      <x:c r="G47" s="292">
        <x:f>'Reporte Componentes R1'!I52</x:f>
        <x:v>594.88</x:v>
      </x:c>
      <x:c r="H47" s="292">
        <x:f>'Reporte Componentes R1'!J52</x:f>
        <x:v>0</x:v>
      </x:c>
      <x:c r="I47" s="292">
        <x:f>'Reporte Componentes R1'!K52</x:f>
        <x:v>0</x:v>
      </x:c>
      <x:c r="J47" s="288">
        <x:v>0</x:v>
      </x:c>
      <x:c r="K47" s="293">
        <x:f>D47-E47-F47-G47-H47-I47-J47</x:f>
        <x:v>45844.3</x:v>
      </x:c>
      <x:c r="L47" s="294">
        <x:v>0</x:v>
      </x:c>
      <x:c r="M47" s="293">
        <x:f>K47-L47</x:f>
        <x:v>45844.3</x:v>
      </x:c>
      <x:c r="N47" s="294">
        <x:f>'Reporte Componentes R1'!L52</x:f>
        <x:v>0</x:v>
      </x:c>
      <x:c r="O47" s="293">
        <x:f>M47+N47</x:f>
        <x:v>45844.3</x:v>
      </x:c>
      <x:c r="Q47" s="306"/>
      <x:c r="S47" s="303">
        <x:v>1</x:v>
      </x:c>
      <x:c r="T47" s="304" t="s">
        <x:v>10</x:v>
      </x:c>
      <x:c r="U47" s="307">
        <x:f>'Reporte Componentes R1'!M52</x:f>
        <x:v>0</x:v>
      </x:c>
      <x:c r="V47" s="308">
        <x:f>'Reporte Componentes R1'!N52</x:f>
        <x:v>0</x:v>
      </x:c>
      <x:c r="W47" s="308">
        <x:f>'Reporte Componentes R1'!O52</x:f>
        <x:v>0</x:v>
      </x:c>
      <x:c r="X47" s="308">
        <x:f>'Reporte Componentes R1'!P52</x:f>
        <x:v>5482.6</x:v>
      </x:c>
      <x:c r="Y47" s="309">
        <x:f>'Reporte Componentes R1'!Q52</x:f>
        <x:v>0</x:v>
      </x:c>
      <x:c r="Z47" s="310">
        <x:f>-L47</x:f>
        <x:v>0</x:v>
      </x:c>
      <x:c r="AA47" s="320">
        <x:f>'Reporte Componentes R1'!R52+'Reporte Componentes R1'!V52+'Reporte Componentes R1'!U52</x:f>
        <x:v>-2.61</x:v>
      </x:c>
      <x:c r="AB47" s="294">
        <x:f>N47</x:f>
        <x:v>0</x:v>
      </x:c>
      <x:c r="AC47" s="311">
        <x:f>'Reporte Componentes R1'!T52+'Reporte Componentes R1'!W52+'Reporte Componentes R1'!X52+'Reporte Componentes R1'!Y52+'Reporte Componentes R1'!Z52+'Reporte Componentes R1'!S52</x:f>
        <x:v>0</x:v>
      </x:c>
      <x:c r="AD47" s="291">
        <x:f>-J47+AE47</x:f>
        <x:v>40364.31</x:v>
      </x:c>
      <x:c r="AE47" s="291">
        <x:f>'Reporte Componentes R1'!F53</x:f>
        <x:v>40364.31</x:v>
      </x:c>
      <x:c r="AF47" s="313">
        <x:f>SUM(U47:AD47)</x:f>
        <x:v>45844.299999999996</x:v>
      </x:c>
      <x:c r="AG47" s="521">
        <x:f>(AF47-O47)</x:f>
        <x:v>-7.2759576141834259E-12</x:v>
      </x:c>
      <x:c r="AH47" s="305" t="b">
        <x:f>INT(AG47)=0</x:f>
        <x:v>0</x:v>
      </x:c>
      <x:c r="AI47" s="306"/>
    </x:row>
    <x:row r="48" spans="1:35" s="305" customFormat="1" x14ac:dyDescent="0.25">
      <x:c r="B48" s="314">
        <x:v>2</x:v>
      </x:c>
      <x:c r="C48" s="315" t="s">
        <x:v>11</x:v>
      </x:c>
      <x:c r="D48" s="291">
        <x:f>'Reporte Componentes R1'!F196</x:f>
        <x:v>56190070</x:v>
      </x:c>
      <x:c r="E48" s="292">
        <x:f>'Reporte Componentes R1'!G196</x:f>
        <x:v>7708934.9000000004</x:v>
      </x:c>
      <x:c r="F48" s="292">
        <x:f>'Reporte Componentes R1'!H196</x:f>
        <x:v>4358213.05</x:v>
      </x:c>
      <x:c r="G48" s="292">
        <x:f>'Reporte Componentes R1'!I196</x:f>
        <x:v>2310135.71</x:v>
      </x:c>
      <x:c r="H48" s="292">
        <x:f>'Reporte Componentes R1'!J196</x:f>
        <x:v>173927.38</x:v>
      </x:c>
      <x:c r="I48" s="292">
        <x:f>'Reporte Componentes R1'!K196</x:f>
        <x:v>5311.09</x:v>
      </x:c>
      <x:c r="J48" s="288">
        <x:v>0</x:v>
      </x:c>
      <x:c r="K48" s="295">
        <x:f t="shared" ref="K48:K51" si="16">D48-E48-F48-G48-H48-I48-J48</x:f>
        <x:v>41633547.869999997</x:v>
      </x:c>
      <x:c r="L48" s="294">
        <x:v>0</x:v>
      </x:c>
      <x:c r="M48" s="295">
        <x:f>K48-L48</x:f>
        <x:v>41633547.869999997</x:v>
      </x:c>
      <x:c r="N48" s="294">
        <x:f>'Reporte Componentes R1'!L196</x:f>
        <x:v>0</x:v>
      </x:c>
      <x:c r="O48" s="295">
        <x:f t="shared" ref="O48:O51" si="17">M48+N48</x:f>
        <x:v>41633547.869999997</x:v>
      </x:c>
      <x:c r="Q48" s="306"/>
      <x:c r="S48" s="314">
        <x:v>2</x:v>
      </x:c>
      <x:c r="T48" s="315" t="s">
        <x:v>11</x:v>
      </x:c>
      <x:c r="U48" s="316">
        <x:f>'Reporte Componentes R1'!M196</x:f>
        <x:v>46588.43</x:v>
      </x:c>
      <x:c r="V48" s="317">
        <x:f>'Reporte Componentes R1'!N196</x:f>
        <x:v>53938.06</x:v>
      </x:c>
      <x:c r="W48" s="317">
        <x:f>'Reporte Componentes R1'!O196</x:f>
        <x:v>251431.52</x:v>
      </x:c>
      <x:c r="X48" s="317">
        <x:f>'Reporte Componentes R1'!P196</x:f>
        <x:v>15476286.449999999</x:v>
      </x:c>
      <x:c r="Y48" s="318">
        <x:f>'Reporte Componentes R1'!Q196</x:f>
        <x:v>8665.4500000000007</x:v>
      </x:c>
      <x:c r="Z48" s="319">
        <x:f>-L48</x:f>
        <x:v>0</x:v>
      </x:c>
      <x:c r="AA48" s="320">
        <x:f>'Reporte Componentes R1'!R196+'Reporte Componentes R1'!V196+'Reporte Componentes R1'!U196</x:f>
        <x:v>-0.40999999999999898</x:v>
      </x:c>
      <x:c r="AB48" s="294">
        <x:f>N48</x:f>
        <x:v>0</x:v>
      </x:c>
      <x:c r="AC48" s="320">
        <x:f>'Reporte Componentes R1'!T196+'Reporte Componentes R1'!W196+'Reporte Componentes R1'!X196+'Reporte Componentes R1'!Y196+'Reporte Componentes R1'!Z196+'Reporte Componentes R1'!S196</x:f>
        <x:v>0</x:v>
      </x:c>
      <x:c r="AD48" s="291">
        <x:f t="shared" ref="AD48:AD51" si="18">-J48+AE48</x:f>
        <x:v>25796638.370000001</x:v>
      </x:c>
      <x:c r="AE48" s="291">
        <x:f>'Reporte Componentes R1'!F197</x:f>
        <x:v>25796638.370000001</x:v>
      </x:c>
      <x:c r="AF48" s="322">
        <x:f>SUM(U48:AD48)</x:f>
        <x:v>41633547.869999997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5">
      <x:c r="B49" s="314">
        <x:v>3</x:v>
      </x:c>
      <x:c r="C49" s="315" t="s">
        <x:v>12</x:v>
      </x:c>
      <x:c r="D49" s="291">
        <x:f>'Reporte Componentes R1'!F327</x:f>
        <x:v>1307680</x:v>
      </x:c>
      <x:c r="E49" s="292">
        <x:f>'Reporte Componentes R1'!G327</x:f>
        <x:v>147598.38</x:v>
      </x:c>
      <x:c r="F49" s="292">
        <x:f>'Reporte Componentes R1'!H327</x:f>
        <x:v>66140.960000000006</x:v>
      </x:c>
      <x:c r="G49" s="292">
        <x:f>'Reporte Componentes R1'!I327</x:f>
        <x:v>37291.57</x:v>
      </x:c>
      <x:c r="H49" s="292">
        <x:f>'Reporte Componentes R1'!J327</x:f>
        <x:v>33572.080000000002</x:v>
      </x:c>
      <x:c r="I49" s="292">
        <x:f>'Reporte Componentes R1'!K327</x:f>
        <x:v>682.45</x:v>
      </x:c>
      <x:c r="J49" s="288">
        <x:v>0</x:v>
      </x:c>
      <x:c r="K49" s="295">
        <x:f t="shared" si="16"/>
        <x:v>1022394.5600000002</x:v>
      </x:c>
      <x:c r="L49" s="294">
        <x:v>0</x:v>
      </x:c>
      <x:c r="M49" s="295">
        <x:f>K49-L49</x:f>
        <x:v>1022394.5600000002</x:v>
      </x:c>
      <x:c r="N49" s="294">
        <x:f>'Reporte Componentes R1'!L327</x:f>
        <x:v>0</x:v>
      </x:c>
      <x:c r="O49" s="295">
        <x:f t="shared" si="17"/>
        <x:v>1022394.5600000002</x:v>
      </x:c>
      <x:c r="Q49" s="306"/>
      <x:c r="S49" s="314">
        <x:v>3</x:v>
      </x:c>
      <x:c r="T49" s="315" t="s">
        <x:v>12</x:v>
      </x:c>
      <x:c r="U49" s="316">
        <x:f>'Reporte Componentes R1'!M327</x:f>
        <x:v>5991.23</x:v>
      </x:c>
      <x:c r="V49" s="317">
        <x:f>'Reporte Componentes R1'!N327</x:f>
        <x:v>7293.25</x:v>
      </x:c>
      <x:c r="W49" s="317">
        <x:f>'Reporte Componentes R1'!O327</x:f>
        <x:v>33919.089999999997</x:v>
      </x:c>
      <x:c r="X49" s="317">
        <x:f>'Reporte Componentes R1'!P327</x:f>
        <x:v>346942.9</x:v>
      </x:c>
      <x:c r="Y49" s="318">
        <x:f>'Reporte Componentes R1'!Q327</x:f>
        <x:v>1113.3699999999999</x:v>
      </x:c>
      <x:c r="Z49" s="319">
        <x:f>-L49</x:f>
        <x:v>0</x:v>
      </x:c>
      <x:c r="AA49" s="320">
        <x:f>'Reporte Componentes R1'!R327+'Reporte Componentes R1'!V327+'Reporte Componentes R1'!U327</x:f>
        <x:v>-7.95</x:v>
      </x:c>
      <x:c r="AB49" s="294">
        <x:f>N49</x:f>
        <x:v>0</x:v>
      </x:c>
      <x:c r="AC49" s="320">
        <x:f>'Reporte Componentes R1'!T327+'Reporte Componentes R1'!W327+'Reporte Componentes R1'!X327+'Reporte Componentes R1'!Y327+'Reporte Componentes R1'!Z327+'Reporte Componentes R1'!S327</x:f>
        <x:v>0.7</x:v>
      </x:c>
      <x:c r="AD49" s="291">
        <x:f t="shared" si="18"/>
        <x:v>627141.97</x:v>
      </x:c>
      <x:c r="AE49" s="291">
        <x:f>'Reporte Componentes R1'!F328</x:f>
        <x:v>627141.97</x:v>
      </x:c>
      <x:c r="AF49" s="322">
        <x:f t="shared" ref="AF49:AF51" si="20">SUM(U49:AD49)</x:f>
        <x:v>1022394.56</x:v>
      </x:c>
      <x:c r="AG49" s="522">
        <x:f t="shared" ref="AG49:AG51" si="21">(AF49-O49)</x:f>
        <x:v>-1.1641532182693481E-10</x:v>
      </x:c>
      <x:c r="AH49" s="305" t="b">
        <x:f t="shared" si="19"/>
        <x:v>0</x:v>
      </x:c>
      <x:c r="AI49" s="306"/>
    </x:row>
    <x:row r="50" spans="1:35" s="305" customFormat="1" x14ac:dyDescent="0.25">
      <x:c r="B50" s="314">
        <x:v>4</x:v>
      </x:c>
      <x:c r="C50" s="315" t="s">
        <x:v>13</x:v>
      </x:c>
      <x:c r="D50" s="291">
        <x:f>'Reporte Componentes R1'!F458</x:f>
        <x:v>4343101</x:v>
      </x:c>
      <x:c r="E50" s="292">
        <x:f>'Reporte Componentes R1'!G458</x:f>
        <x:v>311438.06</x:v>
      </x:c>
      <x:c r="F50" s="292">
        <x:f>'Reporte Componentes R1'!H458</x:f>
        <x:v>174745.19</x:v>
      </x:c>
      <x:c r="G50" s="292">
        <x:f>'Reporte Componentes R1'!I458</x:f>
        <x:v>94552.57</x:v>
      </x:c>
      <x:c r="H50" s="292">
        <x:f>'Reporte Componentes R1'!J458</x:f>
        <x:v>971475.94</x:v>
      </x:c>
      <x:c r="I50" s="292">
        <x:f>'Reporte Componentes R1'!K458</x:f>
        <x:v>31532.52</x:v>
      </x:c>
      <x:c r="J50" s="288">
        <x:v>0</x:v>
      </x:c>
      <x:c r="K50" s="295">
        <x:f t="shared" si="16"/>
        <x:v>2759356.72</x:v>
      </x:c>
      <x:c r="L50" s="294">
        <x:v>0</x:v>
      </x:c>
      <x:c r="M50" s="295">
        <x:f>K50-L50</x:f>
        <x:v>2759356.72</x:v>
      </x:c>
      <x:c r="N50" s="294">
        <x:f>'Reporte Componentes R1'!L458</x:f>
        <x:v>0</x:v>
      </x:c>
      <x:c r="O50" s="295">
        <x:f t="shared" si="17"/>
        <x:v>2759356.72</x:v>
      </x:c>
      <x:c r="Q50" s="306"/>
      <x:c r="S50" s="314">
        <x:v>4</x:v>
      </x:c>
      <x:c r="T50" s="315" t="s">
        <x:v>13</x:v>
      </x:c>
      <x:c r="U50" s="316">
        <x:f>'Reporte Componentes R1'!M458</x:f>
        <x:v>280120.46000000002</x:v>
      </x:c>
      <x:c r="V50" s="317">
        <x:f>'Reporte Componentes R1'!N458</x:f>
        <x:v>309903.63</x:v>
      </x:c>
      <x:c r="W50" s="317">
        <x:f>'Reporte Componentes R1'!O458</x:f>
        <x:v>1543098.75</x:v>
      </x:c>
      <x:c r="X50" s="317">
        <x:f>'Reporte Componentes R1'!P458</x:f>
        <x:v>830464.64</x:v>
      </x:c>
      <x:c r="Y50" s="318">
        <x:f>'Reporte Componentes R1'!Q458</x:f>
        <x:v>53321.16</x:v>
      </x:c>
      <x:c r="Z50" s="319">
        <x:f>-L50</x:f>
        <x:v>0</x:v>
      </x:c>
      <x:c r="AA50" s="320">
        <x:f>'Reporte Componentes R1'!R458+'Reporte Componentes R1'!V458+'Reporte Componentes R1'!U458</x:f>
        <x:v>10.98</x:v>
      </x:c>
      <x:c r="AB50" s="294">
        <x:f>N50</x:f>
        <x:v>0</x:v>
      </x:c>
      <x:c r="AC50" s="320">
        <x:f>'Reporte Componentes R1'!T458+'Reporte Componentes R1'!W458+'Reporte Componentes R1'!X458+'Reporte Componentes R1'!Y458+'Reporte Componentes R1'!Z458+'Reporte Componentes R1'!S458</x:f>
        <x:v>-88.74</x:v>
      </x:c>
      <x:c r="AD50" s="291">
        <x:f t="shared" si="18"/>
        <x:v>-257474.16</x:v>
      </x:c>
      <x:c r="AE50" s="291">
        <x:f>'Reporte Componentes R1'!F459</x:f>
        <x:v>-257474.16</x:v>
      </x:c>
      <x:c r="AF50" s="322">
        <x:f t="shared" si="20"/>
        <x:v>2759356.7199999997</x:v>
      </x:c>
      <x:c r="AG50" s="522">
        <x:f t="shared" si="21"/>
        <x:v>-4.6566128730773926E-10</x:v>
      </x:c>
      <x:c r="AH50" s="305" t="b">
        <x:f t="shared" si="19"/>
        <x:v>0</x:v>
      </x:c>
      <x:c r="AI50" s="306"/>
    </x:row>
    <x:row r="51" spans="1:35" s="305" customFormat="1" ht="12" thickBot="1" x14ac:dyDescent="0.3">
      <x:c r="B51" s="324">
        <x:v>5</x:v>
      </x:c>
      <x:c r="C51" s="325" t="s">
        <x:v>14</x:v>
      </x:c>
      <x:c r="D51" s="296">
        <x:f>'Reporte Componentes R1'!F556</x:f>
        <x:v>441849</x:v>
      </x:c>
      <x:c r="E51" s="297">
        <x:f>'Reporte Componentes R1'!G556</x:f>
        <x:v>26657.43</x:v>
      </x:c>
      <x:c r="F51" s="297">
        <x:f>'Reporte Componentes R1'!H556</x:f>
        <x:v>14138.02</x:v>
      </x:c>
      <x:c r="G51" s="297">
        <x:f>'Reporte Componentes R1'!I556</x:f>
        <x:v>7723.27</x:v>
      </x:c>
      <x:c r="H51" s="297">
        <x:f>'Reporte Componentes R1'!J556</x:f>
        <x:v>93911.73</x:v>
      </x:c>
      <x:c r="I51" s="297">
        <x:f>'Reporte Componentes R1'!K556</x:f>
        <x:v>2290.29</x:v>
      </x:c>
      <x:c r="J51" s="289">
        <x:v>0</x:v>
      </x:c>
      <x:c r="K51" s="295">
        <x:f t="shared" si="16"/>
        <x:v>297128.26</x:v>
      </x:c>
      <x:c r="L51" s="294">
        <x:v>0</x:v>
      </x:c>
      <x:c r="M51" s="298">
        <x:f>K51-L51</x:f>
        <x:v>297128.26</x:v>
      </x:c>
      <x:c r="N51" s="299">
        <x:f>'Reporte Componentes R1'!L556</x:f>
        <x:v>0</x:v>
      </x:c>
      <x:c r="O51" s="298">
        <x:f t="shared" si="17"/>
        <x:v>297128.26</x:v>
      </x:c>
      <x:c r="Q51" s="306"/>
      <x:c r="S51" s="324">
        <x:v>5</x:v>
      </x:c>
      <x:c r="T51" s="325" t="s">
        <x:v>14</x:v>
      </x:c>
      <x:c r="U51" s="296">
        <x:f>'Reporte Componentes R1'!M556</x:f>
        <x:v>20089.34</x:v>
      </x:c>
      <x:c r="V51" s="297">
        <x:f>'Reporte Componentes R1'!N556</x:f>
        <x:v>28092.36</x:v>
      </x:c>
      <x:c r="W51" s="297">
        <x:f>'Reporte Componentes R1'!O556</x:f>
        <x:v>141333</x:v>
      </x:c>
      <x:c r="X51" s="297">
        <x:f>'Reporte Componentes R1'!P556</x:f>
        <x:v>79544.789999999994</x:v>
      </x:c>
      <x:c r="Y51" s="289">
        <x:f>'Reporte Componentes R1'!Q556</x:f>
        <x:v>3736.7</x:v>
      </x:c>
      <x:c r="Z51" s="319">
        <x:f>-L51</x:f>
        <x:v>0</x:v>
      </x:c>
      <x:c r="AA51" s="320">
        <x:f>'Reporte Componentes R1'!R556+'Reporte Componentes R1'!V556+'Reporte Componentes R1'!U556</x:f>
        <x:v>2.69</x:v>
      </x:c>
      <x:c r="AB51" s="294">
        <x:f>N51</x:f>
        <x:v>0</x:v>
      </x:c>
      <x:c r="AC51" s="320">
        <x:f>'Reporte Componentes R1'!T556+'Reporte Componentes R1'!W556+'Reporte Componentes R1'!X556+'Reporte Componentes R1'!Y556+'Reporte Componentes R1'!Z556+'Reporte Componentes R1'!S556</x:f>
        <x:v>0</x:v>
      </x:c>
      <x:c r="AD51" s="291">
        <x:f t="shared" si="18"/>
        <x:v>24329.38</x:v>
      </x:c>
      <x:c r="AE51" s="291">
        <x:f>'Reporte Componentes R1'!F557</x:f>
        <x:v>24329.38</x:v>
      </x:c>
      <x:c r="AF51" s="322">
        <x:f t="shared" si="20"/>
        <x:v>297128.26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35">
      <x:c r="B52" s="327"/>
      <x:c r="C52" s="328" t="s">
        <x:v>2</x:v>
      </x:c>
      <x:c r="D52" s="290">
        <x:f t="shared" ref="D52:O52" si="22">SUM(D47:D51)</x:f>
        <x:v>62332280</x:v>
      </x:c>
      <x:c r="E52" s="290">
        <x:f t="shared" si="22"/>
        <x:v>8196636.21</x:v>
      </x:c>
      <x:c r="F52" s="290">
        <x:f t="shared" si="22"/>
        <x:v>4614370.5999999996</x:v>
      </x:c>
      <x:c r="G52" s="290">
        <x:f t="shared" ref="G52" si="23">SUM(G47:G51)</x:f>
        <x:v>2450297.9999999995</x:v>
      </x:c>
      <x:c r="H52" s="290">
        <x:f t="shared" si="22"/>
        <x:v>1272887.1299999999</x:v>
      </x:c>
      <x:c r="I52" s="290">
        <x:f t="shared" si="22"/>
        <x:v>39816.35</x:v>
      </x:c>
      <x:c r="J52" s="290">
        <x:f t="shared" si="22"/>
        <x:v>0</x:v>
      </x:c>
      <x:c r="K52" s="300">
        <x:f t="shared" si="22"/>
        <x:v>45758271.709999993</x:v>
      </x:c>
      <x:c r="L52" s="301">
        <x:f t="shared" si="22"/>
        <x:v>0</x:v>
      </x:c>
      <x:c r="M52" s="302">
        <x:f t="shared" si="22"/>
        <x:v>45758271.709999993</x:v>
      </x:c>
      <x:c r="N52" s="301">
        <x:f t="shared" si="22"/>
        <x:v>0</x:v>
      </x:c>
      <x:c r="O52" s="302">
        <x:f t="shared" si="22"/>
        <x:v>45758271.709999993</x:v>
      </x:c>
      <x:c r="P52" s="329"/>
      <x:c r="Q52" s="306"/>
      <x:c r="S52" s="327"/>
      <x:c r="T52" s="328" t="s">
        <x:v>2</x:v>
      </x:c>
      <x:c r="U52" s="330">
        <x:f>SUM(U47:U51)</x:f>
        <x:v>352789.46</x:v>
      </x:c>
      <x:c r="V52" s="330">
        <x:f t="shared" ref="V52:AG52" si="24">SUM(V47:V51)</x:f>
        <x:v>399227.3</x:v>
      </x:c>
      <x:c r="W52" s="330">
        <x:f t="shared" si="24"/>
        <x:v>1969782.3599999999</x:v>
      </x:c>
      <x:c r="X52" s="330">
        <x:f t="shared" si="24"/>
        <x:v>16738721.379999999</x:v>
      </x:c>
      <x:c r="Y52" s="330">
        <x:f t="shared" si="24"/>
        <x:v>66836.680000000008</x:v>
      </x:c>
      <x:c r="Z52" s="290">
        <x:f t="shared" si="24"/>
        <x:v>0</x:v>
      </x:c>
      <x:c r="AA52" s="290">
        <x:f t="shared" si="24"/>
        <x:v>2.7000000000000015</x:v>
      </x:c>
      <x:c r="AB52" s="290">
        <x:f t="shared" si="24"/>
        <x:v>0</x:v>
      </x:c>
      <x:c r="AC52" s="290">
        <x:f t="shared" si="24"/>
        <x:v>-88.039999999999992</x:v>
      </x:c>
      <x:c r="AD52" s="290">
        <x:f>SUM(AD47:AD51)</x:f>
        <x:v>26230999.869999997</x:v>
      </x:c>
      <x:c r="AE52" s="290">
        <x:f>SUM(AE47:AE51)</x:f>
        <x:v>26230999.869999997</x:v>
      </x:c>
      <x:c r="AF52" s="331">
        <x:f t="shared" si="24"/>
        <x:v>45758271.709999993</x:v>
      </x:c>
      <x:c r="AG52" s="524">
        <x:f t="shared" si="24"/>
        <x:v>-5.893525667488575E-10</x:v>
      </x:c>
      <x:c r="AH52" s="305" t="b">
        <x:f>INT(AG52)=0</x:f>
        <x:v>0</x:v>
      </x:c>
      <x:c r="AI52" s="306"/>
    </x:row>
    <x:row r="53" spans="1:35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19527357.18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3">
      <x:c r="Q58" s="4"/>
      <x:c r="AI58" s="4"/>
    </x:row>
    <x:row r="59" spans="1:35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4" x14ac:dyDescent="0.3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5" x14ac:dyDescent="0.3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4" x14ac:dyDescent="0.3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5" x14ac:dyDescent="0.35">
      <x:c r="B63" s="8"/>
      <x:c r="C63" s="599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" thickBot="1" x14ac:dyDescent="0.3">
      <x:c r="B64" s="8"/>
      <x:c r="C64" s="599" t="s">
        <x:v>0</x:v>
      </x:c>
      <x:c r="D64" s="241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72"/>
      <x:c r="AI64" s="4"/>
    </x:row>
    <x:row r="65" spans="1:35" ht="72" customHeight="1" thickBot="1" x14ac:dyDescent="0.3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226</x:v>
      </x:c>
      <x:c r="AF65" s="39" t="s">
        <x:v>23</x:v>
      </x:c>
      <x:c r="AG65" s="273"/>
      <x:c r="AI65" s="4"/>
    </x:row>
    <x:row r="66" spans="1:35" s="305" customFormat="1" x14ac:dyDescent="0.25">
      <x:c r="B66" s="303">
        <x:v>1</x:v>
      </x:c>
      <x:c r="C66" s="304" t="s">
        <x:v>10</x:v>
      </x:c>
      <x:c r="D66" s="291">
        <x:f>'Reversion Pagos R4'!D73</x:f>
        <x:v>-16536713.09</x:v>
      </x:c>
      <x:c r="E66" s="292">
        <x:f>'Reversion Pagos R4'!E73</x:f>
        <x:v>-842044.27</x:v>
      </x:c>
      <x:c r="F66" s="292">
        <x:f>'Reversion Pagos R4'!F73</x:f>
        <x:v>-470499.84000000003</x:v>
      </x:c>
      <x:c r="G66" s="292">
        <x:f>'Reversion Pagos R4'!G73</x:f>
        <x:v>-249332.32</x:v>
      </x:c>
      <x:c r="H66" s="292">
        <x:f>'Reversion Pagos R4'!H73</x:f>
        <x:v>-4006466.75</x:v>
      </x:c>
      <x:c r="I66" s="292">
        <x:f>'Reversion Pagos R4'!I73</x:f>
        <x:v>-145004</x:v>
      </x:c>
      <x:c r="J66" s="288">
        <x:v>0</x:v>
      </x:c>
      <x:c r="K66" s="293">
        <x:f>D66-E66-F66-G66-H66-I66-J66</x:f>
        <x:v>-10823365.91</x:v>
      </x:c>
      <x:c r="L66" s="294">
        <x:v>0</x:v>
      </x:c>
      <x:c r="M66" s="293">
        <x:f>K66-L66</x:f>
        <x:v>-10823365.91</x:v>
      </x:c>
      <x:c r="N66" s="294">
        <x:f>'Reversion Pagos R4'!P73</x:f>
        <x:v>0</x:v>
      </x:c>
      <x:c r="O66" s="293">
        <x:f>M66+N66</x:f>
        <x:v>-10823365.91</x:v>
      </x:c>
      <x:c r="Q66" s="306"/>
      <x:c r="S66" s="303">
        <x:v>1</x:v>
      </x:c>
      <x:c r="T66" s="304" t="s">
        <x:v>10</x:v>
      </x:c>
      <x:c r="U66" s="307">
        <x:f>'Reversion Pagos R4'!J73</x:f>
        <x:v>-1301824.81</x:v>
      </x:c>
      <x:c r="V66" s="308">
        <x:f>'Reversion Pagos R4'!K73</x:f>
        <x:v>-1255802.95</x:v>
      </x:c>
      <x:c r="W66" s="308">
        <x:f>'Reversion Pagos R4'!L73</x:f>
        <x:v>-5775459.54</x:v>
      </x:c>
      <x:c r="X66" s="308">
        <x:f>'Reversion Pagos R4'!M73</x:f>
        <x:v>-2296297.42</x:v>
      </x:c>
      <x:c r="Y66" s="308">
        <x:f>'Reversion Pagos R4'!N73</x:f>
        <x:v>-237636.38</x:v>
      </x:c>
      <x:c r="Z66" s="310">
        <x:f>-L66</x:f>
        <x:v>0</x:v>
      </x:c>
      <x:c r="AA66" s="320">
        <x:f>'Reversion Pagos R4'!O73</x:f>
        <x:v>100.74000000000001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43554.450000000012</x:v>
      </x:c>
      <x:c r="AE66" s="291">
        <x:f>'Reversion Pagos R4'!D74</x:f>
        <x:v>43554.450000000012</x:v>
      </x:c>
      <x:c r="AF66" s="313">
        <x:f>SUM(U66:AD66)</x:f>
        <x:v>-10823365.91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5">
      <x:c r="B67" s="314">
        <x:v>2</x:v>
      </x:c>
      <x:c r="C67" s="315" t="s">
        <x:v>11</x:v>
      </x:c>
      <x:c r="D67" s="291">
        <x:f>'Reversion Pagos R4'!D168</x:f>
        <x:v>-71069759</x:v>
      </x:c>
      <x:c r="E67" s="292">
        <x:f>'Reversion Pagos R4'!E168</x:f>
        <x:v>-15881719.34</x:v>
      </x:c>
      <x:c r="F67" s="292">
        <x:f>'Reversion Pagos R4'!F168</x:f>
        <x:v>-7382378.6299999999</x:v>
      </x:c>
      <x:c r="G67" s="292">
        <x:f>'Reversion Pagos R4'!G168</x:f>
        <x:v>-4039895.56</x:v>
      </x:c>
      <x:c r="H67" s="292">
        <x:f>'Reversion Pagos R4'!H168</x:f>
        <x:v>-3333202.99</x:v>
      </x:c>
      <x:c r="I67" s="292">
        <x:f>'Reversion Pagos R4'!I168</x:f>
        <x:v>-119625.47</x:v>
      </x:c>
      <x:c r="J67" s="288">
        <x:v>0</x:v>
      </x:c>
      <x:c r="K67" s="295">
        <x:f t="shared" ref="K67:K70" si="25">D67-E67-F67-G67-H67-I67-J67</x:f>
        <x:v>-40312937.00999999</x:v>
      </x:c>
      <x:c r="L67" s="294">
        <x:v>0</x:v>
      </x:c>
      <x:c r="M67" s="295">
        <x:f>K67-L67</x:f>
        <x:v>-40312937.00999999</x:v>
      </x:c>
      <x:c r="N67" s="294">
        <x:f>'Reversion Pagos R4'!P168</x:f>
        <x:v>0</x:v>
      </x:c>
      <x:c r="O67" s="295">
        <x:f t="shared" ref="O67:O70" si="26">M67+N67</x:f>
        <x:v>-40312937.00999999</x:v>
      </x:c>
      <x:c r="Q67" s="306"/>
      <x:c r="S67" s="314">
        <x:v>2</x:v>
      </x:c>
      <x:c r="T67" s="315" t="s">
        <x:v>11</x:v>
      </x:c>
      <x:c r="U67" s="316">
        <x:f>'Reversion Pagos R4'!J168</x:f>
        <x:v>-1050942.24</x:v>
      </x:c>
      <x:c r="V67" s="317">
        <x:f>'Reversion Pagos R4'!K168</x:f>
        <x:v>-1052754.19</x:v>
      </x:c>
      <x:c r="W67" s="317">
        <x:f>'Reversion Pagos R4'!L168</x:f>
        <x:v>-4921480.46</x:v>
      </x:c>
      <x:c r="X67" s="317">
        <x:f>'Reversion Pagos R4'!M168</x:f>
        <x:v>-32197091.960000001</x:v>
      </x:c>
      <x:c r="Y67" s="318">
        <x:f>'Reversion Pagos R4'!N168</x:f>
        <x:v>-194756.94999999998</x:v>
      </x:c>
      <x:c r="Z67" s="319">
        <x:f t="shared" ref="Z67:Z70" si="27">-L67</x:f>
        <x:v>0</x:v>
      </x:c>
      <x:c r="AA67" s="320">
        <x:f>'Reversion Pagos R4'!O168</x:f>
        <x:v>28.29</x:v>
      </x:c>
      <x:c r="AB67" s="294">
        <x:f t="shared" ref="AB67:AB70" si="28">N67</x:f>
        <x:v>0</x:v>
      </x:c>
      <x:c r="AC67" s="320">
        <x:f>+'Reversion Pagos R4'!Q168+'Reversion Pagos R4'!R168</x:f>
        <x:v>0</x:v>
      </x:c>
      <x:c r="AD67" s="291">
        <x:f>-J67+AE67</x:f>
        <x:v>-895939.5</x:v>
      </x:c>
      <x:c r="AE67" s="291">
        <x:f>'Reversion Pagos R4'!D169</x:f>
        <x:v>-895939.5</x:v>
      </x:c>
      <x:c r="AF67" s="322">
        <x:f>SUM(U67:AD67)</x:f>
        <x:v>-40312937.010000005</x:v>
      </x:c>
      <x:c r="AG67" s="522">
        <x:f>(AF67-O67)</x:f>
        <x:v>-1.4901161193847656E-8</x:v>
      </x:c>
      <x:c r="AH67" s="305" t="b">
        <x:f t="shared" ref="AH67:AH70" si="29">INT(AG67)=0</x:f>
        <x:v>0</x:v>
      </x:c>
      <x:c r="AI67" s="306"/>
    </x:row>
    <x:row r="68" spans="1:35" s="305" customFormat="1" x14ac:dyDescent="0.25">
      <x:c r="B68" s="314">
        <x:v>3</x:v>
      </x:c>
      <x:c r="C68" s="315" t="s">
        <x:v>12</x:v>
      </x:c>
      <x:c r="D68" s="291">
        <x:f>'Reversion Pagos R4'!D205</x:f>
        <x:v>-32310979.800000001</x:v>
      </x:c>
      <x:c r="E68" s="292">
        <x:f>'Reversion Pagos R4'!E205</x:f>
        <x:v>-2359230.8699999996</x:v>
      </x:c>
      <x:c r="F68" s="292">
        <x:f>'Reversion Pagos R4'!F205</x:f>
        <x:v>-1307200.31</x:v>
      </x:c>
      <x:c r="G68" s="292">
        <x:f>'Reversion Pagos R4'!G205</x:f>
        <x:v>-693108.36</x:v>
      </x:c>
      <x:c r="H68" s="292">
        <x:f>'Reversion Pagos R4'!H205</x:f>
        <x:v>-5641918.9700000007</x:v>
      </x:c>
      <x:c r="I68" s="292">
        <x:f>'Reversion Pagos R4'!I205</x:f>
        <x:v>-208676.79</x:v>
      </x:c>
      <x:c r="J68" s="288">
        <x:v>0</x:v>
      </x:c>
      <x:c r="K68" s="295">
        <x:f t="shared" si="25"/>
        <x:v>-22100844.5</x:v>
      </x:c>
      <x:c r="L68" s="294">
        <x:v>0</x:v>
      </x:c>
      <x:c r="M68" s="295">
        <x:f>K68-L68</x:f>
        <x:v>-22100844.5</x:v>
      </x:c>
      <x:c r="N68" s="294">
        <x:f>'Reversion Pagos R4'!P205</x:f>
        <x:v>0</x:v>
      </x:c>
      <x:c r="O68" s="295">
        <x:f t="shared" si="26"/>
        <x:v>-22100844.5</x:v>
      </x:c>
      <x:c r="Q68" s="306"/>
      <x:c r="S68" s="314">
        <x:v>3</x:v>
      </x:c>
      <x:c r="T68" s="315" t="s">
        <x:v>12</x:v>
      </x:c>
      <x:c r="U68" s="316">
        <x:f>'Reversion Pagos R4'!J205</x:f>
        <x:v>-1838013.6300000001</x:v>
      </x:c>
      <x:c r="V68" s="317">
        <x:f>'Reversion Pagos R4'!K205</x:f>
        <x:v>-1771126.01</x:v>
      </x:c>
      <x:c r="W68" s="317">
        <x:f>'Reversion Pagos R4'!L205</x:f>
        <x:v>-8312687.9100000001</x:v>
      </x:c>
      <x:c r="X68" s="317">
        <x:f>'Reversion Pagos R4'!M205</x:f>
        <x:v>-5496750.6600000001</x:v>
      </x:c>
      <x:c r="Y68" s="318">
        <x:f>'Reversion Pagos R4'!N205</x:f>
        <x:v>-342720.34</x:v>
      </x:c>
      <x:c r="Z68" s="319">
        <x:f t="shared" si="27"/>
        <x:v>0</x:v>
      </x:c>
      <x:c r="AA68" s="320">
        <x:f>'Reversion Pagos R4'!O205</x:f>
        <x:v>-128.57</x:v>
      </x:c>
      <x:c r="AB68" s="294">
        <x:f t="shared" si="28"/>
        <x:v>0</x:v>
      </x:c>
      <x:c r="AC68" s="320">
        <x:f>+'Reversion Pagos R4'!Q205+'Reversion Pagos R4'!R205</x:f>
        <x:v>0</x:v>
      </x:c>
      <x:c r="AD68" s="291">
        <x:f t="shared" ref="AD68:AD69" si="30">-J68+AE68</x:f>
        <x:v>-4339417.38</x:v>
      </x:c>
      <x:c r="AE68" s="291">
        <x:f>'Reversion Pagos R4'!D206</x:f>
        <x:v>-4339417.38</x:v>
      </x:c>
      <x:c r="AF68" s="322">
        <x:f t="shared" ref="AF68:AF70" si="31">SUM(U68:AD68)</x:f>
        <x:v>-22100844.5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5">
      <x:c r="B69" s="314">
        <x:v>4</x:v>
      </x:c>
      <x:c r="C69" s="315" t="s">
        <x:v>13</x:v>
      </x:c>
      <x:c r="D69" s="291">
        <x:f>'Reversion Pagos R4'!D320</x:f>
        <x:v>-33738104.229999997</x:v>
      </x:c>
      <x:c r="E69" s="292">
        <x:f>'Reversion Pagos R4'!E320</x:f>
        <x:v>-3280830.15</x:v>
      </x:c>
      <x:c r="F69" s="292">
        <x:f>'Reversion Pagos R4'!F320</x:f>
        <x:v>-1653570.31</x:v>
      </x:c>
      <x:c r="G69" s="292">
        <x:f>'Reversion Pagos R4'!G320</x:f>
        <x:v>-772414.51</x:v>
      </x:c>
      <x:c r="H69" s="292">
        <x:f>'Reversion Pagos R4'!H320</x:f>
        <x:v>-6809335.5</x:v>
      </x:c>
      <x:c r="I69" s="292">
        <x:f>'Reversion Pagos R4'!I320</x:f>
        <x:v>-246830.89</x:v>
      </x:c>
      <x:c r="J69" s="288">
        <x:v>0</x:v>
      </x:c>
      <x:c r="K69" s="295">
        <x:f t="shared" si="25"/>
        <x:v>-20975122.869999997</x:v>
      </x:c>
      <x:c r="L69" s="294">
        <x:v>0</x:v>
      </x:c>
      <x:c r="M69" s="295">
        <x:f>K69-L69</x:f>
        <x:v>-20975122.869999997</x:v>
      </x:c>
      <x:c r="N69" s="294">
        <x:f>'Reversion Pagos R4'!P320</x:f>
        <x:v>0</x:v>
      </x:c>
      <x:c r="O69" s="295">
        <x:f t="shared" si="26"/>
        <x:v>-20975122.869999997</x:v>
      </x:c>
      <x:c r="Q69" s="306"/>
      <x:c r="S69" s="314">
        <x:v>4</x:v>
      </x:c>
      <x:c r="T69" s="315" t="s">
        <x:v>13</x:v>
      </x:c>
      <x:c r="U69" s="316">
        <x:f>'Reversion Pagos R4'!J320</x:f>
        <x:v>-2175989.73</x:v>
      </x:c>
      <x:c r="V69" s="317">
        <x:f>'Reversion Pagos R4'!K320</x:f>
        <x:v>-2281434.71</x:v>
      </x:c>
      <x:c r="W69" s="317">
        <x:f>'Reversion Pagos R4'!L320</x:f>
        <x:v>-10508486.24</x:v>
      </x:c>
      <x:c r="X69" s="317">
        <x:f>'Reversion Pagos R4'!M320</x:f>
        <x:v>-8690898.2599999998</x:v>
      </x:c>
      <x:c r="Y69" s="318">
        <x:f>'Reversion Pagos R4'!N320</x:f>
        <x:v>-404523.79</x:v>
      </x:c>
      <x:c r="Z69" s="319">
        <x:f t="shared" si="27"/>
        <x:v>0</x:v>
      </x:c>
      <x:c r="AA69" s="320">
        <x:f>'Reversion Pagos R4'!O320</x:f>
        <x:v>-1.2999999999999972</x:v>
      </x:c>
      <x:c r="AB69" s="294">
        <x:f t="shared" si="28"/>
        <x:v>0</x:v>
      </x:c>
      <x:c r="AC69" s="320">
        <x:f>+'Reversion Pagos R4'!Q320+'Reversion Pagos R4'!R320</x:f>
        <x:v>-0.28999999999999998</x:v>
      </x:c>
      <x:c r="AD69" s="291">
        <x:f t="shared" si="30"/>
        <x:v>3086211.4499999997</x:v>
      </x:c>
      <x:c r="AE69" s="291">
        <x:f>'Reversion Pagos R4'!D321</x:f>
        <x:v>3086211.4499999997</x:v>
      </x:c>
      <x:c r="AF69" s="322">
        <x:f>SUM(U69:AD69)</x:f>
        <x:v>-20975122.869999997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">
      <x:c r="B70" s="324">
        <x:v>5</x:v>
      </x:c>
      <x:c r="C70" s="325" t="s">
        <x:v>14</x:v>
      </x:c>
      <x:c r="D70" s="296">
        <x:f>'Reversion Pagos R4'!D355</x:f>
        <x:v>-3092375.53</x:v>
      </x:c>
      <x:c r="E70" s="297">
        <x:f>'Reversion Pagos R4'!E355</x:f>
        <x:v>-204651.35</x:v>
      </x:c>
      <x:c r="F70" s="297">
        <x:f>'Reversion Pagos R4'!F355</x:f>
        <x:v>-114062.66</x:v>
      </x:c>
      <x:c r="G70" s="297">
        <x:f>'Reversion Pagos R4'!G355</x:f>
        <x:v>-59426.1</x:v>
      </x:c>
      <x:c r="H70" s="297">
        <x:f>'Reversion Pagos R4'!H355</x:f>
        <x:v>-755065.41999999993</x:v>
      </x:c>
      <x:c r="I70" s="297">
        <x:f>'Reversion Pagos R4'!I355</x:f>
        <x:v>-27250.92</x:v>
      </x:c>
      <x:c r="J70" s="289">
        <x:v>0</x:v>
      </x:c>
      <x:c r="K70" s="295">
        <x:f t="shared" si="25"/>
        <x:v>-1931919.0799999996</x:v>
      </x:c>
      <x:c r="L70" s="294">
        <x:v>0</x:v>
      </x:c>
      <x:c r="M70" s="298">
        <x:f>K70-L70</x:f>
        <x:v>-1931919.0799999996</x:v>
      </x:c>
      <x:c r="N70" s="294">
        <x:f>'Reversion Pagos R4'!P355</x:f>
        <x:v>0</x:v>
      </x:c>
      <x:c r="O70" s="298">
        <x:f t="shared" si="26"/>
        <x:v>-1931919.0799999996</x:v>
      </x:c>
      <x:c r="Q70" s="306"/>
      <x:c r="S70" s="324">
        <x:v>5</x:v>
      </x:c>
      <x:c r="T70" s="325" t="s">
        <x:v>14</x:v>
      </x:c>
      <x:c r="U70" s="296">
        <x:f>'Reversion Pagos R4'!J355</x:f>
        <x:v>-239043.97000000003</x:v>
      </x:c>
      <x:c r="V70" s="297">
        <x:f>'Reversion Pagos R4'!K355</x:f>
        <x:v>-246114.56</x:v>
      </x:c>
      <x:c r="W70" s="297">
        <x:f>'Reversion Pagos R4'!L355</x:f>
        <x:v>-1258305.7000000002</x:v>
      </x:c>
      <x:c r="X70" s="297">
        <x:f>'Reversion Pagos R4'!M355</x:f>
        <x:v>-604168.65999999992</x:v>
      </x:c>
      <x:c r="Y70" s="289">
        <x:f>'Reversion Pagos R4'!N355</x:f>
        <x:v>-44461.78</x:v>
      </x:c>
      <x:c r="Z70" s="319">
        <x:f t="shared" si="27"/>
        <x:v>0</x:v>
      </x:c>
      <x:c r="AA70" s="320">
        <x:f>'Reversion Pagos R4'!O355</x:f>
        <x:v>-2.5600000000000005</x:v>
      </x:c>
      <x:c r="AB70" s="294">
        <x:f t="shared" si="28"/>
        <x:v>0</x:v>
      </x:c>
      <x:c r="AC70" s="320">
        <x:f>+'Reversion Pagos R4'!Q355+'Reversion Pagos R4'!R355</x:f>
        <x:v>0</x:v>
      </x:c>
      <x:c r="AD70" s="291">
        <x:f>-J70+AE70</x:f>
        <x:v>460178.15</x:v>
      </x:c>
      <x:c r="AE70" s="291">
        <x:f>'Reversion Pagos R4'!D356</x:f>
        <x:v>460178.15</x:v>
      </x:c>
      <x:c r="AF70" s="322">
        <x:f t="shared" si="31"/>
        <x:v>-1931919.08</x:v>
      </x:c>
      <x:c r="AG70" s="523">
        <x:f t="shared" si="32"/>
        <x:v>-4.6566128730773926E-10</x:v>
      </x:c>
      <x:c r="AH70" s="305" t="b">
        <x:f t="shared" si="29"/>
        <x:v>0</x:v>
      </x:c>
      <x:c r="AI70" s="306"/>
    </x:row>
    <x:row r="71" spans="1:35" s="305" customFormat="1" ht="13.5" thickBot="1" x14ac:dyDescent="0.35">
      <x:c r="B71" s="327"/>
      <x:c r="C71" s="328" t="s">
        <x:v>2</x:v>
      </x:c>
      <x:c r="D71" s="290">
        <x:f t="shared" ref="D71:O71" si="33">SUM(D66:D70)</x:f>
        <x:v>-156747931.65000001</x:v>
      </x:c>
      <x:c r="E71" s="290">
        <x:f t="shared" si="33"/>
        <x:v>-22568475.98</x:v>
      </x:c>
      <x:c r="F71" s="290">
        <x:f t="shared" si="33"/>
        <x:v>-10927711.75</x:v>
      </x:c>
      <x:c r="G71" s="290">
        <x:f t="shared" ref="G71" si="34">SUM(G66:G70)</x:f>
        <x:v>-5814176.8499999996</x:v>
      </x:c>
      <x:c r="H71" s="290">
        <x:f t="shared" si="33"/>
        <x:v>-20545989.630000003</x:v>
      </x:c>
      <x:c r="I71" s="290">
        <x:f t="shared" si="33"/>
        <x:v>-747388.07000000007</x:v>
      </x:c>
      <x:c r="J71" s="290">
        <x:f t="shared" si="33"/>
        <x:v>0</x:v>
      </x:c>
      <x:c r="K71" s="300">
        <x:f t="shared" si="33"/>
        <x:v>-96144189.36999999</x:v>
      </x:c>
      <x:c r="L71" s="301">
        <x:f t="shared" si="33"/>
        <x:v>0</x:v>
      </x:c>
      <x:c r="M71" s="302">
        <x:f t="shared" si="33"/>
        <x:v>-96144189.36999999</x:v>
      </x:c>
      <x:c r="N71" s="301">
        <x:f t="shared" si="33"/>
        <x:v>0</x:v>
      </x:c>
      <x:c r="O71" s="302">
        <x:f t="shared" si="33"/>
        <x:v>-96144189.36999999</x:v>
      </x:c>
      <x:c r="P71" s="329"/>
      <x:c r="Q71" s="306"/>
      <x:c r="S71" s="327"/>
      <x:c r="T71" s="328" t="s">
        <x:v>2</x:v>
      </x:c>
      <x:c r="U71" s="330">
        <x:f>SUM(U66:U70)</x:f>
        <x:v>-6605814.3799999999</x:v>
      </x:c>
      <x:c r="V71" s="330">
        <x:f t="shared" ref="V71:AF71" si="35">SUM(V66:V70)</x:f>
        <x:v>-6607232.419999999</x:v>
      </x:c>
      <x:c r="W71" s="330">
        <x:f t="shared" si="35"/>
        <x:v>-30776419.849999998</x:v>
      </x:c>
      <x:c r="X71" s="330">
        <x:f t="shared" si="35"/>
        <x:v>-49285206.960000001</x:v>
      </x:c>
      <x:c r="Y71" s="330">
        <x:f t="shared" si="35"/>
        <x:v>-1224099.24</x:v>
      </x:c>
      <x:c r="Z71" s="290">
        <x:f t="shared" si="35"/>
        <x:v>0</x:v>
      </x:c>
      <x:c r="AA71" s="290">
        <x:f>SUM(AA66:AA70)</x:f>
        <x:v>-3.3999999999999897</x:v>
      </x:c>
      <x:c r="AB71" s="290">
        <x:f t="shared" si="35"/>
        <x:v>0</x:v>
      </x:c>
      <x:c r="AC71" s="290">
        <x:f t="shared" ref="AC71" si="36">SUM(AC66:AC70)</x:f>
        <x:v>-0.28999999999999998</x:v>
      </x:c>
      <x:c r="AD71" s="290">
        <x:f>SUM(AD66:AD70)</x:f>
        <x:v>-1645412.83</x:v>
      </x:c>
      <x:c r="AE71" s="290">
        <x:f>SUM(AE66:AE70)</x:f>
        <x:v>-1645412.83</x:v>
      </x:c>
      <x:c r="AF71" s="331">
        <x:f t="shared" si="35"/>
        <x:v>-96144189.36999999</x:v>
      </x:c>
      <x:c r="AG71" s="524">
        <x:f t="shared" ref="AG71" si="37">SUM(AG66:AG70)</x:f>
        <x:v>-1.5366822481155396E-8</x:v>
      </x:c>
      <x:c r="AH71" s="305" t="b">
        <x:f>INT(AG71)=0</x:f>
        <x:v>0</x:v>
      </x:c>
      <x:c r="AI71" s="306"/>
    </x:row>
    <x:row r="72" spans="1:35" ht="12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-94498772.849999994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3">
      <x:c r="Q77" s="4"/>
      <x:c r="AI77" s="4"/>
    </x:row>
    <x:row r="78" spans="1:35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4" x14ac:dyDescent="0.3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5" x14ac:dyDescent="0.3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4" x14ac:dyDescent="0.3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5" x14ac:dyDescent="0.35">
      <x:c r="B82" s="8"/>
      <x:c r="C82" s="599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" thickBot="1" x14ac:dyDescent="0.3">
      <x:c r="B83" s="8"/>
      <x:c r="C83" s="599" t="s">
        <x:v>0</x:v>
      </x:c>
      <x:c r="D83" s="241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72"/>
      <x:c r="AI83" s="4"/>
    </x:row>
    <x:row r="84" spans="1:35" ht="72" customHeight="1" thickBot="1" x14ac:dyDescent="0.3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7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5">
      <x:c r="B85" s="303">
        <x:v>1</x:v>
      </x:c>
      <x:c r="C85" s="304" t="s">
        <x:v>10</x:v>
      </x:c>
      <x:c r="D85" s="291">
        <x:f>'AJUSTES - SF-T'!D47</x:f>
        <x:v>973693.46</x:v>
      </x:c>
      <x:c r="E85" s="292">
        <x:f>'AJUSTES - SF-T'!E47</x:f>
        <x:v>65524.22</x:v>
      </x:c>
      <x:c r="F85" s="292">
        <x:f>'AJUSTES - SF-T'!F47</x:f>
        <x:v>36995.019999999997</x:v>
      </x:c>
      <x:c r="G85" s="292">
        <x:f>'AJUSTES - SF-T'!G47</x:f>
        <x:v>19417.650000000001</x:v>
      </x:c>
      <x:c r="H85" s="292">
        <x:f>'AJUSTES - SF-T'!H47</x:f>
        <x:v>156624.35</x:v>
      </x:c>
      <x:c r="I85" s="292">
        <x:f>'AJUSTES - SF-T'!I47</x:f>
        <x:v>5557.5</x:v>
      </x:c>
      <x:c r="J85" s="288">
        <x:f>'AJUSTES - SF-T'!J47</x:f>
        <x:v>0</x:v>
      </x:c>
      <x:c r="K85" s="293">
        <x:f>D85-E85-F85-G85-H85-I85-J85</x:f>
        <x:v>689574.72</x:v>
      </x:c>
      <x:c r="L85" s="294">
        <x:v>0</x:v>
      </x:c>
      <x:c r="M85" s="293">
        <x:f>K85-L85</x:f>
        <x:v>689574.72</x:v>
      </x:c>
      <x:c r="N85" s="294">
        <x:f>'AJUSTES - SF-T'!N47</x:f>
        <x:v>0</x:v>
      </x:c>
      <x:c r="O85" s="293">
        <x:f>M85+N85</x:f>
        <x:v>689574.72</x:v>
      </x:c>
      <x:c r="Q85" s="306"/>
      <x:c r="S85" s="303">
        <x:v>1</x:v>
      </x:c>
      <x:c r="T85" s="304" t="s">
        <x:v>10</x:v>
      </x:c>
      <x:c r="U85" s="307">
        <x:f>'AJUSTES - SF-T'!U47</x:f>
        <x:v>52109.79</x:v>
      </x:c>
      <x:c r="V85" s="308">
        <x:f>'AJUSTES - SF-T'!V47</x:f>
        <x:v>47607.03</x:v>
      </x:c>
      <x:c r="W85" s="308">
        <x:f>'AJUSTES - SF-T'!W47</x:f>
        <x:v>225441.17</x:v>
      </x:c>
      <x:c r="X85" s="308">
        <x:f>'AJUSTES - SF-T'!X47</x:f>
        <x:v>178429.31</x:v>
      </x:c>
      <x:c r="Y85" s="309">
        <x:f>'AJUSTES - SF-T'!Y47</x:f>
        <x:v>9067.43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5">
        <x:f>-J85+AE85</x:f>
        <x:v>176919.99</x:v>
      </x:c>
      <x:c r="AE85" s="291">
        <x:f>'AJUSTES - SF-T'!AD47</x:f>
        <x:v>176919.99</x:v>
      </x:c>
      <x:c r="AF85" s="313">
        <x:f>SUM(U85:AD85)</x:f>
        <x:v>689574.72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5">
      <x:c r="B86" s="314">
        <x:v>2</x:v>
      </x:c>
      <x:c r="C86" s="315" t="s">
        <x:v>11</x:v>
      </x:c>
      <x:c r="D86" s="291">
        <x:f>'AJUSTES - SF-T'!D48</x:f>
        <x:v>216025.77</x:v>
      </x:c>
      <x:c r="E86" s="292">
        <x:f>'AJUSTES - SF-T'!E48</x:f>
        <x:v>31897.62</x:v>
      </x:c>
      <x:c r="F86" s="292">
        <x:f>'AJUSTES - SF-T'!F48</x:f>
        <x:v>18572.91</x:v>
      </x:c>
      <x:c r="G86" s="292">
        <x:f>'AJUSTES - SF-T'!G48</x:f>
        <x:v>8867.14</x:v>
      </x:c>
      <x:c r="H86" s="292">
        <x:f>'AJUSTES - SF-T'!H48</x:f>
        <x:v>92959.49</x:v>
      </x:c>
      <x:c r="I86" s="292">
        <x:f>'AJUSTES - SF-T'!I48</x:f>
        <x:v>3883.88</x:v>
      </x:c>
      <x:c r="J86" s="288">
        <x:f>'AJUSTES - SF-T'!J48</x:f>
        <x:v>0</x:v>
      </x:c>
      <x:c r="K86" s="295">
        <x:f t="shared" ref="K86:K89" si="38">D86-E86-F86-G86-H86-I86-J86</x:f>
        <x:v>59844.729999999974</x:v>
      </x:c>
      <x:c r="L86" s="294">
        <x:v>0</x:v>
      </x:c>
      <x:c r="M86" s="295">
        <x:f>K86-L86</x:f>
        <x:v>59844.729999999974</x:v>
      </x:c>
      <x:c r="N86" s="294">
        <x:f>'AJUSTES - SF-T'!N48</x:f>
        <x:v>0</x:v>
      </x:c>
      <x:c r="O86" s="295">
        <x:f t="shared" ref="O86:O89" si="39">M86+N86</x:f>
        <x:v>59844.729999999974</x:v>
      </x:c>
      <x:c r="Q86" s="306"/>
      <x:c r="S86" s="314">
        <x:v>2</x:v>
      </x:c>
      <x:c r="T86" s="315" t="s">
        <x:v>11</x:v>
      </x:c>
      <x:c r="U86" s="316">
        <x:f>'AJUSTES - SF-T'!U48</x:f>
        <x:v>61358.09</x:v>
      </x:c>
      <x:c r="V86" s="317">
        <x:f>'AJUSTES - SF-T'!V48</x:f>
        <x:v>33534.01</x:v>
      </x:c>
      <x:c r="W86" s="317">
        <x:f>'AJUSTES - SF-T'!W48</x:f>
        <x:v>127815.87</x:v>
      </x:c>
      <x:c r="X86" s="317">
        <x:f>'AJUSTES - SF-T'!X48</x:f>
        <x:v>64515.32</x:v>
      </x:c>
      <x:c r="Y86" s="318">
        <x:f>'AJUSTES - SF-T'!Y48</x:f>
        <x:v>5139.92</x:v>
      </x:c>
      <x:c r="Z86" s="319">
        <x:f>-L86</x:f>
        <x:v>0</x:v>
      </x:c>
      <x:c r="AA86" s="320">
        <x:f>'AJUSTES - SF-T'!AA48</x:f>
        <x:v>-0.36</x:v>
      </x:c>
      <x:c r="AB86" s="294">
        <x:f>N86</x:f>
        <x:v>0</x:v>
      </x:c>
      <x:c r="AC86" s="606">
        <x:v>0</x:v>
      </x:c>
      <x:c r="AD86" s="605">
        <x:f t="shared" ref="AD86:AD89" si="40">-J86+AE86</x:f>
        <x:v>-232518.12</x:v>
      </x:c>
      <x:c r="AE86" s="291">
        <x:f>'AJUSTES - SF-T'!AD48</x:f>
        <x:v>-232518.12</x:v>
      </x:c>
      <x:c r="AF86" s="322">
        <x:f>SUM(U86:AD86)</x:f>
        <x:v>59844.729999999981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5">
      <x:c r="B87" s="314">
        <x:v>3</x:v>
      </x:c>
      <x:c r="C87" s="315" t="s">
        <x:v>12</x:v>
      </x:c>
      <x:c r="D87" s="291">
        <x:f>'AJUSTES - SF-T'!D49</x:f>
        <x:v>104231.83</x:v>
      </x:c>
      <x:c r="E87" s="292">
        <x:f>'AJUSTES - SF-T'!E49</x:f>
        <x:v>6620.63</x:v>
      </x:c>
      <x:c r="F87" s="292">
        <x:f>'AJUSTES - SF-T'!F49</x:f>
        <x:v>3738.02</x:v>
      </x:c>
      <x:c r="G87" s="292">
        <x:f>'AJUSTES - SF-T'!G49</x:f>
        <x:v>1961.98</x:v>
      </x:c>
      <x:c r="H87" s="292">
        <x:f>'AJUSTES - SF-T'!H49</x:f>
        <x:v>20927.5</x:v>
      </x:c>
      <x:c r="I87" s="292">
        <x:f>'AJUSTES - SF-T'!I49</x:f>
        <x:v>743.08</x:v>
      </x:c>
      <x:c r="J87" s="288">
        <x:f>'AJUSTES - SF-T'!J49</x:f>
        <x:v>0</x:v>
      </x:c>
      <x:c r="K87" s="295">
        <x:f t="shared" si="38"/>
        <x:v>70240.62</x:v>
      </x:c>
      <x:c r="L87" s="294">
        <x:v>0</x:v>
      </x:c>
      <x:c r="M87" s="295">
        <x:f>K87-L87</x:f>
        <x:v>70240.62</x:v>
      </x:c>
      <x:c r="N87" s="294">
        <x:f>'AJUSTES - SF-T'!N49</x:f>
        <x:v>0</x:v>
      </x:c>
      <x:c r="O87" s="295">
        <x:f t="shared" si="39"/>
        <x:v>70240.62</x:v>
      </x:c>
      <x:c r="Q87" s="306"/>
      <x:c r="S87" s="314">
        <x:v>3</x:v>
      </x:c>
      <x:c r="T87" s="315" t="s">
        <x:v>12</x:v>
      </x:c>
      <x:c r="U87" s="316">
        <x:f>'AJUSTES - SF-T'!U49</x:f>
        <x:v>6518.28</x:v>
      </x:c>
      <x:c r="V87" s="317">
        <x:f>'AJUSTES - SF-T'!V49</x:f>
        <x:v>6410.86</x:v>
      </x:c>
      <x:c r="W87" s="317">
        <x:f>'AJUSTES - SF-T'!W49</x:f>
        <x:v>30349.1</x:v>
      </x:c>
      <x:c r="X87" s="317">
        <x:f>'AJUSTES - SF-T'!X49</x:f>
        <x:v>15383.1</x:v>
      </x:c>
      <x:c r="Y87" s="318">
        <x:f>'AJUSTES - SF-T'!Y49</x:f>
        <x:v>1212.4000000000001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5">
        <x:f t="shared" si="40"/>
        <x:v>10366.879999999999</x:v>
      </x:c>
      <x:c r="AE87" s="291">
        <x:f>'AJUSTES - SF-T'!AD49</x:f>
        <x:v>10366.879999999999</x:v>
      </x:c>
      <x:c r="AF87" s="322">
        <x:f t="shared" ref="AF87:AF89" si="42">SUM(U87:AD87)</x:f>
        <x:v>70240.62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5">
      <x:c r="B88" s="314">
        <x:v>4</x:v>
      </x:c>
      <x:c r="C88" s="315" t="s">
        <x:v>13</x:v>
      </x:c>
      <x:c r="D88" s="291">
        <x:f>'AJUSTES - SF-T'!D50</x:f>
        <x:v>35954.44</x:v>
      </x:c>
      <x:c r="E88" s="292">
        <x:f>'AJUSTES - SF-T'!E50</x:f>
        <x:v>1890.6</x:v>
      </x:c>
      <x:c r="F88" s="292">
        <x:f>'AJUSTES - SF-T'!F50</x:f>
        <x:v>1067.43</x:v>
      </x:c>
      <x:c r="G88" s="292">
        <x:f>'AJUSTES - SF-T'!G50</x:f>
        <x:v>560.27</x:v>
      </x:c>
      <x:c r="H88" s="292">
        <x:f>'AJUSTES - SF-T'!H50</x:f>
        <x:v>10800.02</x:v>
      </x:c>
      <x:c r="I88" s="292">
        <x:f>'AJUSTES - SF-T'!I50</x:f>
        <x:v>371.66</x:v>
      </x:c>
      <x:c r="J88" s="288">
        <x:f>'AJUSTES - SF-T'!J50</x:f>
        <x:v>0</x:v>
      </x:c>
      <x:c r="K88" s="295">
        <x:f t="shared" si="38"/>
        <x:v>21264.460000000003</x:v>
      </x:c>
      <x:c r="L88" s="294">
        <x:v>0</x:v>
      </x:c>
      <x:c r="M88" s="295">
        <x:f>K88-L88</x:f>
        <x:v>21264.460000000003</x:v>
      </x:c>
      <x:c r="N88" s="294">
        <x:f>'AJUSTES - SF-T'!N50</x:f>
        <x:v>0</x:v>
      </x:c>
      <x:c r="O88" s="295">
        <x:f t="shared" si="39"/>
        <x:v>21264.460000000003</x:v>
      </x:c>
      <x:c r="Q88" s="306"/>
      <x:c r="S88" s="314">
        <x:v>4</x:v>
      </x:c>
      <x:c r="T88" s="315" t="s">
        <x:v>13</x:v>
      </x:c>
      <x:c r="U88" s="316">
        <x:f>'AJUSTES - SF-T'!U50</x:f>
        <x:v>3260.18</x:v>
      </x:c>
      <x:c r="V88" s="317">
        <x:f>'AJUSTES - SF-T'!V50</x:f>
        <x:v>3149.08</x:v>
      </x:c>
      <x:c r="W88" s="317">
        <x:f>'AJUSTES - SF-T'!W50</x:f>
        <x:v>15696.81</x:v>
      </x:c>
      <x:c r="X88" s="317">
        <x:f>'AJUSTES - SF-T'!X50</x:f>
        <x:v>5005.76</x:v>
      </x:c>
      <x:c r="Y88" s="318">
        <x:f>'AJUSTES - SF-T'!Y50</x:f>
        <x:v>606.39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5">
        <x:f t="shared" si="40"/>
        <x:v>-6453.76</x:v>
      </x:c>
      <x:c r="AE88" s="291">
        <x:f>'AJUSTES - SF-T'!AD50</x:f>
        <x:v>-6453.76</x:v>
      </x:c>
      <x:c r="AF88" s="322">
        <x:f t="shared" si="42"/>
        <x:v>21264.46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5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35">
      <x:c r="B90" s="327"/>
      <x:c r="C90" s="328" t="s">
        <x:v>2</x:v>
      </x:c>
      <x:c r="D90" s="290">
        <x:f>SUM(D85:D89)</x:f>
        <x:v>1329905.5</x:v>
      </x:c>
      <x:c r="E90" s="290">
        <x:f t="shared" ref="E90:O90" si="43">SUM(E85:E89)</x:f>
        <x:v>105933.07</x:v>
      </x:c>
      <x:c r="F90" s="290">
        <x:f t="shared" si="43"/>
        <x:v>60373.37999999999</x:v>
      </x:c>
      <x:c r="G90" s="290">
        <x:f t="shared" ref="G90" si="44">SUM(G85:G89)</x:f>
        <x:v>30807.040000000001</x:v>
      </x:c>
      <x:c r="H90" s="290">
        <x:f t="shared" si="43"/>
        <x:v>281311.36000000004</x:v>
      </x:c>
      <x:c r="I90" s="290">
        <x:f t="shared" si="43"/>
        <x:v>10556.12</x:v>
      </x:c>
      <x:c r="J90" s="290">
        <x:f t="shared" si="43"/>
        <x:v>0</x:v>
      </x:c>
      <x:c r="K90" s="300">
        <x:f t="shared" si="43"/>
        <x:v>840924.52999999991</x:v>
      </x:c>
      <x:c r="L90" s="301">
        <x:f t="shared" si="43"/>
        <x:v>0</x:v>
      </x:c>
      <x:c r="M90" s="302">
        <x:f t="shared" si="43"/>
        <x:v>840924.52999999991</x:v>
      </x:c>
      <x:c r="N90" s="301">
        <x:f t="shared" si="43"/>
        <x:v>0</x:v>
      </x:c>
      <x:c r="O90" s="302">
        <x:f t="shared" si="43"/>
        <x:v>840924.52999999991</x:v>
      </x:c>
      <x:c r="P90" s="329"/>
      <x:c r="Q90" s="306"/>
      <x:c r="S90" s="327"/>
      <x:c r="T90" s="328" t="s">
        <x:v>2</x:v>
      </x:c>
      <x:c r="U90" s="330">
        <x:f>SUM(U85:U89)</x:f>
        <x:v>123246.34</x:v>
      </x:c>
      <x:c r="V90" s="330">
        <x:f t="shared" ref="V90:AG90" si="45">SUM(V85:V89)</x:f>
        <x:v>90700.98000000001</x:v>
      </x:c>
      <x:c r="W90" s="330">
        <x:f t="shared" si="45"/>
        <x:v>399302.95</x:v>
      </x:c>
      <x:c r="X90" s="330">
        <x:f t="shared" si="45"/>
        <x:v>263333.49</x:v>
      </x:c>
      <x:c r="Y90" s="330">
        <x:f t="shared" si="45"/>
        <x:v>16026.14</x:v>
      </x:c>
      <x:c r="Z90" s="290">
        <x:f t="shared" si="45"/>
        <x:v>0</x:v>
      </x:c>
      <x:c r="AA90" s="290">
        <x:f t="shared" si="45"/>
        <x:v>-0.36</x:v>
      </x:c>
      <x:c r="AB90" s="470">
        <x:f t="shared" si="45"/>
        <x:v>0</x:v>
      </x:c>
      <x:c r="AC90" s="290">
        <x:f t="shared" ref="AC90" si="46">SUM(AC85:AC89)</x:f>
        <x:v>0</x:v>
      </x:c>
      <x:c r="AD90" s="608">
        <x:f t="shared" si="45"/>
        <x:v>-51685.010000000009</x:v>
      </x:c>
      <x:c r="AE90" s="290">
        <x:f t="shared" si="45"/>
        <x:v>-51685.010000000009</x:v>
      </x:c>
      <x:c r="AF90" s="331">
        <x:f t="shared" si="45"/>
        <x:v>840924.52999999991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892609.9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3">
      <x:c r="Q96" s="4"/>
      <x:c r="AI96" s="4"/>
    </x:row>
    <x:row r="97" spans="2:39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4" x14ac:dyDescent="0.3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5" x14ac:dyDescent="0.3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4" x14ac:dyDescent="0.3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5" x14ac:dyDescent="0.35">
      <x:c r="B101" s="8"/>
      <x:c r="C101" s="599" t="s">
        <x:v>17</x:v>
      </x:c>
      <x:c r="D101" s="9">
        <x:f>D6</x:f>
        <x:v>46238</x:v>
      </x:c>
      <x:c r="F101" s="58" t="s">
        <x:v>213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214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5">
      <x:c r="B102" s="8"/>
      <x:c r="C102" s="599" t="s">
        <x:v>0</x:v>
      </x:c>
      <x:c r="D102" s="241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3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5">
      <x:c r="B104" s="303">
        <x:v>1</x:v>
      </x:c>
      <x:c r="C104" s="304" t="s">
        <x:v>10</x:v>
      </x:c>
      <x:c r="D104" s="291">
        <x:f t="shared" ref="D104:F106" si="47">D9+D28+D47+D66+D85</x:f>
        <x:v>17450228673.349998</x:v>
      </x:c>
      <x:c r="E104" s="292">
        <x:f t="shared" si="47"/>
        <x:v>907089032.16000009</x:v>
      </x:c>
      <x:c r="F104" s="292">
        <x:f t="shared" si="47"/>
        <x:v>511619081.72000003</x:v>
      </x:c>
      <x:c r="G104" s="292">
        <x:f t="shared" ref="G104" si="48">G9+G28+G47+G66+G85</x:f>
        <x:v>268690518.94</x:v>
      </x:c>
      <x:c r="H104" s="292">
        <x:f t="shared" ref="H104:J108" si="49">H9+H28+H47+H66+H85</x:f>
        <x:v>3815252256.9000001</x:v>
      </x:c>
      <x:c r="I104" s="292">
        <x:f t="shared" si="49"/>
        <x:v>134368143.47</x:v>
      </x:c>
      <x:c r="J104" s="288">
        <x:f t="shared" si="49"/>
        <x:v>-3589454665.5499997</x:v>
      </x:c>
      <x:c r="K104" s="293">
        <x:f>D104-E104-F104-G104-H104-I104-J104</x:f>
        <x:v>15402664305.709999</x:v>
      </x:c>
      <x:c r="L104" s="294">
        <x:f>L9+L28+L47+L66+L85</x:f>
        <x:v>189185988</x:v>
      </x:c>
      <x:c r="M104" s="293">
        <x:f>K104-L104</x:f>
        <x:v>15213478317.709999</x:v>
      </x:c>
      <x:c r="N104" s="294">
        <x:f>N9+N28+N47+N66+N85</x:f>
        <x:v>25277316.260000002</x:v>
      </x:c>
      <x:c r="O104" s="293">
        <x:f>M104+N104</x:f>
        <x:v>15238755633.969999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1182502863.3800001</x:v>
      </x:c>
      <x:c r="V104" s="308">
        <x:f t="shared" si="50"/>
        <x:v>1138203111.0299997</x:v>
      </x:c>
      <x:c r="W104" s="308">
        <x:f t="shared" si="50"/>
        <x:v>5384239175.3499994</x:v>
      </x:c>
      <x:c r="X104" s="308">
        <x:f t="shared" si="50"/>
        <x:v>2460648865.29</x:v>
      </x:c>
      <x:c r="Y104" s="309">
        <x:f t="shared" si="50"/>
        <x:v>219070048.99000001</x:v>
      </x:c>
      <x:c r="Z104" s="310">
        <x:f t="shared" si="50"/>
        <x:v>-189185988</x:v>
      </x:c>
      <x:c r="AA104" s="311">
        <x:f>AA9+AA28+AA47+AA66+AA85</x:f>
        <x:v>-17520.82</x:v>
      </x:c>
      <x:c r="AB104" s="294">
        <x:f t="shared" si="50"/>
        <x:v>25277316.260000002</x:v>
      </x:c>
      <x:c r="AC104" s="311">
        <x:f>AC9+AC28+AC47+AC66+AC85</x:f>
        <x:v>-1592.61</x:v>
      </x:c>
      <x:c r="AD104" s="291">
        <x:f>-J104+AE104</x:f>
        <x:v>5018019355.0999994</x:v>
      </x:c>
      <x:c r="AE104" s="291">
        <x:f>AE9+AE28+AE47+AE66+AE85</x:f>
        <x:v>1428564689.55</x:v>
      </x:c>
      <x:c r="AF104" s="313">
        <x:f>SUM(U104:AD104)</x:f>
        <x:v>15238755633.969997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5">
      <x:c r="B105" s="314">
        <x:v>2</x:v>
      </x:c>
      <x:c r="C105" s="315" t="s">
        <x:v>11</x:v>
      </x:c>
      <x:c r="D105" s="291">
        <x:f>D10+D29+D48+D67+D86</x:f>
        <x:v>20516143969.650002</x:v>
      </x:c>
      <x:c r="E105" s="292">
        <x:f>E10+E29+E48+E67+E86</x:f>
        <x:v>1584179837.8299999</x:v>
      </x:c>
      <x:c r="F105" s="292">
        <x:f t="shared" si="47"/>
        <x:v>890098162.61999989</x:v>
      </x:c>
      <x:c r="G105" s="292">
        <x:f t="shared" ref="G105" si="51">G10+G29+G48+G67+G86</x:f>
        <x:v>466611469.23999995</x:v>
      </x:c>
      <x:c r="H105" s="292">
        <x:f t="shared" si="49"/>
        <x:v>5815089519.5800009</x:v>
      </x:c>
      <x:c r="I105" s="292">
        <x:f t="shared" si="49"/>
        <x:v>222428730.16</x:v>
      </x:c>
      <x:c r="J105" s="288">
        <x:f t="shared" si="49"/>
        <x:v>-3241193714.1100001</x:v>
      </x:c>
      <x:c r="K105" s="295">
        <x:f t="shared" ref="K105:K108" si="52">D105-E105-F105-G105-H105-I105-J105</x:f>
        <x:v>14778929964.329998</x:v>
      </x:c>
      <x:c r="L105" s="294">
        <x:f>L10+L29+L48+L67+L86</x:f>
        <x:v>266580256</x:v>
      </x:c>
      <x:c r="M105" s="295">
        <x:f>K105-L105</x:f>
        <x:v>14512349708.329998</x:v>
      </x:c>
      <x:c r="N105" s="294">
        <x:f>N10+N29+N48+N67+N86</x:f>
        <x:v>53454221.280000001</x:v>
      </x:c>
      <x:c r="O105" s="295">
        <x:f t="shared" ref="O105:O108" si="53">M105+N105</x:f>
        <x:v>14565803929.609999</x:v>
      </x:c>
      <x:c r="Q105" s="306"/>
      <x:c r="S105" s="314">
        <x:v>2</x:v>
      </x:c>
      <x:c r="T105" s="315" t="s">
        <x:v>11</x:v>
      </x:c>
      <x:c r="U105" s="316">
        <x:f t="shared" si="50"/>
        <x:v>1949886300.4400001</x:v>
      </x:c>
      <x:c r="V105" s="317">
        <x:f t="shared" si="50"/>
        <x:v>1945637036.9099996</x:v>
      </x:c>
      <x:c r="W105" s="317">
        <x:f t="shared" si="50"/>
        <x:v>9155886148.1600037</x:v>
      </x:c>
      <x:c r="X105" s="317">
        <x:f t="shared" si="50"/>
        <x:v>3142209362.4400001</x:v>
      </x:c>
      <x:c r="Y105" s="318">
        <x:f t="shared" si="50"/>
        <x:v>363003578.24000001</x:v>
      </x:c>
      <x:c r="Z105" s="319">
        <x:f t="shared" si="50"/>
        <x:v>-266580256</x:v>
      </x:c>
      <x:c r="AA105" s="320">
        <x:f>AA10+AA29+AA48+AA67+AA86</x:f>
        <x:v>86900.159999999989</x:v>
      </x:c>
      <x:c r="AB105" s="294">
        <x:f t="shared" si="50"/>
        <x:v>53454221.280000001</x:v>
      </x:c>
      <x:c r="AC105" s="320">
        <x:f>AC10+AC29+AC48+AC67+AC86</x:f>
        <x:v>-123.21</x:v>
      </x:c>
      <x:c r="AD105" s="291">
        <x:f t="shared" ref="AD105:AD107" si="54">-J105+AE105</x:f>
        <x:v>-1777779238.8099999</x:v>
      </x:c>
      <x:c r="AE105" s="291">
        <x:f>AE10+AE29+AE48+AE67+AE86</x:f>
        <x:v>-5018972952.9200001</x:v>
      </x:c>
      <x:c r="AF105" s="322">
        <x:f>SUM(U105:AD105)</x:f>
        <x:v>14565803929.610004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5">
      <x:c r="B106" s="314">
        <x:v>3</x:v>
      </x:c>
      <x:c r="C106" s="315" t="s">
        <x:v>12</x:v>
      </x:c>
      <x:c r="D106" s="291">
        <x:f t="shared" si="47"/>
        <x:v>15221896467.450003</x:v>
      </x:c>
      <x:c r="E106" s="292">
        <x:f t="shared" si="47"/>
        <x:v>1154816918.0400002</x:v>
      </x:c>
      <x:c r="F106" s="292">
        <x:f t="shared" si="47"/>
        <x:v>650648256.78000009</x:v>
      </x:c>
      <x:c r="G106" s="292">
        <x:f t="shared" ref="G106" si="56">G11+G30+G49+G68+G87</x:f>
        <x:v>342168927.41999996</x:v>
      </x:c>
      <x:c r="H106" s="292">
        <x:f t="shared" si="49"/>
        <x:v>3419471286.5799999</x:v>
      </x:c>
      <x:c r="I106" s="292">
        <x:f t="shared" si="49"/>
        <x:v>125690282.95999999</x:v>
      </x:c>
      <x:c r="J106" s="288">
        <x:f t="shared" si="49"/>
        <x:v>-853244564.50999999</x:v>
      </x:c>
      <x:c r="K106" s="295">
        <x:f t="shared" si="52"/>
        <x:v>10382345360.180002</x:v>
      </x:c>
      <x:c r="L106" s="294">
        <x:f>L11+L30+L49+L68+L87</x:f>
        <x:v>154788536</x:v>
      </x:c>
      <x:c r="M106" s="295">
        <x:f>K106-L106</x:f>
        <x:v>10227556824.180002</x:v>
      </x:c>
      <x:c r="N106" s="294">
        <x:f>N11+N30+N49+N68+N87</x:f>
        <x:v>14341963.319999998</x:v>
      </x:c>
      <x:c r="O106" s="295">
        <x:f t="shared" si="53"/>
        <x:v>10241898787.500002</x:v>
      </x:c>
      <x:c r="Q106" s="306"/>
      <x:c r="S106" s="314">
        <x:v>3</x:v>
      </x:c>
      <x:c r="T106" s="315" t="s">
        <x:v>12</x:v>
      </x:c>
      <x:c r="U106" s="316">
        <x:f t="shared" si="50"/>
        <x:v>1102335590.3299999</x:v>
      </x:c>
      <x:c r="V106" s="317">
        <x:f t="shared" si="50"/>
        <x:v>1086464208.23</x:v>
      </x:c>
      <x:c r="W106" s="317">
        <x:f t="shared" si="50"/>
        <x:v>5141961247.9000006</x:v>
      </x:c>
      <x:c r="X106" s="317">
        <x:f t="shared" si="50"/>
        <x:v>2685857516.6600003</x:v>
      </x:c>
      <x:c r="Y106" s="318">
        <x:f t="shared" si="50"/>
        <x:v>205160229.32000002</x:v>
      </x:c>
      <x:c r="Z106" s="319">
        <x:f t="shared" si="50"/>
        <x:v>-154788536</x:v>
      </x:c>
      <x:c r="AA106" s="320">
        <x:f>AA11+AA30+AA49+AA68+AA87</x:f>
        <x:v>246404.58</x:v>
      </x:c>
      <x:c r="AB106" s="294">
        <x:f t="shared" si="50"/>
        <x:v>14341963.319999998</x:v>
      </x:c>
      <x:c r="AC106" s="320">
        <x:f>AC11+AC30+AC49+AC68+AC87</x:f>
        <x:v>-11885.619999999999</x:v>
      </x:c>
      <x:c r="AD106" s="291">
        <x:f t="shared" si="54"/>
        <x:v>160332048.78000009</x:v>
      </x:c>
      <x:c r="AE106" s="291">
        <x:f>AE11+AE30+AE49+AE68+AE87</x:f>
        <x:v>-692912515.7299999</x:v>
      </x:c>
      <x:c r="AF106" s="322">
        <x:f>SUM(U106:AD106)</x:f>
        <x:v>10241898787.5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5">
      <x:c r="B107" s="314">
        <x:v>4</x:v>
      </x:c>
      <x:c r="C107" s="315" t="s">
        <x:v>13</x:v>
      </x:c>
      <x:c r="D107" s="291">
        <x:f t="shared" ref="D107" si="57">D12+D31+D50+D69+D88</x:f>
        <x:v>7179595395.6699991</x:v>
      </x:c>
      <x:c r="E107" s="292">
        <x:f t="shared" ref="E107:F108" si="58">E12+E31+E50+E69+E88</x:f>
        <x:v>473606043.33000004</x:v>
      </x:c>
      <x:c r="F107" s="292">
        <x:f t="shared" si="58"/>
        <x:v>264596657.70000002</x:v>
      </x:c>
      <x:c r="G107" s="292">
        <x:f t="shared" ref="G107" si="59">G12+G31+G50+G69+G88</x:f>
        <x:v>136481575.35000002</x:v>
      </x:c>
      <x:c r="H107" s="292">
        <x:f t="shared" si="49"/>
        <x:v>1605437093.76</x:v>
      </x:c>
      <x:c r="I107" s="292">
        <x:f t="shared" si="49"/>
        <x:v>62582401.519999996</x:v>
      </x:c>
      <x:c r="J107" s="288">
        <x:f t="shared" si="49"/>
        <x:v>-699882713.37000012</x:v>
      </x:c>
      <x:c r="K107" s="295">
        <x:f t="shared" si="52"/>
        <x:v>5336774337.3799982</x:v>
      </x:c>
      <x:c r="L107" s="294">
        <x:f>L12+L31+L50+L69+L88</x:f>
        <x:v>120391083</x:v>
      </x:c>
      <x:c r="M107" s="295">
        <x:f>K107-L107</x:f>
        <x:v>5216383254.3799982</x:v>
      </x:c>
      <x:c r="N107" s="294">
        <x:f>N12+N31+N50+N69+N88</x:f>
        <x:v>34128344.93</x:v>
      </x:c>
      <x:c r="O107" s="295">
        <x:f>M107+N107</x:f>
        <x:v>5250511599.3099985</x:v>
      </x:c>
      <x:c r="Q107" s="306"/>
      <x:c r="S107" s="314">
        <x:v>4</x:v>
      </x:c>
      <x:c r="T107" s="315" t="s">
        <x:v>13</x:v>
      </x:c>
      <x:c r="U107" s="316">
        <x:f t="shared" si="50"/>
        <x:v>549450408.40999997</x:v>
      </x:c>
      <x:c r="V107" s="317">
        <x:f t="shared" si="50"/>
        <x:v>548186870.46999991</x:v>
      </x:c>
      <x:c r="W107" s="317">
        <x:f t="shared" si="50"/>
        <x:v>2799232757.4099998</x:v>
      </x:c>
      <x:c r="X107" s="317">
        <x:f t="shared" si="50"/>
        <x:v>1254527099.4500003</x:v>
      </x:c>
      <x:c r="Y107" s="318">
        <x:f t="shared" si="50"/>
        <x:v>102249901.39999999</x:v>
      </x:c>
      <x:c r="Z107" s="319">
        <x:f t="shared" si="50"/>
        <x:v>-120391083</x:v>
      </x:c>
      <x:c r="AA107" s="320">
        <x:f>AA12+AA31+AA50+AA69+AA88</x:f>
        <x:v>-16263.19</x:v>
      </x:c>
      <x:c r="AB107" s="294">
        <x:f t="shared" si="50"/>
        <x:v>34128344.93</x:v>
      </x:c>
      <x:c r="AC107" s="320">
        <x:f>AC12+AC31+AC50+AC69+AC88</x:f>
        <x:v>-529.09999999999991</x:v>
      </x:c>
      <x:c r="AD107" s="291">
        <x:f t="shared" si="54"/>
        <x:v>83144092.53000021</x:v>
      </x:c>
      <x:c r="AE107" s="291">
        <x:f>AE12+AE31+AE50+AE69+AE88</x:f>
        <x:v>-616738620.83999991</x:v>
      </x:c>
      <x:c r="AF107" s="322">
        <x:f>SUM(U107:AD107)</x:f>
        <x:v>5250511599.3099995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" thickBot="1" x14ac:dyDescent="0.3">
      <x:c r="B108" s="324">
        <x:v>5</x:v>
      </x:c>
      <x:c r="C108" s="325" t="s">
        <x:v>14</x:v>
      </x:c>
      <x:c r="D108" s="296">
        <x:f>D13+D32+D51+D70+D89</x:f>
        <x:v>12073344661.59</x:v>
      </x:c>
      <x:c r="E108" s="297">
        <x:f t="shared" si="58"/>
        <x:v>731686441.62</x:v>
      </x:c>
      <x:c r="F108" s="297">
        <x:f t="shared" si="58"/>
        <x:v>412480816.2899999</x:v>
      </x:c>
      <x:c r="G108" s="297">
        <x:f t="shared" ref="G108" si="60">G13+G32+G51+G70+G89</x:f>
        <x:v>216220999.25</x:v>
      </x:c>
      <x:c r="H108" s="297">
        <x:f t="shared" si="49"/>
        <x:v>2771170796.7799997</x:v>
      </x:c>
      <x:c r="I108" s="297">
        <x:f t="shared" si="49"/>
        <x:v>105860252.47</x:v>
      </x:c>
      <x:c r="J108" s="289">
        <x:f t="shared" si="49"/>
        <x:v>-82959023.660000086</x:v>
      </x:c>
      <x:c r="K108" s="295">
        <x:f t="shared" si="52"/>
        <x:v>7918884378.8400002</x:v>
      </x:c>
      <x:c r="L108" s="294">
        <x:f>L13+L32+L51+L70+L89</x:f>
        <x:v>128990446</x:v>
      </x:c>
      <x:c r="M108" s="298">
        <x:f>K108-L108</x:f>
        <x:v>7789893932.8400002</x:v>
      </x:c>
      <x:c r="N108" s="299">
        <x:f>N13+N32+N51+N70+N89</x:f>
        <x:v>15891735.880000001</x:v>
      </x:c>
      <x:c r="O108" s="298">
        <x:f t="shared" si="53"/>
        <x:v>7805785668.7200003</x:v>
      </x:c>
      <x:c r="Q108" s="306"/>
      <x:c r="S108" s="324">
        <x:v>5</x:v>
      </x:c>
      <x:c r="T108" s="325" t="s">
        <x:v>14</x:v>
      </x:c>
      <x:c r="U108" s="296">
        <x:f t="shared" si="50"/>
        <x:v>928205240.1500001</x:v>
      </x:c>
      <x:c r="V108" s="297">
        <x:f t="shared" si="50"/>
        <x:v>911180502.11000001</x:v>
      </x:c>
      <x:c r="W108" s="297">
        <x:f t="shared" si="50"/>
        <x:v>4681131561.2200003</x:v>
      </x:c>
      <x:c r="X108" s="297">
        <x:f t="shared" si="50"/>
        <x:v>2173851295.3300004</x:v>
      </x:c>
      <x:c r="Y108" s="289">
        <x:f t="shared" si="50"/>
        <x:v>172729906.53999999</x:v>
      </x:c>
      <x:c r="Z108" s="319">
        <x:f t="shared" si="50"/>
        <x:v>-128990446</x:v>
      </x:c>
      <x:c r="AA108" s="320">
        <x:f>AA13+AA32+AA51+AA70+AA89</x:f>
        <x:v>-147744.56999999998</x:v>
      </x:c>
      <x:c r="AB108" s="294">
        <x:f t="shared" si="50"/>
        <x:v>15891735.880000001</x:v>
      </x:c>
      <x:c r="AC108" s="320">
        <x:f>AC13+AC32+AC51+AC70+AC89</x:f>
        <x:v>-32.979999999999997</x:v>
      </x:c>
      <x:c r="AD108" s="291">
        <x:f>-J108+AE108</x:f>
        <x:v>-948066348.95999992</x:v>
      </x:c>
      <x:c r="AE108" s="291">
        <x:f>AE13+AE32+AE51+AE70+AE89</x:f>
        <x:v>-1031025372.62</x:v>
      </x:c>
      <x:c r="AF108" s="322">
        <x:f>SUM(U108:AD108)</x:f>
        <x:v>7805785668.7200022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35">
      <x:c r="B109" s="327"/>
      <x:c r="C109" s="328" t="s">
        <x:v>2</x:v>
      </x:c>
      <x:c r="D109" s="290">
        <x:f t="shared" ref="D109:N109" si="61">SUM(D104:D108)</x:f>
        <x:v>72441209167.710007</x:v>
      </x:c>
      <x:c r="E109" s="290">
        <x:f t="shared" si="61"/>
        <x:v>4851378272.9799995</x:v>
      </x:c>
      <x:c r="F109" s="290">
        <x:f t="shared" si="61"/>
        <x:v>2729442975.1099997</x:v>
      </x:c>
      <x:c r="G109" s="290">
        <x:f t="shared" ref="G109" si="62">SUM(G104:G108)</x:f>
        <x:v>1430173490.1999998</x:v>
      </x:c>
      <x:c r="H109" s="290">
        <x:f t="shared" si="61"/>
        <x:v>17426420953.600002</x:v>
      </x:c>
      <x:c r="I109" s="290">
        <x:f t="shared" si="61"/>
        <x:v>650929810.58000004</x:v>
      </x:c>
      <x:c r="J109" s="290">
        <x:f t="shared" si="61"/>
        <x:v>-8466734681.1999998</x:v>
      </x:c>
      <x:c r="K109" s="300">
        <x:f t="shared" si="61"/>
        <x:v>53819598346.440002</x:v>
      </x:c>
      <x:c r="L109" s="301">
        <x:f t="shared" si="61"/>
        <x:v>859936309</x:v>
      </x:c>
      <x:c r="M109" s="302">
        <x:f t="shared" si="61"/>
        <x:v>52959662037.440002</x:v>
      </x:c>
      <x:c r="N109" s="301">
        <x:f t="shared" si="61"/>
        <x:v>143093581.66999999</x:v>
      </x:c>
      <x:c r="O109" s="302">
        <x:f>SUM(O104:O108)</x:f>
        <x:v>53102755619.110001</x:v>
      </x:c>
      <x:c r="P109" s="329"/>
      <x:c r="Q109" s="306"/>
      <x:c r="S109" s="327"/>
      <x:c r="T109" s="328" t="s">
        <x:v>2</x:v>
      </x:c>
      <x:c r="U109" s="330">
        <x:f>SUM(U104:U108)</x:f>
        <x:v>5712380402.710001</x:v>
      </x:c>
      <x:c r="V109" s="330">
        <x:f t="shared" ref="V109:AF109" si="63">SUM(V104:V108)</x:f>
        <x:v>5629671728.749999</x:v>
      </x:c>
      <x:c r="W109" s="330">
        <x:f t="shared" si="63"/>
        <x:v>27162450890.040005</x:v>
      </x:c>
      <x:c r="X109" s="330">
        <x:f t="shared" si="63"/>
        <x:v>11717094139.17</x:v>
      </x:c>
      <x:c r="Y109" s="330">
        <x:f t="shared" si="63"/>
        <x:v>1062213664.49</x:v>
      </x:c>
      <x:c r="Z109" s="290">
        <x:f t="shared" si="63"/>
        <x:v>-859936309</x:v>
      </x:c>
      <x:c r="AA109" s="290">
        <x:f>SUM(AA104:AA108)</x:f>
        <x:v>151776.16</x:v>
      </x:c>
      <x:c r="AB109" s="290">
        <x:f t="shared" si="63"/>
        <x:v>143093581.66999999</x:v>
      </x:c>
      <x:c r="AC109" s="290">
        <x:f>SUM(AC104:AC108)</x:f>
        <x:v>-14163.519999999999</x:v>
      </x:c>
      <x:c r="AD109" s="290">
        <x:f t="shared" si="63"/>
        <x:v>2535649908.6399999</x:v>
      </x:c>
      <x:c r="AE109" s="290">
        <x:f>SUM(AE104:AE108)</x:f>
        <x:v>-5931084772.5599995</x:v>
      </x:c>
      <x:c r="AF109" s="331">
        <x:f t="shared" si="63"/>
        <x:v>53102755619.110001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51283810825.159996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3">
      <x:c r="Q115" s="4"/>
    </x:row>
    <x:row r="116" spans="1:35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4" x14ac:dyDescent="0.3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5" x14ac:dyDescent="0.3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5" x14ac:dyDescent="0.3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305"/>
      <x:c r="Y122" s="305"/>
    </x:row>
    <x:row r="123" spans="1:35" ht="12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6.5" thickBot="1" x14ac:dyDescent="0.3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5">
      <x:c r="B125" s="334">
        <x:v>1</x:v>
      </x:c>
      <x:c r="C125" s="335" t="s">
        <x:v>10</x:v>
      </x:c>
      <x:c r="D125" s="385">
        <x:f>'ANTICIPOS USUARIOS'!C3</x:f>
        <x:v>100931031.88</x:v>
      </x:c>
      <x:c r="E125" s="309">
        <x:v>0</x:v>
      </x:c>
      <x:c r="G125" s="336">
        <x:f>D47+N47</x:f>
        <x:v>49580</x:v>
      </x:c>
      <x:c r="H125" s="310">
        <x:f>D28+N28</x:f>
        <x:v>125948553.12</x:v>
      </x:c>
      <x:c r="I125" s="309">
        <x:f>D85+N85</x:f>
        <x:v>973693.46</x:v>
      </x:c>
      <x:c r="J125" s="309">
        <x:f>D66+N66</x:f>
        <x:v>-16536713.09</x:v>
      </x:c>
      <x:c r="K125" s="309">
        <x:f>'ANTICIPOS USUARIOS'!C12</x:f>
        <x:v>82340</x:v>
      </x:c>
      <x:c r="L125" s="309">
        <x:f>-'ANTICIPOS USUARIOS'!C21</x:f>
        <x:v>182537.90999999997</x:v>
      </x:c>
      <x:c r="O125" s="337"/>
      <x:c r="Q125" s="306"/>
      <x:c r="AG125" s="333"/>
    </x:row>
    <x:row r="126" spans="1:35" s="305" customFormat="1" x14ac:dyDescent="0.25">
      <x:c r="B126" s="314">
        <x:v>2</x:v>
      </x:c>
      <x:c r="C126" s="338" t="s">
        <x:v>11</x:v>
      </x:c>
      <x:c r="D126" s="292">
        <x:f>'ANTICIPOS USUARIOS'!C4</x:f>
        <x:v>136534753</x:v>
      </x:c>
      <x:c r="E126" s="288">
        <x:v>0</x:v>
      </x:c>
      <x:c r="G126" s="339">
        <x:f>D48+N48</x:f>
        <x:v>56190070</x:v>
      </x:c>
      <x:c r="H126" s="340">
        <x:f>D29+N29</x:f>
        <x:v>178539092.16</x:v>
      </x:c>
      <x:c r="I126" s="288">
        <x:f>D86+N86</x:f>
        <x:v>216025.77</x:v>
      </x:c>
      <x:c r="J126" s="288">
        <x:f>D67+N67</x:f>
        <x:v>-71069759</x:v>
      </x:c>
      <x:c r="K126" s="288">
        <x:f>'ANTICIPOS USUARIOS'!C13</x:f>
        <x:v>5228610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5">
      <x:c r="B127" s="314">
        <x:v>3</x:v>
      </x:c>
      <x:c r="C127" s="338" t="s">
        <x:v>12</x:v>
      </x:c>
      <x:c r="D127" s="292">
        <x:f>'ANTICIPOS USUARIOS'!C5</x:f>
        <x:v>58884032.920000002</x:v>
      </x:c>
      <x:c r="E127" s="288">
        <x:v>0</x:v>
      </x:c>
      <x:c r="G127" s="339">
        <x:f>D49+N49</x:f>
        <x:v>1307680</x:v>
      </x:c>
      <x:c r="H127" s="340">
        <x:f>D30+N30</x:f>
        <x:v>26609070.66</x:v>
      </x:c>
      <x:c r="I127" s="288">
        <x:f>D87+N87</x:f>
        <x:v>104231.83</x:v>
      </x:c>
      <x:c r="J127" s="288">
        <x:f t="shared" ref="J127:J129" si="64">D68+N68</x:f>
        <x:v>-32310979.800000001</x:v>
      </x:c>
      <x:c r="K127" s="288">
        <x:f>'ANTICIPOS USUARIOS'!C14</x:f>
        <x:v>0</x:v>
      </x:c>
      <x:c r="L127" s="288">
        <x:f>-'ANTICIPOS USUARIOS'!C23</x:f>
        <x:v>2423600.2000000002</x:v>
      </x:c>
      <x:c r="O127" s="337"/>
      <x:c r="Q127" s="306"/>
      <x:c r="AG127" s="333"/>
    </x:row>
    <x:row r="128" spans="1:35" s="305" customFormat="1" x14ac:dyDescent="0.25">
      <x:c r="B128" s="314">
        <x:v>4</x:v>
      </x:c>
      <x:c r="C128" s="338" t="s">
        <x:v>13</x:v>
      </x:c>
      <x:c r="D128" s="292">
        <x:f>'ANTICIPOS USUARIOS'!C6</x:f>
        <x:v>73726637.340000004</x:v>
      </x:c>
      <x:c r="E128" s="288">
        <x:v>0</x:v>
      </x:c>
      <x:c r="G128" s="339">
        <x:f>D50+N50</x:f>
        <x:v>4343101</x:v>
      </x:c>
      <x:c r="H128" s="340">
        <x:f>D31+N31</x:f>
        <x:v>161461949.73000002</x:v>
      </x:c>
      <x:c r="I128" s="288">
        <x:f>D88+N88</x:f>
        <x:v>35954.44</x:v>
      </x:c>
      <x:c r="J128" s="288">
        <x:f t="shared" si="64"/>
        <x:v>-33738104.229999997</x:v>
      </x:c>
      <x:c r="K128" s="288">
        <x:f>'ANTICIPOS USUARIOS'!C15</x:f>
        <x:v>14538094</x:v>
      </x:c>
      <x:c r="L128" s="288">
        <x:f>-'ANTICIPOS USUARIOS'!C24</x:f>
        <x:v>14979759.77</x:v>
      </x:c>
      <x:c r="O128" s="337"/>
      <x:c r="Q128" s="306"/>
      <x:c r="AG128" s="333"/>
    </x:row>
    <x:row r="129" spans="1:33" s="305" customFormat="1" x14ac:dyDescent="0.25">
      <x:c r="B129" s="341">
        <x:v>5</x:v>
      </x:c>
      <x:c r="C129" s="342" t="s">
        <x:v>14</x:v>
      </x:c>
      <x:c r="D129" s="343">
        <x:f>'ANTICIPOS USUARIOS'!C7</x:f>
        <x:v>28383865.960000001</x:v>
      </x:c>
      <x:c r="E129" s="344">
        <x:v>0</x:v>
      </x:c>
      <x:c r="G129" s="339">
        <x:f>D51+N51</x:f>
        <x:v>441849</x:v>
      </x:c>
      <x:c r="H129" s="340">
        <x:f>D32+N32</x:f>
        <x:v>43973508.960000001</x:v>
      </x:c>
      <x:c r="I129" s="288">
        <x:f>D89+N89</x:f>
        <x:v>0</x:v>
      </x:c>
      <x:c r="J129" s="288">
        <x:f t="shared" si="64"/>
        <x:v>-3092375.53</x:v>
      </x:c>
      <x:c r="K129" s="288">
        <x:f>'ANTICIPOS USUARIOS'!C16</x:f>
        <x:v>87550</x:v>
      </x:c>
      <x:c r="L129" s="288">
        <x:f>-'ANTICIPOS USUARIOS'!C25</x:f>
        <x:v>215053.47</x:v>
      </x:c>
      <x:c r="O129" s="337"/>
      <x:c r="Q129" s="306"/>
      <x:c r="AG129" s="333"/>
    </x:row>
    <x:row r="130" spans="1:33" s="305" customFormat="1" ht="12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" thickBot="1" x14ac:dyDescent="0.3">
      <x:c r="B131" s="348"/>
      <x:c r="C131" s="349" t="s">
        <x:v>2</x:v>
      </x:c>
      <x:c r="D131" s="350">
        <x:f>SUM(D125:D130)</x:f>
        <x:v>398460321.09999996</x:v>
      </x:c>
      <x:c r="E131" s="350">
        <x:f>SUM(E125:E130)</x:f>
        <x:v>0</x:v>
      </x:c>
      <x:c r="F131" s="351"/>
      <x:c r="G131" s="350">
        <x:f t="shared" ref="G131" si="65">SUM(G125:G129)</x:f>
        <x:v>62332280</x:v>
      </x:c>
      <x:c r="H131" s="350">
        <x:f>SUM(H125:H130)</x:f>
        <x:v>536532174.63</x:v>
      </x:c>
      <x:c r="I131" s="350">
        <x:f>SUM(I125:I130)</x:f>
        <x:v>1329905.5</x:v>
      </x:c>
      <x:c r="J131" s="350">
        <x:f>SUM(J125:J130)</x:f>
        <x:v>-156747931.65000001</x:v>
      </x:c>
      <x:c r="K131" s="350">
        <x:f>SUM(K125:K130)</x:f>
        <x:v>19936594</x:v>
      </x:c>
      <x:c r="L131" s="350">
        <x:f>SUM(L125:L130)</x:f>
        <x:v>17800951.349999998</x:v>
      </x:c>
      <x:c r="M131" s="351"/>
      <x:c r="N131" s="351"/>
      <x:c r="O131" s="352"/>
      <x:c r="P131" s="329"/>
      <x:c r="Q131" s="306"/>
      <x:c r="AG131" s="333"/>
    </x:row>
    <x:row r="132" spans="1:33" x14ac:dyDescent="0.25">
      <x:c r="B132" s="2"/>
      <x:c r="C132" s="2"/>
      <x:c r="D132" s="24"/>
      <x:c r="Q132" s="4"/>
    </x:row>
    <x:row r="133" spans="1:33" x14ac:dyDescent="0.25">
      <x:c r="B133" s="2"/>
      <x:c r="C133" s="2"/>
      <x:c r="D133" s="24"/>
      <x:c r="L133" s="1" t="s">
        <x:v>1</x:v>
      </x:c>
      <x:c r="Q133" s="4"/>
    </x:row>
    <x:row r="134" spans="1:33" ht="12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6.5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5">
      <x:c r="B142" s="108">
        <x:v>1</x:v>
      </x:c>
      <x:c r="C142" s="109" t="s">
        <x:v>10</x:v>
      </x:c>
      <x:c r="D142" s="110">
        <x:f>D104+N104+D125+E125</x:f>
        <x:v>17576437021.489998</x:v>
      </x:c>
      <x:c r="E142" s="110">
        <x:f>'Recaudo EAAB Reciprocidad'!F21+'Recaudo EAAB + Ciud Limp'!F21+'Recaudo Directa Occidente'!F21+'Recaudo ENEL'!F21+'Recaudo ENERBIT'!F21</x:f>
        <x:v>17466001908</x:v>
      </x:c>
      <x:c r="F142" s="110">
        <x:f>D28+N28</x:f>
        <x:v>125948553.12</x:v>
      </x:c>
      <x:c r="G142" s="110">
        <x:f>D66+N66</x:f>
        <x:v>-16536713.09</x:v>
      </x:c>
      <x:c r="H142" s="110">
        <x:f>D85+N85</x:f>
        <x:v>973693.46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49580</x:v>
      </x:c>
      <x:c r="K142" s="111">
        <x:f t="shared" si="66"/>
        <x:v>125948553.12</x:v>
      </x:c>
      <x:c r="L142" s="598">
        <x:f>D142-E142-F142-G142-J142-H142-I142</x:f>
        <x:v>-2.1411105990409851E-6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5">
      <x:c r="B143" s="16">
        <x:v>2</x:v>
      </x:c>
      <x:c r="C143" s="17" t="s">
        <x:v>11</x:v>
      </x:c>
      <x:c r="D143" s="18">
        <x:f>D105+N105+D126+E126</x:f>
        <x:v>20706132943.93</x:v>
      </x:c>
      <x:c r="E143" s="18">
        <x:f>'Recaudo EAAB Reciprocidad'!F22+'Recaudo EAAB + Ciud Limp'!F22+'Recaudo Directa Occidente'!F22+'Recaudo ENEL'!F22+'Recaudo ENERBIT'!F22</x:f>
        <x:v>20540888080</x:v>
      </x:c>
      <x:c r="F143" s="18">
        <x:f>D29+N29</x:f>
        <x:v>178539092.16</x:v>
      </x:c>
      <x:c r="G143" s="18">
        <x:f>D67+N67</x:f>
        <x:v>-71069759</x:v>
      </x:c>
      <x:c r="H143" s="18">
        <x:f>D86+N86</x:f>
        <x:v>216025.77</x:v>
      </x:c>
      <x:c r="I143" s="18">
        <x:f>('REPORTE RECAUDO x BANCO'!E64+'REPORTE RECAUDO x BANCO'!E65+'REPORTE RECAUDO x BANCO'!E66+'REPORTE RECAUDO x BANCO'!E76)</x:f>
        <x:v>1369435</x:v>
      </x:c>
      <x:c r="J143" s="18">
        <x:f>G126</x:f>
        <x:v>56190070</x:v>
      </x:c>
      <x:c r="K143" s="83">
        <x:f>H126</x:f>
        <x:v>178539092.16</x:v>
      </x:c>
      <x:c r="L143" s="598">
        <x:f>D143-E143-F143-G143-J143-H143-I143</x:f>
        <x:v>3.0873343348503113E-7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5">
      <x:c r="B144" s="16">
        <x:v>3</x:v>
      </x:c>
      <x:c r="C144" s="17" t="s">
        <x:v>12</x:v>
      </x:c>
      <x:c r="D144" s="18">
        <x:f>D106+N106+D127+E127</x:f>
        <x:v>15295122463.690002</x:v>
      </x:c>
      <x:c r="E144" s="18">
        <x:f>'Recaudo EAAB Reciprocidad'!F23+'Recaudo EAAB + Ciud Limp'!F23+'Recaudo Directa Occidente'!F23+'Recaudo ENEL'!F23+'Recaudo ENERBIT'!F23</x:f>
        <x:v>15272372341</x:v>
      </x:c>
      <x:c r="F144" s="18">
        <x:f>D30+N30</x:f>
        <x:v>26609070.66</x:v>
      </x:c>
      <x:c r="G144" s="18">
        <x:f>D68+N68</x:f>
        <x:v>-32310979.800000001</x:v>
      </x:c>
      <x:c r="H144" s="18">
        <x:f>D87+N87</x:f>
        <x:v>104231.83</x:v>
      </x:c>
      <x:c r="I144" s="18">
        <x:f>('REPORTE RECAUDO x BANCO'!E67+'REPORTE RECAUDO x BANCO'!E68+'REPORTE RECAUDO x BANCO'!E77)</x:f>
        <x:v>27040120</x:v>
      </x:c>
      <x:c r="J144" s="18">
        <x:f>G127</x:f>
        <x:v>1307680</x:v>
      </x:c>
      <x:c r="K144" s="83">
        <x:f t="shared" si="66"/>
        <x:v>26609070.66</x:v>
      </x:c>
      <x:c r="L144" s="598">
        <x:f>D144-E144-F144-G144-J144-H144-I144</x:f>
        <x:v>2.4437904357910156E-6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5">
      <x:c r="B145" s="16">
        <x:v>4</x:v>
      </x:c>
      <x:c r="C145" s="17" t="s">
        <x:v>13</x:v>
      </x:c>
      <x:c r="D145" s="18">
        <x:f>D107+N107+D128+E128</x:f>
        <x:v>7287450377.9399996</x:v>
      </x:c>
      <x:c r="E145" s="18">
        <x:f>'Recaudo EAAB Reciprocidad'!F24+'Recaudo EAAB + Ciud Limp'!F24+'Recaudo Directa Occidente'!F24+'Recaudo ENEL'!F24+'Recaudo ENERBIT'!F24</x:f>
        <x:v>7142916567</x:v>
      </x:c>
      <x:c r="F145" s="18">
        <x:f>D31+N31</x:f>
        <x:v>161461949.73000002</x:v>
      </x:c>
      <x:c r="G145" s="18">
        <x:f>D69+N69</x:f>
        <x:v>-33738104.229999997</x:v>
      </x:c>
      <x:c r="H145" s="18">
        <x:f>D88+N88</x:f>
        <x:v>35954.44</x:v>
      </x:c>
      <x:c r="I145" s="18">
        <x:f>('REPORTE RECAUDO x BANCO'!E69+'REPORTE RECAUDO x BANCO'!E70+'REPORTE RECAUDO x BANCO'!E71+'REPORTE RECAUDO x BANCO'!E78)</x:f>
        <x:v>12430910</x:v>
      </x:c>
      <x:c r="J145" s="18">
        <x:f t="shared" si="66"/>
        <x:v>4343101</x:v>
      </x:c>
      <x:c r="K145" s="83">
        <x:f>H128</x:f>
        <x:v>161461949.73000002</x:v>
      </x:c>
      <x:c r="L145" s="598">
        <x:f t="shared" ref="L145:L147" si="68">D145-E145-F145-G145-J145-H145-I145</x:f>
        <x:v>-4.4144690036773682E-7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" thickBot="1" x14ac:dyDescent="0.3">
      <x:c r="B146" s="133">
        <x:v>5</x:v>
      </x:c>
      <x:c r="C146" s="138" t="s">
        <x:v>14</x:v>
      </x:c>
      <x:c r="D146" s="134">
        <x:f>D108+N108+D129+E129</x:f>
        <x:v>12117620263.429998</x:v>
      </x:c>
      <x:c r="E146" s="18">
        <x:f>'Recaudo EAAB Reciprocidad'!F25+'Recaudo EAAB + Ciud Limp'!F25+'Recaudo Directa Occidente'!F25+'Recaudo ENEL'!F25+'Recaudo ENERBIT'!F25</x:f>
        <x:v>12075771071</x:v>
      </x:c>
      <x:c r="F146" s="134">
        <x:f>D32+N32</x:f>
        <x:v>43973508.960000001</x:v>
      </x:c>
      <x:c r="G146" s="134">
        <x:f>D70+N70</x:f>
        <x:v>-3092375.53</x:v>
      </x:c>
      <x:c r="H146" s="134">
        <x:f>D89+N89</x:f>
        <x:v>0</x:v>
      </x:c>
      <x:c r="I146" s="134">
        <x:f>('REPORTE RECAUDO x BANCO'!E72+'REPORTE RECAUDO x BANCO'!E73+'REPORTE RECAUDO x BANCO'!E79)</x:f>
        <x:v>526210</x:v>
      </x:c>
      <x:c r="J146" s="134">
        <x:f t="shared" si="66"/>
        <x:v>441849</x:v>
      </x:c>
      <x:c r="K146" s="136">
        <x:f t="shared" si="66"/>
        <x:v>43973508.960000001</x:v>
      </x:c>
      <x:c r="L146" s="598">
        <x:f t="shared" si="68"/>
        <x:v>-1.6032718122005463E-6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" thickBot="1" x14ac:dyDescent="0.3">
      <x:c r="B147" s="21"/>
      <x:c r="C147" s="22" t="s">
        <x:v>2</x:v>
      </x:c>
      <x:c r="D147" s="47">
        <x:f>SUM(D142:D146)</x:f>
        <x:v>72982763070.479996</x:v>
      </x:c>
      <x:c r="E147" s="47">
        <x:f>SUM(E142:E146)</x:f>
        <x:v>72497949967</x:v>
      </x:c>
      <x:c r="F147" s="47">
        <x:f t="shared" ref="F147:K147" si="69">SUM(F142:F146)</x:f>
        <x:v>536532174.63</x:v>
      </x:c>
      <x:c r="G147" s="47">
        <x:f t="shared" si="69"/>
        <x:v>-156747931.65000001</x:v>
      </x:c>
      <x:c r="H147" s="47">
        <x:f>SUM(H142:H146)</x:f>
        <x:v>1329905.5</x:v>
      </x:c>
      <x:c r="I147" s="47">
        <x:f t="shared" si="69"/>
        <x:v>41366675</x:v>
      </x:c>
      <x:c r="J147" s="47">
        <x:f t="shared" si="69"/>
        <x:v>62332280</x:v>
      </x:c>
      <x:c r="K147" s="47">
        <x:f t="shared" si="69"/>
        <x:v>536532174.63</x:v>
      </x:c>
      <x:c r="L147" s="598">
        <x:f t="shared" si="68"/>
        <x:v>-4.2617321014404297E-6</x:v>
      </x:c>
      <x:c r="M147" s="1" t="b">
        <x:f t="shared" si="67"/>
        <x:v>1</x:v>
      </x:c>
      <x:c r="P147" s="24"/>
      <x:c r="Q147" s="35"/>
      <x:c r="R147" s="24"/>
    </x:row>
    <x:row r="148" spans="1:20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5">
      <x:c r="E152" s="55"/>
      <x:c r="N152" s="24"/>
      <x:c r="O152" s="24"/>
      <x:c r="Q152" s="24"/>
      <x:c r="T152" s="24"/>
    </x:row>
    <x:row r="153" spans="1:20" x14ac:dyDescent="0.25">
      <x:c r="N153" s="24"/>
      <x:c r="O153" s="24"/>
      <x:c r="Q153" s="24"/>
      <x:c r="T153" s="24"/>
    </x:row>
    <x:row r="154" spans="1:20" x14ac:dyDescent="0.25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5">
      <x:c r="D155" s="305"/>
      <x:c r="K155" s="589"/>
      <x:c r="N155" s="24"/>
      <x:c r="O155" s="24"/>
      <x:c r="Q155" s="24"/>
      <x:c r="T155" s="24"/>
    </x:row>
    <x:row r="156" spans="1:20" x14ac:dyDescent="0.25">
      <x:c r="D156" s="588"/>
      <x:c r="N156" s="24"/>
      <x:c r="O156" s="24"/>
      <x:c r="Q156" s="24"/>
      <x:c r="T156" s="24"/>
    </x:row>
    <x:row r="157" spans="1:20" x14ac:dyDescent="0.25">
      <x:c r="N157" s="24"/>
      <x:c r="O157" s="24"/>
      <x:c r="Q157" s="24"/>
      <x:c r="T157" s="24"/>
    </x:row>
    <x:row r="158" spans="1:20" x14ac:dyDescent="0.25">
      <x:c r="N158" s="24"/>
      <x:c r="O158" s="24"/>
      <x:c r="Q158" s="24"/>
      <x:c r="T158" s="24"/>
    </x:row>
    <x:row r="159" spans="1:20" x14ac:dyDescent="0.25">
      <x:c r="N159" s="24"/>
      <x:c r="O159" s="24"/>
      <x:c r="Q159" s="24"/>
      <x:c r="T159" s="24"/>
    </x:row>
    <x:row r="160" spans="1:20" x14ac:dyDescent="0.25">
      <x:c r="N160" s="24"/>
      <x:c r="O160" s="24"/>
      <x:c r="Q160" s="24"/>
      <x:c r="T160" s="24"/>
    </x:row>
    <x:row r="161" spans="14:20" x14ac:dyDescent="0.25">
      <x:c r="N161" s="24"/>
      <x:c r="O161" s="24"/>
      <x:c r="Q161" s="24"/>
      <x:c r="T161" s="24"/>
    </x:row>
    <x:row r="162" spans="14:20" x14ac:dyDescent="0.25">
      <x:c r="N162" s="24"/>
      <x:c r="O162" s="24"/>
      <x:c r="Q162" s="24"/>
      <x:c r="T162" s="24"/>
    </x:row>
    <x:row r="163" spans="14:20" x14ac:dyDescent="0.25">
      <x:c r="N163" s="24"/>
      <x:c r="O163" s="24"/>
      <x:c r="Q163" s="24"/>
      <x:c r="T163" s="24"/>
    </x:row>
    <x:row r="164" spans="14:20" x14ac:dyDescent="0.25">
      <x:c r="N164" s="24"/>
      <x:c r="O164" s="24"/>
      <x:c r="Q164" s="24"/>
      <x:c r="T164" s="24"/>
    </x:row>
    <x:row r="165" spans="14:20" x14ac:dyDescent="0.25">
      <x:c r="N165" s="24"/>
      <x:c r="O165" s="24"/>
      <x:c r="Q165" s="24"/>
      <x:c r="T165" s="24"/>
    </x:row>
    <x:row r="166" spans="14:20" x14ac:dyDescent="0.25">
      <x:c r="Q166" s="24"/>
      <x:c r="T166" s="24"/>
    </x:row>
    <x:row r="167" spans="14:20" x14ac:dyDescent="0.25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B1" sqref="B1"/>
    </x:sheetView>
  </x:sheetViews>
  <x:sheetFormatPr baseColWidth="10" defaultRowHeight="12.5" x14ac:dyDescent="0.25"/>
  <x:cols>
    <x:col min="1" max="1" width="3" customWidth="1"/>
    <x:col min="2" max="2" width="4.1796875" bestFit="1" customWidth="1"/>
    <x:col min="3" max="4" width="16.81640625" customWidth="1"/>
    <x:col min="5" max="7" width="17.81640625" customWidth="1"/>
    <x:col min="8" max="8" width="18.1796875" customWidth="1"/>
    <x:col min="9" max="9" width="15.81640625" customWidth="1"/>
    <x:col min="10" max="10" width="16.453125" customWidth="1"/>
    <x:col min="11" max="11" width="15.81640625" customWidth="1"/>
    <x:col min="12" max="13" width="18.1796875" customWidth="1"/>
    <x:col min="14" max="14" width="15.81640625" customWidth="1"/>
    <x:col min="15" max="15" width="16" bestFit="1" customWidth="1"/>
    <x:col min="16" max="16" width="14.453125" customWidth="1"/>
    <x:col min="17" max="17" width="17.453125" bestFit="1" customWidth="1"/>
  </x:cols>
  <x:sheetData>
    <x:row r="1" spans="2:16" ht="13" thickBot="1" x14ac:dyDescent="0.3"/>
    <x:row r="2" spans="2:16" ht="35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49580</x:v>
      </x:c>
      <x:c r="E3" s="292">
        <x:f>'CONSOLIDADO_TOTAL RECAUDO'!D28+'CONSOLIDADO_TOTAL RECAUDO'!N28</x:f>
        <x:v>125948553.12</x:v>
      </x:c>
      <x:c r="F3" s="292">
        <x:f>'CONSOLIDADO_TOTAL RECAUDO'!I142</x:f>
        <x:v>0</x:v>
      </x:c>
      <x:c r="G3" s="292">
        <x:f>'CONSOLIDADO_TOTAL RECAUDO'!H142</x:f>
        <x:v>973693.46</x:v>
      </x:c>
      <x:c r="H3" s="340">
        <x:f>SUM(C3:G3)</x:f>
        <x:v>17592973734.579998</x:v>
      </x:c>
      <x:c r="I3" s="291">
        <x:f>'CONSOLIDADO_TOTAL RECAUDO'!D104</x:f>
        <x:v>17450228673.349998</x:v>
      </x:c>
      <x:c r="J3" s="292">
        <x:f>'CONSOLIDADO_TOTAL RECAUDO'!N104</x:f>
        <x:v>25277316.260000002</x:v>
      </x:c>
      <x:c r="K3" s="292">
        <x:f>'CONSOLIDADO_TOTAL RECAUDO'!D125</x:f>
        <x:v>100931031.88</x:v>
      </x:c>
      <x:c r="L3" s="353">
        <x:f>'CONSOLIDADO_TOTAL RECAUDO'!E125</x:f>
        <x:v>0</x:v>
      </x:c>
      <x:c r="M3" s="292">
        <x:f>-'CONSOLIDADO_TOTAL RECAUDO'!D66-'CONSOLIDADO_TOTAL RECAUDO'!N66</x:f>
        <x:v>16536713.09</x:v>
      </x:c>
      <x:c r="N3" s="288">
        <x:f>SUM(I3:M3)</x:f>
        <x:v>17592973734.579998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56190070</x:v>
      </x:c>
      <x:c r="E4" s="292">
        <x:f>'CONSOLIDADO_TOTAL RECAUDO'!D29+'CONSOLIDADO_TOTAL RECAUDO'!N29</x:f>
        <x:v>178539092.16</x:v>
      </x:c>
      <x:c r="F4" s="292">
        <x:f>'CONSOLIDADO_TOTAL RECAUDO'!I143</x:f>
        <x:v>1369435</x:v>
      </x:c>
      <x:c r="G4" s="292">
        <x:f>'CONSOLIDADO_TOTAL RECAUDO'!H143</x:f>
        <x:v>216025.77</x:v>
      </x:c>
      <x:c r="H4" s="340">
        <x:f t="shared" ref="H4:H8" si="1">SUM(C4:G4)</x:f>
        <x:v>20777202702.93</x:v>
      </x:c>
      <x:c r="I4" s="291">
        <x:f>'CONSOLIDADO_TOTAL RECAUDO'!D105</x:f>
        <x:v>20516143969.650002</x:v>
      </x:c>
      <x:c r="J4" s="292">
        <x:f>'CONSOLIDADO_TOTAL RECAUDO'!N105</x:f>
        <x:v>53454221.280000001</x:v>
      </x:c>
      <x:c r="K4" s="292">
        <x:f>'CONSOLIDADO_TOTAL RECAUDO'!D126</x:f>
        <x:v>136534753</x:v>
      </x:c>
      <x:c r="L4" s="353">
        <x:f>'CONSOLIDADO_TOTAL RECAUDO'!E126</x:f>
        <x:v>0</x:v>
      </x:c>
      <x:c r="M4" s="292">
        <x:f>-'CONSOLIDADO_TOTAL RECAUDO'!D67-'CONSOLIDADO_TOTAL RECAUDO'!N67</x:f>
        <x:v>71069759</x:v>
      </x:c>
      <x:c r="N4" s="318">
        <x:f>SUM(I4:M4)</x:f>
        <x:v>20777202702.93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1307680</x:v>
      </x:c>
      <x:c r="E5" s="292">
        <x:f>'CONSOLIDADO_TOTAL RECAUDO'!D30+'CONSOLIDADO_TOTAL RECAUDO'!N30</x:f>
        <x:v>26609070.66</x:v>
      </x:c>
      <x:c r="F5" s="292">
        <x:f>'CONSOLIDADO_TOTAL RECAUDO'!I144</x:f>
        <x:v>27040120</x:v>
      </x:c>
      <x:c r="G5" s="292">
        <x:f>'CONSOLIDADO_TOTAL RECAUDO'!H144</x:f>
        <x:v>104231.83</x:v>
      </x:c>
      <x:c r="H5" s="340">
        <x:f t="shared" si="1"/>
        <x:v>15327433443.49</x:v>
      </x:c>
      <x:c r="I5" s="291">
        <x:f>'CONSOLIDADO_TOTAL RECAUDO'!D106</x:f>
        <x:v>15221896467.450003</x:v>
      </x:c>
      <x:c r="J5" s="292">
        <x:f>'CONSOLIDADO_TOTAL RECAUDO'!N106</x:f>
        <x:v>14341963.319999998</x:v>
      </x:c>
      <x:c r="K5" s="292">
        <x:f>'CONSOLIDADO_TOTAL RECAUDO'!D127</x:f>
        <x:v>58884032.920000002</x:v>
      </x:c>
      <x:c r="L5" s="353">
        <x:f>'CONSOLIDADO_TOTAL RECAUDO'!E127</x:f>
        <x:v>0</x:v>
      </x:c>
      <x:c r="M5" s="292">
        <x:f>-'CONSOLIDADO_TOTAL RECAUDO'!D68-'CONSOLIDADO_TOTAL RECAUDO'!N68</x:f>
        <x:v>32310979.800000001</x:v>
      </x:c>
      <x:c r="N5" s="318">
        <x:f>SUM(I5:M5)</x:f>
        <x:v>15327433443.490002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4343101</x:v>
      </x:c>
      <x:c r="E6" s="292">
        <x:f>'CONSOLIDADO_TOTAL RECAUDO'!D31+'CONSOLIDADO_TOTAL RECAUDO'!N31</x:f>
        <x:v>161461949.73000002</x:v>
      </x:c>
      <x:c r="F6" s="292">
        <x:f>'CONSOLIDADO_TOTAL RECAUDO'!I145</x:f>
        <x:v>12430910</x:v>
      </x:c>
      <x:c r="G6" s="292">
        <x:f>'CONSOLIDADO_TOTAL RECAUDO'!H145</x:f>
        <x:v>35954.44</x:v>
      </x:c>
      <x:c r="H6" s="340">
        <x:f t="shared" si="1"/>
        <x:v>7321188482.1699991</x:v>
      </x:c>
      <x:c r="I6" s="291">
        <x:f>'CONSOLIDADO_TOTAL RECAUDO'!D107</x:f>
        <x:v>7179595395.6699991</x:v>
      </x:c>
      <x:c r="J6" s="292">
        <x:f>'CONSOLIDADO_TOTAL RECAUDO'!N107</x:f>
        <x:v>34128344.93</x:v>
      </x:c>
      <x:c r="K6" s="292">
        <x:f>'CONSOLIDADO_TOTAL RECAUDO'!D128</x:f>
        <x:v>73726637.340000004</x:v>
      </x:c>
      <x:c r="L6" s="353">
        <x:f>'CONSOLIDADO_TOTAL RECAUDO'!E128</x:f>
        <x:v>0</x:v>
      </x:c>
      <x:c r="M6" s="292">
        <x:f>-'CONSOLIDADO_TOTAL RECAUDO'!D69-'CONSOLIDADO_TOTAL RECAUDO'!N69</x:f>
        <x:v>33738104.229999997</x:v>
      </x:c>
      <x:c r="N6" s="318">
        <x:f t="shared" ref="N6:N7" si="3">SUM(I6:M6)</x:f>
        <x:v>7321188482.1699991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441849</x:v>
      </x:c>
      <x:c r="E7" s="292">
        <x:f>'CONSOLIDADO_TOTAL RECAUDO'!D32+'CONSOLIDADO_TOTAL RECAUDO'!N32</x:f>
        <x:v>43973508.960000001</x:v>
      </x:c>
      <x:c r="F7" s="292">
        <x:f>'CONSOLIDADO_TOTAL RECAUDO'!I146</x:f>
        <x:v>526210</x:v>
      </x:c>
      <x:c r="G7" s="292">
        <x:f>'CONSOLIDADO_TOTAL RECAUDO'!H146</x:f>
        <x:v>0</x:v>
      </x:c>
      <x:c r="H7" s="340">
        <x:f>SUM(C7:G7)</x:f>
        <x:v>12120712638.959999</x:v>
      </x:c>
      <x:c r="I7" s="291">
        <x:f>'CONSOLIDADO_TOTAL RECAUDO'!D108</x:f>
        <x:v>12073344661.59</x:v>
      </x:c>
      <x:c r="J7" s="292">
        <x:f>'CONSOLIDADO_TOTAL RECAUDO'!N108</x:f>
        <x:v>15891735.880000001</x:v>
      </x:c>
      <x:c r="K7" s="292">
        <x:f>'CONSOLIDADO_TOTAL RECAUDO'!D129</x:f>
        <x:v>28383865.960000001</x:v>
      </x:c>
      <x:c r="L7" s="353">
        <x:f>'CONSOLIDADO_TOTAL RECAUDO'!E129</x:f>
        <x:v>0</x:v>
      </x:c>
      <x:c r="M7" s="292">
        <x:f>-'CONSOLIDADO_TOTAL RECAUDO'!D70-'CONSOLIDADO_TOTAL RECAUDO'!N70</x:f>
        <x:v>3092375.53</x:v>
      </x:c>
      <x:c r="N7" s="318">
        <x:f t="shared" si="3"/>
        <x:v>12120712638.959999</x:v>
      </x:c>
      <x:c r="O7" s="354">
        <x:f>H7-N7</x:f>
        <x:v>0</x:v>
      </x:c>
      <x:c r="P7" s="1" t="b">
        <x:f t="shared" si="0"/>
        <x:v>1</x:v>
      </x:c>
    </x:row>
    <x:row r="8" spans="2:16" s="355" customFormat="1" ht="13" thickBot="1" x14ac:dyDescent="0.3">
      <x:c r="B8" s="341" t="s">
        <x:v>89</x:v>
      </x:c>
      <x:c r="C8" s="356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" thickBot="1" x14ac:dyDescent="0.3">
      <x:c r="B9" s="327"/>
      <x:c r="C9" s="290">
        <x:f>SUM(C3:C8)</x:f>
        <x:v>72497949967</x:v>
      </x:c>
      <x:c r="D9" s="290">
        <x:f t="shared" ref="D9:L9" si="4">SUM(D3:D8)</x:f>
        <x:v>62332280</x:v>
      </x:c>
      <x:c r="E9" s="290">
        <x:f t="shared" si="4"/>
        <x:v>536532174.63</x:v>
      </x:c>
      <x:c r="F9" s="290">
        <x:f t="shared" si="4"/>
        <x:v>41366675</x:v>
      </x:c>
      <x:c r="G9" s="290">
        <x:f t="shared" si="4"/>
        <x:v>1329905.5</x:v>
      </x:c>
      <x:c r="H9" s="290">
        <x:f>SUM(H3:H8)</x:f>
        <x:v>73139511002.12999</x:v>
      </x:c>
      <x:c r="I9" s="290">
        <x:f t="shared" si="4"/>
        <x:v>72441209167.710007</x:v>
      </x:c>
      <x:c r="J9" s="290">
        <x:f t="shared" si="4"/>
        <x:v>143093581.66999999</x:v>
      </x:c>
      <x:c r="K9" s="290">
        <x:f t="shared" si="4"/>
        <x:v>398460321.09999996</x:v>
      </x:c>
      <x:c r="L9" s="290">
        <x:f t="shared" si="4"/>
        <x:v>0</x:v>
      </x:c>
      <x:c r="M9" s="290">
        <x:f>SUM(M3:M8)</x:f>
        <x:v>156747931.65000001</x:v>
      </x:c>
      <x:c r="N9" s="290">
        <x:f>SUM(N3:N8)</x:f>
        <x:v>73139511002.130005</x:v>
      </x:c>
      <x:c r="O9" s="359">
        <x:f>SUM(O3:O8)</x:f>
        <x:v>0</x:v>
      </x:c>
      <x:c r="P9" s="1" t="b">
        <x:f t="shared" si="0"/>
        <x:v>1</x:v>
      </x:c>
    </x:row>
    <x:row r="11" spans="2:16" ht="13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Recaudo'!F10</x:f>
        <x:v>72497949967</x:v>
      </x:c>
    </x:row>
    <x:row r="15" spans="2:16" x14ac:dyDescent="0.25">
      <x:c r="C15" s="249" t="b">
        <x:f>C14=C9</x:f>
        <x:v>1</x:v>
      </x:c>
    </x:row>
    <x:row r="16" spans="2:16" x14ac:dyDescent="0.25">
      <x:c r="C16" s="355"/>
    </x:row>
    <x:row r="18" spans="3:18" ht="13.5" thickBot="1" x14ac:dyDescent="0.35">
      <x:c r="D18" s="702" t="s">
        <x:v>271</x:v>
      </x:c>
      <x:c r="E18" s="702"/>
    </x:row>
    <x:row r="19" spans="3:18" ht="35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6">
        <x:f>VALIDACION_RECIP!C9</x:f>
        <x:v>40117400</x:v>
      </x:c>
      <x:c r="E20" s="696">
        <x:f>VALIDACION_RECIP!D9</x:f>
        <x:v>41900</x:v>
      </x:c>
      <x:c r="F20" s="696">
        <x:f>VALIDACION_RECIP!E9</x:f>
        <x:v>101922698.10999998</x:v>
      </x:c>
      <x:c r="G20" s="696">
        <x:f>VALIDACION_RECIP!F9</x:f>
        <x:v>0</x:v>
      </x:c>
      <x:c r="H20" s="696">
        <x:f>VALIDACION_RECIP!G9</x:f>
        <x:v>251980.21</x:v>
      </x:c>
      <x:c r="I20" s="696">
        <x:f>VALIDACION_RECIP!H9</x:f>
        <x:v>142333978.31999999</x:v>
      </x:c>
      <x:c r="J20" s="696">
        <x:f>VALIDACION_RECIP!I9</x:f>
        <x:v>118508638.31999999</x:v>
      </x:c>
      <x:c r="K20" s="696">
        <x:f>VALIDACION_RECIP!J9</x:f>
        <x:v>0</x:v>
      </x:c>
      <x:c r="L20" s="696">
        <x:f>VALIDACION_RECIP!K9</x:f>
        <x:v>23089310</x:v>
      </x:c>
      <x:c r="M20" s="696">
        <x:f>VALIDACION_RECIP!L9</x:f>
        <x:v>0</x:v>
      </x:c>
      <x:c r="N20" s="696">
        <x:f>VALIDACION_RECIP!M9</x:f>
        <x:v>736030</x:v>
      </x:c>
      <x:c r="O20" s="696">
        <x:f>VALIDACION_RECIP!N9</x:f>
        <x:v>142333978.31999999</x:v>
      </x:c>
    </x:row>
    <x:row r="21" spans="3:18" x14ac:dyDescent="0.25">
      <x:c r="C21" s="167" t="s">
        <x:v>155</x:v>
      </x:c>
      <x:c r="D21" s="696">
        <x:f>VALIDACION_ENEL!C9</x:f>
        <x:v>68144618192</x:v>
      </x:c>
      <x:c r="E21" s="696">
        <x:f>VALIDACION_ENEL!D9</x:f>
        <x:v>61046127</x:v>
      </x:c>
      <x:c r="F21" s="696">
        <x:f>VALIDACION_ENEL!E9</x:f>
        <x:v>247021750.10999998</x:v>
      </x:c>
      <x:c r="G21" s="696">
        <x:f>VALIDACION_ENEL!F9</x:f>
        <x:v>41366675</x:v>
      </x:c>
      <x:c r="H21" s="696">
        <x:f>VALIDACION_ENEL!G9</x:f>
        <x:v>1077925.29</x:v>
      </x:c>
      <x:c r="I21" s="696">
        <x:f>VALIDACION_ENEL!H9</x:f>
        <x:v>68495130669.400002</x:v>
      </x:c>
      <x:c r="J21" s="696">
        <x:f>VALIDACION_ENEL!I9</x:f>
        <x:v>68026235701.290009</x:v>
      </x:c>
      <x:c r="K21" s="696">
        <x:f>VALIDACION_ENEL!J9</x:f>
        <x:v>82026262.269999996</x:v>
      </x:c>
      <x:c r="L21" s="696">
        <x:f>VALIDACION_ENEL!K9</x:f>
        <x:v>236717169.25</x:v>
      </x:c>
      <x:c r="M21" s="696">
        <x:f>VALIDACION_ENEL!L9</x:f>
        <x:v>0</x:v>
      </x:c>
      <x:c r="N21" s="696">
        <x:f>VALIDACION_ENEL!M9</x:f>
        <x:v>150151536.59</x:v>
      </x:c>
      <x:c r="O21" s="696">
        <x:f>VALIDACION_ENEL!N9</x:f>
        <x:v>68495130669.400009</x:v>
      </x:c>
    </x:row>
    <x:row r="22" spans="3:18" x14ac:dyDescent="0.25">
      <x:c r="C22" s="760" t="s">
        <x:v>328</x:v>
      </x:c>
      <x:c r="D22" s="696">
        <x:f>VALIDACION_ENERBIT!C9</x:f>
        <x:v>28645323</x:v>
      </x:c>
      <x:c r="E22" s="696">
        <x:f>VALIDACION_ENERBIT!D9</x:f>
        <x:v>0</x:v>
      </x:c>
      <x:c r="F22" s="696">
        <x:f>VALIDACION_ENERBIT!E9</x:f>
        <x:v>6242402.4799999995</x:v>
      </x:c>
      <x:c r="G22" s="696">
        <x:f>VALIDACION_ENERBIT!F9</x:f>
        <x:v>0</x:v>
      </x:c>
      <x:c r="H22" s="696">
        <x:f>VALIDACION_ENERBIT!G9</x:f>
        <x:v>0</x:v>
      </x:c>
      <x:c r="I22" s="696">
        <x:f>VALIDACION_ENERBIT!H9</x:f>
        <x:v>34887725.479999997</x:v>
      </x:c>
      <x:c r="J22" s="696">
        <x:f>VALIDACION_ENERBIT!I9</x:f>
        <x:v>33106622.48</x:v>
      </x:c>
      <x:c r="K22" s="696">
        <x:f>VALIDACION_ENERBIT!J9</x:f>
        <x:v>0</x:v>
      </x:c>
      <x:c r="L22" s="696">
        <x:f>VALIDACION_ENERBIT!K9</x:f>
        <x:v>1781103</x:v>
      </x:c>
      <x:c r="M22" s="696">
        <x:f>VALIDACION_ENERBIT!L9</x:f>
        <x:v>0</x:v>
      </x:c>
      <x:c r="N22" s="696">
        <x:f>VALIDACION_ENERBIT!M9</x:f>
        <x:v>0</x:v>
      </x:c>
      <x:c r="O22" s="696">
        <x:f>VALIDACION_ENERBIT!N9</x:f>
        <x:v>34887725.480000004</x:v>
      </x:c>
    </x:row>
    <x:row r="23" spans="3:18" x14ac:dyDescent="0.25">
      <x:c r="C23" s="212" t="s">
        <x:v>119</x:v>
      </x:c>
      <x:c r="D23" s="696">
        <x:f>VALIDACION_OCCIDENTE!C9</x:f>
        <x:v>4284569052</x:v>
      </x:c>
      <x:c r="E23" s="696">
        <x:f>VALIDACION_OCCIDENTE!D9</x:f>
        <x:v>1244253</x:v>
      </x:c>
      <x:c r="F23" s="696">
        <x:f>VALIDACION_OCCIDENTE!E9</x:f>
        <x:v>181345323.93000001</x:v>
      </x:c>
      <x:c r="G23" s="696">
        <x:f>VALIDACION_OCCIDENTE!F9</x:f>
        <x:v>0</x:v>
      </x:c>
      <x:c r="H23" s="696">
        <x:f>VALIDACION_OCCIDENTE!G9</x:f>
        <x:v>0</x:v>
      </x:c>
      <x:c r="I23" s="696">
        <x:f>VALIDACION_OCCIDENTE!H9</x:f>
        <x:v>4467158628.9300003</x:v>
      </x:c>
      <x:c r="J23" s="696">
        <x:f>VALIDACION_OCCIDENTE!I9</x:f>
        <x:v>4263358205.6200008</x:v>
      </x:c>
      <x:c r="K23" s="696">
        <x:f>VALIDACION_OCCIDENTE!J9</x:f>
        <x:v>61067319.399999999</x:v>
      </x:c>
      <x:c r="L23" s="696">
        <x:f>VALIDACION_OCCIDENTE!K9</x:f>
        <x:v>136872738.84999999</x:v>
      </x:c>
      <x:c r="M23" s="696">
        <x:f>VALIDACION_OCCIDENTE!L9</x:f>
        <x:v>0</x:v>
      </x:c>
      <x:c r="N23" s="696">
        <x:f>VALIDACION_OCCIDENTE!M9</x:f>
        <x:v>5860365.0600000005</x:v>
      </x:c>
      <x:c r="O23" s="696">
        <x:f>VALIDACION_OCCIDENTE!N9</x:f>
        <x:v>4467158628.9300003</x:v>
      </x:c>
    </x:row>
    <x:row r="24" spans="3:18" x14ac:dyDescent="0.25">
      <x:c r="D24" s="703">
        <x:f>SUM(D20:D23)</x:f>
        <x:v>72497949967</x:v>
      </x:c>
      <x:c r="E24" s="141">
        <x:f>SUM(E20:E23)</x:f>
        <x:v>62332280</x:v>
      </x:c>
      <x:c r="F24" s="141">
        <x:f>SUM(F20:F23)</x:f>
        <x:v>536532174.63</x:v>
      </x:c>
      <x:c r="G24" s="141">
        <x:f>SUM(G20:G23)</x:f>
        <x:v>41366675</x:v>
      </x:c>
      <x:c r="H24" s="141">
        <x:f t="shared" ref="H24:O24" si="5">SUM(H20:H23)</x:f>
        <x:v>1329905.5</x:v>
      </x:c>
      <x:c r="I24" s="141">
        <x:f t="shared" si="5"/>
        <x:v>73139511002.130005</x:v>
      </x:c>
      <x:c r="J24" s="141">
        <x:f t="shared" si="5"/>
        <x:v>72441209167.710007</x:v>
      </x:c>
      <x:c r="K24" s="141">
        <x:f t="shared" si="5"/>
        <x:v>143093581.66999999</x:v>
      </x:c>
      <x:c r="L24" s="141">
        <x:f t="shared" si="5"/>
        <x:v>398460321.10000002</x:v>
      </x:c>
      <x:c r="M24" s="141">
        <x:f t="shared" si="5"/>
        <x:v>0</x:v>
      </x:c>
      <x:c r="N24" s="141">
        <x:f t="shared" si="5"/>
        <x:v>156747931.65000001</x:v>
      </x:c>
      <x:c r="O24" s="141">
        <x:f t="shared" si="5"/>
        <x:v>73139511002.130005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t="b">
        <x:f>F24=E9</x:f>
        <x:v>1</x:v>
      </x:c>
      <x:c r="G25" t="b">
        <x:f t="shared" ref="G25:O25" si="6">G24=F9</x:f>
        <x:v>1</x:v>
      </x:c>
      <x:c r="H25" t="b">
        <x:f t="shared" si="6"/>
        <x:v>1</x:v>
      </x:c>
      <x:c r="I25" t="b">
        <x:f>I24=H9</x:f>
        <x:v>1</x:v>
      </x:c>
      <x:c r="J25" t="b">
        <x:f t="shared" si="6"/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t="b">
        <x:f t="shared" si="6"/>
        <x:v>1</x:v>
      </x:c>
    </x:row>
    <x:row r="27" spans="3:18" ht="13.5" thickBot="1" x14ac:dyDescent="0.35">
      <x:c r="D27" s="702" t="s">
        <x:v>272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276</x:v>
      </x:c>
      <x:c r="G28" s="12" t="s">
        <x:v>191</x:v>
      </x:c>
      <x:c r="I28" s="12" t="s">
        <x:v>38</x:v>
      </x:c>
      <x:c r="J28" s="85" t="s">
        <x:v>274</x:v>
      </x:c>
      <x:c r="K28" s="65" t="s">
        <x:v>47</x:v>
      </x:c>
      <x:c r="L28" s="370" t="s">
        <x:v>56</x:v>
      </x:c>
      <x:c r="M28" s="73" t="s">
        <x:v>275</x:v>
      </x:c>
      <x:c r="N28" s="73" t="s">
        <x:v>172</x:v>
      </x:c>
      <x:c r="O28" s="28" t="s">
        <x:v>129</x:v>
      </x:c>
      <x:c r="P28" s="12" t="s">
        <x:v>191</x:v>
      </x:c>
      <x:c r="Q28" s="12" t="s">
        <x:v>273</x:v>
      </x:c>
    </x:row>
    <x:row r="29" spans="3:18" x14ac:dyDescent="0.25">
      <x:c r="C29" t="s">
        <x:v>203</x:v>
      </x:c>
      <x:c r="D29" s="696">
        <x:f>'REMUNERACION Reciprocidad EAAB'!D109</x:f>
        <x:v>118508638.31999999</x:v>
      </x:c>
      <x:c r="E29" s="696">
        <x:f>'REMUNERACION Reciprocidad EAAB'!N109</x:f>
        <x:v>0</x:v>
      </x:c>
      <x:c r="F29" s="696">
        <x:f>D29+E29</x:f>
        <x:v>118508638.31999999</x:v>
      </x:c>
      <x:c r="G29" s="704">
        <x:f>D20-F29</x:f>
        <x:v>-78391238.319999993</x:v>
      </x:c>
      <x:c r="H29" s="696"/>
      <x:c r="I29" s="696">
        <x:f>'REMUNERACION Reciprocidad EAAB'!D131</x:f>
        <x:v>23089310</x:v>
      </x:c>
      <x:c r="J29" s="696"/>
      <x:c r="K29" s="696">
        <x:f>'REMUNERACION Reciprocidad EAAB'!G131</x:f>
        <x:v>41900</x:v>
      </x:c>
      <x:c r="L29" s="696">
        <x:f>'REMUNERACION Reciprocidad EAAB'!H131</x:f>
        <x:v>101922698.10999998</x:v>
      </x:c>
      <x:c r="M29" s="696">
        <x:f>'REMUNERACION Reciprocidad EAAB'!I131</x:f>
        <x:v>251980.21</x:v>
      </x:c>
      <x:c r="N29" s="696">
        <x:f>+'REMUNERACION Reciprocidad EAAB'!J131</x:f>
        <x:v>-736030</x:v>
      </x:c>
      <x:c r="O29" s="696">
        <x:f>'REMUNERACION Reciprocidad EAAB'!I147</x:f>
        <x:v>0</x:v>
      </x:c>
      <x:c r="P29" s="704">
        <x:f>I29+J29-K29-L29-M29-N29-O29</x:f>
        <x:v>-78391238.319999978</x:v>
      </x:c>
      <x:c r="Q29" s="705">
        <x:f>G29-P29</x:f>
        <x:v>0</x:v>
      </x:c>
      <x:c r="R29" s="141"/>
    </x:row>
    <x:row r="30" spans="3:18" x14ac:dyDescent="0.25">
      <x:c r="C30" s="167" t="s">
        <x:v>155</x:v>
      </x:c>
      <x:c r="D30" s="696">
        <x:f>REMUNERACION_ENEL!D109</x:f>
        <x:v>68026235701.290009</x:v>
      </x:c>
      <x:c r="E30" s="696">
        <x:f>REMUNERACION_ENEL!N109</x:f>
        <x:v>82026262.269999996</x:v>
      </x:c>
      <x:c r="F30" s="696">
        <x:f>D30+E30</x:f>
        <x:v>68108261963.560005</x:v>
      </x:c>
      <x:c r="G30" s="706">
        <x:f>D21-F30</x:f>
        <x:v>36356228.439994812</x:v>
      </x:c>
      <x:c r="H30" s="696"/>
      <x:c r="I30" s="696">
        <x:f>REMUNERACION_ENEL!D131</x:f>
        <x:v>236717169.25</x:v>
      </x:c>
      <x:c r="J30" s="696"/>
      <x:c r="K30" s="696">
        <x:f>REMUNERACION_ENEL!G131</x:f>
        <x:v>61046127</x:v>
      </x:c>
      <x:c r="L30" s="696">
        <x:f>REMUNERACION_ENEL!H131</x:f>
        <x:v>247021750.10999998</x:v>
      </x:c>
      <x:c r="M30" s="696">
        <x:f>REMUNERACION_ENEL!I131</x:f>
        <x:v>1077925.29</x:v>
      </x:c>
      <x:c r="N30" s="696">
        <x:f>REMUNERACION_ENEL!J131</x:f>
        <x:v>-150151536.59</x:v>
      </x:c>
      <x:c r="O30" s="696">
        <x:f>REMUNERACION_ENEL!I147</x:f>
        <x:v>41366675</x:v>
      </x:c>
      <x:c r="P30" s="704">
        <x:f>I30+J30-K30-L30-M30-N30-O30</x:f>
        <x:v>36356228.440000013</x:v>
      </x:c>
      <x:c r="Q30" s="705">
        <x:f>G30-P30</x:f>
        <x:v>-5.200505256652832E-6</x:v>
      </x:c>
      <x:c r="R30" s="141"/>
    </x:row>
    <x:row r="31" spans="3:18" x14ac:dyDescent="0.25">
      <x:c r="C31" s="760" t="s">
        <x:v>328</x:v>
      </x:c>
      <x:c r="D31" s="696">
        <x:f>REMUNERACION_ENERBIT!D109</x:f>
        <x:v>33106622.48</x:v>
      </x:c>
      <x:c r="E31" s="696">
        <x:f>REMUNERACION_ENERBIT!N109</x:f>
        <x:v>0</x:v>
      </x:c>
      <x:c r="F31" s="696">
        <x:f>D31+E31</x:f>
        <x:v>33106622.48</x:v>
      </x:c>
      <x:c r="G31" s="706">
        <x:f>D22-F31</x:f>
        <x:v>-4461299.4800000004</x:v>
      </x:c>
      <x:c r="H31" s="696"/>
      <x:c r="I31" s="696">
        <x:f>REMUNERACION_ENERBIT!D131</x:f>
        <x:v>1781103</x:v>
      </x:c>
      <x:c r="J31" s="696"/>
      <x:c r="K31" s="696">
        <x:f>REMUNERACION_ENERBIT!G131</x:f>
        <x:v>0</x:v>
      </x:c>
      <x:c r="L31" s="696">
        <x:f>REMUNERACION_ENERBIT!H131</x:f>
        <x:v>6242402.4799999995</x:v>
      </x:c>
      <x:c r="M31" s="696">
        <x:f>REMUNERACION_ENERBIT!I131</x:f>
        <x:v>0</x:v>
      </x:c>
      <x:c r="N31" s="696">
        <x:f>REMUNERACION_ENERBIT!J131</x:f>
        <x:v>0</x:v>
      </x:c>
      <x:c r="O31" s="696">
        <x:f>REMUNERACION_ENERBIT!K131</x:f>
        <x:v>0</x:v>
      </x:c>
      <x:c r="P31" s="704">
        <x:f t="shared" ref="P31" si="7">I31+J31-K31-L31-M31-N31-O31</x:f>
        <x:v>-4461299.4799999995</x:v>
      </x:c>
      <x:c r="Q31" s="705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6">
        <x:f>'REMUNERACION_OCCIDENTE_ Directa'!D109</x:f>
        <x:v>4263358205.6200008</x:v>
      </x:c>
      <x:c r="E32" s="696">
        <x:f>'REMUNERACION_OCCIDENTE_ Directa'!N109</x:f>
        <x:v>61067319.399999999</x:v>
      </x:c>
      <x:c r="F32" s="696">
        <x:f t="shared" ref="F32" si="9">D32+E32</x:f>
        <x:v>4324425525.0200005</x:v>
      </x:c>
      <x:c r="G32" s="706">
        <x:f>D23-F32</x:f>
        <x:v>-39856473.020000458</x:v>
      </x:c>
      <x:c r="H32" s="696"/>
      <x:c r="I32" s="696">
        <x:f>'REMUNERACION_OCCIDENTE_ Directa'!D131</x:f>
        <x:v>136872738.84999999</x:v>
      </x:c>
      <x:c r="J32" s="696">
        <x:f>'CONSOLIDADO_TOTAL RECAUDO'!E131</x:f>
        <x:v>0</x:v>
      </x:c>
      <x:c r="K32" s="696">
        <x:f>'REMUNERACION_OCCIDENTE_ Directa'!G131</x:f>
        <x:v>1244253</x:v>
      </x:c>
      <x:c r="L32" s="696">
        <x:f>'REMUNERACION_OCCIDENTE_ Directa'!H131</x:f>
        <x:v>181345323.93000001</x:v>
      </x:c>
      <x:c r="M32" s="696">
        <x:f>'REMUNERACION_OCCIDENTE_ Directa'!I131</x:f>
        <x:v>0</x:v>
      </x:c>
      <x:c r="N32" s="696">
        <x:f>'REMUNERACION_OCCIDENTE_ Directa'!J131</x:f>
        <x:v>-5860365.0600000005</x:v>
      </x:c>
      <x:c r="O32" s="696">
        <x:f>'REMUNERACION_OCCIDENTE_ Directa'!I147</x:f>
        <x:v>0</x:v>
      </x:c>
      <x:c r="P32" s="704">
        <x:f t="shared" ref="P32" si="10">I32+J32-K32-L32-M32-N32-O32</x:f>
        <x:v>-39856473.020000011</x:v>
      </x:c>
      <x:c r="Q32" s="705">
        <x:f t="shared" si="8"/>
        <x:v>-4.4703483581542969E-7</x:v>
      </x:c>
      <x:c r="R32" s="141"/>
    </x:row>
    <x:row r="33" spans="4:17" x14ac:dyDescent="0.25">
      <x:c r="D33" s="696">
        <x:f>SUM(D29:D32)</x:f>
        <x:v>72441209167.710007</x:v>
      </x:c>
      <x:c r="E33" s="696">
        <x:f>SUM(E29:E32)</x:f>
        <x:v>143093581.66999999</x:v>
      </x:c>
      <x:c r="F33" s="707">
        <x:f t="shared" ref="F33" si="11">SUM(F29:F32)</x:f>
        <x:v>72584302749.380005</x:v>
      </x:c>
      <x:c r="G33" s="708">
        <x:f>D24-F33</x:f>
        <x:v>-86352782.380004883</x:v>
      </x:c>
      <x:c r="H33" s="696"/>
      <x:c r="I33" s="696">
        <x:f>SUM(I29:I32)</x:f>
        <x:v>398460321.10000002</x:v>
      </x:c>
      <x:c r="J33" s="696">
        <x:f>SUM(J29:J32)</x:f>
        <x:v>0</x:v>
      </x:c>
      <x:c r="K33" s="696">
        <x:f>SUM(K29:K32)</x:f>
        <x:v>62332280</x:v>
      </x:c>
      <x:c r="L33" s="696">
        <x:f t="shared" ref="L33:N33" si="12">SUM(L29:L32)</x:f>
        <x:v>536532174.63</x:v>
      </x:c>
      <x:c r="M33" s="696">
        <x:f t="shared" si="12"/>
        <x:v>1329905.5</x:v>
      </x:c>
      <x:c r="N33" s="696">
        <x:f t="shared" si="12"/>
        <x:v>-156747931.65000001</x:v>
      </x:c>
      <x:c r="O33" s="696">
        <x:f>SUM(O29:O32)</x:f>
        <x:v>41366675</x:v>
      </x:c>
      <x:c r="P33" s="709">
        <x:f>SUM(P29:P32)</x:f>
        <x:v>-86352782.379999965</x:v>
      </x:c>
      <x:c r="Q33" s="705">
        <x:f>SUM(Q29:Q32)</x:f>
        <x:v>-5.6475400924682617E-6</x:v>
      </x:c>
    </x:row>
    <x:row r="34" spans="4:17" x14ac:dyDescent="0.25">
      <x:c r="D34" s="696" t="b">
        <x:f>D33='CONSOLIDADO_TOTAL RECAUDO'!D109</x:f>
        <x:v>1</x:v>
      </x:c>
      <x:c r="E34" s="696" t="b">
        <x:f>E33='CONSOLIDADO_TOTAL RECAUDO'!N109</x:f>
        <x:v>1</x:v>
      </x:c>
      <x:c r="F34" s="696" t="b">
        <x:f>F33='CONSOLIDADO_TOTAL RECAUDO'!D109+'CONSOLIDADO_TOTAL RECAUDO'!N109</x:f>
        <x:v>1</x:v>
      </x:c>
      <x:c r="G34" s="696"/>
      <x:c r="H34" s="696"/>
      <x:c r="I34" s="696"/>
      <x:c r="J34" s="696"/>
      <x:c r="K34" s="696"/>
      <x:c r="L34" s="696"/>
      <x:c r="M34" s="696"/>
      <x:c r="N34" s="696"/>
      <x:c r="O34" s="696"/>
    </x:row>
    <x:row r="35" spans="4:17" x14ac:dyDescent="0.25">
      <x:c r="K35" s="141"/>
      <x:c r="P35" s="270">
        <x:f>P33-G33</x:f>
        <x:v>4.9173831939697266E-6</x:v>
      </x:c>
    </x:row>
    <x:row r="36" spans="4:17" x14ac:dyDescent="0.25">
      <x:c r="L36" s="141"/>
      <x:c r="P36" s="141"/>
    </x:row>
    <x:row r="37" spans="4:17" x14ac:dyDescent="0.25">
      <x:c r="P37" s="602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/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4.81640625" style="1" bestFit="1" customWidth="1"/>
    <x:col min="5" max="5" width="15.453125" style="1" bestFit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6.54296875" style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9.453125" style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1.1796875" style="1" customWidth="1"/>
    <x:col min="34" max="34" width="12" style="1" bestFit="1" customWidth="1"/>
    <x:col min="35" max="35" width="3.453125" style="1" customWidth="1"/>
    <x:col min="36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600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'CONSOLIDADO_TOTAL RECAUDO'!D101</x:f>
        <x:v>46238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">
      <x:c r="B7" s="95"/>
      <x:c r="C7" s="601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46219</x:v>
      </x:c>
      <x:c r="H7" s="45"/>
      <x:c r="I7" s="45"/>
      <x:c r="J7" s="555" t="s">
        <x:v>28</x:v>
      </x:c>
      <x:c r="K7" s="557">
        <x:f>'CONSOLIDADO_TOTAL RECAUDO'!K102</x:f>
        <x:v>46234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69.5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5">
      <x:c r="B9" s="14">
        <x:v>1</x:v>
      </x:c>
      <x:c r="C9" s="61" t="s">
        <x:v>10</x:v>
      </x:c>
      <x:c r="D9" s="66">
        <x:f>'CONSOLIDADO_TOTAL RECAUDO'!D104</x:f>
        <x:v>17450228673.349998</x:v>
      </x:c>
      <x:c r="E9" s="66">
        <x:f>'CONSOLIDADO_TOTAL RECAUDO'!E104</x:f>
        <x:v>907089032.16000009</x:v>
      </x:c>
      <x:c r="F9" s="66">
        <x:f>'CONSOLIDADO_TOTAL RECAUDO'!F104</x:f>
        <x:v>511619081.72000003</x:v>
      </x:c>
      <x:c r="G9" s="66">
        <x:f>'CONSOLIDADO_TOTAL RECAUDO'!G104</x:f>
        <x:v>268690518.94</x:v>
      </x:c>
      <x:c r="H9" s="66">
        <x:f>'CONSOLIDADO_TOTAL RECAUDO'!H104</x:f>
        <x:v>3815252256.9000001</x:v>
      </x:c>
      <x:c r="I9" s="66">
        <x:f>'CONSOLIDADO_TOTAL RECAUDO'!I104</x:f>
        <x:v>134368143.47</x:v>
      </x:c>
      <x:c r="J9" s="66">
        <x:f>'CONSOLIDADO_TOTAL RECAUDO'!J104</x:f>
        <x:v>-3589454665.5499997</x:v>
      </x:c>
      <x:c r="K9" s="30">
        <x:f>D9-E9-F9-G9-H9-I9-J9</x:f>
        <x:v>15402664305.709999</x:v>
      </x:c>
      <x:c r="L9" s="66">
        <x:f>'CONSOLIDADO_TOTAL RECAUDO'!L104</x:f>
        <x:v>189185988</x:v>
      </x:c>
      <x:c r="M9" s="30">
        <x:f>K9-L9</x:f>
        <x:v>15213478317.709999</x:v>
      </x:c>
      <x:c r="N9" s="66">
        <x:f>'CONSOLIDADO_TOTAL RECAUDO'!N104</x:f>
        <x:v>25277316.260000002</x:v>
      </x:c>
      <x:c r="O9" s="30">
        <x:f>M9+N9</x:f>
        <x:v>15238755633.969999</x:v>
      </x:c>
      <x:c r="Q9" s="4"/>
      <x:c r="S9" s="14">
        <x:v>1</x:v>
      </x:c>
      <x:c r="T9" s="61" t="s">
        <x:v>10</x:v>
      </x:c>
      <x:c r="U9" s="66">
        <x:f>'CONSOLIDADO_TOTAL RECAUDO'!U104</x:f>
        <x:v>1182502863.3800001</x:v>
      </x:c>
      <x:c r="V9" s="66">
        <x:f>'CONSOLIDADO_TOTAL RECAUDO'!V104</x:f>
        <x:v>1138203111.0299997</x:v>
      </x:c>
      <x:c r="W9" s="66">
        <x:f>'CONSOLIDADO_TOTAL RECAUDO'!W104</x:f>
        <x:v>5384239175.3499994</x:v>
      </x:c>
      <x:c r="X9" s="66">
        <x:f>'CONSOLIDADO_TOTAL RECAUDO'!X104</x:f>
        <x:v>2460648865.29</x:v>
      </x:c>
      <x:c r="Y9" s="66">
        <x:f>'CONSOLIDADO_TOTAL RECAUDO'!Y104</x:f>
        <x:v>219070048.99000001</x:v>
      </x:c>
      <x:c r="Z9" s="66">
        <x:f>'CONSOLIDADO_TOTAL RECAUDO'!Z104</x:f>
        <x:v>-189185988</x:v>
      </x:c>
      <x:c r="AA9" s="66">
        <x:f>'CONSOLIDADO_TOTAL RECAUDO'!AA104</x:f>
        <x:v>-17520.82</x:v>
      </x:c>
      <x:c r="AB9" s="66">
        <x:f>'CONSOLIDADO_TOTAL RECAUDO'!AB104</x:f>
        <x:v>25277316.260000002</x:v>
      </x:c>
      <x:c r="AC9" s="66">
        <x:f>'CONSOLIDADO_TOTAL RECAUDO'!AC104</x:f>
        <x:v>-1592.61</x:v>
      </x:c>
      <x:c r="AD9" s="66">
        <x:f>'CONSOLIDADO_TOTAL RECAUDO'!AD104</x:f>
        <x:v>5018019355.0999994</x:v>
      </x:c>
      <x:c r="AE9" s="66">
        <x:f>'CONSOLIDADO_TOTAL RECAUDO'!AE104</x:f>
        <x:v>1428564689.55</x:v>
      </x:c>
      <x:c r="AF9" s="69">
        <x:f>SUM(U9:AD9)</x:f>
        <x:v>15238755633.969997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5">
      <x:c r="B10" s="16">
        <x:v>2</x:v>
      </x:c>
      <x:c r="C10" s="62" t="s">
        <x:v>11</x:v>
      </x:c>
      <x:c r="D10" s="66">
        <x:f>'CONSOLIDADO_TOTAL RECAUDO'!D105</x:f>
        <x:v>20516143969.650002</x:v>
      </x:c>
      <x:c r="E10" s="66">
        <x:f>'CONSOLIDADO_TOTAL RECAUDO'!E105</x:f>
        <x:v>1584179837.8299999</x:v>
      </x:c>
      <x:c r="F10" s="66">
        <x:f>'CONSOLIDADO_TOTAL RECAUDO'!F105</x:f>
        <x:v>890098162.61999989</x:v>
      </x:c>
      <x:c r="G10" s="66">
        <x:f>'CONSOLIDADO_TOTAL RECAUDO'!G105</x:f>
        <x:v>466611469.23999995</x:v>
      </x:c>
      <x:c r="H10" s="66">
        <x:f>'CONSOLIDADO_TOTAL RECAUDO'!H105</x:f>
        <x:v>5815089519.5800009</x:v>
      </x:c>
      <x:c r="I10" s="66">
        <x:f>'CONSOLIDADO_TOTAL RECAUDO'!I105</x:f>
        <x:v>222428730.16</x:v>
      </x:c>
      <x:c r="J10" s="66">
        <x:f>'CONSOLIDADO_TOTAL RECAUDO'!J105</x:f>
        <x:v>-3241193714.1100001</x:v>
      </x:c>
      <x:c r="K10" s="31">
        <x:f t="shared" ref="K10:K13" si="0">D10-E10-F10-G10-H10-I10-J10</x:f>
        <x:v>14778929964.329998</x:v>
      </x:c>
      <x:c r="L10" s="66">
        <x:f>'CONSOLIDADO_TOTAL RECAUDO'!L105</x:f>
        <x:v>266580256</x:v>
      </x:c>
      <x:c r="M10" s="31">
        <x:f>K10-L10</x:f>
        <x:v>14512349708.329998</x:v>
      </x:c>
      <x:c r="N10" s="66">
        <x:f>'CONSOLIDADO_TOTAL RECAUDO'!N105</x:f>
        <x:v>53454221.280000001</x:v>
      </x:c>
      <x:c r="O10" s="31">
        <x:f t="shared" ref="O10:O13" si="1">M10+N10</x:f>
        <x:v>14565803929.609999</x:v>
      </x:c>
      <x:c r="Q10" s="4"/>
      <x:c r="S10" s="16">
        <x:v>2</x:v>
      </x:c>
      <x:c r="T10" s="62" t="s">
        <x:v>11</x:v>
      </x:c>
      <x:c r="U10" s="66">
        <x:f>'CONSOLIDADO_TOTAL RECAUDO'!U105</x:f>
        <x:v>1949886300.4400001</x:v>
      </x:c>
      <x:c r="V10" s="66">
        <x:f>'CONSOLIDADO_TOTAL RECAUDO'!V105</x:f>
        <x:v>1945637036.9099996</x:v>
      </x:c>
      <x:c r="W10" s="66">
        <x:f>'CONSOLIDADO_TOTAL RECAUDO'!W105</x:f>
        <x:v>9155886148.1600037</x:v>
      </x:c>
      <x:c r="X10" s="66">
        <x:f>'CONSOLIDADO_TOTAL RECAUDO'!X105</x:f>
        <x:v>3142209362.4400001</x:v>
      </x:c>
      <x:c r="Y10" s="66">
        <x:f>'CONSOLIDADO_TOTAL RECAUDO'!Y105</x:f>
        <x:v>363003578.24000001</x:v>
      </x:c>
      <x:c r="Z10" s="66">
        <x:f>'CONSOLIDADO_TOTAL RECAUDO'!Z105</x:f>
        <x:v>-266580256</x:v>
      </x:c>
      <x:c r="AA10" s="66">
        <x:f>'CONSOLIDADO_TOTAL RECAUDO'!AA105</x:f>
        <x:v>86900.159999999989</x:v>
      </x:c>
      <x:c r="AB10" s="66">
        <x:f>'CONSOLIDADO_TOTAL RECAUDO'!AB105</x:f>
        <x:v>53454221.280000001</x:v>
      </x:c>
      <x:c r="AC10" s="66">
        <x:f>'CONSOLIDADO_TOTAL RECAUDO'!AC105</x:f>
        <x:v>-123.21</x:v>
      </x:c>
      <x:c r="AD10" s="66">
        <x:f>'CONSOLIDADO_TOTAL RECAUDO'!AD105</x:f>
        <x:v>-1777779238.8099999</x:v>
      </x:c>
      <x:c r="AE10" s="66">
        <x:f>'CONSOLIDADO_TOTAL RECAUDO'!AE105</x:f>
        <x:v>-5018972952.9200001</x:v>
      </x:c>
      <x:c r="AF10" s="70">
        <x:f>SUM(U10:AD10)</x:f>
        <x:v>14565803929.610004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5">
      <x:c r="B11" s="16">
        <x:v>3</x:v>
      </x:c>
      <x:c r="C11" s="62" t="s">
        <x:v>12</x:v>
      </x:c>
      <x:c r="D11" s="66">
        <x:f>'CONSOLIDADO_TOTAL RECAUDO'!D106</x:f>
        <x:v>15221896467.450003</x:v>
      </x:c>
      <x:c r="E11" s="66">
        <x:f>'CONSOLIDADO_TOTAL RECAUDO'!E106</x:f>
        <x:v>1154816918.0400002</x:v>
      </x:c>
      <x:c r="F11" s="66">
        <x:f>'CONSOLIDADO_TOTAL RECAUDO'!F106</x:f>
        <x:v>650648256.78000009</x:v>
      </x:c>
      <x:c r="G11" s="66">
        <x:f>'CONSOLIDADO_TOTAL RECAUDO'!G106</x:f>
        <x:v>342168927.41999996</x:v>
      </x:c>
      <x:c r="H11" s="66">
        <x:f>'CONSOLIDADO_TOTAL RECAUDO'!H106</x:f>
        <x:v>3419471286.5799999</x:v>
      </x:c>
      <x:c r="I11" s="66">
        <x:f>'CONSOLIDADO_TOTAL RECAUDO'!I106</x:f>
        <x:v>125690282.95999999</x:v>
      </x:c>
      <x:c r="J11" s="66">
        <x:f>'CONSOLIDADO_TOTAL RECAUDO'!J106</x:f>
        <x:v>-853244564.50999999</x:v>
      </x:c>
      <x:c r="K11" s="31">
        <x:f t="shared" si="0"/>
        <x:v>10382345360.180002</x:v>
      </x:c>
      <x:c r="L11" s="66">
        <x:f>'CONSOLIDADO_TOTAL RECAUDO'!L106</x:f>
        <x:v>154788536</x:v>
      </x:c>
      <x:c r="M11" s="31">
        <x:f>K11-L11</x:f>
        <x:v>10227556824.180002</x:v>
      </x:c>
      <x:c r="N11" s="66">
        <x:f>'CONSOLIDADO_TOTAL RECAUDO'!N106</x:f>
        <x:v>14341963.319999998</x:v>
      </x:c>
      <x:c r="O11" s="31">
        <x:f t="shared" si="1"/>
        <x:v>10241898787.500002</x:v>
      </x:c>
      <x:c r="Q11" s="4"/>
      <x:c r="S11" s="16">
        <x:v>3</x:v>
      </x:c>
      <x:c r="T11" s="62" t="s">
        <x:v>12</x:v>
      </x:c>
      <x:c r="U11" s="66">
        <x:f>'CONSOLIDADO_TOTAL RECAUDO'!U106</x:f>
        <x:v>1102335590.3299999</x:v>
      </x:c>
      <x:c r="V11" s="66">
        <x:f>'CONSOLIDADO_TOTAL RECAUDO'!V106</x:f>
        <x:v>1086464208.23</x:v>
      </x:c>
      <x:c r="W11" s="66">
        <x:f>'CONSOLIDADO_TOTAL RECAUDO'!W106</x:f>
        <x:v>5141961247.9000006</x:v>
      </x:c>
      <x:c r="X11" s="66">
        <x:f>'CONSOLIDADO_TOTAL RECAUDO'!X106</x:f>
        <x:v>2685857516.6600003</x:v>
      </x:c>
      <x:c r="Y11" s="66">
        <x:f>'CONSOLIDADO_TOTAL RECAUDO'!Y106</x:f>
        <x:v>205160229.32000002</x:v>
      </x:c>
      <x:c r="Z11" s="66">
        <x:f>'CONSOLIDADO_TOTAL RECAUDO'!Z106</x:f>
        <x:v>-154788536</x:v>
      </x:c>
      <x:c r="AA11" s="66">
        <x:f>'CONSOLIDADO_TOTAL RECAUDO'!AA106</x:f>
        <x:v>246404.58</x:v>
      </x:c>
      <x:c r="AB11" s="66">
        <x:f>'CONSOLIDADO_TOTAL RECAUDO'!AB106</x:f>
        <x:v>14341963.319999998</x:v>
      </x:c>
      <x:c r="AC11" s="66">
        <x:f>'CONSOLIDADO_TOTAL RECAUDO'!AC106</x:f>
        <x:v>-11885.619999999999</x:v>
      </x:c>
      <x:c r="AD11" s="66">
        <x:f>'CONSOLIDADO_TOTAL RECAUDO'!AD106</x:f>
        <x:v>160332048.78000009</x:v>
      </x:c>
      <x:c r="AE11" s="66">
        <x:f>'CONSOLIDADO_TOTAL RECAUDO'!AE106</x:f>
        <x:v>-692912515.7299999</x:v>
      </x:c>
      <x:c r="AF11" s="70">
        <x:f>SUM(U11:AD11)</x:f>
        <x:v>10241898787.5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5">
      <x:c r="B12" s="16">
        <x:v>4</x:v>
      </x:c>
      <x:c r="C12" s="62" t="s">
        <x:v>13</x:v>
      </x:c>
      <x:c r="D12" s="66">
        <x:f>'CONSOLIDADO_TOTAL RECAUDO'!D107</x:f>
        <x:v>7179595395.6699991</x:v>
      </x:c>
      <x:c r="E12" s="66">
        <x:f>'CONSOLIDADO_TOTAL RECAUDO'!E107</x:f>
        <x:v>473606043.33000004</x:v>
      </x:c>
      <x:c r="F12" s="66">
        <x:f>'CONSOLIDADO_TOTAL RECAUDO'!F107</x:f>
        <x:v>264596657.70000002</x:v>
      </x:c>
      <x:c r="G12" s="66">
        <x:f>'CONSOLIDADO_TOTAL RECAUDO'!G107</x:f>
        <x:v>136481575.35000002</x:v>
      </x:c>
      <x:c r="H12" s="66">
        <x:f>'CONSOLIDADO_TOTAL RECAUDO'!H107</x:f>
        <x:v>1605437093.76</x:v>
      </x:c>
      <x:c r="I12" s="66">
        <x:f>'CONSOLIDADO_TOTAL RECAUDO'!I107</x:f>
        <x:v>62582401.519999996</x:v>
      </x:c>
      <x:c r="J12" s="66">
        <x:f>'CONSOLIDADO_TOTAL RECAUDO'!J107</x:f>
        <x:v>-699882713.37000012</x:v>
      </x:c>
      <x:c r="K12" s="31">
        <x:f t="shared" si="0"/>
        <x:v>5336774337.3799982</x:v>
      </x:c>
      <x:c r="L12" s="66">
        <x:f>'CONSOLIDADO_TOTAL RECAUDO'!L107</x:f>
        <x:v>120391083</x:v>
      </x:c>
      <x:c r="M12" s="31">
        <x:f>K12-L12</x:f>
        <x:v>5216383254.3799982</x:v>
      </x:c>
      <x:c r="N12" s="66">
        <x:f>'CONSOLIDADO_TOTAL RECAUDO'!N107</x:f>
        <x:v>34128344.93</x:v>
      </x:c>
      <x:c r="O12" s="31">
        <x:f t="shared" si="1"/>
        <x:v>5250511599.3099985</x:v>
      </x:c>
      <x:c r="Q12" s="4"/>
      <x:c r="S12" s="16">
        <x:v>4</x:v>
      </x:c>
      <x:c r="T12" s="62" t="s">
        <x:v>13</x:v>
      </x:c>
      <x:c r="U12" s="66">
        <x:f>'CONSOLIDADO_TOTAL RECAUDO'!U107</x:f>
        <x:v>549450408.40999997</x:v>
      </x:c>
      <x:c r="V12" s="66">
        <x:f>'CONSOLIDADO_TOTAL RECAUDO'!V107</x:f>
        <x:v>548186870.46999991</x:v>
      </x:c>
      <x:c r="W12" s="66">
        <x:f>'CONSOLIDADO_TOTAL RECAUDO'!W107</x:f>
        <x:v>2799232757.4099998</x:v>
      </x:c>
      <x:c r="X12" s="66">
        <x:f>'CONSOLIDADO_TOTAL RECAUDO'!X107</x:f>
        <x:v>1254527099.4500003</x:v>
      </x:c>
      <x:c r="Y12" s="66">
        <x:f>'CONSOLIDADO_TOTAL RECAUDO'!Y107</x:f>
        <x:v>102249901.39999999</x:v>
      </x:c>
      <x:c r="Z12" s="66">
        <x:f>'CONSOLIDADO_TOTAL RECAUDO'!Z107</x:f>
        <x:v>-120391083</x:v>
      </x:c>
      <x:c r="AA12" s="66">
        <x:f>'CONSOLIDADO_TOTAL RECAUDO'!AA107</x:f>
        <x:v>-16263.19</x:v>
      </x:c>
      <x:c r="AB12" s="66">
        <x:f>'CONSOLIDADO_TOTAL RECAUDO'!AB107</x:f>
        <x:v>34128344.93</x:v>
      </x:c>
      <x:c r="AC12" s="66">
        <x:f>'CONSOLIDADO_TOTAL RECAUDO'!AC107</x:f>
        <x:v>-529.09999999999991</x:v>
      </x:c>
      <x:c r="AD12" s="66">
        <x:f>'CONSOLIDADO_TOTAL RECAUDO'!AD107</x:f>
        <x:v>83144092.53000021</x:v>
      </x:c>
      <x:c r="AE12" s="66">
        <x:f>'CONSOLIDADO_TOTAL RECAUDO'!AE107</x:f>
        <x:v>-616738620.83999991</x:v>
      </x:c>
      <x:c r="AF12" s="70">
        <x:f>SUM(U12:AD12)</x:f>
        <x:v>5250511599.3099995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">
      <x:c r="B13" s="19">
        <x:v>5</x:v>
      </x:c>
      <x:c r="C13" s="63" t="s">
        <x:v>14</x:v>
      </x:c>
      <x:c r="D13" s="66">
        <x:f>'CONSOLIDADO_TOTAL RECAUDO'!D108</x:f>
        <x:v>12073344661.59</x:v>
      </x:c>
      <x:c r="E13" s="66">
        <x:f>'CONSOLIDADO_TOTAL RECAUDO'!E108</x:f>
        <x:v>731686441.62</x:v>
      </x:c>
      <x:c r="F13" s="66">
        <x:f>'CONSOLIDADO_TOTAL RECAUDO'!F108</x:f>
        <x:v>412480816.2899999</x:v>
      </x:c>
      <x:c r="G13" s="66">
        <x:f>'CONSOLIDADO_TOTAL RECAUDO'!G108</x:f>
        <x:v>216220999.25</x:v>
      </x:c>
      <x:c r="H13" s="66">
        <x:f>'CONSOLIDADO_TOTAL RECAUDO'!H108</x:f>
        <x:v>2771170796.7799997</x:v>
      </x:c>
      <x:c r="I13" s="66">
        <x:f>'CONSOLIDADO_TOTAL RECAUDO'!I108</x:f>
        <x:v>105860252.47</x:v>
      </x:c>
      <x:c r="J13" s="66">
        <x:f>'CONSOLIDADO_TOTAL RECAUDO'!J108</x:f>
        <x:v>-82959023.660000086</x:v>
      </x:c>
      <x:c r="K13" s="31">
        <x:f t="shared" si="0"/>
        <x:v>7918884378.8400002</x:v>
      </x:c>
      <x:c r="L13" s="66">
        <x:f>'CONSOLIDADO_TOTAL RECAUDO'!L108</x:f>
        <x:v>128990446</x:v>
      </x:c>
      <x:c r="M13" s="40">
        <x:f>K13-L13</x:f>
        <x:v>7789893932.8400002</x:v>
      </x:c>
      <x:c r="N13" s="66">
        <x:f>'CONSOLIDADO_TOTAL RECAUDO'!N108</x:f>
        <x:v>15891735.880000001</x:v>
      </x:c>
      <x:c r="O13" s="40">
        <x:f t="shared" si="1"/>
        <x:v>7805785668.7200003</x:v>
      </x:c>
      <x:c r="Q13" s="4"/>
      <x:c r="S13" s="19">
        <x:v>5</x:v>
      </x:c>
      <x:c r="T13" s="63" t="s">
        <x:v>14</x:v>
      </x:c>
      <x:c r="U13" s="66">
        <x:f>'CONSOLIDADO_TOTAL RECAUDO'!U108</x:f>
        <x:v>928205240.1500001</x:v>
      </x:c>
      <x:c r="V13" s="66">
        <x:f>'CONSOLIDADO_TOTAL RECAUDO'!V108</x:f>
        <x:v>911180502.11000001</x:v>
      </x:c>
      <x:c r="W13" s="66">
        <x:f>'CONSOLIDADO_TOTAL RECAUDO'!W108</x:f>
        <x:v>4681131561.2200003</x:v>
      </x:c>
      <x:c r="X13" s="66">
        <x:f>'CONSOLIDADO_TOTAL RECAUDO'!X108</x:f>
        <x:v>2173851295.3300004</x:v>
      </x:c>
      <x:c r="Y13" s="66">
        <x:f>'CONSOLIDADO_TOTAL RECAUDO'!Y108</x:f>
        <x:v>172729906.53999999</x:v>
      </x:c>
      <x:c r="Z13" s="66">
        <x:f>'CONSOLIDADO_TOTAL RECAUDO'!Z108</x:f>
        <x:v>-128990446</x:v>
      </x:c>
      <x:c r="AA13" s="66">
        <x:f>'CONSOLIDADO_TOTAL RECAUDO'!AA108</x:f>
        <x:v>-147744.56999999998</x:v>
      </x:c>
      <x:c r="AB13" s="66">
        <x:f>'CONSOLIDADO_TOTAL RECAUDO'!AB108</x:f>
        <x:v>15891735.880000001</x:v>
      </x:c>
      <x:c r="AC13" s="66">
        <x:f>'CONSOLIDADO_TOTAL RECAUDO'!AC108</x:f>
        <x:v>-32.979999999999997</x:v>
      </x:c>
      <x:c r="AD13" s="66">
        <x:f>'CONSOLIDADO_TOTAL RECAUDO'!AD108</x:f>
        <x:v>-948066348.95999992</x:v>
      </x:c>
      <x:c r="AE13" s="66">
        <x:f>'CONSOLIDADO_TOTAL RECAUDO'!AE108</x:f>
        <x:v>-1031025372.62</x:v>
      </x:c>
      <x:c r="AF13" s="70">
        <x:f>SUM(U13:AD13)</x:f>
        <x:v>7805785668.7200022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35">
      <x:c r="B14" s="21"/>
      <x:c r="C14" s="22" t="s">
        <x:v>2</x:v>
      </x:c>
      <x:c r="D14" s="43">
        <x:f t="shared" ref="D14:O14" si="3">SUM(D9:D13)</x:f>
        <x:v>72441209167.710007</x:v>
      </x:c>
      <x:c r="E14" s="43">
        <x:f t="shared" si="3"/>
        <x:v>4851378272.9799995</x:v>
      </x:c>
      <x:c r="F14" s="43">
        <x:f t="shared" si="3"/>
        <x:v>2729442975.1099997</x:v>
      </x:c>
      <x:c r="G14" s="43">
        <x:f t="shared" si="3"/>
        <x:v>1430173490.1999998</x:v>
      </x:c>
      <x:c r="H14" s="43">
        <x:f t="shared" si="3"/>
        <x:v>17426420953.600002</x:v>
      </x:c>
      <x:c r="I14" s="43">
        <x:f t="shared" si="3"/>
        <x:v>650929810.58000004</x:v>
      </x:c>
      <x:c r="J14" s="43">
        <x:f t="shared" si="3"/>
        <x:v>-8466734681.1999998</x:v>
      </x:c>
      <x:c r="K14" s="32">
        <x:f t="shared" si="3"/>
        <x:v>53819598346.440002</x:v>
      </x:c>
      <x:c r="L14" s="23">
        <x:f t="shared" si="3"/>
        <x:v>859936309</x:v>
      </x:c>
      <x:c r="M14" s="76">
        <x:f t="shared" si="3"/>
        <x:v>52959662037.440002</x:v>
      </x:c>
      <x:c r="N14" s="23">
        <x:f t="shared" si="3"/>
        <x:v>143093581.66999999</x:v>
      </x:c>
      <x:c r="O14" s="76">
        <x:f t="shared" si="3"/>
        <x:v>53102755619.110001</x:v>
      </x:c>
      <x:c r="P14" s="2"/>
      <x:c r="Q14" s="4"/>
      <x:c r="S14" s="21"/>
      <x:c r="T14" s="22" t="s">
        <x:v>2</x:v>
      </x:c>
      <x:c r="U14" s="43">
        <x:f>SUM(U9:U13)</x:f>
        <x:v>5712380402.710001</x:v>
      </x:c>
      <x:c r="V14" s="43">
        <x:f t="shared" ref="V14:AG14" si="4">SUM(V9:V13)</x:f>
        <x:v>5629671728.749999</x:v>
      </x:c>
      <x:c r="W14" s="43">
        <x:f t="shared" si="4"/>
        <x:v>27162450890.040005</x:v>
      </x:c>
      <x:c r="X14" s="43">
        <x:f t="shared" si="4"/>
        <x:v>11717094139.17</x:v>
      </x:c>
      <x:c r="Y14" s="43">
        <x:f t="shared" si="4"/>
        <x:v>1062213664.49</x:v>
      </x:c>
      <x:c r="Z14" s="43">
        <x:f t="shared" si="4"/>
        <x:v>-859936309</x:v>
      </x:c>
      <x:c r="AA14" s="43">
        <x:f t="shared" si="4"/>
        <x:v>151776.16</x:v>
      </x:c>
      <x:c r="AB14" s="43">
        <x:f t="shared" si="4"/>
        <x:v>143093581.66999999</x:v>
      </x:c>
      <x:c r="AC14" s="43">
        <x:f t="shared" si="4"/>
        <x:v>-14163.519999999999</x:v>
      </x:c>
      <x:c r="AD14" s="43">
        <x:f t="shared" ref="AD14" si="5">SUM(AD9:AD13)</x:f>
        <x:v>2535649908.6399999</x:v>
      </x:c>
      <x:c r="AE14" s="43">
        <x:f>SUM(AE9:AE13)</x:f>
        <x:v>-5931084772.5599995</x:v>
      </x:c>
      <x:c r="AF14" s="68">
        <x:f t="shared" si="4"/>
        <x:v>53102755619.110001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51283810825.159996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">
      <x:c r="Q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" x14ac:dyDescent="0.3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5" x14ac:dyDescent="0.3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5">
      <x:c r="B25" s="8"/>
      <x:c r="I25" s="2"/>
      <x:c r="J25" s="2"/>
      <x:c r="O25" s="10"/>
      <x:c r="P25" s="2"/>
      <x:c r="Q25" s="4"/>
    </x:row>
    <x:row r="26" spans="1:35" ht="15.5" x14ac:dyDescent="0.3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5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5" thickBot="1" x14ac:dyDescent="0.3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5">
      <x:c r="B30" s="108">
        <x:v>1</x:v>
      </x:c>
      <x:c r="C30" s="109" t="s">
        <x:v>10</x:v>
      </x:c>
      <x:c r="D30" s="110">
        <x:f>'CONSOLIDADO_TOTAL RECAUDO'!D125</x:f>
        <x:v>100931031.88</x:v>
      </x:c>
      <x:c r="E30" s="111">
        <x:f>'CONSOLIDADO_TOTAL RECAUDO'!E125</x:f>
        <x:v>0</x:v>
      </x:c>
      <x:c r="G30" s="140">
        <x:f>'CONSOLIDADO_TOTAL RECAUDO'!G125</x:f>
        <x:v>49580</x:v>
      </x:c>
      <x:c r="H30" s="110">
        <x:f>'CONSOLIDADO_TOTAL RECAUDO'!H125</x:f>
        <x:v>125948553.12</x:v>
      </x:c>
      <x:c r="I30" s="111">
        <x:f>'CONSOLIDADO_TOTAL RECAUDO'!I125</x:f>
        <x:v>973693.46</x:v>
      </x:c>
      <x:c r="J30" s="111">
        <x:f>'CONSOLIDADO_TOTAL RECAUDO'!J125</x:f>
        <x:v>-16536713.09</x:v>
      </x:c>
      <x:c r="K30" s="111">
        <x:f>'CONSOLIDADO_TOTAL RECAUDO'!K125</x:f>
        <x:v>82340</x:v>
      </x:c>
      <x:c r="L30" s="111">
        <x:f>'CONSOLIDADO_TOTAL RECAUDO'!L125</x:f>
        <x:v>182537.90999999997</x:v>
      </x:c>
      <x:c r="O30" s="44"/>
      <x:c r="Q30" s="4"/>
    </x:row>
    <x:row r="31" spans="1:35" x14ac:dyDescent="0.25">
      <x:c r="B31" s="16">
        <x:v>2</x:v>
      </x:c>
      <x:c r="C31" s="17" t="s">
        <x:v>11</x:v>
      </x:c>
      <x:c r="D31" s="15">
        <x:f>'CONSOLIDADO_TOTAL RECAUDO'!D126</x:f>
        <x:v>136534753</x:v>
      </x:c>
      <x:c r="E31" s="74">
        <x:f>'CONSOLIDADO_TOTAL RECAUDO'!E126</x:f>
        <x:v>0</x:v>
      </x:c>
      <x:c r="G31" s="82">
        <x:f>'CONSOLIDADO_TOTAL RECAUDO'!G126</x:f>
        <x:v>56190070</x:v>
      </x:c>
      <x:c r="H31" s="18">
        <x:f>'CONSOLIDADO_TOTAL RECAUDO'!H126</x:f>
        <x:v>178539092.16</x:v>
      </x:c>
      <x:c r="I31" s="83">
        <x:f>'CONSOLIDADO_TOTAL RECAUDO'!I126</x:f>
        <x:v>216025.77</x:v>
      </x:c>
      <x:c r="J31" s="83">
        <x:f>'CONSOLIDADO_TOTAL RECAUDO'!J126</x:f>
        <x:v>-71069759</x:v>
      </x:c>
      <x:c r="K31" s="83">
        <x:f>'CONSOLIDADO_TOTAL RECAUDO'!K126</x:f>
        <x:v>5228610</x:v>
      </x:c>
      <x:c r="L31" s="83">
        <x:f>'CONSOLIDADO_TOTAL RECAUDO'!L126</x:f>
        <x:v>0</x:v>
      </x:c>
      <x:c r="O31" s="44"/>
      <x:c r="Q31" s="4"/>
    </x:row>
    <x:row r="32" spans="1:35" x14ac:dyDescent="0.25">
      <x:c r="B32" s="16">
        <x:v>3</x:v>
      </x:c>
      <x:c r="C32" s="17" t="s">
        <x:v>12</x:v>
      </x:c>
      <x:c r="D32" s="15">
        <x:f>'CONSOLIDADO_TOTAL RECAUDO'!D127</x:f>
        <x:v>58884032.920000002</x:v>
      </x:c>
      <x:c r="E32" s="74">
        <x:f>'CONSOLIDADO_TOTAL RECAUDO'!E127</x:f>
        <x:v>0</x:v>
      </x:c>
      <x:c r="G32" s="82">
        <x:f>'CONSOLIDADO_TOTAL RECAUDO'!G127</x:f>
        <x:v>1307680</x:v>
      </x:c>
      <x:c r="H32" s="18">
        <x:f>'CONSOLIDADO_TOTAL RECAUDO'!H127</x:f>
        <x:v>26609070.66</x:v>
      </x:c>
      <x:c r="I32" s="83">
        <x:f>'CONSOLIDADO_TOTAL RECAUDO'!I127</x:f>
        <x:v>104231.83</x:v>
      </x:c>
      <x:c r="J32" s="83">
        <x:f>'CONSOLIDADO_TOTAL RECAUDO'!J127</x:f>
        <x:v>-32310979.800000001</x:v>
      </x:c>
      <x:c r="K32" s="83">
        <x:f>'CONSOLIDADO_TOTAL RECAUDO'!K127</x:f>
        <x:v>0</x:v>
      </x:c>
      <x:c r="L32" s="83">
        <x:f>'CONSOLIDADO_TOTAL RECAUDO'!L127</x:f>
        <x:v>2423600.2000000002</x:v>
      </x:c>
      <x:c r="O32" s="44"/>
      <x:c r="Q32" s="4"/>
    </x:row>
    <x:row r="33" spans="1:20" x14ac:dyDescent="0.25">
      <x:c r="B33" s="16">
        <x:v>4</x:v>
      </x:c>
      <x:c r="C33" s="17" t="s">
        <x:v>13</x:v>
      </x:c>
      <x:c r="D33" s="15">
        <x:f>'CONSOLIDADO_TOTAL RECAUDO'!D128</x:f>
        <x:v>73726637.340000004</x:v>
      </x:c>
      <x:c r="E33" s="74">
        <x:f>'CONSOLIDADO_TOTAL RECAUDO'!E128</x:f>
        <x:v>0</x:v>
      </x:c>
      <x:c r="G33" s="82">
        <x:f>'CONSOLIDADO_TOTAL RECAUDO'!G128</x:f>
        <x:v>4343101</x:v>
      </x:c>
      <x:c r="H33" s="18">
        <x:f>'CONSOLIDADO_TOTAL RECAUDO'!H128</x:f>
        <x:v>161461949.73000002</x:v>
      </x:c>
      <x:c r="I33" s="83">
        <x:f>'CONSOLIDADO_TOTAL RECAUDO'!I128</x:f>
        <x:v>35954.44</x:v>
      </x:c>
      <x:c r="J33" s="83">
        <x:f>'CONSOLIDADO_TOTAL RECAUDO'!J128</x:f>
        <x:v>-33738104.229999997</x:v>
      </x:c>
      <x:c r="K33" s="83">
        <x:f>'CONSOLIDADO_TOTAL RECAUDO'!K128</x:f>
        <x:v>14538094</x:v>
      </x:c>
      <x:c r="L33" s="83">
        <x:f>'CONSOLIDADO_TOTAL RECAUDO'!L128</x:f>
        <x:v>14979759.77</x:v>
      </x:c>
      <x:c r="O33" s="44"/>
      <x:c r="Q33" s="4"/>
    </x:row>
    <x:row r="34" spans="1:20" x14ac:dyDescent="0.25">
      <x:c r="B34" s="133">
        <x:v>5</x:v>
      </x:c>
      <x:c r="C34" s="138" t="s">
        <x:v>14</x:v>
      </x:c>
      <x:c r="D34" s="135">
        <x:f>'CONSOLIDADO_TOTAL RECAUDO'!D129</x:f>
        <x:v>28383865.960000001</x:v>
      </x:c>
      <x:c r="E34" s="139">
        <x:f>'CONSOLIDADO_TOTAL RECAUDO'!E129</x:f>
        <x:v>0</x:v>
      </x:c>
      <x:c r="G34" s="82">
        <x:f>'CONSOLIDADO_TOTAL RECAUDO'!G129</x:f>
        <x:v>441849</x:v>
      </x:c>
      <x:c r="H34" s="18">
        <x:f>'CONSOLIDADO_TOTAL RECAUDO'!H129</x:f>
        <x:v>43973508.960000001</x:v>
      </x:c>
      <x:c r="I34" s="83">
        <x:f>'CONSOLIDADO_TOTAL RECAUDO'!I129</x:f>
        <x:v>0</x:v>
      </x:c>
      <x:c r="J34" s="83">
        <x:f>'CONSOLIDADO_TOTAL RECAUDO'!J129</x:f>
        <x:v>-3092375.53</x:v>
      </x:c>
      <x:c r="K34" s="83">
        <x:f>'CONSOLIDADO_TOTAL RECAUDO'!K129</x:f>
        <x:v>87550</x:v>
      </x:c>
      <x:c r="L34" s="83">
        <x:f>'CONSOLIDADO_TOTAL RECAUDO'!L129</x:f>
        <x:v>215053.47</x:v>
      </x:c>
      <x:c r="O34" s="44"/>
      <x:c r="Q34" s="4"/>
    </x:row>
    <x:row r="35" spans="1:20" ht="12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" thickBot="1" x14ac:dyDescent="0.3">
      <x:c r="B36" s="95"/>
      <x:c r="C36" s="106" t="s">
        <x:v>2</x:v>
      </x:c>
      <x:c r="D36" s="107">
        <x:f t="shared" ref="D36" si="6">SUM(D30:D34)</x:f>
        <x:v>398460321.09999996</x:v>
      </x:c>
      <x:c r="E36" s="107">
        <x:f>'CONSOLIDADO_TOTAL RECAUDO'!E131</x:f>
        <x:v>0</x:v>
      </x:c>
      <x:c r="F36" s="45"/>
      <x:c r="G36" s="107">
        <x:f t="shared" ref="G36" si="7">SUM(G30:G34)</x:f>
        <x:v>62332280</x:v>
      </x:c>
      <x:c r="H36" s="107">
        <x:f t="shared" ref="H36:L36" si="8">SUM(H30:H34)</x:f>
        <x:v>536532174.63</x:v>
      </x:c>
      <x:c r="I36" s="107">
        <x:f t="shared" si="8"/>
        <x:v>1329905.5</x:v>
      </x:c>
      <x:c r="J36" s="107">
        <x:f t="shared" ref="J36" si="9">SUM(J30:J34)</x:f>
        <x:v>-156747931.65000001</x:v>
      </x:c>
      <x:c r="K36" s="107">
        <x:f t="shared" si="8"/>
        <x:v>19936594</x:v>
      </x:c>
      <x:c r="L36" s="107">
        <x:f t="shared" si="8"/>
        <x:v>17800951.349999998</x:v>
      </x:c>
      <x:c r="M36" s="45"/>
      <x:c r="N36" s="45"/>
      <x:c r="O36" s="46"/>
      <x:c r="P36" s="2"/>
      <x:c r="Q36" s="4"/>
    </x:row>
    <x:row r="37" spans="1:20" x14ac:dyDescent="0.25">
      <x:c r="B37" s="2"/>
      <x:c r="C37" s="2"/>
      <x:c r="D37" s="24"/>
      <x:c r="Q37" s="4"/>
    </x:row>
    <x:row r="38" spans="1:20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5">
      <x:c r="N42" s="24"/>
      <x:c r="O42" s="24"/>
      <x:c r="Q42" s="24"/>
      <x:c r="T42" s="24"/>
    </x:row>
    <x:row r="43" spans="1:20" x14ac:dyDescent="0.25">
      <x:c r="N43" s="24"/>
      <x:c r="O43" s="24"/>
      <x:c r="Q43" s="24"/>
      <x:c r="T43" s="24"/>
    </x:row>
    <x:row r="44" spans="1:20" x14ac:dyDescent="0.25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5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5">
      <x:c r="N46" s="24"/>
      <x:c r="O46" s="24"/>
      <x:c r="Q46" s="24"/>
      <x:c r="T46" s="24"/>
    </x:row>
    <x:row r="47" spans="1:20" x14ac:dyDescent="0.25">
      <x:c r="N47" s="24"/>
      <x:c r="O47" s="24"/>
      <x:c r="Q47" s="24"/>
      <x:c r="T47" s="24"/>
    </x:row>
    <x:row r="48" spans="1:20" x14ac:dyDescent="0.25">
      <x:c r="N48" s="24"/>
      <x:c r="O48" s="24"/>
      <x:c r="Q48" s="24"/>
      <x:c r="T48" s="24"/>
    </x:row>
    <x:row r="49" spans="14:20" x14ac:dyDescent="0.25">
      <x:c r="N49" s="24"/>
      <x:c r="O49" s="24"/>
      <x:c r="Q49" s="24"/>
      <x:c r="T49" s="24"/>
    </x:row>
    <x:row r="50" spans="14:20" x14ac:dyDescent="0.25">
      <x:c r="N50" s="24"/>
      <x:c r="O50" s="24"/>
      <x:c r="Q50" s="24"/>
      <x:c r="T50" s="24"/>
    </x:row>
    <x:row r="51" spans="14:20" x14ac:dyDescent="0.25">
      <x:c r="Q51" s="24"/>
      <x:c r="T51" s="24"/>
    </x:row>
    <x:row r="52" spans="14:20" x14ac:dyDescent="0.25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95" zoomScaleNormal="100" workbookViewId="0">
      <x:selection activeCell="A95" sqref="A95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9" width="16" style="1" customWidth="1"/>
    <x:col min="10" max="10" width="15.54296875" style="1" customWidth="1"/>
    <x:col min="11" max="11" width="17.54296875" style="1" customWidth="1"/>
    <x:col min="12" max="12" width="17.81640625" style="1" customWidth="1"/>
    <x:col min="13" max="13" width="18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16384" width="11.453125" style="1"/>
  </x:cols>
  <x:sheetData>
    <x:row r="1" spans="1:35" ht="12" thickBot="1" x14ac:dyDescent="0.3">
      <x:c r="A1" s="241"/>
      <x:c r="Q1" s="4"/>
      <x:c r="AI1" s="4"/>
    </x:row>
    <x:row r="2" spans="1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5" x14ac:dyDescent="0.35">
      <x:c r="B6" s="8"/>
      <x:c r="C6" s="599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">
      <x:c r="B7" s="8"/>
      <x:c r="C7" s="599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226</x:v>
      </x:c>
      <x:c r="AF8" s="39" t="s">
        <x:v>23</x:v>
      </x:c>
      <x:c r="AG8" s="13"/>
      <x:c r="AI8" s="4"/>
    </x:row>
    <x:row r="9" spans="1:35" s="305" customFormat="1" x14ac:dyDescent="0.25">
      <x:c r="B9" s="303">
        <x:v>1</x:v>
      </x:c>
      <x:c r="C9" s="304" t="s">
        <x:v>10</x:v>
      </x:c>
      <x:c r="D9" s="291">
        <x:f>'Reporte Componentes R1'!F55</x:f>
        <x:v>0</x:v>
      </x:c>
      <x:c r="E9" s="292">
        <x:f>'Reporte Componentes R1'!G55</x:f>
        <x:v>0</x:v>
      </x:c>
      <x:c r="F9" s="292">
        <x:f>'Reporte Componentes R1'!H55</x:f>
        <x:v>0</x:v>
      </x:c>
      <x:c r="G9" s="292">
        <x:f>'Reporte Componentes R1'!I55</x:f>
        <x:v>0</x:v>
      </x:c>
      <x:c r="H9" s="292">
        <x:f>'Reporte Componentes R1'!J55</x:f>
        <x:v>0</x:v>
      </x:c>
      <x:c r="I9" s="292">
        <x:f>'Reporte Componentes R1'!K55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R1'!L55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R1'!M55</x:f>
        <x:v>0</x:v>
      </x:c>
      <x:c r="V9" s="308">
        <x:f>'Reporte Componentes R1'!N55</x:f>
        <x:v>0</x:v>
      </x:c>
      <x:c r="W9" s="308">
        <x:f>'Reporte Componentes R1'!O55</x:f>
        <x:v>0</x:v>
      </x:c>
      <x:c r="X9" s="308">
        <x:f>'Reporte Componentes R1'!P55</x:f>
        <x:v>0</x:v>
      </x:c>
      <x:c r="Y9" s="309">
        <x:f>'Reporte Componentes R1'!Q55</x:f>
        <x:v>0</x:v>
      </x:c>
      <x:c r="Z9" s="310">
        <x:f>L9*-1</x:f>
        <x:v>0</x:v>
      </x:c>
      <x:c r="AA9" s="311">
        <x:f>'Reporte Componentes R1'!R55+'Reporte Componentes R1'!V55+'Reporte Componentes R1'!U55</x:f>
        <x:v>0</x:v>
      </x:c>
      <x:c r="AB9" s="294">
        <x:f>N9</x:f>
        <x:v>0</x:v>
      </x:c>
      <x:c r="AC9" s="311">
        <x:f>'Reporte Componentes R1'!T55+'Reporte Componentes R1'!W55+'Reporte Componentes R1'!X55+'Reporte Componentes R1'!Y55+'Reporte Componentes R1'!Z55+'Reporte Componentes R1'!S55</x:f>
        <x:v>0</x:v>
      </x:c>
      <x:c r="AD9" s="291">
        <x:f>-J9+AE9</x:f>
        <x:v>0</x:v>
      </x:c>
      <x:c r="AE9" s="291">
        <x:f>'Reporte Componentes R1'!F56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5">
      <x:c r="B10" s="314">
        <x:v>2</x:v>
      </x:c>
      <x:c r="C10" s="315" t="s">
        <x:v>11</x:v>
      </x:c>
      <x:c r="D10" s="291">
        <x:f>'Reporte Componentes R1'!F199</x:f>
        <x:v>11411240</x:v>
      </x:c>
      <x:c r="E10" s="292">
        <x:f>'Reporte Componentes R1'!G199</x:f>
        <x:v>846445.31</x:v>
      </x:c>
      <x:c r="F10" s="292">
        <x:f>'Reporte Componentes R1'!H199</x:f>
        <x:v>456814.64</x:v>
      </x:c>
      <x:c r="G10" s="292">
        <x:f>'Reporte Componentes R1'!I199</x:f>
        <x:v>246633.46</x:v>
      </x:c>
      <x:c r="H10" s="292">
        <x:f>'Reporte Componentes R1'!J199</x:f>
        <x:v>3859157.96</x:v>
      </x:c>
      <x:c r="I10" s="292">
        <x:f>'Reporte Componentes R1'!K199</x:f>
        <x:v>125021.13</x:v>
      </x:c>
      <x:c r="J10" s="288">
        <x:v>0</x:v>
      </x:c>
      <x:c r="K10" s="295">
        <x:f t="shared" ref="K10:K13" si="0">D10-E10-F10-G10-H10-I10-J10</x:f>
        <x:v>5877167.4999999981</x:v>
      </x:c>
      <x:c r="L10" s="294">
        <x:v>0</x:v>
      </x:c>
      <x:c r="M10" s="295">
        <x:f>K10-L10</x:f>
        <x:v>5877167.4999999981</x:v>
      </x:c>
      <x:c r="N10" s="294">
        <x:f>'Reporte Componentes R1'!L199</x:f>
        <x:v>0</x:v>
      </x:c>
      <x:c r="O10" s="295">
        <x:f t="shared" ref="O10:O12" si="1">M10+N10</x:f>
        <x:v>5877167.4999999981</x:v>
      </x:c>
      <x:c r="Q10" s="306"/>
      <x:c r="S10" s="314">
        <x:v>2</x:v>
      </x:c>
      <x:c r="T10" s="315" t="s">
        <x:v>11</x:v>
      </x:c>
      <x:c r="U10" s="316">
        <x:f>'Reporte Componentes R1'!M199</x:f>
        <x:v>1101678.21</x:v>
      </x:c>
      <x:c r="V10" s="317">
        <x:f>'Reporte Componentes R1'!N199</x:f>
        <x:v>1198553.1100000001</x:v>
      </x:c>
      <x:c r="W10" s="317">
        <x:f>'Reporte Componentes R1'!O199</x:f>
        <x:v>5597648.7699999996</x:v>
      </x:c>
      <x:c r="X10" s="317">
        <x:f>'Reporte Componentes R1'!P199</x:f>
        <x:v>1666421.96</x:v>
      </x:c>
      <x:c r="Y10" s="318">
        <x:f>'Reporte Componentes R1'!Q199</x:f>
        <x:v>204886.65</x:v>
      </x:c>
      <x:c r="Z10" s="319">
        <x:f>L10*-1</x:f>
        <x:v>0</x:v>
      </x:c>
      <x:c r="AA10" s="320">
        <x:f>'Reporte Componentes R1'!R199+'Reporte Componentes R1'!V199+'Reporte Componentes R1'!U199</x:f>
        <x:v>72.06</x:v>
      </x:c>
      <x:c r="AB10" s="294">
        <x:f>N10</x:f>
        <x:v>0</x:v>
      </x:c>
      <x:c r="AC10" s="320">
        <x:f>'Reporte Componentes R1'!T199+'Reporte Componentes R1'!W199+'Reporte Componentes R1'!X199+'Reporte Componentes R1'!Y199+'Reporte Componentes R1'!Z199++'Reporte Componentes R1'!S199</x:f>
        <x:v>-7.0000000000000007E-2</x:v>
      </x:c>
      <x:c r="AD10" s="291">
        <x:f t="shared" ref="AD10:AD13" si="2">-J10+AE10</x:f>
        <x:v>-3892093.19</x:v>
      </x:c>
      <x:c r="AE10" s="291">
        <x:f>'Reporte Componentes R1'!F200</x:f>
        <x:v>-3892093.19</x:v>
      </x:c>
      <x:c r="AF10" s="322">
        <x:f>SUM(U10:AD10)</x:f>
        <x:v>5877167.5000000019</x:v>
      </x:c>
      <x:c r="AG10" s="522">
        <x:f>(AF10-O10)</x:f>
        <x:v>3.7252902984619141E-9</x:v>
      </x:c>
      <x:c r="AH10" s="1" t="b">
        <x:f t="shared" ref="AH10:AH14" si="3">INT(AG10)=0</x:f>
        <x:v>1</x:v>
      </x:c>
      <x:c r="AI10" s="306"/>
    </x:row>
    <x:row r="11" spans="1:35" s="305" customFormat="1" x14ac:dyDescent="0.25">
      <x:c r="B11" s="314">
        <x:v>3</x:v>
      </x:c>
      <x:c r="C11" s="315" t="s">
        <x:v>12</x:v>
      </x:c>
      <x:c r="D11" s="291">
        <x:f>'Reporte Componentes R1'!F330</x:f>
        <x:v>0</x:v>
      </x:c>
      <x:c r="E11" s="292">
        <x:f>'Reporte Componentes R1'!G330</x:f>
        <x:v>0</x:v>
      </x:c>
      <x:c r="F11" s="292">
        <x:f>'Reporte Componentes R1'!H330</x:f>
        <x:v>0</x:v>
      </x:c>
      <x:c r="G11" s="292">
        <x:f>'Reporte Componentes R1'!I330</x:f>
        <x:v>0</x:v>
      </x:c>
      <x:c r="H11" s="292">
        <x:f>'Reporte Componentes R1'!J330</x:f>
        <x:v>0</x:v>
      </x:c>
      <x:c r="I11" s="292">
        <x:f>'Reporte Componentes R1'!K330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R1'!L330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R1'!M330</x:f>
        <x:v>0</x:v>
      </x:c>
      <x:c r="V11" s="317">
        <x:f>'Reporte Componentes R1'!N330</x:f>
        <x:v>0</x:v>
      </x:c>
      <x:c r="W11" s="317">
        <x:f>'Reporte Componentes R1'!O330</x:f>
        <x:v>0</x:v>
      </x:c>
      <x:c r="X11" s="317">
        <x:f>'Reporte Componentes R1'!P330</x:f>
        <x:v>0</x:v>
      </x:c>
      <x:c r="Y11" s="318">
        <x:f>'Reporte Componentes R1'!Q330</x:f>
        <x:v>0</x:v>
      </x:c>
      <x:c r="Z11" s="319">
        <x:f>L11*-1</x:f>
        <x:v>0</x:v>
      </x:c>
      <x:c r="AA11" s="320">
        <x:f>'Reporte Componentes R1'!R330+'Reporte Componentes R1'!V330+'Reporte Componentes R1'!U330</x:f>
        <x:v>0</x:v>
      </x:c>
      <x:c r="AB11" s="294">
        <x:f>N11</x:f>
        <x:v>0</x:v>
      </x:c>
      <x:c r="AC11" s="320">
        <x:f>'Reporte Componentes R1'!T330+'Reporte Componentes R1'!W330+'Reporte Componentes R1'!X330+'Reporte Componentes R1'!Y330+'Reporte Componentes R1'!Z330++'Reporte Componentes R1'!S330</x:f>
        <x:v>0</x:v>
      </x:c>
      <x:c r="AD11" s="291">
        <x:f t="shared" si="2"/>
        <x:v>0</x:v>
      </x:c>
      <x:c r="AE11" s="291">
        <x:f>'Reporte Componentes R1'!F331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5">
      <x:c r="B12" s="314">
        <x:v>4</x:v>
      </x:c>
      <x:c r="C12" s="315" t="s">
        <x:v>13</x:v>
      </x:c>
      <x:c r="D12" s="291">
        <x:f>'Reporte Componentes R1'!F461</x:f>
        <x:v>5616850</x:v>
      </x:c>
      <x:c r="E12" s="292">
        <x:f>'Reporte Componentes R1'!G461</x:f>
        <x:v>348026.22</x:v>
      </x:c>
      <x:c r="F12" s="292">
        <x:f>'Reporte Componentes R1'!H461</x:f>
        <x:v>182658.96</x:v>
      </x:c>
      <x:c r="G12" s="292">
        <x:f>'Reporte Componentes R1'!I461</x:f>
        <x:v>98773.43</x:v>
      </x:c>
      <x:c r="H12" s="292">
        <x:f>'Reporte Componentes R1'!J461</x:f>
        <x:v>1121911.54</x:v>
      </x:c>
      <x:c r="I12" s="292">
        <x:f>'Reporte Componentes R1'!K461</x:f>
        <x:v>39196.07</x:v>
      </x:c>
      <x:c r="J12" s="288">
        <x:v>0</x:v>
      </x:c>
      <x:c r="K12" s="295">
        <x:f t="shared" si="0"/>
        <x:v>3826283.7800000007</x:v>
      </x:c>
      <x:c r="L12" s="294">
        <x:v>0</x:v>
      </x:c>
      <x:c r="M12" s="295">
        <x:f>K12-L12</x:f>
        <x:v>3826283.7800000007</x:v>
      </x:c>
      <x:c r="N12" s="294">
        <x:f>'Reporte Componentes R1'!L461</x:f>
        <x:v>0</x:v>
      </x:c>
      <x:c r="O12" s="295">
        <x:f t="shared" si="1"/>
        <x:v>3826283.7800000007</x:v>
      </x:c>
      <x:c r="Q12" s="306"/>
      <x:c r="S12" s="314">
        <x:v>4</x:v>
      </x:c>
      <x:c r="T12" s="315" t="s">
        <x:v>13</x:v>
      </x:c>
      <x:c r="U12" s="316">
        <x:f>'Reporte Componentes R1'!M461</x:f>
        <x:v>344054.1</x:v>
      </x:c>
      <x:c r="V12" s="317">
        <x:f>'Reporte Componentes R1'!N461</x:f>
        <x:v>366770.81</x:v>
      </x:c>
      <x:c r="W12" s="317">
        <x:f>'Reporte Componentes R1'!O461</x:f>
        <x:v>1860672.37</x:v>
      </x:c>
      <x:c r="X12" s="317">
        <x:f>'Reporte Componentes R1'!P461</x:f>
        <x:v>927916.55</x:v>
      </x:c>
      <x:c r="Y12" s="318">
        <x:f>'Reporte Componentes R1'!Q461</x:f>
        <x:v>64006.76</x:v>
      </x:c>
      <x:c r="Z12" s="319">
        <x:f>L12*-1</x:f>
        <x:v>0</x:v>
      </x:c>
      <x:c r="AA12" s="320">
        <x:f>'Reporte Componentes R1'!R461+'Reporte Componentes R1'!V461+'Reporte Componentes R1'!U461</x:f>
        <x:v>-38.130000000000003</x:v>
      </x:c>
      <x:c r="AB12" s="294">
        <x:f>N12</x:f>
        <x:v>0</x:v>
      </x:c>
      <x:c r="AC12" s="320">
        <x:f>'Reporte Componentes R1'!T461+'Reporte Componentes R1'!W461+'Reporte Componentes R1'!X461+'Reporte Componentes R1'!Y461+'Reporte Componentes R1'!Z461++'Reporte Componentes R1'!S461</x:f>
        <x:v>0</x:v>
      </x:c>
      <x:c r="AD12" s="291">
        <x:f t="shared" si="2"/>
        <x:v>262901.32</x:v>
      </x:c>
      <x:c r="AE12" s="291">
        <x:f>'Reporte Componentes R1'!F462</x:f>
        <x:v>262901.32</x:v>
      </x:c>
      <x:c r="AF12" s="322">
        <x:f t="shared" si="4"/>
        <x:v>3826283.78</x:v>
      </x:c>
      <x:c r="AG12" s="522">
        <x:f>(AF12-O12)</x:f>
        <x:v>-9.3132257461547852E-10</x:v>
      </x:c>
      <x:c r="AH12" s="1" t="b">
        <x:f t="shared" si="3"/>
        <x:v>0</x:v>
      </x:c>
      <x:c r="AI12" s="306"/>
    </x:row>
    <x:row r="13" spans="1:35" s="305" customFormat="1" ht="12" thickBot="1" x14ac:dyDescent="0.3">
      <x:c r="B13" s="324">
        <x:v>5</x:v>
      </x:c>
      <x:c r="C13" s="325" t="s">
        <x:v>14</x:v>
      </x:c>
      <x:c r="D13" s="296">
        <x:f>'Reporte Componentes R1'!F559</x:f>
        <x:v>0</x:v>
      </x:c>
      <x:c r="E13" s="297">
        <x:f>'Reporte Componentes R1'!G559</x:f>
        <x:v>0</x:v>
      </x:c>
      <x:c r="F13" s="297">
        <x:f>'Reporte Componentes R1'!H559</x:f>
        <x:v>0</x:v>
      </x:c>
      <x:c r="G13" s="297">
        <x:f>'Reporte Componentes R1'!I559</x:f>
        <x:v>0</x:v>
      </x:c>
      <x:c r="H13" s="297">
        <x:f>'Reporte Componentes R1'!J559</x:f>
        <x:v>0</x:v>
      </x:c>
      <x:c r="I13" s="297">
        <x:f>'Reporte Componentes R1'!K559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R1'!L559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R1'!M559</x:f>
        <x:v>0</x:v>
      </x:c>
      <x:c r="V13" s="297">
        <x:f>'Reporte Componentes R1'!N559</x:f>
        <x:v>0</x:v>
      </x:c>
      <x:c r="W13" s="297">
        <x:f>'Reporte Componentes R1'!O559</x:f>
        <x:v>0</x:v>
      </x:c>
      <x:c r="X13" s="297">
        <x:f>'Reporte Componentes R1'!P559</x:f>
        <x:v>0</x:v>
      </x:c>
      <x:c r="Y13" s="289">
        <x:f>'Reporte Componentes R1'!Q559</x:f>
        <x:v>0</x:v>
      </x:c>
      <x:c r="Z13" s="319">
        <x:f>L13*-1</x:f>
        <x:v>0</x:v>
      </x:c>
      <x:c r="AA13" s="320">
        <x:f>'Reporte Componentes R1'!R559+'Reporte Componentes R1'!V559+'Reporte Componentes R1'!U559</x:f>
        <x:v>0</x:v>
      </x:c>
      <x:c r="AB13" s="294">
        <x:f>N13</x:f>
        <x:v>0</x:v>
      </x:c>
      <x:c r="AC13" s="320">
        <x:f>'Reporte Componentes R1'!T559+'Reporte Componentes R1'!W559+'Reporte Componentes R1'!X559+'Reporte Componentes R1'!Y559+'Reporte Componentes R1'!Z559+'Reporte Componentes R1'!S559</x:f>
        <x:v>0</x:v>
      </x:c>
      <x:c r="AD13" s="291">
        <x:f t="shared" si="2"/>
        <x:v>0</x:v>
      </x:c>
      <x:c r="AE13" s="291">
        <x:f>'Reporte Componentes R1'!F560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35">
      <x:c r="B14" s="327"/>
      <x:c r="C14" s="328" t="s">
        <x:v>2</x:v>
      </x:c>
      <x:c r="D14" s="290">
        <x:f>SUM(D9:D13)</x:f>
        <x:v>17028090</x:v>
      </x:c>
      <x:c r="E14" s="290">
        <x:f t="shared" ref="E14:O14" si="5">SUM(E9:E13)</x:f>
        <x:v>1194471.53</x:v>
      </x:c>
      <x:c r="F14" s="290">
        <x:f t="shared" si="5"/>
        <x:v>639473.6</x:v>
      </x:c>
      <x:c r="G14" s="290">
        <x:f t="shared" si="5"/>
        <x:v>345406.89</x:v>
      </x:c>
      <x:c r="H14" s="290">
        <x:f t="shared" si="5"/>
        <x:v>4981069.5</x:v>
      </x:c>
      <x:c r="I14" s="290">
        <x:f t="shared" si="5"/>
        <x:v>164217.20000000001</x:v>
      </x:c>
      <x:c r="J14" s="290">
        <x:f t="shared" si="5"/>
        <x:v>0</x:v>
      </x:c>
      <x:c r="K14" s="300">
        <x:f t="shared" si="5"/>
        <x:v>9703451.2799999993</x:v>
      </x:c>
      <x:c r="L14" s="301">
        <x:f>SUM(L9:L13)</x:f>
        <x:v>0</x:v>
      </x:c>
      <x:c r="M14" s="302">
        <x:f t="shared" si="5"/>
        <x:v>9703451.2799999993</x:v>
      </x:c>
      <x:c r="N14" s="301">
        <x:f t="shared" si="5"/>
        <x:v>0</x:v>
      </x:c>
      <x:c r="O14" s="302">
        <x:f t="shared" si="5"/>
        <x:v>9703451.2799999993</x:v>
      </x:c>
      <x:c r="P14" s="329"/>
      <x:c r="Q14" s="306"/>
      <x:c r="S14" s="327"/>
      <x:c r="T14" s="328" t="s">
        <x:v>2</x:v>
      </x:c>
      <x:c r="U14" s="330">
        <x:f>SUM(U9:U13)</x:f>
        <x:v>1445732.31</x:v>
      </x:c>
      <x:c r="V14" s="330">
        <x:f t="shared" ref="V14:AF14" si="6">SUM(V9:V13)</x:f>
        <x:v>1565323.9200000002</x:v>
      </x:c>
      <x:c r="W14" s="330">
        <x:f t="shared" si="6"/>
        <x:v>7458321.1399999997</x:v>
      </x:c>
      <x:c r="X14" s="330">
        <x:f t="shared" si="6"/>
        <x:v>2594338.5099999998</x:v>
      </x:c>
      <x:c r="Y14" s="330">
        <x:f t="shared" si="6"/>
        <x:v>268893.40999999997</x:v>
      </x:c>
      <x:c r="Z14" s="290">
        <x:f t="shared" si="6"/>
        <x:v>0</x:v>
      </x:c>
      <x:c r="AA14" s="290">
        <x:f t="shared" si="6"/>
        <x:v>33.93</x:v>
      </x:c>
      <x:c r="AB14" s="290">
        <x:f t="shared" si="6"/>
        <x:v>0</x:v>
      </x:c>
      <x:c r="AC14" s="290">
        <x:f t="shared" si="6"/>
        <x:v>-7.0000000000000007E-2</x:v>
      </x:c>
      <x:c r="AD14" s="290">
        <x:f>SUM(AD9:AD13)</x:f>
        <x:v>-3629191.87</x:v>
      </x:c>
      <x:c r="AE14" s="290">
        <x:f>SUM(AE9:AE13)</x:f>
        <x:v>-3629191.87</x:v>
      </x:c>
      <x:c r="AF14" s="331">
        <x:f t="shared" si="6"/>
        <x:v>9703451.2800000012</x:v>
      </x:c>
      <x:c r="AG14" s="524">
        <x:f>SUM(AG9:AG13)</x:f>
        <x:v>2.7939677238464355E-9</x:v>
      </x:c>
      <x:c r="AH14" s="1" t="b">
        <x:f t="shared" si="3"/>
        <x:v>1</x:v>
      </x:c>
      <x:c r="AI14" s="306"/>
    </x:row>
    <x:row r="15" spans="1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13332609.290000001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">
      <x:c r="Q20" s="4"/>
      <x:c r="AI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5" x14ac:dyDescent="0.35">
      <x:c r="B25" s="8"/>
      <x:c r="C25" s="599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">
      <x:c r="B26" s="8"/>
      <x:c r="C26" s="599" t="s">
        <x:v>0</x:v>
      </x:c>
      <x:c r="D26" s="241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226</x:v>
      </x:c>
      <x:c r="AF27" s="39" t="s">
        <x:v>23</x:v>
      </x:c>
      <x:c r="AG27" s="13"/>
      <x:c r="AI27" s="4"/>
    </x:row>
    <x:row r="28" spans="1:35" s="305" customFormat="1" x14ac:dyDescent="0.25">
      <x:c r="B28" s="303">
        <x:v>1</x:v>
      </x:c>
      <x:c r="C28" s="304" t="s">
        <x:v>10</x:v>
      </x:c>
      <x:c r="D28" s="291">
        <x:f>'Rem. Anticipos R2'!E46</x:f>
        <x:v>0</x:v>
      </x:c>
      <x:c r="E28" s="292">
        <x:f>'Rem. Anticipos R2'!F46</x:f>
        <x:v>0</x:v>
      </x:c>
      <x:c r="F28" s="292">
        <x:f>'Rem. Anticipos R2'!G46</x:f>
        <x:v>0</x:v>
      </x:c>
      <x:c r="G28" s="292">
        <x:f>'Rem. Anticipos R2'!H46</x:f>
        <x:v>0</x:v>
      </x:c>
      <x:c r="H28" s="292">
        <x:f>'Rem. Anticipos R2'!I46</x:f>
        <x:v>0</x:v>
      </x:c>
      <x:c r="I28" s="292">
        <x:f>'Rem. Anticipos R2'!J46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R2'!L46</x:f>
        <x:v>0</x:v>
      </x:c>
      <x:c r="V28" s="308">
        <x:f>'Rem. Anticipos R2'!M46</x:f>
        <x:v>0</x:v>
      </x:c>
      <x:c r="W28" s="308">
        <x:f>'Rem. Anticipos R2'!N46</x:f>
        <x:v>0</x:v>
      </x:c>
      <x:c r="X28" s="308">
        <x:f>'Rem. Anticipos R2'!O46</x:f>
        <x:v>0</x:v>
      </x:c>
      <x:c r="Y28" s="309">
        <x:f>'Rem. Anticipos R2'!P46</x:f>
        <x:v>0</x:v>
      </x:c>
      <x:c r="Z28" s="310">
        <x:f>L28*-1</x:f>
        <x:v>0</x:v>
      </x:c>
      <x:c r="AA28" s="311">
        <x:f>'Rem. Anticipos R2'!Q46</x:f>
        <x:v>0</x:v>
      </x:c>
      <x:c r="AB28" s="294">
        <x:f>N28</x:f>
        <x:v>0</x:v>
      </x:c>
      <x:c r="AC28" s="311">
        <x:f>'Rem. Anticipos R2'!R46</x:f>
        <x:v>0</x:v>
      </x:c>
      <x:c r="AD28" s="291">
        <x:f>-J28+AE28</x:f>
        <x:v>0</x:v>
      </x:c>
      <x:c r="AE28" s="291">
        <x:f>'Rem. Anticipos R2'!E47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5">
      <x:c r="B29" s="314">
        <x:v>2</x:v>
      </x:c>
      <x:c r="C29" s="315" t="s">
        <x:v>11</x:v>
      </x:c>
      <x:c r="D29" s="291">
        <x:f>'Rem. Anticipos R2'!E142</x:f>
        <x:v>35414329.289999992</x:v>
      </x:c>
      <x:c r="E29" s="292">
        <x:f>'Rem. Anticipos R2'!F142</x:f>
        <x:v>3216777.59</x:v>
      </x:c>
      <x:c r="F29" s="292">
        <x:f>'Rem. Anticipos R2'!G142</x:f>
        <x:v>1799399.45</x:v>
      </x:c>
      <x:c r="G29" s="292">
        <x:f>'Rem. Anticipos R2'!H142</x:f>
        <x:v>773125.81</x:v>
      </x:c>
      <x:c r="H29" s="292">
        <x:f>'Rem. Anticipos R2'!I142</x:f>
        <x:v>14315915.6</x:v>
      </x:c>
      <x:c r="I29" s="292">
        <x:f>'Rem. Anticipos R2'!J142</x:f>
        <x:v>406510.66</x:v>
      </x:c>
      <x:c r="J29" s="288">
        <x:v>0</x:v>
      </x:c>
      <x:c r="K29" s="295">
        <x:f t="shared" ref="K29:K31" si="7">D29-E29-F29-G29-H29-I29-J29</x:f>
        <x:v>14902600.179999994</x:v>
      </x:c>
      <x:c r="L29" s="294">
        <x:v>0</x:v>
      </x:c>
      <x:c r="M29" s="295">
        <x:f>K29-L29</x:f>
        <x:v>14902600.179999994</x:v>
      </x:c>
      <x:c r="N29" s="294">
        <x:f>'Rem. Anticipos R2'!K142</x:f>
        <x:v>0</x:v>
      </x:c>
      <x:c r="O29" s="295">
        <x:f t="shared" ref="O29:O32" si="8">M29+N29</x:f>
        <x:v>14902600.179999994</x:v>
      </x:c>
      <x:c r="Q29" s="306"/>
      <x:c r="S29" s="314">
        <x:v>2</x:v>
      </x:c>
      <x:c r="T29" s="315" t="s">
        <x:v>11</x:v>
      </x:c>
      <x:c r="U29" s="316">
        <x:f>'Rem. Anticipos R2'!L142</x:f>
        <x:v>3668619.83</x:v>
      </x:c>
      <x:c r="V29" s="317">
        <x:f>'Rem. Anticipos R2'!M142</x:f>
        <x:v>4175302.62</x:v>
      </x:c>
      <x:c r="W29" s="317">
        <x:f>'Rem. Anticipos R2'!N142</x:f>
        <x:v>14329479.369999999</x:v>
      </x:c>
      <x:c r="X29" s="317">
        <x:f>'Rem. Anticipos R2'!O142</x:f>
        <x:v>9282610.9499999993</x:v>
      </x:c>
      <x:c r="Y29" s="318">
        <x:f>'Rem. Anticipos R2'!P142</x:f>
        <x:v>502138.48</x:v>
      </x:c>
      <x:c r="Z29" s="319">
        <x:f>L29*-1</x:f>
        <x:v>0</x:v>
      </x:c>
      <x:c r="AA29" s="320">
        <x:f>'Rem. Anticipos R2'!Q142</x:f>
        <x:v>-28.95</x:v>
      </x:c>
      <x:c r="AB29" s="294">
        <x:f>N29</x:f>
        <x:v>0</x:v>
      </x:c>
      <x:c r="AC29" s="320">
        <x:f>'Rem. Anticipos R2'!R142</x:f>
        <x:v>0</x:v>
      </x:c>
      <x:c r="AD29" s="291">
        <x:f>-J29+AE29</x:f>
        <x:v>-17055522.120000001</x:v>
      </x:c>
      <x:c r="AE29" s="291">
        <x:f>'Rem. Anticipos R2'!E143</x:f>
        <x:v>-17055522.120000001</x:v>
      </x:c>
      <x:c r="AF29" s="322">
        <x:f>SUM(U29:AD29)</x:f>
        <x:v>14902600.18</x:v>
      </x:c>
      <x:c r="AG29" s="522">
        <x:f>(AF29-O29)</x:f>
        <x:v>5.5879354476928711E-9</x:v>
      </x:c>
      <x:c r="AH29" s="1" t="b">
        <x:f t="shared" ref="AH29:AH33" si="9">INT(AG29)=0</x:f>
        <x:v>1</x:v>
      </x:c>
      <x:c r="AI29" s="306"/>
    </x:row>
    <x:row r="30" spans="1:35" s="305" customFormat="1" x14ac:dyDescent="0.25">
      <x:c r="B30" s="314">
        <x:v>3</x:v>
      </x:c>
      <x:c r="C30" s="315" t="s">
        <x:v>12</x:v>
      </x:c>
      <x:c r="D30" s="291">
        <x:f>'Rem. Anticipos R2'!E259</x:f>
        <x:v>0</x:v>
      </x:c>
      <x:c r="E30" s="292">
        <x:f>'Rem. Anticipos R2'!F259</x:f>
        <x:v>0</x:v>
      </x:c>
      <x:c r="F30" s="292">
        <x:f>'Rem. Anticipos R2'!G259</x:f>
        <x:v>0</x:v>
      </x:c>
      <x:c r="G30" s="292">
        <x:f>'Rem. Anticipos R2'!H259</x:f>
        <x:v>0</x:v>
      </x:c>
      <x:c r="H30" s="292">
        <x:f>'Rem. Anticipos R2'!I259</x:f>
        <x:v>0</x:v>
      </x:c>
      <x:c r="I30" s="292">
        <x:f>'Rem. Anticipos R2'!J259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R2'!K259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R2'!L259</x:f>
        <x:v>0</x:v>
      </x:c>
      <x:c r="V30" s="317">
        <x:f>'Rem. Anticipos R2'!M259</x:f>
        <x:v>0</x:v>
      </x:c>
      <x:c r="W30" s="317">
        <x:f>'Rem. Anticipos R2'!N259</x:f>
        <x:v>0</x:v>
      </x:c>
      <x:c r="X30" s="317">
        <x:f>'Rem. Anticipos R2'!O259</x:f>
        <x:v>0</x:v>
      </x:c>
      <x:c r="Y30" s="318">
        <x:f>'Rem. Anticipos R2'!P259</x:f>
        <x:v>0</x:v>
      </x:c>
      <x:c r="Z30" s="319">
        <x:f>L30*-1</x:f>
        <x:v>0</x:v>
      </x:c>
      <x:c r="AA30" s="320">
        <x:f>'Rem. Anticipos R2'!Q259</x:f>
        <x:v>0</x:v>
      </x:c>
      <x:c r="AB30" s="294">
        <x:f>N30</x:f>
        <x:v>0</x:v>
      </x:c>
      <x:c r="AC30" s="320">
        <x:f>'Rem. Anticipos R2'!R259</x:f>
        <x:v>0</x:v>
      </x:c>
      <x:c r="AD30" s="291">
        <x:f t="shared" ref="AD30:AD32" si="10">-J30+AE30</x:f>
        <x:v>0</x:v>
      </x:c>
      <x:c r="AE30" s="291">
        <x:f>'Rem. Anticipos R2'!E260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5">
      <x:c r="B31" s="314">
        <x:v>4</x:v>
      </x:c>
      <x:c r="C31" s="315" t="s">
        <x:v>13</x:v>
      </x:c>
      <x:c r="D31" s="291">
        <x:f>'Rem. Anticipos R2'!E361</x:f>
        <x:v>66508368.82</x:v>
      </x:c>
      <x:c r="E31" s="292">
        <x:f>'Rem. Anticipos R2'!F361</x:f>
        <x:v>9041231.2599999998</x:v>
      </x:c>
      <x:c r="F31" s="292">
        <x:f>'Rem. Anticipos R2'!G361</x:f>
        <x:v>5072388.55</x:v>
      </x:c>
      <x:c r="G31" s="292">
        <x:f>'Rem. Anticipos R2'!H361</x:f>
        <x:v>1011597.42</x:v>
      </x:c>
      <x:c r="H31" s="292">
        <x:f>'Rem. Anticipos R2'!I361</x:f>
        <x:v>7983360.1600000001</x:v>
      </x:c>
      <x:c r="I31" s="292">
        <x:f>'Rem. Anticipos R2'!J361</x:f>
        <x:v>230579.94</x:v>
      </x:c>
      <x:c r="J31" s="288">
        <x:v>0</x:v>
      </x:c>
      <x:c r="K31" s="295">
        <x:f t="shared" si="7"/>
        <x:v>43169211.49000001</x:v>
      </x:c>
      <x:c r="L31" s="294">
        <x:v>0</x:v>
      </x:c>
      <x:c r="M31" s="295">
        <x:f>K31-L31</x:f>
        <x:v>43169211.49000001</x:v>
      </x:c>
      <x:c r="N31" s="294">
        <x:f>'Rem. Anticipos R2'!K361</x:f>
        <x:v>0</x:v>
      </x:c>
      <x:c r="O31" s="295">
        <x:f t="shared" si="8"/>
        <x:v>43169211.49000001</x:v>
      </x:c>
      <x:c r="Q31" s="306"/>
      <x:c r="S31" s="314">
        <x:v>4</x:v>
      </x:c>
      <x:c r="T31" s="315" t="s">
        <x:v>13</x:v>
      </x:c>
      <x:c r="U31" s="316">
        <x:f>'Rem. Anticipos R2'!L361</x:f>
        <x:v>2199940.9</x:v>
      </x:c>
      <x:c r="V31" s="317">
        <x:f>'Rem. Anticipos R2'!M361</x:f>
        <x:v>2412632.5099999998</x:v>
      </x:c>
      <x:c r="W31" s="317">
        <x:f>'Rem. Anticipos R2'!N361</x:f>
        <x:v>10659886.970000001</x:v>
      </x:c>
      <x:c r="X31" s="317">
        <x:f>'Rem. Anticipos R2'!O361</x:f>
        <x:v>24512256.039999999</x:v>
      </x:c>
      <x:c r="Y31" s="318">
        <x:f>'Rem. Anticipos R2'!P361</x:f>
        <x:v>336993.11</x:v>
      </x:c>
      <x:c r="Z31" s="319">
        <x:f>L31*-1</x:f>
        <x:v>0</x:v>
      </x:c>
      <x:c r="AA31" s="320">
        <x:f>'Rem. Anticipos R2'!Q361</x:f>
        <x:v>84.56</x:v>
      </x:c>
      <x:c r="AB31" s="294">
        <x:f>N31</x:f>
        <x:v>0</x:v>
      </x:c>
      <x:c r="AC31" s="320">
        <x:f>'Rem. Anticipos R2'!R361</x:f>
        <x:v>0</x:v>
      </x:c>
      <x:c r="AD31" s="291">
        <x:f t="shared" si="10"/>
        <x:v>3047417.4</x:v>
      </x:c>
      <x:c r="AE31" s="291">
        <x:f>'Rem. Anticipos R2'!E362</x:f>
        <x:v>3047417.4</x:v>
      </x:c>
      <x:c r="AF31" s="322">
        <x:f>SUM(U31:AD31)</x:f>
        <x:v>43169211.490000002</x:v>
      </x:c>
      <x:c r="AG31" s="522">
        <x:f t="shared" si="11"/>
        <x:v>-7.4505805969238281E-9</x:v>
      </x:c>
      <x:c r="AH31" s="1" t="b">
        <x:f t="shared" si="9"/>
        <x:v>0</x:v>
      </x:c>
      <x:c r="AI31" s="306"/>
    </x:row>
    <x:row r="32" spans="1:35" s="305" customFormat="1" ht="12" thickBot="1" x14ac:dyDescent="0.3">
      <x:c r="B32" s="324">
        <x:v>5</x:v>
      </x:c>
      <x:c r="C32" s="325" t="s">
        <x:v>14</x:v>
      </x:c>
      <x:c r="D32" s="296">
        <x:f>'Rem. Anticipos R2'!E441</x:f>
        <x:v>0</x:v>
      </x:c>
      <x:c r="E32" s="297">
        <x:f>'Rem. Anticipos R2'!F441</x:f>
        <x:v>0</x:v>
      </x:c>
      <x:c r="F32" s="297">
        <x:f>'Rem. Anticipos R2'!G441</x:f>
        <x:v>0</x:v>
      </x:c>
      <x:c r="G32" s="297">
        <x:f>'Rem. Anticipos R2'!H441</x:f>
        <x:v>0</x:v>
      </x:c>
      <x:c r="H32" s="297">
        <x:f>'Rem. Anticipos R2'!I441</x:f>
        <x:v>0</x:v>
      </x:c>
      <x:c r="I32" s="297">
        <x:f>'Rem. Anticipos R2'!J441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R2'!K441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R2'!L441</x:f>
        <x:v>0</x:v>
      </x:c>
      <x:c r="V32" s="297">
        <x:f>'Rem. Anticipos R2'!M441</x:f>
        <x:v>0</x:v>
      </x:c>
      <x:c r="W32" s="297">
        <x:f>'Rem. Anticipos R2'!N441</x:f>
        <x:v>0</x:v>
      </x:c>
      <x:c r="X32" s="297">
        <x:f>'Rem. Anticipos R2'!O441</x:f>
        <x:v>0</x:v>
      </x:c>
      <x:c r="Y32" s="289">
        <x:f>'Rem. Anticipos R2'!P441</x:f>
        <x:v>0</x:v>
      </x:c>
      <x:c r="Z32" s="319">
        <x:f>L32*-1</x:f>
        <x:v>0</x:v>
      </x:c>
      <x:c r="AA32" s="320">
        <x:f>'Rem. Anticipos R2'!Q441</x:f>
        <x:v>0</x:v>
      </x:c>
      <x:c r="AB32" s="294">
        <x:f>N32</x:f>
        <x:v>0</x:v>
      </x:c>
      <x:c r="AC32" s="320">
        <x:f>'Rem. Anticipos R2'!R441</x:f>
        <x:v>0</x:v>
      </x:c>
      <x:c r="AD32" s="291">
        <x:f t="shared" si="10"/>
        <x:v>0</x:v>
      </x:c>
      <x:c r="AE32" s="291">
        <x:f>'Rem. Anticipos R2'!E442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35">
      <x:c r="B33" s="327"/>
      <x:c r="C33" s="328" t="s">
        <x:v>2</x:v>
      </x:c>
      <x:c r="D33" s="290">
        <x:f>SUM(D28:D32)</x:f>
        <x:v>101922698.10999998</x:v>
      </x:c>
      <x:c r="E33" s="290">
        <x:f>SUM(E28:E32)</x:f>
        <x:v>12258008.85</x:v>
      </x:c>
      <x:c r="F33" s="290">
        <x:f t="shared" ref="F33:O33" si="12">SUM(F28:F32)</x:f>
        <x:v>6871788</x:v>
      </x:c>
      <x:c r="G33" s="290">
        <x:f t="shared" si="12"/>
        <x:v>1784723.23</x:v>
      </x:c>
      <x:c r="H33" s="290">
        <x:f t="shared" si="12"/>
        <x:v>22299275.759999998</x:v>
      </x:c>
      <x:c r="I33" s="290">
        <x:f t="shared" si="12"/>
        <x:v>637090.6</x:v>
      </x:c>
      <x:c r="J33" s="290">
        <x:f t="shared" si="12"/>
        <x:v>0</x:v>
      </x:c>
      <x:c r="K33" s="300">
        <x:f t="shared" si="12"/>
        <x:v>58071811.670000002</x:v>
      </x:c>
      <x:c r="L33" s="301">
        <x:f t="shared" si="12"/>
        <x:v>0</x:v>
      </x:c>
      <x:c r="M33" s="302">
        <x:f t="shared" si="12"/>
        <x:v>58071811.670000002</x:v>
      </x:c>
      <x:c r="N33" s="301">
        <x:f t="shared" si="12"/>
        <x:v>0</x:v>
      </x:c>
      <x:c r="O33" s="302">
        <x:f t="shared" si="12"/>
        <x:v>58071811.670000002</x:v>
      </x:c>
      <x:c r="P33" s="329"/>
      <x:c r="Q33" s="306"/>
      <x:c r="S33" s="327"/>
      <x:c r="T33" s="328" t="s">
        <x:v>2</x:v>
      </x:c>
      <x:c r="U33" s="330">
        <x:f>SUM(U28:U32)</x:f>
        <x:v>5868560.7300000004</x:v>
      </x:c>
      <x:c r="V33" s="330">
        <x:f t="shared" ref="V33:AG33" si="13">SUM(V28:V32)</x:f>
        <x:v>6587935.1299999999</x:v>
      </x:c>
      <x:c r="W33" s="330">
        <x:f t="shared" si="13"/>
        <x:v>24989366.34</x:v>
      </x:c>
      <x:c r="X33" s="330">
        <x:f t="shared" si="13"/>
        <x:v>33794866.989999995</x:v>
      </x:c>
      <x:c r="Y33" s="330">
        <x:f t="shared" si="13"/>
        <x:v>839131.59</x:v>
      </x:c>
      <x:c r="Z33" s="290">
        <x:f t="shared" si="13"/>
        <x:v>0</x:v>
      </x:c>
      <x:c r="AA33" s="290">
        <x:f t="shared" si="13"/>
        <x:v>55.61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-14008104.720000001</x:v>
      </x:c>
      <x:c r="AE33" s="290">
        <x:f>SUM(AE28:AE32)</x:f>
        <x:v>-14008104.720000001</x:v>
      </x:c>
      <x:c r="AF33" s="331">
        <x:f t="shared" si="13"/>
        <x:v>58071811.670000002</x:v>
      </x:c>
      <x:c r="AG33" s="524">
        <x:f t="shared" si="13"/>
        <x:v>-1.862645149230957E-9</x:v>
      </x:c>
      <x:c r="AH33" s="1" t="b">
        <x:f t="shared" si="9"/>
        <x:v>0</x:v>
      </x:c>
      <x:c r="AI33" s="306"/>
    </x:row>
    <x:row r="34" spans="1:35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72079860.780000001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">
      <x:c r="Q39" s="4"/>
      <x:c r="AI39" s="4"/>
    </x:row>
    <x:row r="40" spans="1:35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5" x14ac:dyDescent="0.35">
      <x:c r="B44" s="8"/>
      <x:c r="C44" s="599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">
      <x:c r="B45" s="8"/>
      <x:c r="C45" s="599" t="s">
        <x:v>0</x:v>
      </x:c>
      <x:c r="D45" s="241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226</x:v>
      </x:c>
      <x:c r="AF46" s="39" t="s">
        <x:v>23</x:v>
      </x:c>
      <x:c r="AG46" s="13"/>
      <x:c r="AI46" s="4"/>
    </x:row>
    <x:row r="47" spans="1:35" s="305" customFormat="1" x14ac:dyDescent="0.25">
      <x:c r="B47" s="303">
        <x:v>1</x:v>
      </x:c>
      <x:c r="C47" s="304" t="s">
        <x:v>10</x:v>
      </x:c>
      <x:c r="D47" s="291">
        <x:f>'Reporte Componentes R1'!F57</x:f>
        <x:v>0</x:v>
      </x:c>
      <x:c r="E47" s="292">
        <x:f>'Reporte Componentes R1'!G57</x:f>
        <x:v>0</x:v>
      </x:c>
      <x:c r="F47" s="292">
        <x:f>'Reporte Componentes R1'!H57</x:f>
        <x:v>0</x:v>
      </x:c>
      <x:c r="G47" s="292">
        <x:f>'Reporte Componentes R1'!I57</x:f>
        <x:v>0</x:v>
      </x:c>
      <x:c r="H47" s="292">
        <x:f>'Reporte Componentes R1'!J57</x:f>
        <x:v>0</x:v>
      </x:c>
      <x:c r="I47" s="292">
        <x:f>'Reporte Componentes R1'!K57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R1'!L57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R1'!M57</x:f>
        <x:v>0</x:v>
      </x:c>
      <x:c r="V47" s="308">
        <x:f>'Reporte Componentes R1'!N57</x:f>
        <x:v>0</x:v>
      </x:c>
      <x:c r="W47" s="308">
        <x:f>'Reporte Componentes R1'!O57</x:f>
        <x:v>0</x:v>
      </x:c>
      <x:c r="X47" s="308">
        <x:f>'Reporte Componentes R1'!P57</x:f>
        <x:v>0</x:v>
      </x:c>
      <x:c r="Y47" s="309">
        <x:f>'Reporte Componentes R1'!Q57</x:f>
        <x:v>0</x:v>
      </x:c>
      <x:c r="Z47" s="310">
        <x:f>-L47</x:f>
        <x:v>0</x:v>
      </x:c>
      <x:c r="AA47" s="311">
        <x:f>'Reporte Componentes R1'!R57+'Reporte Componentes R1'!V57+'Reporte Componentes R1'!U57</x:f>
        <x:v>0</x:v>
      </x:c>
      <x:c r="AB47" s="294">
        <x:f>N47</x:f>
        <x:v>0</x:v>
      </x:c>
      <x:c r="AC47" s="311">
        <x:f>'Reporte Componentes R1'!T57+'Reporte Componentes R1'!W57+'Reporte Componentes R1'!X57+'Reporte Componentes R1'!Y57+'Reporte Componentes R1'!Z57+'Reporte Componentes R1'!S57</x:f>
        <x:v>0</x:v>
      </x:c>
      <x:c r="AD47" s="291">
        <x:f>-J47+AE47</x:f>
        <x:v>0</x:v>
      </x:c>
      <x:c r="AE47" s="291">
        <x:f>'Reporte Componentes R1'!F58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5">
      <x:c r="B48" s="314">
        <x:v>2</x:v>
      </x:c>
      <x:c r="C48" s="315" t="s">
        <x:v>11</x:v>
      </x:c>
      <x:c r="D48" s="291">
        <x:f>'Reporte Componentes R1'!F201</x:f>
        <x:v>0</x:v>
      </x:c>
      <x:c r="E48" s="292">
        <x:f>'Reporte Componentes R1'!G201</x:f>
        <x:v>0</x:v>
      </x:c>
      <x:c r="F48" s="292">
        <x:f>'Reporte Componentes R1'!H201</x:f>
        <x:v>0</x:v>
      </x:c>
      <x:c r="G48" s="292">
        <x:f>'Reporte Componentes R1'!I201</x:f>
        <x:v>0</x:v>
      </x:c>
      <x:c r="H48" s="292">
        <x:f>'Reporte Componentes R1'!J201</x:f>
        <x:v>0</x:v>
      </x:c>
      <x:c r="I48" s="292">
        <x:f>'Reporte Componentes R1'!K201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R1'!L201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R1'!M201</x:f>
        <x:v>0</x:v>
      </x:c>
      <x:c r="V48" s="317">
        <x:f>'Reporte Componentes R1'!N201</x:f>
        <x:v>0</x:v>
      </x:c>
      <x:c r="W48" s="317">
        <x:f>'Reporte Componentes R1'!O201</x:f>
        <x:v>0</x:v>
      </x:c>
      <x:c r="X48" s="317">
        <x:f>'Reporte Componentes R1'!P201</x:f>
        <x:v>0</x:v>
      </x:c>
      <x:c r="Y48" s="318">
        <x:f>'Reporte Componentes R1'!Q201</x:f>
        <x:v>0</x:v>
      </x:c>
      <x:c r="Z48" s="319">
        <x:f>-L48</x:f>
        <x:v>0</x:v>
      </x:c>
      <x:c r="AA48" s="320">
        <x:f>'Reporte Componentes R1'!R201+'Reporte Componentes R1'!V201+'Reporte Componentes R1'!U201</x:f>
        <x:v>0</x:v>
      </x:c>
      <x:c r="AB48" s="294">
        <x:f>N48</x:f>
        <x:v>0</x:v>
      </x:c>
      <x:c r="AC48" s="320">
        <x:f>'Reporte Componentes R1'!T201+'Reporte Componentes R1'!W201+'Reporte Componentes R1'!X201+'Reporte Componentes R1'!Y201+'Reporte Componentes R1'!Z201+'Reporte Componentes R1'!S201</x:f>
        <x:v>0</x:v>
      </x:c>
      <x:c r="AD48" s="291">
        <x:f t="shared" ref="AD48:AD51" si="18">-J48+AE48</x:f>
        <x:v>0</x:v>
      </x:c>
      <x:c r="AE48" s="291">
        <x:f>'Reporte Componentes R1'!F202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5">
      <x:c r="B49" s="314">
        <x:v>3</x:v>
      </x:c>
      <x:c r="C49" s="315" t="s">
        <x:v>12</x:v>
      </x:c>
      <x:c r="D49" s="291">
        <x:f>'Reporte Componentes R1'!F332</x:f>
        <x:v>0</x:v>
      </x:c>
      <x:c r="E49" s="292">
        <x:f>'Reporte Componentes R1'!G332</x:f>
        <x:v>0</x:v>
      </x:c>
      <x:c r="F49" s="292">
        <x:f>'Reporte Componentes R1'!H332</x:f>
        <x:v>0</x:v>
      </x:c>
      <x:c r="G49" s="292">
        <x:f>'Reporte Componentes R1'!I332</x:f>
        <x:v>0</x:v>
      </x:c>
      <x:c r="H49" s="292">
        <x:f>'Reporte Componentes R1'!J332</x:f>
        <x:v>0</x:v>
      </x:c>
      <x:c r="I49" s="292">
        <x:f>'Reporte Componentes R1'!K332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R1'!L332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R1'!M332</x:f>
        <x:v>0</x:v>
      </x:c>
      <x:c r="V49" s="317">
        <x:f>'Reporte Componentes R1'!N332</x:f>
        <x:v>0</x:v>
      </x:c>
      <x:c r="W49" s="317">
        <x:f>'Reporte Componentes R1'!O332</x:f>
        <x:v>0</x:v>
      </x:c>
      <x:c r="X49" s="317">
        <x:f>'Reporte Componentes R1'!P332</x:f>
        <x:v>0</x:v>
      </x:c>
      <x:c r="Y49" s="318">
        <x:f>'Reporte Componentes R1'!Q332</x:f>
        <x:v>0</x:v>
      </x:c>
      <x:c r="Z49" s="319">
        <x:f>-L49</x:f>
        <x:v>0</x:v>
      </x:c>
      <x:c r="AA49" s="320">
        <x:f>'Reporte Componentes R1'!R332+'Reporte Componentes R1'!V332+'Reporte Componentes R1'!U332</x:f>
        <x:v>0</x:v>
      </x:c>
      <x:c r="AB49" s="294">
        <x:f>N49</x:f>
        <x:v>0</x:v>
      </x:c>
      <x:c r="AC49" s="320">
        <x:f>'Reporte Componentes R1'!T332+'Reporte Componentes R1'!W332+'Reporte Componentes R1'!X332+'Reporte Componentes R1'!Y332+'Reporte Componentes R1'!Z332+'Reporte Componentes R1'!S332</x:f>
        <x:v>0</x:v>
      </x:c>
      <x:c r="AD49" s="291">
        <x:f t="shared" si="18"/>
        <x:v>0</x:v>
      </x:c>
      <x:c r="AE49" s="291">
        <x:f>'Reporte Componentes R1'!F333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5">
      <x:c r="B50" s="314">
        <x:v>4</x:v>
      </x:c>
      <x:c r="C50" s="315" t="s">
        <x:v>13</x:v>
      </x:c>
      <x:c r="D50" s="291">
        <x:f>'Reporte Componentes R1'!F463</x:f>
        <x:v>41900</x:v>
      </x:c>
      <x:c r="E50" s="292">
        <x:f>'Reporte Componentes R1'!G463</x:f>
        <x:v>2593.4699999999998</x:v>
      </x:c>
      <x:c r="F50" s="292">
        <x:f>'Reporte Componentes R1'!H463</x:f>
        <x:v>1464.28</x:v>
      </x:c>
      <x:c r="G50" s="292">
        <x:f>'Reporte Componentes R1'!I463</x:f>
        <x:v>768.54</x:v>
      </x:c>
      <x:c r="H50" s="292">
        <x:f>'Reporte Componentes R1'!J463</x:f>
        <x:v>8475</x:v>
      </x:c>
      <x:c r="I50" s="292">
        <x:f>'Reporte Componentes R1'!K463</x:f>
        <x:v>336.82</x:v>
      </x:c>
      <x:c r="J50" s="288">
        <x:v>0</x:v>
      </x:c>
      <x:c r="K50" s="295">
        <x:f t="shared" si="16"/>
        <x:v>28261.89</x:v>
      </x:c>
      <x:c r="L50" s="294">
        <x:v>0</x:v>
      </x:c>
      <x:c r="M50" s="295">
        <x:f>K50-L50</x:f>
        <x:v>28261.89</x:v>
      </x:c>
      <x:c r="N50" s="294">
        <x:f>'Reporte Componentes R1'!L463</x:f>
        <x:v>0</x:v>
      </x:c>
      <x:c r="O50" s="295">
        <x:f t="shared" si="17"/>
        <x:v>28261.89</x:v>
      </x:c>
      <x:c r="Q50" s="306"/>
      <x:c r="S50" s="314">
        <x:v>4</x:v>
      </x:c>
      <x:c r="T50" s="315" t="s">
        <x:v>13</x:v>
      </x:c>
      <x:c r="U50" s="316">
        <x:f>'Reporte Componentes R1'!M463</x:f>
        <x:v>2954.55</x:v>
      </x:c>
      <x:c r="V50" s="317">
        <x:f>'Reporte Componentes R1'!N463</x:f>
        <x:v>2903.79</x:v>
      </x:c>
      <x:c r="W50" s="317">
        <x:f>'Reporte Componentes R1'!O463</x:f>
        <x:v>14989.18</x:v>
      </x:c>
      <x:c r="X50" s="317">
        <x:f>'Reporte Componentes R1'!P463</x:f>
        <x:v>6864.83</x:v>
      </x:c>
      <x:c r="Y50" s="318">
        <x:f>'Reporte Componentes R1'!Q463</x:f>
        <x:v>549.54</x:v>
      </x:c>
      <x:c r="Z50" s="319">
        <x:f>-L50</x:f>
        <x:v>0</x:v>
      </x:c>
      <x:c r="AA50" s="320">
        <x:f>'Reporte Componentes R1'!R463+'Reporte Componentes R1'!V463+'Reporte Componentes R1'!U463</x:f>
        <x:v>0</x:v>
      </x:c>
      <x:c r="AB50" s="294">
        <x:f>N50</x:f>
        <x:v>0</x:v>
      </x:c>
      <x:c r="AC50" s="320">
        <x:f>'Reporte Componentes R1'!T463+'Reporte Componentes R1'!W463+'Reporte Componentes R1'!X463+'Reporte Componentes R1'!Y463+'Reporte Componentes R1'!Z463+'Reporte Componentes R1'!S463</x:f>
        <x:v>0</x:v>
      </x:c>
      <x:c r="AD50" s="291">
        <x:f t="shared" si="18"/>
        <x:v>0</x:v>
      </x:c>
      <x:c r="AE50" s="291">
        <x:f>'Reporte Componentes R1'!F464</x:f>
        <x:v>0</x:v>
      </x:c>
      <x:c r="AF50" s="322">
        <x:f t="shared" si="19"/>
        <x:v>28261.89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" thickBot="1" x14ac:dyDescent="0.3">
      <x:c r="B51" s="324">
        <x:v>5</x:v>
      </x:c>
      <x:c r="C51" s="325" t="s">
        <x:v>14</x:v>
      </x:c>
      <x:c r="D51" s="296">
        <x:f>'Reporte Componentes R1'!F561</x:f>
        <x:v>0</x:v>
      </x:c>
      <x:c r="E51" s="297">
        <x:f>'Reporte Componentes R1'!G561</x:f>
        <x:v>0</x:v>
      </x:c>
      <x:c r="F51" s="297">
        <x:f>'Reporte Componentes R1'!H561</x:f>
        <x:v>0</x:v>
      </x:c>
      <x:c r="G51" s="297">
        <x:f>'Reporte Componentes R1'!I561</x:f>
        <x:v>0</x:v>
      </x:c>
      <x:c r="H51" s="297">
        <x:f>'Reporte Componentes R1'!J561</x:f>
        <x:v>0</x:v>
      </x:c>
      <x:c r="I51" s="297">
        <x:f>'Reporte Componentes R1'!K561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R1'!L561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R1'!M561</x:f>
        <x:v>0</x:v>
      </x:c>
      <x:c r="V51" s="297">
        <x:f>'Reporte Componentes R1'!N561</x:f>
        <x:v>0</x:v>
      </x:c>
      <x:c r="W51" s="297">
        <x:f>'Reporte Componentes R1'!O561</x:f>
        <x:v>0</x:v>
      </x:c>
      <x:c r="X51" s="297">
        <x:f>'Reporte Componentes R1'!P561</x:f>
        <x:v>0</x:v>
      </x:c>
      <x:c r="Y51" s="289">
        <x:f>'Reporte Componentes R1'!Q561</x:f>
        <x:v>0</x:v>
      </x:c>
      <x:c r="Z51" s="319">
        <x:f>-L51</x:f>
        <x:v>0</x:v>
      </x:c>
      <x:c r="AA51" s="320">
        <x:f>'Reporte Componentes R1'!R561+'Reporte Componentes R1'!V561+'Reporte Componentes R1'!U561</x:f>
        <x:v>0</x:v>
      </x:c>
      <x:c r="AB51" s="294">
        <x:f>N51</x:f>
        <x:v>0</x:v>
      </x:c>
      <x:c r="AC51" s="320">
        <x:f>'Reporte Componentes R1'!T561+'Reporte Componentes R1'!W561+'Reporte Componentes R1'!X561+'Reporte Componentes R1'!Y561+'Reporte Componentes R1'!Z561+'Reporte Componentes R1'!S561</x:f>
        <x:v>0</x:v>
      </x:c>
      <x:c r="AD51" s="291">
        <x:f t="shared" si="18"/>
        <x:v>0</x:v>
      </x:c>
      <x:c r="AE51" s="291">
        <x:f>'Reporte Componentes R1'!F562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35">
      <x:c r="B52" s="327"/>
      <x:c r="C52" s="328" t="s">
        <x:v>2</x:v>
      </x:c>
      <x:c r="D52" s="290">
        <x:f t="shared" ref="D52:O52" si="21">SUM(D47:D51)</x:f>
        <x:v>41900</x:v>
      </x:c>
      <x:c r="E52" s="290">
        <x:f t="shared" si="21"/>
        <x:v>2593.4699999999998</x:v>
      </x:c>
      <x:c r="F52" s="290">
        <x:f t="shared" si="21"/>
        <x:v>1464.28</x:v>
      </x:c>
      <x:c r="G52" s="290">
        <x:f t="shared" ref="G52" si="22">SUM(G47:G51)</x:f>
        <x:v>768.54</x:v>
      </x:c>
      <x:c r="H52" s="290">
        <x:f t="shared" si="21"/>
        <x:v>8475</x:v>
      </x:c>
      <x:c r="I52" s="290">
        <x:f t="shared" si="21"/>
        <x:v>336.82</x:v>
      </x:c>
      <x:c r="J52" s="290">
        <x:f t="shared" si="21"/>
        <x:v>0</x:v>
      </x:c>
      <x:c r="K52" s="300">
        <x:f t="shared" si="21"/>
        <x:v>28261.89</x:v>
      </x:c>
      <x:c r="L52" s="301">
        <x:f t="shared" si="21"/>
        <x:v>0</x:v>
      </x:c>
      <x:c r="M52" s="302">
        <x:f t="shared" si="21"/>
        <x:v>28261.89</x:v>
      </x:c>
      <x:c r="N52" s="301">
        <x:f t="shared" si="21"/>
        <x:v>0</x:v>
      </x:c>
      <x:c r="O52" s="302">
        <x:f t="shared" si="21"/>
        <x:v>28261.89</x:v>
      </x:c>
      <x:c r="P52" s="329"/>
      <x:c r="Q52" s="306"/>
      <x:c r="S52" s="327"/>
      <x:c r="T52" s="328" t="s">
        <x:v>2</x:v>
      </x:c>
      <x:c r="U52" s="330">
        <x:f>SUM(U47:U51)</x:f>
        <x:v>2954.55</x:v>
      </x:c>
      <x:c r="V52" s="330">
        <x:f t="shared" ref="V52:AG52" si="23">SUM(V47:V51)</x:f>
        <x:v>2903.79</x:v>
      </x:c>
      <x:c r="W52" s="330">
        <x:f t="shared" si="23"/>
        <x:v>14989.18</x:v>
      </x:c>
      <x:c r="X52" s="330">
        <x:f t="shared" si="23"/>
        <x:v>6864.83</x:v>
      </x:c>
      <x:c r="Y52" s="330">
        <x:f t="shared" si="23"/>
        <x:v>549.54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28261.89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28261.89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">
      <x:c r="Q58" s="4"/>
      <x:c r="AI58" s="4"/>
    </x:row>
    <x:row r="59" spans="1:35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" x14ac:dyDescent="0.3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5" x14ac:dyDescent="0.3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" x14ac:dyDescent="0.3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5" x14ac:dyDescent="0.35">
      <x:c r="B63" s="8"/>
      <x:c r="C63" s="599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">
      <x:c r="B64" s="8"/>
      <x:c r="C64" s="599" t="s">
        <x:v>0</x:v>
      </x:c>
      <x:c r="D64" s="241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3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226</x:v>
      </x:c>
      <x:c r="AF65" s="39" t="s">
        <x:v>23</x:v>
      </x:c>
      <x:c r="AG65" s="13"/>
      <x:c r="AI65" s="4"/>
    </x:row>
    <x:row r="66" spans="1:35" s="305" customFormat="1" x14ac:dyDescent="0.25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5">
      <x:c r="B67" s="314">
        <x:v>2</x:v>
      </x:c>
      <x:c r="C67" s="315" t="s">
        <x:v>11</x:v>
      </x:c>
      <x:c r="D67" s="291">
        <x:f>'Reversion Pagos R4'!D171</x:f>
        <x:v>0</x:v>
      </x:c>
      <x:c r="E67" s="292">
        <x:f>'Reversion Pagos R4'!E171</x:f>
        <x:v>0</x:v>
      </x:c>
      <x:c r="F67" s="292">
        <x:f>'Reversion Pagos R4'!F171</x:f>
        <x:v>0</x:v>
      </x:c>
      <x:c r="G67" s="292">
        <x:f>'Reversion Pagos R4'!G171</x:f>
        <x:v>0</x:v>
      </x:c>
      <x:c r="H67" s="292">
        <x:f>'Reversion Pagos R4'!H171</x:f>
        <x:v>0</x:v>
      </x:c>
      <x:c r="I67" s="292">
        <x:f>'Reversion Pagos R4'!I171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R4'!P171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R4'!J171</x:f>
        <x:v>0</x:v>
      </x:c>
      <x:c r="V67" s="317">
        <x:f>'Reversion Pagos R4'!K171</x:f>
        <x:v>0</x:v>
      </x:c>
      <x:c r="W67" s="317">
        <x:f>'Reversion Pagos R4'!L171</x:f>
        <x:v>0</x:v>
      </x:c>
      <x:c r="X67" s="317">
        <x:f>'Reversion Pagos R4'!M171</x:f>
        <x:v>0</x:v>
      </x:c>
      <x:c r="Y67" s="318">
        <x:f>'Reversion Pagos R4'!N171</x:f>
        <x:v>0</x:v>
      </x:c>
      <x:c r="Z67" s="319">
        <x:f t="shared" ref="Z67:Z70" si="27">-L67</x:f>
        <x:v>0</x:v>
      </x:c>
      <x:c r="AA67" s="320">
        <x:f>'Reversion Pagos R4'!O171</x:f>
        <x:v>0</x:v>
      </x:c>
      <x:c r="AB67" s="294">
        <x:f t="shared" ref="AB67:AB70" si="28">N67</x:f>
        <x:v>0</x:v>
      </x:c>
      <x:c r="AC67" s="320">
        <x:f>+'Reversion Pagos R4'!Q171+'Reversion Pagos R4'!R171</x:f>
        <x:v>0</x:v>
      </x:c>
      <x:c r="AD67" s="291">
        <x:f t="shared" ref="AD67:AD70" si="29">-J67+AE67</x:f>
        <x:v>0</x:v>
      </x:c>
      <x:c r="AE67" s="291">
        <x:f>'Reversion Pagos R4'!D172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5">
      <x:c r="B68" s="314">
        <x:v>3</x:v>
      </x:c>
      <x:c r="C68" s="315" t="s">
        <x:v>12</x:v>
      </x:c>
      <x:c r="D68" s="291">
        <x:f>'Reversion Pagos R4'!D208</x:f>
        <x:v>0</x:v>
      </x:c>
      <x:c r="E68" s="292">
        <x:f>'Reversion Pagos R4'!E208</x:f>
        <x:v>0</x:v>
      </x:c>
      <x:c r="F68" s="292">
        <x:f>'Reversion Pagos R4'!F208</x:f>
        <x:v>0</x:v>
      </x:c>
      <x:c r="G68" s="292">
        <x:f>'Reversion Pagos R4'!G208</x:f>
        <x:v>0</x:v>
      </x:c>
      <x:c r="H68" s="292">
        <x:f>'Reversion Pagos R4'!H208</x:f>
        <x:v>0</x:v>
      </x:c>
      <x:c r="I68" s="292">
        <x:f>'Reversion Pagos R4'!I208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R4'!P208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R4'!J208</x:f>
        <x:v>0</x:v>
      </x:c>
      <x:c r="V68" s="317">
        <x:f>'Reversion Pagos R4'!K208</x:f>
        <x:v>0</x:v>
      </x:c>
      <x:c r="W68" s="317">
        <x:f>'Reversion Pagos R4'!L208</x:f>
        <x:v>0</x:v>
      </x:c>
      <x:c r="X68" s="317">
        <x:f>'Reversion Pagos R4'!M208</x:f>
        <x:v>0</x:v>
      </x:c>
      <x:c r="Y68" s="318">
        <x:f>'Reversion Pagos R4'!N208</x:f>
        <x:v>0</x:v>
      </x:c>
      <x:c r="Z68" s="319">
        <x:f t="shared" si="27"/>
        <x:v>0</x:v>
      </x:c>
      <x:c r="AA68" s="320">
        <x:f>'Reversion Pagos R4'!O208</x:f>
        <x:v>0</x:v>
      </x:c>
      <x:c r="AB68" s="294">
        <x:f t="shared" si="28"/>
        <x:v>0</x:v>
      </x:c>
      <x:c r="AC68" s="320">
        <x:f>+'Reversion Pagos R4'!Q208+'Reversion Pagos R4'!R208</x:f>
        <x:v>0</x:v>
      </x:c>
      <x:c r="AD68" s="291">
        <x:f t="shared" si="29"/>
        <x:v>0</x:v>
      </x:c>
      <x:c r="AE68" s="291">
        <x:f>'Reversion Pagos R4'!D209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5">
      <x:c r="B69" s="314">
        <x:v>4</x:v>
      </x:c>
      <x:c r="C69" s="315" t="s">
        <x:v>13</x:v>
      </x:c>
      <x:c r="D69" s="291">
        <x:f>'Reversion Pagos R4'!D323</x:f>
        <x:v>-736030</x:v>
      </x:c>
      <x:c r="E69" s="292">
        <x:f>'Reversion Pagos R4'!E323</x:f>
        <x:v>-56621.87</x:v>
      </x:c>
      <x:c r="F69" s="292">
        <x:f>'Reversion Pagos R4'!F323</x:f>
        <x:v>-29964.27</x:v>
      </x:c>
      <x:c r="G69" s="292">
        <x:f>'Reversion Pagos R4'!G323</x:f>
        <x:v>-16688.439999999999</x:v>
      </x:c>
      <x:c r="H69" s="292">
        <x:f>'Reversion Pagos R4'!H323</x:f>
        <x:v>-192605.11</x:v>
      </x:c>
      <x:c r="I69" s="292">
        <x:f>'Reversion Pagos R4'!I323</x:f>
        <x:v>-5220.43</x:v>
      </x:c>
      <x:c r="J69" s="288">
        <x:v>0</x:v>
      </x:c>
      <x:c r="K69" s="295">
        <x:f t="shared" si="25"/>
        <x:v>-434929.88000000006</x:v>
      </x:c>
      <x:c r="L69" s="294">
        <x:v>0</x:v>
      </x:c>
      <x:c r="M69" s="295">
        <x:f>K69-L69</x:f>
        <x:v>-434929.88000000006</x:v>
      </x:c>
      <x:c r="N69" s="294">
        <x:f>'Reversion Pagos R4'!P323</x:f>
        <x:v>0</x:v>
      </x:c>
      <x:c r="O69" s="295">
        <x:f t="shared" si="26"/>
        <x:v>-434929.88000000006</x:v>
      </x:c>
      <x:c r="Q69" s="306"/>
      <x:c r="S69" s="314">
        <x:v>4</x:v>
      </x:c>
      <x:c r="T69" s="315" t="s">
        <x:v>13</x:v>
      </x:c>
      <x:c r="U69" s="316">
        <x:f>'Reversion Pagos R4'!J323</x:f>
        <x:v>-44096.46</x:v>
      </x:c>
      <x:c r="V69" s="317">
        <x:f>'Reversion Pagos R4'!K323</x:f>
        <x:v>-55230.35</x:v>
      </x:c>
      <x:c r="W69" s="317">
        <x:f>'Reversion Pagos R4'!L323</x:f>
        <x:v>-296231.31</x:v>
      </x:c>
      <x:c r="X69" s="317">
        <x:f>'Reversion Pagos R4'!M323</x:f>
        <x:v>-151197.87</x:v>
      </x:c>
      <x:c r="Y69" s="318">
        <x:f>'Reversion Pagos R4'!N323</x:f>
        <x:v>-8517.5499999999993</x:v>
      </x:c>
      <x:c r="Z69" s="319">
        <x:f t="shared" si="27"/>
        <x:v>0</x:v>
      </x:c>
      <x:c r="AA69" s="320">
        <x:f>'Reversion Pagos R4'!O323</x:f>
        <x:v>5.68</x:v>
      </x:c>
      <x:c r="AB69" s="294">
        <x:f t="shared" si="28"/>
        <x:v>0</x:v>
      </x:c>
      <x:c r="AC69" s="320">
        <x:f>+'Reversion Pagos R4'!Q323+'Reversion Pagos R4'!R323</x:f>
        <x:v>0</x:v>
      </x:c>
      <x:c r="AD69" s="291">
        <x:f t="shared" si="29"/>
        <x:v>120337.98</x:v>
      </x:c>
      <x:c r="AE69" s="291">
        <x:f>'Reversion Pagos R4'!D324</x:f>
        <x:v>120337.98</x:v>
      </x:c>
      <x:c r="AF69" s="322">
        <x:f>SUM(U69:AD69)</x:f>
        <x:v>-434929.88</x:v>
      </x:c>
      <x:c r="AG69" s="522">
        <x:f>(AF69-O69)</x:f>
        <x:v>5.8207660913467407E-11</x:v>
      </x:c>
      <x:c r="AH69" s="1" t="b">
        <x:f t="shared" si="24"/>
        <x:v>1</x:v>
      </x:c>
      <x:c r="AI69" s="306"/>
    </x:row>
    <x:row r="70" spans="1:35" s="305" customFormat="1" ht="12" thickBot="1" x14ac:dyDescent="0.3">
      <x:c r="B70" s="324">
        <x:v>5</x:v>
      </x:c>
      <x:c r="C70" s="325" t="s">
        <x:v>14</x:v>
      </x:c>
      <x:c r="D70" s="296">
        <x:f>'Reversion Pagos R4'!D358</x:f>
        <x:v>0</x:v>
      </x:c>
      <x:c r="E70" s="297">
        <x:f>'Reversion Pagos R4'!E358</x:f>
        <x:v>0</x:v>
      </x:c>
      <x:c r="F70" s="297">
        <x:f>'Reversion Pagos R4'!F358</x:f>
        <x:v>0</x:v>
      </x:c>
      <x:c r="G70" s="297">
        <x:f>'Reversion Pagos R4'!G358</x:f>
        <x:v>0</x:v>
      </x:c>
      <x:c r="H70" s="297">
        <x:f>'Reversion Pagos R4'!H358</x:f>
        <x:v>0</x:v>
      </x:c>
      <x:c r="I70" s="297">
        <x:f>'Reversion Pagos R4'!I358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R4'!P358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R4'!J358</x:f>
        <x:v>0</x:v>
      </x:c>
      <x:c r="V70" s="297">
        <x:f>'Reversion Pagos R4'!K358</x:f>
        <x:v>0</x:v>
      </x:c>
      <x:c r="W70" s="297">
        <x:f>'Reversion Pagos R4'!L358</x:f>
        <x:v>0</x:v>
      </x:c>
      <x:c r="X70" s="297">
        <x:f>'Reversion Pagos R4'!M358</x:f>
        <x:v>0</x:v>
      </x:c>
      <x:c r="Y70" s="289">
        <x:f>'Reversion Pagos R4'!N358</x:f>
        <x:v>0</x:v>
      </x:c>
      <x:c r="Z70" s="319">
        <x:f t="shared" si="27"/>
        <x:v>0</x:v>
      </x:c>
      <x:c r="AA70" s="320">
        <x:f>'Reversion Pagos R4'!O358</x:f>
        <x:v>0</x:v>
      </x:c>
      <x:c r="AB70" s="294">
        <x:f t="shared" si="28"/>
        <x:v>0</x:v>
      </x:c>
      <x:c r="AC70" s="320">
        <x:f>+'Reversion Pagos R4'!Q358+'Reversion Pagos R4'!R358</x:f>
        <x:v>0</x:v>
      </x:c>
      <x:c r="AD70" s="291">
        <x:f t="shared" si="29"/>
        <x:v>0</x:v>
      </x:c>
      <x:c r="AE70" s="291">
        <x:f>'Reversion Pagos R4'!D359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35">
      <x:c r="B71" s="327"/>
      <x:c r="C71" s="328" t="s">
        <x:v>2</x:v>
      </x:c>
      <x:c r="D71" s="290">
        <x:f t="shared" ref="D71:O71" si="32">SUM(D66:D70)</x:f>
        <x:v>-736030</x:v>
      </x:c>
      <x:c r="E71" s="290">
        <x:f t="shared" si="32"/>
        <x:v>-56621.87</x:v>
      </x:c>
      <x:c r="F71" s="290">
        <x:f t="shared" si="32"/>
        <x:v>-29964.27</x:v>
      </x:c>
      <x:c r="G71" s="290">
        <x:f t="shared" si="32"/>
        <x:v>-16688.439999999999</x:v>
      </x:c>
      <x:c r="H71" s="290">
        <x:f t="shared" si="32"/>
        <x:v>-192605.11</x:v>
      </x:c>
      <x:c r="I71" s="290">
        <x:f t="shared" si="32"/>
        <x:v>-5220.43</x:v>
      </x:c>
      <x:c r="J71" s="290">
        <x:f t="shared" si="32"/>
        <x:v>0</x:v>
      </x:c>
      <x:c r="K71" s="300">
        <x:f t="shared" si="32"/>
        <x:v>-434929.88000000006</x:v>
      </x:c>
      <x:c r="L71" s="301">
        <x:f t="shared" si="32"/>
        <x:v>0</x:v>
      </x:c>
      <x:c r="M71" s="302">
        <x:f t="shared" si="32"/>
        <x:v>-434929.88000000006</x:v>
      </x:c>
      <x:c r="N71" s="301">
        <x:f t="shared" si="32"/>
        <x:v>0</x:v>
      </x:c>
      <x:c r="O71" s="302">
        <x:f t="shared" si="32"/>
        <x:v>-434929.88000000006</x:v>
      </x:c>
      <x:c r="P71" s="329"/>
      <x:c r="Q71" s="306"/>
      <x:c r="S71" s="327"/>
      <x:c r="T71" s="328" t="s">
        <x:v>2</x:v>
      </x:c>
      <x:c r="U71" s="330">
        <x:f>SUM(U66:U70)</x:f>
        <x:v>-44096.46</x:v>
      </x:c>
      <x:c r="V71" s="330">
        <x:f t="shared" ref="V71:AG71" si="33">SUM(V66:V70)</x:f>
        <x:v>-55230.35</x:v>
      </x:c>
      <x:c r="W71" s="330">
        <x:f t="shared" si="33"/>
        <x:v>-296231.31</x:v>
      </x:c>
      <x:c r="X71" s="330">
        <x:f t="shared" si="33"/>
        <x:v>-151197.87</x:v>
      </x:c>
      <x:c r="Y71" s="330">
        <x:f t="shared" si="33"/>
        <x:v>-8517.5499999999993</x:v>
      </x:c>
      <x:c r="Z71" s="290">
        <x:f t="shared" si="33"/>
        <x:v>0</x:v>
      </x:c>
      <x:c r="AA71" s="290">
        <x:f>SUM(AA66:AA70)</x:f>
        <x:v>5.68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120337.98</x:v>
      </x:c>
      <x:c r="AE71" s="290">
        <x:f>SUM(AE66:AE70)</x:f>
        <x:v>120337.98</x:v>
      </x:c>
      <x:c r="AF71" s="331">
        <x:f t="shared" si="33"/>
        <x:v>-434929.88</x:v>
      </x:c>
      <x:c r="AG71" s="524">
        <x:f t="shared" si="33"/>
        <x:v>5.8207660913467407E-11</x:v>
      </x:c>
      <x:c r="AH71" s="1" t="b">
        <x:f t="shared" si="24"/>
        <x:v>1</x:v>
      </x:c>
      <x:c r="AI71" s="306"/>
    </x:row>
    <x:row r="72" spans="1:35" ht="12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-555273.54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">
      <x:c r="Q77" s="4"/>
      <x:c r="AI77" s="4"/>
    </x:row>
    <x:row r="78" spans="1:35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" x14ac:dyDescent="0.3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5" x14ac:dyDescent="0.3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" x14ac:dyDescent="0.3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5" x14ac:dyDescent="0.35">
      <x:c r="B82" s="8"/>
      <x:c r="C82" s="599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">
      <x:c r="B83" s="8"/>
      <x:c r="C83" s="599" t="s">
        <x:v>0</x:v>
      </x:c>
      <x:c r="D83" s="241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3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5">
      <x:c r="B86" s="314">
        <x:v>2</x:v>
      </x:c>
      <x:c r="C86" s="315" t="s">
        <x:v>11</x:v>
      </x:c>
      <x:c r="D86" s="291">
        <x:f>'AJUSTES - SF-T'!D48</x:f>
        <x:v>216025.77</x:v>
      </x:c>
      <x:c r="E86" s="292">
        <x:f>'AJUSTES - SF-T'!E48</x:f>
        <x:v>31897.62</x:v>
      </x:c>
      <x:c r="F86" s="292">
        <x:f>'AJUSTES - SF-T'!F48</x:f>
        <x:v>18572.91</x:v>
      </x:c>
      <x:c r="G86" s="292">
        <x:f>'AJUSTES - SF-T'!G48</x:f>
        <x:v>8867.14</x:v>
      </x:c>
      <x:c r="H86" s="292">
        <x:f>'AJUSTES - SF-T'!H48</x:f>
        <x:v>92959.49</x:v>
      </x:c>
      <x:c r="I86" s="292">
        <x:f>'AJUSTES - SF-T'!I48</x:f>
        <x:v>3883.88</x:v>
      </x:c>
      <x:c r="J86" s="288">
        <x:f>'AJUSTES - SF-T'!J48</x:f>
        <x:v>0</x:v>
      </x:c>
      <x:c r="K86" s="295">
        <x:f t="shared" ref="K86:K89" si="36">D86-E86-F86-G86-H86-I86-J86</x:f>
        <x:v>59844.729999999974</x:v>
      </x:c>
      <x:c r="L86" s="294">
        <x:v>0</x:v>
      </x:c>
      <x:c r="M86" s="295">
        <x:f>K86-L86</x:f>
        <x:v>59844.729999999974</x:v>
      </x:c>
      <x:c r="N86" s="294">
        <x:f>'AJUSTES - SF-T'!N48</x:f>
        <x:v>0</x:v>
      </x:c>
      <x:c r="O86" s="295">
        <x:f t="shared" ref="O86:O89" si="37">M86+N86</x:f>
        <x:v>59844.729999999974</x:v>
      </x:c>
      <x:c r="Q86" s="306"/>
      <x:c r="S86" s="314">
        <x:v>2</x:v>
      </x:c>
      <x:c r="T86" s="315" t="s">
        <x:v>11</x:v>
      </x:c>
      <x:c r="U86" s="316">
        <x:f>'AJUSTES - SF-T'!U48</x:f>
        <x:v>61358.09</x:v>
      </x:c>
      <x:c r="V86" s="317">
        <x:f>'AJUSTES - SF-T'!V48</x:f>
        <x:v>33534.01</x:v>
      </x:c>
      <x:c r="W86" s="317">
        <x:f>'AJUSTES - SF-T'!W48</x:f>
        <x:v>127815.87</x:v>
      </x:c>
      <x:c r="X86" s="317">
        <x:f>'AJUSTES - SF-T'!X48</x:f>
        <x:v>64515.32</x:v>
      </x:c>
      <x:c r="Y86" s="318">
        <x:f>'AJUSTES - SF-T'!Y48</x:f>
        <x:v>5139.92</x:v>
      </x:c>
      <x:c r="Z86" s="319">
        <x:f>-L86</x:f>
        <x:v>0</x:v>
      </x:c>
      <x:c r="AA86" s="320">
        <x:f>'AJUSTES - SF-T'!AA48</x:f>
        <x:v>-0.36</x:v>
      </x:c>
      <x:c r="AB86" s="294">
        <x:f>N86</x:f>
        <x:v>0</x:v>
      </x:c>
      <x:c r="AC86" s="320">
        <x:v>0</x:v>
      </x:c>
      <x:c r="AD86" s="291">
        <x:f t="shared" ref="AD86:AD88" si="38">-J86+AE86</x:f>
        <x:v>-232518.12</x:v>
      </x:c>
      <x:c r="AE86" s="291">
        <x:f>'AJUSTES - SF-T'!AD48</x:f>
        <x:v>-232518.12</x:v>
      </x:c>
      <x:c r="AF86" s="322">
        <x:f>SUM(U86:AD86)</x:f>
        <x:v>59844.729999999981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5">
      <x:c r="B88" s="314">
        <x:v>4</x:v>
      </x:c>
      <x:c r="C88" s="315" t="s">
        <x:v>13</x:v>
      </x:c>
      <x:c r="D88" s="291">
        <x:f>'AJUSTES - SF-T'!D50</x:f>
        <x:v>35954.44</x:v>
      </x:c>
      <x:c r="E88" s="292">
        <x:f>'AJUSTES - SF-T'!E50</x:f>
        <x:v>1890.6</x:v>
      </x:c>
      <x:c r="F88" s="292">
        <x:f>'AJUSTES - SF-T'!F50</x:f>
        <x:v>1067.43</x:v>
      </x:c>
      <x:c r="G88" s="292">
        <x:f>'AJUSTES - SF-T'!G50</x:f>
        <x:v>560.27</x:v>
      </x:c>
      <x:c r="H88" s="292">
        <x:f>'AJUSTES - SF-T'!H50</x:f>
        <x:v>10800.02</x:v>
      </x:c>
      <x:c r="I88" s="292">
        <x:f>'AJUSTES - SF-T'!I50</x:f>
        <x:v>371.66</x:v>
      </x:c>
      <x:c r="J88" s="288">
        <x:f>'AJUSTES - SF-T'!J50</x:f>
        <x:v>0</x:v>
      </x:c>
      <x:c r="K88" s="295">
        <x:f t="shared" si="36"/>
        <x:v>21264.460000000003</x:v>
      </x:c>
      <x:c r="L88" s="294">
        <x:v>0</x:v>
      </x:c>
      <x:c r="M88" s="295">
        <x:f>K88-L88</x:f>
        <x:v>21264.460000000003</x:v>
      </x:c>
      <x:c r="N88" s="294">
        <x:f>'AJUSTES - SF-T'!N50</x:f>
        <x:v>0</x:v>
      </x:c>
      <x:c r="O88" s="295">
        <x:f t="shared" si="37"/>
        <x:v>21264.460000000003</x:v>
      </x:c>
      <x:c r="Q88" s="306"/>
      <x:c r="S88" s="314">
        <x:v>4</x:v>
      </x:c>
      <x:c r="T88" s="315" t="s">
        <x:v>13</x:v>
      </x:c>
      <x:c r="U88" s="316">
        <x:f>'AJUSTES - SF-T'!U50</x:f>
        <x:v>3260.18</x:v>
      </x:c>
      <x:c r="V88" s="317">
        <x:f>'AJUSTES - SF-T'!V50</x:f>
        <x:v>3149.08</x:v>
      </x:c>
      <x:c r="W88" s="317">
        <x:f>'AJUSTES - SF-T'!W50</x:f>
        <x:v>15696.81</x:v>
      </x:c>
      <x:c r="X88" s="317">
        <x:f>'AJUSTES - SF-T'!X50</x:f>
        <x:v>5005.76</x:v>
      </x:c>
      <x:c r="Y88" s="318">
        <x:f>'AJUSTES - SF-T'!Y50</x:f>
        <x:v>606.39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-6453.76</x:v>
      </x:c>
      <x:c r="AE88" s="291">
        <x:f>'AJUSTES - SF-T'!AD50</x:f>
        <x:v>-6453.76</x:v>
      </x:c>
      <x:c r="AF88" s="322">
        <x:f t="shared" si="39"/>
        <x:v>21264.46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35">
      <x:c r="B90" s="327"/>
      <x:c r="C90" s="328" t="s">
        <x:v>2</x:v>
      </x:c>
      <x:c r="D90" s="290">
        <x:f t="shared" ref="D90:O90" si="40">SUM(D85:D89)</x:f>
        <x:v>251980.21</x:v>
      </x:c>
      <x:c r="E90" s="290">
        <x:f t="shared" si="40"/>
        <x:v>33788.22</x:v>
      </x:c>
      <x:c r="F90" s="290">
        <x:f t="shared" si="40"/>
        <x:v>19640.34</x:v>
      </x:c>
      <x:c r="G90" s="290">
        <x:f t="shared" si="40"/>
        <x:v>9427.41</x:v>
      </x:c>
      <x:c r="H90" s="290">
        <x:f t="shared" si="40"/>
        <x:v>103759.51000000001</x:v>
      </x:c>
      <x:c r="I90" s="290">
        <x:f t="shared" si="40"/>
        <x:v>4255.54</x:v>
      </x:c>
      <x:c r="J90" s="290">
        <x:f t="shared" si="40"/>
        <x:v>0</x:v>
      </x:c>
      <x:c r="K90" s="300">
        <x:f t="shared" si="40"/>
        <x:v>81109.189999999973</x:v>
      </x:c>
      <x:c r="L90" s="301">
        <x:f t="shared" si="40"/>
        <x:v>0</x:v>
      </x:c>
      <x:c r="M90" s="302">
        <x:f t="shared" si="40"/>
        <x:v>81109.189999999973</x:v>
      </x:c>
      <x:c r="N90" s="301">
        <x:f t="shared" si="40"/>
        <x:v>0</x:v>
      </x:c>
      <x:c r="O90" s="302">
        <x:f t="shared" si="40"/>
        <x:v>81109.189999999973</x:v>
      </x:c>
      <x:c r="P90" s="329"/>
      <x:c r="Q90" s="306"/>
      <x:c r="S90" s="327"/>
      <x:c r="T90" s="328" t="s">
        <x:v>2</x:v>
      </x:c>
      <x:c r="U90" s="330">
        <x:f>SUM(U85:U89)</x:f>
        <x:v>64618.27</x:v>
      </x:c>
      <x:c r="V90" s="330">
        <x:f t="shared" ref="V90:AG90" si="41">SUM(V85:V89)</x:f>
        <x:v>36683.090000000004</x:v>
      </x:c>
      <x:c r="W90" s="330">
        <x:f t="shared" si="41"/>
        <x:v>143512.68</x:v>
      </x:c>
      <x:c r="X90" s="330">
        <x:f t="shared" si="41"/>
        <x:v>69521.08</x:v>
      </x:c>
      <x:c r="Y90" s="330">
        <x:f t="shared" si="41"/>
        <x:v>5746.31</x:v>
      </x:c>
      <x:c r="Z90" s="290">
        <x:f t="shared" si="41"/>
        <x:v>0</x:v>
      </x:c>
      <x:c r="AA90" s="290">
        <x:f t="shared" si="41"/>
        <x:v>-0.36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-238971.88</x:v>
      </x:c>
      <x:c r="AE90" s="290">
        <x:f t="shared" si="41"/>
        <x:v>-238971.88</x:v>
      </x:c>
      <x:c r="AF90" s="331">
        <x:f t="shared" si="41"/>
        <x:v>81109.189999999973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320081.43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">
      <x:c r="Q96" s="4"/>
      <x:c r="AI96" s="4"/>
    </x:row>
    <x:row r="97" spans="2:36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" x14ac:dyDescent="0.3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5" x14ac:dyDescent="0.3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" x14ac:dyDescent="0.3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5" x14ac:dyDescent="0.35">
      <x:c r="B101" s="8"/>
      <x:c r="C101" s="599" t="s">
        <x:v>17</x:v>
      </x:c>
      <x:c r="D101" s="9">
        <x:f>D6</x:f>
        <x:v>46238</x:v>
      </x:c>
      <x:c r="F101" s="58" t="s">
        <x:v>215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216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5">
      <x:c r="B102" s="8"/>
      <x:c r="C102" s="599" t="s">
        <x:v>0</x:v>
      </x:c>
      <x:c r="D102" s="241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5">
      <x:c r="B105" s="314">
        <x:v>2</x:v>
      </x:c>
      <x:c r="C105" s="315" t="s">
        <x:v>11</x:v>
      </x:c>
      <x:c r="D105" s="291">
        <x:f t="shared" si="43"/>
        <x:v>47041595.059999995</x:v>
      </x:c>
      <x:c r="E105" s="292">
        <x:f t="shared" si="43"/>
        <x:v>4095120.52</x:v>
      </x:c>
      <x:c r="F105" s="292">
        <x:f t="shared" si="43"/>
        <x:v>2274787</x:v>
      </x:c>
      <x:c r="G105" s="292">
        <x:f t="shared" si="43"/>
        <x:v>1028626.41</x:v>
      </x:c>
      <x:c r="H105" s="292">
        <x:f t="shared" si="43"/>
        <x:v>18268033.049999997</x:v>
      </x:c>
      <x:c r="I105" s="292">
        <x:f t="shared" si="43"/>
        <x:v>535415.67000000004</x:v>
      </x:c>
      <x:c r="J105" s="288">
        <x:f t="shared" si="43"/>
        <x:v>0</x:v>
      </x:c>
      <x:c r="K105" s="295">
        <x:f t="shared" ref="K105:K108" si="46">D105-E105-F105-G105-H105-I105-J105</x:f>
        <x:v>20839612.409999996</x:v>
      </x:c>
      <x:c r="L105" s="294">
        <x:f>L10+L29+L48+L67+L86</x:f>
        <x:v>0</x:v>
      </x:c>
      <x:c r="M105" s="295">
        <x:f>K105-L105</x:f>
        <x:v>20839612.409999996</x:v>
      </x:c>
      <x:c r="N105" s="294">
        <x:f>N10+N29+N48+N67+N86</x:f>
        <x:v>0</x:v>
      </x:c>
      <x:c r="O105" s="295">
        <x:f t="shared" ref="O105:O108" si="47">M105+N105</x:f>
        <x:v>20839612.409999996</x:v>
      </x:c>
      <x:c r="Q105" s="306"/>
      <x:c r="S105" s="314">
        <x:v>2</x:v>
      </x:c>
      <x:c r="T105" s="315" t="s">
        <x:v>11</x:v>
      </x:c>
      <x:c r="U105" s="316">
        <x:f t="shared" si="44"/>
        <x:v>4831656.13</x:v>
      </x:c>
      <x:c r="V105" s="317">
        <x:f t="shared" si="44"/>
        <x:v>5407389.7400000002</x:v>
      </x:c>
      <x:c r="W105" s="317">
        <x:f t="shared" si="44"/>
        <x:v>20054944.010000002</x:v>
      </x:c>
      <x:c r="X105" s="317">
        <x:f t="shared" si="44"/>
        <x:v>11013548.23</x:v>
      </x:c>
      <x:c r="Y105" s="318">
        <x:f t="shared" si="44"/>
        <x:v>712165.05</x:v>
      </x:c>
      <x:c r="Z105" s="319">
        <x:f t="shared" si="44"/>
        <x:v>0</x:v>
      </x:c>
      <x:c r="AA105" s="320">
        <x:f t="shared" si="44"/>
        <x:v>42.75</x:v>
      </x:c>
      <x:c r="AB105" s="294">
        <x:f t="shared" si="44"/>
        <x:v>0</x:v>
      </x:c>
      <x:c r="AC105" s="320">
        <x:f t="shared" si="44"/>
        <x:v>-7.0000000000000007E-2</x:v>
      </x:c>
      <x:c r="AD105" s="291">
        <x:f t="shared" ref="AD105:AD107" si="48">-J105+AE105</x:f>
        <x:v>-21180133.430000003</x:v>
      </x:c>
      <x:c r="AE105" s="291">
        <x:f>AE10+AE29+AE48+AE67+AE86</x:f>
        <x:v>-21180133.430000003</x:v>
      </x:c>
      <x:c r="AF105" s="322">
        <x:f>SUM(U105:AD105)</x:f>
        <x:v>20839612.409999993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5">
      <x:c r="B107" s="314">
        <x:v>4</x:v>
      </x:c>
      <x:c r="C107" s="315" t="s">
        <x:v>13</x:v>
      </x:c>
      <x:c r="D107" s="291">
        <x:f t="shared" si="43"/>
        <x:v>71467043.25999999</x:v>
      </x:c>
      <x:c r="E107" s="292">
        <x:f t="shared" si="43"/>
        <x:v>9337119.6800000016</x:v>
      </x:c>
      <x:c r="F107" s="292">
        <x:f t="shared" si="43"/>
        <x:v>5227614.95</x:v>
      </x:c>
      <x:c r="G107" s="292">
        <x:f t="shared" si="43"/>
        <x:v>1095011.2200000002</x:v>
      </x:c>
      <x:c r="H107" s="292">
        <x:f t="shared" si="43"/>
        <x:v>8931941.6099999994</x:v>
      </x:c>
      <x:c r="I107" s="292">
        <x:f t="shared" si="43"/>
        <x:v>265264.06</x:v>
      </x:c>
      <x:c r="J107" s="288">
        <x:f t="shared" si="43"/>
        <x:v>0</x:v>
      </x:c>
      <x:c r="K107" s="295">
        <x:f t="shared" si="46"/>
        <x:v>46610091.739999987</x:v>
      </x:c>
      <x:c r="L107" s="294">
        <x:f>L12+L31+L50+L69+L88</x:f>
        <x:v>0</x:v>
      </x:c>
      <x:c r="M107" s="295">
        <x:f>K107-L107</x:f>
        <x:v>46610091.739999987</x:v>
      </x:c>
      <x:c r="N107" s="294">
        <x:f>N12+N31+N50+N69+N88</x:f>
        <x:v>0</x:v>
      </x:c>
      <x:c r="O107" s="295">
        <x:f t="shared" si="47"/>
        <x:v>46610091.739999987</x:v>
      </x:c>
      <x:c r="Q107" s="306"/>
      <x:c r="S107" s="314">
        <x:v>4</x:v>
      </x:c>
      <x:c r="T107" s="315" t="s">
        <x:v>13</x:v>
      </x:c>
      <x:c r="U107" s="316">
        <x:f t="shared" si="44"/>
        <x:v>2506113.27</x:v>
      </x:c>
      <x:c r="V107" s="317">
        <x:f t="shared" si="44"/>
        <x:v>2730225.84</x:v>
      </x:c>
      <x:c r="W107" s="317">
        <x:f t="shared" si="44"/>
        <x:v>12255014.02</x:v>
      </x:c>
      <x:c r="X107" s="317">
        <x:f t="shared" si="44"/>
        <x:v>25300845.309999999</x:v>
      </x:c>
      <x:c r="Y107" s="318">
        <x:f t="shared" si="44"/>
        <x:v>393638.25</x:v>
      </x:c>
      <x:c r="Z107" s="319">
        <x:f t="shared" si="44"/>
        <x:v>0</x:v>
      </x:c>
      <x:c r="AA107" s="320">
        <x:f t="shared" si="44"/>
        <x:v>52.11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3424202.94</x:v>
      </x:c>
      <x:c r="AE107" s="291">
        <x:f>AE12+AE31+AE50+AE69+AE88</x:f>
        <x:v>3424202.94</x:v>
      </x:c>
      <x:c r="AF107" s="322">
        <x:f>SUM(U107:AD107)</x:f>
        <x:v>46610091.739999995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35">
      <x:c r="B109" s="327"/>
      <x:c r="C109" s="328" t="s">
        <x:v>2</x:v>
      </x:c>
      <x:c r="D109" s="290">
        <x:f t="shared" ref="D109:O109" si="49">SUM(D104:D108)</x:f>
        <x:v>118508638.31999999</x:v>
      </x:c>
      <x:c r="E109" s="290">
        <x:f t="shared" si="49"/>
        <x:v>13432240.200000001</x:v>
      </x:c>
      <x:c r="F109" s="290">
        <x:f t="shared" si="49"/>
        <x:v>7502401.9500000002</x:v>
      </x:c>
      <x:c r="G109" s="290">
        <x:f t="shared" si="49"/>
        <x:v>2123637.6300000004</x:v>
      </x:c>
      <x:c r="H109" s="290">
        <x:f t="shared" si="49"/>
        <x:v>27199974.659999996</x:v>
      </x:c>
      <x:c r="I109" s="290">
        <x:f t="shared" si="49"/>
        <x:v>800679.73</x:v>
      </x:c>
      <x:c r="J109" s="290">
        <x:f t="shared" si="49"/>
        <x:v>0</x:v>
      </x:c>
      <x:c r="K109" s="300">
        <x:f t="shared" si="49"/>
        <x:v>67449704.149999976</x:v>
      </x:c>
      <x:c r="L109" s="301">
        <x:f t="shared" si="49"/>
        <x:v>0</x:v>
      </x:c>
      <x:c r="M109" s="302">
        <x:f t="shared" si="49"/>
        <x:v>67449704.149999976</x:v>
      </x:c>
      <x:c r="N109" s="301">
        <x:f t="shared" si="49"/>
        <x:v>0</x:v>
      </x:c>
      <x:c r="O109" s="302">
        <x:f t="shared" si="49"/>
        <x:v>67449704.149999976</x:v>
      </x:c>
      <x:c r="P109" s="329"/>
      <x:c r="Q109" s="306"/>
      <x:c r="S109" s="327"/>
      <x:c r="T109" s="328" t="s">
        <x:v>2</x:v>
      </x:c>
      <x:c r="U109" s="330">
        <x:f>SUM(U104:U108)</x:f>
        <x:v>7337769.4000000004</x:v>
      </x:c>
      <x:c r="V109" s="330">
        <x:f t="shared" ref="V109:AF109" si="50">SUM(V104:V108)</x:f>
        <x:v>8137615.5800000001</x:v>
      </x:c>
      <x:c r="W109" s="330">
        <x:f t="shared" si="50"/>
        <x:v>32309958.030000001</x:v>
      </x:c>
      <x:c r="X109" s="330">
        <x:f t="shared" si="50"/>
        <x:v>36314393.539999999</x:v>
      </x:c>
      <x:c r="Y109" s="330">
        <x:f t="shared" si="50"/>
        <x:v>1105803.3</x:v>
      </x:c>
      <x:c r="Z109" s="290">
        <x:f t="shared" si="50"/>
        <x:v>0</x:v>
      </x:c>
      <x:c r="AA109" s="290">
        <x:f t="shared" si="50"/>
        <x:v>94.86</x:v>
      </x:c>
      <x:c r="AB109" s="290">
        <x:f t="shared" si="50"/>
        <x:v>0</x:v>
      </x:c>
      <x:c r="AC109" s="290">
        <x:f t="shared" si="50"/>
        <x:v>-7.0000000000000007E-2</x:v>
      </x:c>
      <x:c r="AD109" s="290">
        <x:f t="shared" si="50"/>
        <x:v>-17755930.490000002</x:v>
      </x:c>
      <x:c r="AE109" s="290">
        <x:f>SUM(AE104:AE108)</x:f>
        <x:v>-17755930.490000002</x:v>
      </x:c>
      <x:c r="AF109" s="331">
        <x:f t="shared" si="50"/>
        <x:v>67449704.149999991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85205539.850000009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">
      <x:c r="Q115" s="4"/>
    </x:row>
    <x:row r="116" spans="1:35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" x14ac:dyDescent="0.3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5" x14ac:dyDescent="0.3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5">
      <x:c r="B120" s="8"/>
      <x:c r="I120" s="2"/>
      <x:c r="J120" s="2"/>
      <x:c r="O120" s="10"/>
      <x:c r="P120" s="2"/>
      <x:c r="Q120" s="4"/>
    </x:row>
    <x:row r="121" spans="1:35" ht="15.5" x14ac:dyDescent="0.3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5" thickBot="1" x14ac:dyDescent="0.3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5">
      <x:c r="B126" s="16">
        <x:v>2</x:v>
      </x:c>
      <x:c r="C126" s="17" t="s">
        <x:v>11</x:v>
      </x:c>
      <x:c r="D126" s="15">
        <x:f>'ANTICIPOS USUARIOS'!F4</x:f>
        <x:v>12820520</x:v>
      </x:c>
      <x:c r="E126" s="74">
        <x:v>0</x:v>
      </x:c>
      <x:c r="G126" s="339">
        <x:f>D48+N48</x:f>
        <x:v>0</x:v>
      </x:c>
      <x:c r="H126" s="340">
        <x:f>D29+N29</x:f>
        <x:v>35414329.289999992</x:v>
      </x:c>
      <x:c r="I126" s="288">
        <x:f>D86+N86</x:f>
        <x:v>216025.77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5">
      <x:c r="B128" s="16">
        <x:v>4</x:v>
      </x:c>
      <x:c r="C128" s="17" t="s">
        <x:v>13</x:v>
      </x:c>
      <x:c r="D128" s="15">
        <x:f>'ANTICIPOS USUARIOS'!F6</x:f>
        <x:v>10268790</x:v>
      </x:c>
      <x:c r="E128" s="74">
        <x:v>0</x:v>
      </x:c>
      <x:c r="G128" s="339">
        <x:f>D50+N50</x:f>
        <x:v>41900</x:v>
      </x:c>
      <x:c r="H128" s="340">
        <x:f>D31+N31</x:f>
        <x:v>66508368.82</x:v>
      </x:c>
      <x:c r="I128" s="288">
        <x:f>D88+N88</x:f>
        <x:v>35954.44</x:v>
      </x:c>
      <x:c r="J128" s="288">
        <x:f t="shared" si="51"/>
        <x:v>-736030</x:v>
      </x:c>
      <x:c r="K128" s="288">
        <x:f>'ANTICIPOS USUARIOS'!F15</x:f>
        <x:v>694130</x:v>
      </x:c>
      <x:c r="L128" s="288">
        <x:f>-'ANTICIPOS USUARIOS'!F24</x:f>
        <x:v>0</x:v>
      </x:c>
      <x:c r="O128" s="44"/>
      <x:c r="Q128" s="4"/>
    </x:row>
    <x:row r="129" spans="1:18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">
      <x:c r="B131" s="95"/>
      <x:c r="C131" s="106" t="s">
        <x:v>2</x:v>
      </x:c>
      <x:c r="D131" s="107">
        <x:f>SUM(D125:D130)</x:f>
        <x:v>23089310</x:v>
      </x:c>
      <x:c r="E131" s="107">
        <x:f>SUM(E125:E130)</x:f>
        <x:v>0</x:v>
      </x:c>
      <x:c r="F131" s="45"/>
      <x:c r="G131" s="350">
        <x:f t="shared" ref="G131" si="52">SUM(G125:G129)</x:f>
        <x:v>41900</x:v>
      </x:c>
      <x:c r="H131" s="350">
        <x:f>SUM(H125:H130)</x:f>
        <x:v>101922698.10999998</x:v>
      </x:c>
      <x:c r="I131" s="350">
        <x:f>SUM(I125:I130)</x:f>
        <x:v>251980.21</x:v>
      </x:c>
      <x:c r="J131" s="350">
        <x:f>SUM(J125:J130)</x:f>
        <x:v>-736030</x:v>
      </x:c>
      <x:c r="K131" s="350">
        <x:f>SUM(K125:K130)</x:f>
        <x:v>694130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5">
      <x:c r="B132" s="2"/>
      <x:c r="C132" s="2"/>
      <x:c r="D132" s="24"/>
      <x:c r="Q132" s="4"/>
    </x:row>
    <x:row r="133" spans="1:18" x14ac:dyDescent="0.25">
      <x:c r="B133" s="2"/>
      <x:c r="C133" s="2"/>
      <x:c r="D133" s="24"/>
      <x:c r="L133" s="1" t="s">
        <x:v>1</x:v>
      </x:c>
      <x:c r="Q133" s="4"/>
    </x:row>
    <x:row r="134" spans="1:18" ht="12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5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8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5">
      <x:c r="B143" s="16">
        <x:v>2</x:v>
      </x:c>
      <x:c r="C143" s="17" t="s">
        <x:v>11</x:v>
      </x:c>
      <x:c r="D143" s="18">
        <x:f>D105+N105+D126+E126</x:f>
        <x:v>59862115.059999995</x:v>
      </x:c>
      <x:c r="E143" s="18">
        <x:f>'Recaudo EAAB Reciprocidad'!F22</x:f>
        <x:v>24231760</x:v>
      </x:c>
      <x:c r="F143" s="18">
        <x:f>D29+N29</x:f>
        <x:v>35414329.289999992</x:v>
      </x:c>
      <x:c r="G143" s="18">
        <x:f>D67+N67</x:f>
        <x:v>0</x:v>
      </x:c>
      <x:c r="H143" s="18">
        <x:f>D86+N86</x:f>
        <x:v>216025.77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35414329.289999992</x:v>
      </x:c>
      <x:c r="L143" s="598">
        <x:f>D143-E143-F143-G143-J143-H143-I143</x:f>
        <x:v>3.2887328416109085E-9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8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5">
      <x:c r="B145" s="16">
        <x:v>4</x:v>
      </x:c>
      <x:c r="C145" s="17" t="s">
        <x:v>13</x:v>
      </x:c>
      <x:c r="D145" s="18">
        <x:f>D107+N107+D128+E128</x:f>
        <x:v>81735833.25999999</x:v>
      </x:c>
      <x:c r="E145" s="18">
        <x:f>'Recaudo EAAB Reciprocidad'!F24</x:f>
        <x:v>15885640</x:v>
      </x:c>
      <x:c r="F145" s="18">
        <x:f>D31+N31</x:f>
        <x:v>66508368.82</x:v>
      </x:c>
      <x:c r="G145" s="18">
        <x:f>D69+N69</x:f>
        <x:v>-736030</x:v>
      </x:c>
      <x:c r="H145" s="18">
        <x:f>D88+N88</x:f>
        <x:v>35954.44</x:v>
      </x:c>
      <x:c r="I145" s="18">
        <x:f>('REPORTE RECAUDO x BANCO'!E69)</x:f>
        <x:v>0</x:v>
      </x:c>
      <x:c r="J145" s="18">
        <x:f t="shared" si="53"/>
        <x:v>41900</x:v>
      </x:c>
      <x:c r="K145" s="83">
        <x:f t="shared" si="53"/>
        <x:v>66508368.82</x:v>
      </x:c>
      <x:c r="L145" s="598">
        <x:f>D145-E145-F145-G145-J145-H145-I145</x:f>
        <x:v>-9.8370946943759918E-9</x:v>
      </x:c>
      <x:c r="M145" s="1" t="b">
        <x:f t="shared" si="54"/>
        <x:v>0</x:v>
      </x:c>
      <x:c r="O145" s="96"/>
      <x:c r="P145" s="24"/>
      <x:c r="Q145" s="35"/>
      <x:c r="R145" s="24"/>
    </x:row>
    <x:row r="146" spans="1:20" ht="12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8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" thickBot="1" x14ac:dyDescent="0.3">
      <x:c r="B147" s="21"/>
      <x:c r="C147" s="22" t="s">
        <x:v>2</x:v>
      </x:c>
      <x:c r="D147" s="47">
        <x:f>SUM(D142:D146)</x:f>
        <x:v>141597948.31999999</x:v>
      </x:c>
      <x:c r="E147" s="47">
        <x:f>SUM(E142:E146)</x:f>
        <x:v>40117400</x:v>
      </x:c>
      <x:c r="F147" s="47">
        <x:f t="shared" ref="F147:K147" si="55">SUM(F142:F146)</x:f>
        <x:v>101922698.10999998</x:v>
      </x:c>
      <x:c r="G147" s="47">
        <x:f t="shared" si="55"/>
        <x:v>-736030</x:v>
      </x:c>
      <x:c r="H147" s="47">
        <x:f t="shared" si="55"/>
        <x:v>251980.21</x:v>
      </x:c>
      <x:c r="I147" s="47">
        <x:f t="shared" si="55"/>
        <x:v>0</x:v>
      </x:c>
      <x:c r="J147" s="47">
        <x:f t="shared" si="55"/>
        <x:v>41900</x:v>
      </x:c>
      <x:c r="K147" s="47">
        <x:f t="shared" si="55"/>
        <x:v>101922698.10999998</x:v>
      </x:c>
      <x:c r="L147" s="598">
        <x:f>SUM(L142:L146)</x:f>
        <x:v>-6.5483618527650833E-9</x:v>
      </x:c>
      <x:c r="M147" s="1" t="b">
        <x:f t="shared" si="54"/>
        <x:v>0</x:v>
      </x:c>
      <x:c r="P147" s="24"/>
      <x:c r="Q147" s="35"/>
      <x:c r="R147" s="24"/>
    </x:row>
    <x:row r="148" spans="1:20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5">
      <x:c r="N152" s="24"/>
      <x:c r="O152" s="24"/>
      <x:c r="Q152" s="24"/>
      <x:c r="T152" s="24"/>
    </x:row>
    <x:row r="153" spans="1:20" x14ac:dyDescent="0.25">
      <x:c r="N153" s="24"/>
      <x:c r="O153" s="24"/>
      <x:c r="Q153" s="24"/>
      <x:c r="T153" s="24"/>
    </x:row>
    <x:row r="154" spans="1:20" x14ac:dyDescent="0.25">
      <x:c r="N154" s="24"/>
      <x:c r="O154" s="24"/>
      <x:c r="Q154" s="24"/>
      <x:c r="T154" s="24"/>
    </x:row>
    <x:row r="155" spans="1:20" x14ac:dyDescent="0.25">
      <x:c r="N155" s="24"/>
      <x:c r="O155" s="24"/>
      <x:c r="Q155" s="24"/>
      <x:c r="T155" s="24"/>
    </x:row>
    <x:row r="156" spans="1:20" x14ac:dyDescent="0.25">
      <x:c r="N156" s="24"/>
      <x:c r="O156" s="24"/>
      <x:c r="Q156" s="24"/>
      <x:c r="T156" s="24"/>
    </x:row>
    <x:row r="157" spans="1:20" x14ac:dyDescent="0.25">
      <x:c r="N157" s="24"/>
      <x:c r="O157" s="24"/>
      <x:c r="Q157" s="24"/>
      <x:c r="T157" s="24"/>
    </x:row>
    <x:row r="158" spans="1:20" x14ac:dyDescent="0.25">
      <x:c r="N158" s="24"/>
      <x:c r="O158" s="24"/>
      <x:c r="Q158" s="24"/>
      <x:c r="T158" s="24"/>
    </x:row>
    <x:row r="159" spans="1:20" x14ac:dyDescent="0.25">
      <x:c r="N159" s="24"/>
      <x:c r="O159" s="24"/>
      <x:c r="Q159" s="24"/>
      <x:c r="T159" s="24"/>
    </x:row>
    <x:row r="160" spans="1:20" x14ac:dyDescent="0.25">
      <x:c r="N160" s="24"/>
      <x:c r="O160" s="24"/>
      <x:c r="Q160" s="24"/>
      <x:c r="T160" s="24"/>
    </x:row>
    <x:row r="161" spans="14:20" x14ac:dyDescent="0.25">
      <x:c r="N161" s="24"/>
      <x:c r="O161" s="24"/>
      <x:c r="Q161" s="24"/>
      <x:c r="T161" s="24"/>
    </x:row>
    <x:row r="162" spans="14:20" x14ac:dyDescent="0.25">
      <x:c r="N162" s="24"/>
      <x:c r="O162" s="24"/>
      <x:c r="Q162" s="24"/>
      <x:c r="T162" s="24"/>
    </x:row>
    <x:row r="163" spans="14:20" x14ac:dyDescent="0.25">
      <x:c r="N163" s="24"/>
      <x:c r="O163" s="24"/>
      <x:c r="Q163" s="24"/>
      <x:c r="T163" s="24"/>
    </x:row>
    <x:row r="164" spans="14:20" x14ac:dyDescent="0.25">
      <x:c r="N164" s="24"/>
      <x:c r="O164" s="24"/>
      <x:c r="Q164" s="24"/>
      <x:c r="T164" s="24"/>
    </x:row>
    <x:row r="165" spans="14:20" x14ac:dyDescent="0.25">
      <x:c r="Q165" s="24"/>
      <x:c r="T165" s="24"/>
    </x:row>
    <x:row r="166" spans="14:20" x14ac:dyDescent="0.25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5" x14ac:dyDescent="0.25"/>
  <x:cols>
    <x:col min="1" max="1" width="3" customWidth="1"/>
    <x:col min="2" max="2" width="4.1796875" bestFit="1" customWidth="1"/>
    <x:col min="3" max="3" width="16.81640625" customWidth="1"/>
    <x:col min="4" max="4" width="14.1796875" customWidth="1"/>
    <x:col min="5" max="7" width="17.81640625" customWidth="1"/>
    <x:col min="8" max="8" width="18.1796875" customWidth="1"/>
    <x:col min="9" max="9" width="15.81640625" customWidth="1"/>
    <x:col min="10" max="10" width="16.453125" customWidth="1"/>
    <x:col min="11" max="11" width="15.81640625" customWidth="1"/>
    <x:col min="12" max="13" width="18.1796875" customWidth="1"/>
    <x:col min="14" max="14" width="15.81640625" customWidth="1"/>
    <x:col min="15" max="15" width="14.1796875" customWidth="1"/>
    <x:col min="16" max="16" width="14.453125" customWidth="1"/>
  </x:cols>
  <x:sheetData>
    <x:row r="1" spans="2:16" ht="13" thickBot="1" x14ac:dyDescent="0.3"/>
    <x:row r="2" spans="2:16" ht="35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24231760</x:v>
      </x:c>
      <x:c r="D4" s="292">
        <x:f>'REMUNERACION Reciprocidad EAAB'!G126</x:f>
        <x:v>0</x:v>
      </x:c>
      <x:c r="E4" s="292">
        <x:f>'REMUNERACION Reciprocidad EAAB'!D29+'REMUNERACION Reciprocidad EAAB'!N29</x:f>
        <x:v>35414329.289999992</x:v>
      </x:c>
      <x:c r="F4" s="292">
        <x:f>'REMUNERACION Reciprocidad EAAB'!I143</x:f>
        <x:v>0</x:v>
      </x:c>
      <x:c r="G4" s="292">
        <x:f>'REMUNERACION Reciprocidad EAAB'!H143</x:f>
        <x:v>216025.77</x:v>
      </x:c>
      <x:c r="H4" s="340">
        <x:f t="shared" ref="H4:H8" si="1">SUM(C4:G4)</x:f>
        <x:v>59862115.059999995</x:v>
      </x:c>
      <x:c r="I4" s="291">
        <x:f>'REMUNERACION Reciprocidad EAAB'!D105</x:f>
        <x:v>47041595.059999995</x:v>
      </x:c>
      <x:c r="J4" s="292">
        <x:f>'REMUNERACION Reciprocidad EAAB'!N105</x:f>
        <x:v>0</x:v>
      </x:c>
      <x:c r="K4" s="292">
        <x:f>'REMUNERACION Reciprocidad EAAB'!D126</x:f>
        <x:v>12820520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59862115.059999995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15885640</x:v>
      </x:c>
      <x:c r="D6" s="292">
        <x:f>'REMUNERACION Reciprocidad EAAB'!G128</x:f>
        <x:v>41900</x:v>
      </x:c>
      <x:c r="E6" s="292">
        <x:f>'REMUNERACION Reciprocidad EAAB'!D31+'REMUNERACION Reciprocidad EAAB'!N31</x:f>
        <x:v>66508368.82</x:v>
      </x:c>
      <x:c r="F6" s="292">
        <x:f>'REMUNERACION Reciprocidad EAAB'!I145</x:f>
        <x:v>0</x:v>
      </x:c>
      <x:c r="G6" s="292">
        <x:f>'REMUNERACION Reciprocidad EAAB'!H145</x:f>
        <x:v>35954.44</x:v>
      </x:c>
      <x:c r="H6" s="340">
        <x:f t="shared" si="1"/>
        <x:v>82471863.25999999</x:v>
      </x:c>
      <x:c r="I6" s="291">
        <x:f>'REMUNERACION Reciprocidad EAAB'!D107</x:f>
        <x:v>71467043.25999999</x:v>
      </x:c>
      <x:c r="J6" s="292">
        <x:f>'REMUNERACION Reciprocidad EAAB'!N107</x:f>
        <x:v>0</x:v>
      </x:c>
      <x:c r="K6" s="292">
        <x:f>'REMUNERACION Reciprocidad EAAB'!D128</x:f>
        <x:v>10268790</x:v>
      </x:c>
      <x:c r="L6" s="353">
        <x:f>'REMUNERACION Reciprocidad EAAB'!E128</x:f>
        <x:v>0</x:v>
      </x:c>
      <x:c r="M6" s="292">
        <x:f>-'REMUNERACION Reciprocidad EAAB'!D69-'REMUNERACION Reciprocidad EAAB'!N69</x:f>
        <x:v>736030</x:v>
      </x:c>
      <x:c r="N6" s="318">
        <x:f t="shared" ref="N6:N7" si="3">SUM(I6:M6)</x:f>
        <x:v>82471863.25999999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" thickBot="1" x14ac:dyDescent="0.3">
      <x:c r="B9" s="327"/>
      <x:c r="C9" s="290">
        <x:f>SUM(C3:C8)</x:f>
        <x:v>40117400</x:v>
      </x:c>
      <x:c r="D9" s="290">
        <x:f t="shared" ref="D9:M9" si="4">SUM(D3:D8)</x:f>
        <x:v>41900</x:v>
      </x:c>
      <x:c r="E9" s="290">
        <x:f>SUM(E3:E8)</x:f>
        <x:v>101922698.10999998</x:v>
      </x:c>
      <x:c r="F9" s="290">
        <x:f t="shared" si="4"/>
        <x:v>0</x:v>
      </x:c>
      <x:c r="G9" s="290">
        <x:f t="shared" si="4"/>
        <x:v>251980.21</x:v>
      </x:c>
      <x:c r="H9" s="290">
        <x:f t="shared" si="4"/>
        <x:v>142333978.31999999</x:v>
      </x:c>
      <x:c r="I9" s="290">
        <x:f t="shared" si="4"/>
        <x:v>118508638.31999999</x:v>
      </x:c>
      <x:c r="J9" s="290">
        <x:f t="shared" si="4"/>
        <x:v>0</x:v>
      </x:c>
      <x:c r="K9" s="290">
        <x:f t="shared" si="4"/>
        <x:v>23089310</x:v>
      </x:c>
      <x:c r="L9" s="290">
        <x:f t="shared" si="4"/>
        <x:v>0</x:v>
      </x:c>
      <x:c r="M9" s="290">
        <x:f t="shared" si="4"/>
        <x:v>736030</x:v>
      </x:c>
      <x:c r="N9" s="290">
        <x:f>SUM(N3:N8)</x:f>
        <x:v>142333978.31999999</x:v>
      </x:c>
      <x:c r="O9" s="359">
        <x:f>SUM(O3:O8)</x:f>
        <x:v>0</x:v>
      </x:c>
      <x:c r="P9" s="1" t="b">
        <x:f t="shared" si="2"/>
        <x:v>1</x:v>
      </x:c>
    </x:row>
    <x:row r="11" spans="2:16" ht="13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40117400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6.54296875" style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9.453125" style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9.81640625" style="1" customWidth="1"/>
    <x:col min="34" max="34" width="13.81640625" style="1" customWidth="1"/>
    <x:col min="35" max="35" width="3.453125" style="1" customWidth="1"/>
    <x:col min="36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">
      <x:c r="B7" s="8"/>
      <x:c r="C7" s="599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69.5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5">
      <x:c r="B10" s="16">
        <x:v>2</x:v>
      </x:c>
      <x:c r="C10" s="62" t="s">
        <x:v>11</x:v>
      </x:c>
      <x:c r="D10" s="66">
        <x:f>'REMUNERACION Reciprocidad EAAB'!D105</x:f>
        <x:v>47041595.059999995</x:v>
      </x:c>
      <x:c r="E10" s="66">
        <x:f>'REMUNERACION Reciprocidad EAAB'!E105</x:f>
        <x:v>4095120.52</x:v>
      </x:c>
      <x:c r="F10" s="66">
        <x:f>'REMUNERACION Reciprocidad EAAB'!F105</x:f>
        <x:v>2274787</x:v>
      </x:c>
      <x:c r="G10" s="66">
        <x:f>'REMUNERACION Reciprocidad EAAB'!G105</x:f>
        <x:v>1028626.41</x:v>
      </x:c>
      <x:c r="H10" s="66">
        <x:f>'REMUNERACION Reciprocidad EAAB'!H105</x:f>
        <x:v>18268033.049999997</x:v>
      </x:c>
      <x:c r="I10" s="66">
        <x:f>'REMUNERACION Reciprocidad EAAB'!I105</x:f>
        <x:v>535415.67000000004</x:v>
      </x:c>
      <x:c r="J10" s="66">
        <x:f>'REMUNERACION Reciprocidad EAAB'!J105</x:f>
        <x:v>0</x:v>
      </x:c>
      <x:c r="K10" s="31">
        <x:f t="shared" ref="K10:K13" si="0">D10-E10-F10-G10-H10-I10-J10</x:f>
        <x:v>20839612.409999996</x:v>
      </x:c>
      <x:c r="L10" s="66">
        <x:f>'REMUNERACION Reciprocidad EAAB'!L105</x:f>
        <x:v>0</x:v>
      </x:c>
      <x:c r="M10" s="31">
        <x:f>K10-L10</x:f>
        <x:v>20839612.409999996</x:v>
      </x:c>
      <x:c r="N10" s="66">
        <x:f>'REMUNERACION Reciprocidad EAAB'!N105</x:f>
        <x:v>0</x:v>
      </x:c>
      <x:c r="O10" s="31">
        <x:f t="shared" ref="O10:O13" si="1">M10+N10</x:f>
        <x:v>20839612.409999996</x:v>
      </x:c>
      <x:c r="Q10" s="4"/>
      <x:c r="S10" s="16">
        <x:v>2</x:v>
      </x:c>
      <x:c r="T10" s="62" t="s">
        <x:v>11</x:v>
      </x:c>
      <x:c r="U10" s="66">
        <x:f>'REMUNERACION Reciprocidad EAAB'!U105</x:f>
        <x:v>4831656.13</x:v>
      </x:c>
      <x:c r="V10" s="66">
        <x:f>'REMUNERACION Reciprocidad EAAB'!V105</x:f>
        <x:v>5407389.7400000002</x:v>
      </x:c>
      <x:c r="W10" s="66">
        <x:f>'REMUNERACION Reciprocidad EAAB'!W105</x:f>
        <x:v>20054944.010000002</x:v>
      </x:c>
      <x:c r="X10" s="66">
        <x:f>'REMUNERACION Reciprocidad EAAB'!X105</x:f>
        <x:v>11013548.23</x:v>
      </x:c>
      <x:c r="Y10" s="66">
        <x:f>'REMUNERACION Reciprocidad EAAB'!Y105</x:f>
        <x:v>712165.05</x:v>
      </x:c>
      <x:c r="Z10" s="66">
        <x:f>'REMUNERACION Reciprocidad EAAB'!Z105</x:f>
        <x:v>0</x:v>
      </x:c>
      <x:c r="AA10" s="66">
        <x:f>'REMUNERACION Reciprocidad EAAB'!AA105</x:f>
        <x:v>42.75</x:v>
      </x:c>
      <x:c r="AB10" s="66">
        <x:f>'REMUNERACION Reciprocidad EAAB'!AB105</x:f>
        <x:v>0</x:v>
      </x:c>
      <x:c r="AC10" s="66">
        <x:f>'REMUNERACION Reciprocidad EAAB'!AC105</x:f>
        <x:v>-7.0000000000000007E-2</x:v>
      </x:c>
      <x:c r="AD10" s="66">
        <x:f>'REMUNERACION Reciprocidad EAAB'!AD105</x:f>
        <x:v>-21180133.430000003</x:v>
      </x:c>
      <x:c r="AE10" s="66">
        <x:f>'REMUNERACION Reciprocidad EAAB'!AE105</x:f>
        <x:v>-21180133.430000003</x:v>
      </x:c>
      <x:c r="AF10" s="70">
        <x:f>SUM(U10:AD10)</x:f>
        <x:v>20839612.409999993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5">
      <x:c r="B12" s="16">
        <x:v>4</x:v>
      </x:c>
      <x:c r="C12" s="62" t="s">
        <x:v>13</x:v>
      </x:c>
      <x:c r="D12" s="66">
        <x:f>'REMUNERACION Reciprocidad EAAB'!D107</x:f>
        <x:v>71467043.25999999</x:v>
      </x:c>
      <x:c r="E12" s="66">
        <x:f>'REMUNERACION Reciprocidad EAAB'!E107</x:f>
        <x:v>9337119.6800000016</x:v>
      </x:c>
      <x:c r="F12" s="66">
        <x:f>'REMUNERACION Reciprocidad EAAB'!F107</x:f>
        <x:v>5227614.95</x:v>
      </x:c>
      <x:c r="G12" s="66">
        <x:f>'REMUNERACION Reciprocidad EAAB'!G107</x:f>
        <x:v>1095011.2200000002</x:v>
      </x:c>
      <x:c r="H12" s="66">
        <x:f>'REMUNERACION Reciprocidad EAAB'!H107</x:f>
        <x:v>8931941.6099999994</x:v>
      </x:c>
      <x:c r="I12" s="66">
        <x:f>'REMUNERACION Reciprocidad EAAB'!I107</x:f>
        <x:v>265264.06</x:v>
      </x:c>
      <x:c r="J12" s="66">
        <x:f>'REMUNERACION Reciprocidad EAAB'!J107</x:f>
        <x:v>0</x:v>
      </x:c>
      <x:c r="K12" s="31">
        <x:f t="shared" si="0"/>
        <x:v>46610091.739999987</x:v>
      </x:c>
      <x:c r="L12" s="66">
        <x:f>'REMUNERACION Reciprocidad EAAB'!L107</x:f>
        <x:v>0</x:v>
      </x:c>
      <x:c r="M12" s="31">
        <x:f>K12-L12</x:f>
        <x:v>46610091.739999987</x:v>
      </x:c>
      <x:c r="N12" s="66">
        <x:f>'REMUNERACION Reciprocidad EAAB'!N107</x:f>
        <x:v>0</x:v>
      </x:c>
      <x:c r="O12" s="31">
        <x:f t="shared" si="1"/>
        <x:v>46610091.739999987</x:v>
      </x:c>
      <x:c r="Q12" s="4"/>
      <x:c r="S12" s="16">
        <x:v>4</x:v>
      </x:c>
      <x:c r="T12" s="62" t="s">
        <x:v>13</x:v>
      </x:c>
      <x:c r="U12" s="66">
        <x:f>'REMUNERACION Reciprocidad EAAB'!U107</x:f>
        <x:v>2506113.27</x:v>
      </x:c>
      <x:c r="V12" s="66">
        <x:f>'REMUNERACION Reciprocidad EAAB'!V107</x:f>
        <x:v>2730225.84</x:v>
      </x:c>
      <x:c r="W12" s="66">
        <x:f>'REMUNERACION Reciprocidad EAAB'!W107</x:f>
        <x:v>12255014.02</x:v>
      </x:c>
      <x:c r="X12" s="66">
        <x:f>'REMUNERACION Reciprocidad EAAB'!X107</x:f>
        <x:v>25300845.309999999</x:v>
      </x:c>
      <x:c r="Y12" s="66">
        <x:f>'REMUNERACION Reciprocidad EAAB'!Y107</x:f>
        <x:v>393638.25</x:v>
      </x:c>
      <x:c r="Z12" s="66">
        <x:f>'REMUNERACION Reciprocidad EAAB'!Z107</x:f>
        <x:v>0</x:v>
      </x:c>
      <x:c r="AA12" s="66">
        <x:f>'REMUNERACION Reciprocidad EAAB'!AA107</x:f>
        <x:v>52.11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3424202.94</x:v>
      </x:c>
      <x:c r="AE12" s="66">
        <x:f>'REMUNERACION Reciprocidad EAAB'!AE107</x:f>
        <x:v>3424202.94</x:v>
      </x:c>
      <x:c r="AF12" s="70">
        <x:f>SUM(U12:AD12)</x:f>
        <x:v>46610091.739999995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35">
      <x:c r="B14" s="21"/>
      <x:c r="C14" s="22" t="s">
        <x:v>2</x:v>
      </x:c>
      <x:c r="D14" s="43">
        <x:f t="shared" ref="D14:O14" si="3">SUM(D9:D13)</x:f>
        <x:v>118508638.31999999</x:v>
      </x:c>
      <x:c r="E14" s="43">
        <x:f t="shared" si="3"/>
        <x:v>13432240.200000001</x:v>
      </x:c>
      <x:c r="F14" s="43">
        <x:f t="shared" si="3"/>
        <x:v>7502401.9500000002</x:v>
      </x:c>
      <x:c r="G14" s="43">
        <x:f t="shared" si="3"/>
        <x:v>2123637.6300000004</x:v>
      </x:c>
      <x:c r="H14" s="43">
        <x:f t="shared" si="3"/>
        <x:v>27199974.659999996</x:v>
      </x:c>
      <x:c r="I14" s="43">
        <x:f t="shared" si="3"/>
        <x:v>800679.73</x:v>
      </x:c>
      <x:c r="J14" s="43">
        <x:f t="shared" si="3"/>
        <x:v>0</x:v>
      </x:c>
      <x:c r="K14" s="32">
        <x:f t="shared" si="3"/>
        <x:v>67449704.149999976</x:v>
      </x:c>
      <x:c r="L14" s="23">
        <x:f t="shared" si="3"/>
        <x:v>0</x:v>
      </x:c>
      <x:c r="M14" s="76">
        <x:f t="shared" si="3"/>
        <x:v>67449704.149999976</x:v>
      </x:c>
      <x:c r="N14" s="23">
        <x:f t="shared" si="3"/>
        <x:v>0</x:v>
      </x:c>
      <x:c r="O14" s="76">
        <x:f t="shared" si="3"/>
        <x:v>67449704.149999976</x:v>
      </x:c>
      <x:c r="P14" s="2"/>
      <x:c r="Q14" s="4"/>
      <x:c r="S14" s="21"/>
      <x:c r="T14" s="22" t="s">
        <x:v>2</x:v>
      </x:c>
      <x:c r="U14" s="43">
        <x:f>SUM(U9:U13)</x:f>
        <x:v>7337769.4000000004</x:v>
      </x:c>
      <x:c r="V14" s="43">
        <x:f t="shared" ref="V14:AG14" si="4">SUM(V9:V13)</x:f>
        <x:v>8137615.5800000001</x:v>
      </x:c>
      <x:c r="W14" s="43">
        <x:f t="shared" si="4"/>
        <x:v>32309958.030000001</x:v>
      </x:c>
      <x:c r="X14" s="43">
        <x:f t="shared" si="4"/>
        <x:v>36314393.539999999</x:v>
      </x:c>
      <x:c r="Y14" s="43">
        <x:f t="shared" si="4"/>
        <x:v>1105803.3</x:v>
      </x:c>
      <x:c r="Z14" s="43">
        <x:f t="shared" si="4"/>
        <x:v>0</x:v>
      </x:c>
      <x:c r="AA14" s="43">
        <x:f t="shared" si="4"/>
        <x:v>94.86</x:v>
      </x:c>
      <x:c r="AB14" s="43">
        <x:f t="shared" si="4"/>
        <x:v>0</x:v>
      </x:c>
      <x:c r="AC14" s="43">
        <x:f t="shared" si="4"/>
        <x:v>-7.0000000000000007E-2</x:v>
      </x:c>
      <x:c r="AD14" s="43">
        <x:f t="shared" si="4"/>
        <x:v>-17755930.490000002</x:v>
      </x:c>
      <x:c r="AE14" s="43">
        <x:f>SUM(AE9:AE13)</x:f>
        <x:v>-17755930.490000002</x:v>
      </x:c>
      <x:c r="AF14" s="68">
        <x:f t="shared" si="4"/>
        <x:v>67449704.149999991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85205539.850000009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">
      <x:c r="Q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" x14ac:dyDescent="0.3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5" x14ac:dyDescent="0.3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5">
      <x:c r="B25" s="8"/>
      <x:c r="I25" s="2"/>
      <x:c r="J25" s="2"/>
      <x:c r="O25" s="10"/>
      <x:c r="P25" s="2"/>
      <x:c r="Q25" s="4"/>
    </x:row>
    <x:row r="26" spans="1:35" ht="15.5" x14ac:dyDescent="0.3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5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5" thickBot="1" x14ac:dyDescent="0.3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5">
      <x:c r="B31" s="16">
        <x:v>2</x:v>
      </x:c>
      <x:c r="C31" s="17" t="s">
        <x:v>11</x:v>
      </x:c>
      <x:c r="D31" s="15">
        <x:f>'REMUNERACION Reciprocidad EAAB'!D126</x:f>
        <x:v>12820520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35414329.289999992</x:v>
      </x:c>
      <x:c r="I31" s="288">
        <x:f>'REMUNERACION Reciprocidad EAAB'!I126</x:f>
        <x:v>216025.77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5">
      <x:c r="B33" s="16">
        <x:v>4</x:v>
      </x:c>
      <x:c r="C33" s="17" t="s">
        <x:v>13</x:v>
      </x:c>
      <x:c r="D33" s="15">
        <x:f>'REMUNERACION Reciprocidad EAAB'!D128</x:f>
        <x:v>10268790</x:v>
      </x:c>
      <x:c r="E33" s="74">
        <x:f>'REMUNERACION Reciprocidad EAAB'!E128</x:f>
        <x:v>0</x:v>
      </x:c>
      <x:c r="G33" s="339">
        <x:f>'REMUNERACION Reciprocidad EAAB'!G128</x:f>
        <x:v>41900</x:v>
      </x:c>
      <x:c r="H33" s="340">
        <x:f>'REMUNERACION Reciprocidad EAAB'!H128</x:f>
        <x:v>66508368.82</x:v>
      </x:c>
      <x:c r="I33" s="288">
        <x:f>'REMUNERACION Reciprocidad EAAB'!I128</x:f>
        <x:v>35954.44</x:v>
      </x:c>
      <x:c r="J33" s="288">
        <x:f>'REMUNERACION Reciprocidad EAAB'!J128</x:f>
        <x:v>-736030</x:v>
      </x:c>
      <x:c r="K33" s="288">
        <x:f>'REMUNERACION Reciprocidad EAAB'!K128</x:f>
        <x:v>694130</x:v>
      </x:c>
      <x:c r="L33" s="288">
        <x:f>'REMUNERACION Reciprocidad EAAB'!L128</x:f>
        <x:v>0</x:v>
      </x:c>
      <x:c r="O33" s="44"/>
      <x:c r="Q33" s="4"/>
    </x:row>
    <x:row r="34" spans="1:20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">
      <x:c r="B36" s="95"/>
      <x:c r="C36" s="106" t="s">
        <x:v>2</x:v>
      </x:c>
      <x:c r="D36" s="107">
        <x:f>SUM(D30:D34)</x:f>
        <x:v>23089310</x:v>
      </x:c>
      <x:c r="E36" s="107">
        <x:f>'REMUNERACION Reciprocidad EAAB'!E131</x:f>
        <x:v>0</x:v>
      </x:c>
      <x:c r="F36" s="45"/>
      <x:c r="G36" s="350">
        <x:f t="shared" ref="G36:L36" si="5">SUM(G30:G34)</x:f>
        <x:v>41900</x:v>
      </x:c>
      <x:c r="H36" s="350">
        <x:f t="shared" si="5"/>
        <x:v>101922698.10999998</x:v>
      </x:c>
      <x:c r="I36" s="350">
        <x:f t="shared" si="5"/>
        <x:v>251980.21</x:v>
      </x:c>
      <x:c r="J36" s="350">
        <x:f t="shared" si="5"/>
        <x:v>-736030</x:v>
      </x:c>
      <x:c r="K36" s="350">
        <x:f t="shared" si="5"/>
        <x:v>694130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5">
      <x:c r="B37" s="2"/>
      <x:c r="C37" s="2"/>
      <x:c r="D37" s="24"/>
      <x:c r="Q37" s="4"/>
    </x:row>
    <x:row r="38" spans="1:20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5">
      <x:c r="N42" s="24"/>
      <x:c r="O42" s="24"/>
      <x:c r="Q42" s="24"/>
      <x:c r="T42" s="24"/>
    </x:row>
    <x:row r="43" spans="1:20" x14ac:dyDescent="0.25">
      <x:c r="N43" s="24"/>
      <x:c r="O43" s="24"/>
      <x:c r="Q43" s="24"/>
      <x:c r="T43" s="24"/>
    </x:row>
    <x:row r="44" spans="1:20" x14ac:dyDescent="0.25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5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5">
      <x:c r="N46" s="24"/>
      <x:c r="O46" s="24"/>
      <x:c r="Q46" s="24"/>
      <x:c r="T46" s="24"/>
    </x:row>
    <x:row r="47" spans="1:20" x14ac:dyDescent="0.25">
      <x:c r="N47" s="24"/>
      <x:c r="O47" s="24"/>
      <x:c r="Q47" s="24"/>
      <x:c r="T47" s="24"/>
    </x:row>
    <x:row r="48" spans="1:20" x14ac:dyDescent="0.25">
      <x:c r="N48" s="24"/>
      <x:c r="O48" s="24"/>
      <x:c r="Q48" s="24"/>
      <x:c r="T48" s="24"/>
    </x:row>
    <x:row r="49" spans="14:20" x14ac:dyDescent="0.25">
      <x:c r="N49" s="24"/>
      <x:c r="O49" s="24"/>
      <x:c r="Q49" s="24"/>
      <x:c r="T49" s="24"/>
    </x:row>
    <x:row r="50" spans="14:20" x14ac:dyDescent="0.25">
      <x:c r="N50" s="24"/>
      <x:c r="O50" s="24"/>
      <x:c r="Q50" s="24"/>
      <x:c r="T50" s="24"/>
    </x:row>
    <x:row r="51" spans="14:20" x14ac:dyDescent="0.25">
      <x:c r="Q51" s="24"/>
      <x:c r="T51" s="24"/>
    </x:row>
    <x:row r="52" spans="14:20" x14ac:dyDescent="0.25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U27" zoomScaleNormal="100" workbookViewId="0">
      <x:selection activeCell="AC54" sqref="AC54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9" width="16" style="1" customWidth="1"/>
    <x:col min="10" max="10" width="15.54296875" style="1" customWidth="1"/>
    <x:col min="11" max="11" width="17.54296875" style="1" customWidth="1"/>
    <x:col min="12" max="12" width="19.81640625" style="1" bestFit="1" customWidth="1"/>
    <x:col min="13" max="13" width="21" style="1" bestFit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16384" width="11.453125" style="1"/>
  </x:cols>
  <x:sheetData>
    <x:row r="1" spans="1:35" ht="12" thickBot="1" x14ac:dyDescent="0.3">
      <x:c r="A1" s="241"/>
      <x:c r="Q1" s="4"/>
      <x:c r="AI1" s="4"/>
    </x:row>
    <x:row r="2" spans="1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5" x14ac:dyDescent="0.35">
      <x:c r="B6" s="8"/>
      <x:c r="C6" s="599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">
      <x:c r="B7" s="8"/>
      <x:c r="C7" s="599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226</x:v>
      </x:c>
      <x:c r="AF8" s="39" t="s">
        <x:v>23</x:v>
      </x:c>
      <x:c r="AG8" s="13"/>
      <x:c r="AI8" s="4"/>
    </x:row>
    <x:row r="9" spans="1:35" s="305" customFormat="1" x14ac:dyDescent="0.25">
      <x:c r="B9" s="303">
        <x:v>1</x:v>
      </x:c>
      <x:c r="C9" s="304" t="s">
        <x:v>10</x:v>
      </x:c>
      <x:c r="D9" s="291">
        <x:f>'Reporte Componentes R1'!F60</x:f>
        <x:v>16560599150.5</x:v>
      </x:c>
      <x:c r="E9" s="292">
        <x:f>'Reporte Componentes R1'!G60</x:f>
        <x:v>801645029.27999997</x:v>
      </x:c>
      <x:c r="F9" s="292">
        <x:f>'Reporte Componentes R1'!H60</x:f>
        <x:v>452328892.93000001</x:v>
      </x:c>
      <x:c r="G9" s="292">
        <x:f>'Reporte Componentes R1'!I60</x:f>
        <x:v>237653152.88</x:v>
      </x:c>
      <x:c r="H9" s="292">
        <x:f>'Reporte Componentes R1'!J60</x:f>
        <x:v>3743398457.3299999</x:v>
      </x:c>
      <x:c r="I9" s="292">
        <x:f>'Reporte Componentes R1'!K60</x:f>
        <x:v>131909206.38000001</x:v>
      </x:c>
      <x:c r="J9" s="292">
        <x:f>'CONSOLIDADO_TOTAL RECAUDO'!J9</x:f>
        <x:v>-3589454665.5499997</x:v>
      </x:c>
      <x:c r="K9" s="293">
        <x:f>D9-E9-F9-G9-H9-I9-J9</x:f>
        <x:v>14783119077.25</x:v>
      </x:c>
      <x:c r="L9" s="294">
        <x:f>'CONSOLIDADO_TOTAL RECAUDO'!L9</x:f>
        <x:v>189185988</x:v>
      </x:c>
      <x:c r="M9" s="293">
        <x:f>K9-L9</x:f>
        <x:v>14593933089.25</x:v>
      </x:c>
      <x:c r="N9" s="294">
        <x:f>'Reporte Componentes R1'!L60</x:f>
        <x:v>16516492.25</x:v>
      </x:c>
      <x:c r="O9" s="293">
        <x:f>M9+N9</x:f>
        <x:v>14610449581.5</x:v>
      </x:c>
      <x:c r="Q9" s="306"/>
      <x:c r="S9" s="303">
        <x:v>1</x:v>
      </x:c>
      <x:c r="T9" s="304" t="s">
        <x:v>10</x:v>
      </x:c>
      <x:c r="U9" s="307">
        <x:f>'Reporte Componentes R1'!M60</x:f>
        <x:v>1160554403.1900001</x:v>
      </x:c>
      <x:c r="V9" s="308">
        <x:f>'Reporte Componentes R1'!N60</x:f>
        <x:v>1113470084.8499999</x:v>
      </x:c>
      <x:c r="W9" s="308">
        <x:f>'Reporte Componentes R1'!O60</x:f>
        <x:v>5271166494.5799999</x:v>
      </x:c>
      <x:c r="X9" s="308">
        <x:f>'Reporte Componentes R1'!P60</x:f>
        <x:v>2172128352.0600004</x:v>
      </x:c>
      <x:c r="Y9" s="309">
        <x:f>'Reporte Componentes R1'!Q60</x:f>
        <x:v>215238429.09999999</x:v>
      </x:c>
      <x:c r="Z9" s="310">
        <x:f>L9*-1</x:f>
        <x:v>-189185988</x:v>
      </x:c>
      <x:c r="AA9" s="311">
        <x:f>'Reporte Componentes R1'!R60+'Reporte Componentes R1'!V60+'Reporte Componentes R1'!U60</x:f>
        <x:v>-16764.259999999998</x:v>
      </x:c>
      <x:c r="AB9" s="294">
        <x:f>N9</x:f>
        <x:v>16516492.25</x:v>
      </x:c>
      <x:c r="AC9" s="311">
        <x:f>'Reporte Componentes R1'!T60+'Reporte Componentes R1'!W60+'Reporte Componentes R1'!X60+'Reporte Componentes R1'!Y60+'Reporte Componentes R1'!Z60+'Reporte Componentes R1'!S60</x:f>
        <x:v>521.77</x:v>
      </x:c>
      <x:c r="AD9" s="291">
        <x:f>-J9+AE9</x:f>
        <x:v>4850577555.96</x:v>
      </x:c>
      <x:c r="AE9" s="291">
        <x:f>'Reporte Componentes R1'!F61</x:f>
        <x:v>1261122890.4100001</x:v>
      </x:c>
      <x:c r="AF9" s="313">
        <x:f>SUM(U9:AD9)</x:f>
        <x:v>14610449581.5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5">
      <x:c r="B10" s="314">
        <x:v>2</x:v>
      </x:c>
      <x:c r="C10" s="315" t="s">
        <x:v>11</x:v>
      </x:c>
      <x:c r="D10" s="291">
        <x:f>'Reporte Componentes R1'!F204</x:f>
        <x:v>19023525223.110004</x:v>
      </x:c>
      <x:c r="E10" s="292">
        <x:f>'Reporte Componentes R1'!G204</x:f>
        <x:v>1400142290.9300001</x:v>
      </x:c>
      <x:c r="F10" s="292">
        <x:f>'Reporte Componentes R1'!H204</x:f>
        <x:v>785434828.66999996</x:v>
      </x:c>
      <x:c r="G10" s="292">
        <x:f>'Reporte Componentes R1'!I204</x:f>
        <x:v>411976719.89000005</x:v>
      </x:c>
      <x:c r="H10" s="292">
        <x:f>'Reporte Componentes R1'!J204</x:f>
        <x:v>5566978557.3000002</x:v>
      </x:c>
      <x:c r="I10" s="292">
        <x:f>'Reporte Componentes R1'!K204</x:f>
        <x:v>215502798.99000001</x:v>
      </x:c>
      <x:c r="J10" s="292">
        <x:f>'CONSOLIDADO_TOTAL RECAUDO'!J10</x:f>
        <x:v>-3241193714.1100001</x:v>
      </x:c>
      <x:c r="K10" s="295">
        <x:f>D10-E10-F10-G10-H10-I10-J10</x:f>
        <x:v>13884683741.440004</x:v>
      </x:c>
      <x:c r="L10" s="294">
        <x:f>'CONSOLIDADO_TOTAL RECAUDO'!L10</x:f>
        <x:v>266580256</x:v>
      </x:c>
      <x:c r="M10" s="295">
        <x:f>K10-L10</x:f>
        <x:v>13618103485.440004</x:v>
      </x:c>
      <x:c r="N10" s="294">
        <x:f>'Reporte Componentes R1'!L204</x:f>
        <x:v>24273229.890000001</x:v>
      </x:c>
      <x:c r="O10" s="295">
        <x:f t="shared" ref="O10:O12" si="0">M10+N10</x:f>
        <x:v>13642376715.330004</x:v>
      </x:c>
      <x:c r="Q10" s="306"/>
      <x:c r="S10" s="314">
        <x:v>2</x:v>
      </x:c>
      <x:c r="T10" s="315" t="s">
        <x:v>11</x:v>
      </x:c>
      <x:c r="U10" s="316">
        <x:f>'Reporte Componentes R1'!M204</x:f>
        <x:v>1888691595.8999999</x:v>
      </x:c>
      <x:c r="V10" s="317">
        <x:f>'Reporte Componentes R1'!N204</x:f>
        <x:v>1865131607.0600002</x:v>
      </x:c>
      <x:c r="W10" s="317">
        <x:f>'Reporte Componentes R1'!O204</x:f>
        <x:v>8796190172.9300003</x:v>
      </x:c>
      <x:c r="X10" s="317">
        <x:f>'Reporte Componentes R1'!P204</x:f>
        <x:v>2757907535.29</x:v>
      </x:c>
      <x:c r="Y10" s="318">
        <x:f>'Reporte Componentes R1'!Q204</x:f>
        <x:v>352119526.00999999</x:v>
      </x:c>
      <x:c r="Z10" s="319">
        <x:f>L10*-1</x:f>
        <x:v>-266580256</x:v>
      </x:c>
      <x:c r="AA10" s="320">
        <x:f>'Reporte Componentes R1'!R204+'Reporte Componentes R1'!V204+'Reporte Componentes R1'!U204</x:f>
        <x:v>89964.42</x:v>
      </x:c>
      <x:c r="AB10" s="294">
        <x:f>N10</x:f>
        <x:v>24273229.890000001</x:v>
      </x:c>
      <x:c r="AC10" s="320">
        <x:f>'Reporte Componentes R1'!T204+'Reporte Componentes R1'!W204+'Reporte Componentes R1'!X204+'Reporte Componentes R1'!Y204+'Reporte Componentes R1'!Z204+'Reporte Componentes R1'!S204</x:f>
        <x:v>-109.61</x:v>
      </x:c>
      <x:c r="AD10" s="291">
        <x:f t="shared" ref="AD10:AD13" si="1">-J10+AE10</x:f>
        <x:v>-1775446550.5599999</x:v>
      </x:c>
      <x:c r="AE10" s="291">
        <x:f>'Reporte Componentes R1'!F205</x:f>
        <x:v>-5016640264.6700001</x:v>
      </x:c>
      <x:c r="AF10" s="322">
        <x:f>SUM(U10:AD10)</x:f>
        <x:v>13642376715.33</x:v>
      </x:c>
      <x:c r="AG10" s="323">
        <x:f>(AF10-O10)</x:f>
        <x:v>-3.814697265625E-6</x:v>
      </x:c>
      <x:c r="AH10" s="1" t="b">
        <x:f t="shared" ref="AH10:AH14" si="2">INT(AG10)=0</x:f>
        <x:v>0</x:v>
      </x:c>
      <x:c r="AI10" s="306"/>
    </x:row>
    <x:row r="11" spans="1:35" s="305" customFormat="1" x14ac:dyDescent="0.25">
      <x:c r="B11" s="314">
        <x:v>3</x:v>
      </x:c>
      <x:c r="C11" s="315" t="s">
        <x:v>12</x:v>
      </x:c>
      <x:c r="D11" s="291">
        <x:f>'Reporte Componentes R1'!F335</x:f>
        <x:v>13997194578.870001</x:v>
      </x:c>
      <x:c r="E11" s="292">
        <x:f>'Reporte Componentes R1'!G335</x:f>
        <x:v>987122183.24000001</x:v>
      </x:c>
      <x:c r="F11" s="292">
        <x:f>'Reporte Componentes R1'!H335</x:f>
        <x:v>556797987.04999995</x:v>
      </x:c>
      <x:c r="G11" s="292">
        <x:f>'Reporte Componentes R1'!I335</x:f>
        <x:v>292504434.60000002</x:v>
      </x:c>
      <x:c r="H11" s="292">
        <x:f>'Reporte Componentes R1'!J335</x:f>
        <x:v>3384957591.0900002</x:v>
      </x:c>
      <x:c r="I11" s="292">
        <x:f>'Reporte Componentes R1'!K335</x:f>
        <x:v>124652663.64</x:v>
      </x:c>
      <x:c r="J11" s="292">
        <x:f>'CONSOLIDADO_TOTAL RECAUDO'!J11</x:f>
        <x:v>-853244564.50999999</x:v>
      </x:c>
      <x:c r="K11" s="295">
        <x:f t="shared" ref="K11:K13" si="3">D11-E11-F11-G11-H11-I11-J11</x:f>
        <x:v>9504404283.7600021</x:v>
      </x:c>
      <x:c r="L11" s="294">
        <x:f>'CONSOLIDADO_TOTAL RECAUDO'!L11</x:f>
        <x:v>154788536</x:v>
      </x:c>
      <x:c r="M11" s="295">
        <x:f>K11-L11</x:f>
        <x:v>9349615747.7600021</x:v>
      </x:c>
      <x:c r="N11" s="294">
        <x:f>'Reporte Componentes R1'!L335</x:f>
        <x:v>13007833.130000001</x:v>
      </x:c>
      <x:c r="O11" s="295">
        <x:f t="shared" si="0"/>
        <x:v>9362623580.8900013</x:v>
      </x:c>
      <x:c r="Q11" s="306"/>
      <x:c r="S11" s="314">
        <x:v>3</x:v>
      </x:c>
      <x:c r="T11" s="315" t="s">
        <x:v>12</x:v>
      </x:c>
      <x:c r="U11" s="316">
        <x:f>'Reporte Componentes R1'!M335</x:f>
        <x:v>1093234289.8399999</x:v>
      </x:c>
      <x:c r="V11" s="317">
        <x:f>'Reporte Componentes R1'!N335</x:f>
        <x:v>1073707981.87</x:v>
      </x:c>
      <x:c r="W11" s="317">
        <x:f>'Reporte Componentes R1'!O335</x:f>
        <x:v>5081970328.25</x:v>
      </x:c>
      <x:c r="X11" s="317">
        <x:f>'Reporte Componentes R1'!P335</x:f>
        <x:v>2295380517.8499999</x:v>
      </x:c>
      <x:c r="Y11" s="318">
        <x:f>'Reporte Componentes R1'!Q335</x:f>
        <x:v>203480280.53</x:v>
      </x:c>
      <x:c r="Z11" s="319">
        <x:f>L11*-1</x:f>
        <x:v>-154788536</x:v>
      </x:c>
      <x:c r="AA11" s="320">
        <x:f>'Reporte Componentes R1'!R335+'Reporte Componentes R1'!V335+'Reporte Componentes R1'!U335</x:f>
        <x:v>247498.34</x:v>
      </x:c>
      <x:c r="AB11" s="294">
        <x:f>N11</x:f>
        <x:v>13007833.130000001</x:v>
      </x:c>
      <x:c r="AC11" s="320">
        <x:f>'Reporte Componentes R1'!T335+'Reporte Componentes R1'!W335+'Reporte Componentes R1'!X335+'Reporte Componentes R1'!Y335+'Reporte Componentes R1'!Z335+'Reporte Componentes R1'!S335</x:f>
        <x:v>0.24</x:v>
      </x:c>
      <x:c r="AD11" s="291">
        <x:f t="shared" si="1"/>
        <x:v>-243616613.16000009</x:v>
      </x:c>
      <x:c r="AE11" s="291">
        <x:f>'Reporte Componentes R1'!F336</x:f>
        <x:v>-1096861177.6700001</x:v>
      </x:c>
      <x:c r="AF11" s="322">
        <x:f t="shared" ref="AF11:AF13" si="4">SUM(U11:AD11)</x:f>
        <x:v>9362623580.8899994</x:v>
      </x:c>
      <x:c r="AG11" s="323">
        <x:f>(AF11-O11)</x:f>
        <x:v>-1.9073486328125E-6</x:v>
      </x:c>
      <x:c r="AH11" s="1" t="b">
        <x:f t="shared" si="2"/>
        <x:v>0</x:v>
      </x:c>
      <x:c r="AI11" s="306"/>
    </x:row>
    <x:row r="12" spans="1:35" s="305" customFormat="1" x14ac:dyDescent="0.25">
      <x:c r="B12" s="314">
        <x:v>4</x:v>
      </x:c>
      <x:c r="C12" s="315" t="s">
        <x:v>13</x:v>
      </x:c>
      <x:c r="D12" s="291">
        <x:f>'Reporte Componentes R1'!F466</x:f>
        <x:v>6584787380.4700003</x:v>
      </x:c>
      <x:c r="E12" s="292">
        <x:f>'Reporte Componentes R1'!G466</x:f>
        <x:v>408144652.49000001</x:v>
      </x:c>
      <x:c r="F12" s="292">
        <x:f>'Reporte Componentes R1'!H466</x:f>
        <x:v>228232395.09</x:v>
      </x:c>
      <x:c r="G12" s="292">
        <x:f>'Reporte Componentes R1'!I466</x:f>
        <x:v>119582094.92999999</x:v>
      </x:c>
      <x:c r="H12" s="292">
        <x:f>'Reporte Componentes R1'!J466</x:f>
        <x:v>1524594519.48</x:v>
      </x:c>
      <x:c r="I12" s="292">
        <x:f>'Reporte Componentes R1'!K466</x:f>
        <x:v>59897729.049999997</x:v>
      </x:c>
      <x:c r="J12" s="292">
        <x:f>'CONSOLIDADO_TOTAL RECAUDO'!J12</x:f>
        <x:v>-699882713.37000012</x:v>
      </x:c>
      <x:c r="K12" s="295">
        <x:f>D12-E12-F12-G12-H12-I12-J12</x:f>
        <x:v>4944218702.7999992</x:v>
      </x:c>
      <x:c r="L12" s="294">
        <x:f>'CONSOLIDADO_TOTAL RECAUDO'!L12</x:f>
        <x:v>120391083</x:v>
      </x:c>
      <x:c r="M12" s="295">
        <x:f>K12-L12</x:f>
        <x:v>4823827619.7999992</x:v>
      </x:c>
      <x:c r="N12" s="294">
        <x:f>'Reporte Componentes R1'!L466</x:f>
        <x:v>19208887.530000001</x:v>
      </x:c>
      <x:c r="O12" s="295">
        <x:f t="shared" si="0"/>
        <x:v>4843036507.329999</x:v>
      </x:c>
      <x:c r="Q12" s="306"/>
      <x:c r="S12" s="314">
        <x:v>4</x:v>
      </x:c>
      <x:c r="T12" s="315" t="s">
        <x:v>13</x:v>
      </x:c>
      <x:c r="U12" s="316">
        <x:f>'Reporte Componentes R1'!M466</x:f>
        <x:v>524397834.05000001</x:v>
      </x:c>
      <x:c r="V12" s="317">
        <x:f>'Reporte Componentes R1'!N466</x:f>
        <x:v>518689495.65999997</x:v>
      </x:c>
      <x:c r="W12" s="317">
        <x:f>'Reporte Componentes R1'!O466</x:f>
        <x:v>2657171147.7400002</x:v>
      </x:c>
      <x:c r="X12" s="317">
        <x:f>'Reporte Componentes R1'!P466</x:f>
        <x:v>1079967383.1800001</x:v>
      </x:c>
      <x:c r="Y12" s="318">
        <x:f>'Reporte Componentes R1'!Q466</x:f>
        <x:v>97939197.519999996</x:v>
      </x:c>
      <x:c r="Z12" s="319">
        <x:f>L12*-1</x:f>
        <x:v>-120391083</x:v>
      </x:c>
      <x:c r="AA12" s="320">
        <x:f>'Reporte Componentes R1'!R466+'Reporte Componentes R1'!V466+'Reporte Componentes R1'!U466</x:f>
        <x:v>-16815.95</x:v>
      </x:c>
      <x:c r="AB12" s="294">
        <x:f>N12</x:f>
        <x:v>19208887.530000001</x:v>
      </x:c>
      <x:c r="AC12" s="320">
        <x:f>'Reporte Componentes R1'!T466+'Reporte Componentes R1'!W466+'Reporte Componentes R1'!X466+'Reporte Componentes R1'!Y466+'Reporte Componentes R1'!Z466+'Reporte Componentes R1'!S466</x:f>
        <x:v>-359.5</x:v>
      </x:c>
      <x:c r="AD12" s="291">
        <x:f t="shared" si="1"/>
        <x:v>66070820.100000143</x:v>
      </x:c>
      <x:c r="AE12" s="291">
        <x:f>'Reporte Componentes R1'!F467</x:f>
        <x:v>-633811893.26999998</x:v>
      </x:c>
      <x:c r="AF12" s="322">
        <x:f t="shared" si="4"/>
        <x:v>4843036507.3300009</x:v>
      </x:c>
      <x:c r="AG12" s="323">
        <x:f>(AF12-O12)</x:f>
        <x:v>1.9073486328125E-6</x:v>
      </x:c>
      <x:c r="AH12" s="1" t="b">
        <x:f t="shared" si="2"/>
        <x:v>1</x:v>
      </x:c>
      <x:c r="AI12" s="306"/>
    </x:row>
    <x:row r="13" spans="1:35" s="305" customFormat="1" ht="12" thickBot="1" x14ac:dyDescent="0.3">
      <x:c r="B13" s="324">
        <x:v>5</x:v>
      </x:c>
      <x:c r="C13" s="325" t="s">
        <x:v>14</x:v>
      </x:c>
      <x:c r="D13" s="296">
        <x:f>'Reporte Componentes R1'!F564</x:f>
        <x:v>11701157844.9</x:v>
      </x:c>
      <x:c r="E13" s="297">
        <x:f>'Reporte Componentes R1'!G564</x:f>
        <x:v>696844795.02999997</x:v>
      </x:c>
      <x:c r="F13" s="297">
        <x:f>'Reporte Componentes R1'!H564</x:f>
        <x:v>392989640.31</x:v>
      </x:c>
      <x:c r="G13" s="297">
        <x:f>'Reporte Componentes R1'!I564</x:f>
        <x:v>206069582.44999999</x:v>
      </x:c>
      <x:c r="H13" s="297">
        <x:f>'Reporte Componentes R1'!J564</x:f>
        <x:v>2740722350.5100002</x:v>
      </x:c>
      <x:c r="I13" s="297">
        <x:f>'Reporte Componentes R1'!K564</x:f>
        <x:v>104578894.56</x:v>
      </x:c>
      <x:c r="J13" s="292">
        <x:f>'CONSOLIDADO_TOTAL RECAUDO'!J13</x:f>
        <x:v>-82959023.660000086</x:v>
      </x:c>
      <x:c r="K13" s="295">
        <x:f t="shared" si="3"/>
        <x:v>7642911605.6999979</x:v>
      </x:c>
      <x:c r="L13" s="294">
        <x:f>'CONSOLIDADO_TOTAL RECAUDO'!L13</x:f>
        <x:v>128990446</x:v>
      </x:c>
      <x:c r="M13" s="298">
        <x:f>K13-L13</x:f>
        <x:v>7513921159.6999979</x:v>
      </x:c>
      <x:c r="N13" s="299">
        <x:f>'Reporte Componentes R1'!L564</x:f>
        <x:v>8997077.0999999996</x:v>
      </x:c>
      <x:c r="O13" s="298">
        <x:f>M13+N13</x:f>
        <x:v>7522918236.7999983</x:v>
      </x:c>
      <x:c r="Q13" s="306"/>
      <x:c r="S13" s="324">
        <x:v>5</x:v>
      </x:c>
      <x:c r="T13" s="325" t="s">
        <x:v>14</x:v>
      </x:c>
      <x:c r="U13" s="296">
        <x:f>'Reporte Componentes R1'!M564</x:f>
        <x:v>916904609.30999994</x:v>
      </x:c>
      <x:c r="V13" s="297">
        <x:f>'Reporte Componentes R1'!N564</x:f>
        <x:v>898289087.46000004</x:v>
      </x:c>
      <x:c r="W13" s="297">
        <x:f>'Reporte Componentes R1'!O564</x:f>
        <x:v>4616985820.4700003</x:v>
      </x:c>
      <x:c r="X13" s="297">
        <x:f>'Reporte Componentes R1'!P564</x:f>
        <x:v>2070281460.76</x:v>
      </x:c>
      <x:c r="Y13" s="289">
        <x:f>'Reporte Componentes R1'!Q564</x:f>
        <x:v>170680332.09999999</x:v>
      </x:c>
      <x:c r="Z13" s="319">
        <x:f>L13*-1</x:f>
        <x:v>-128990446</x:v>
      </x:c>
      <x:c r="AA13" s="320">
        <x:f>'Reporte Componentes R1'!R564+'Reporte Componentes R1'!V564+'Reporte Componentes R1'!U564</x:f>
        <x:v>-147148.47</x:v>
      </x:c>
      <x:c r="AB13" s="294">
        <x:f>N13</x:f>
        <x:v>8997077.0999999996</x:v>
      </x:c>
      <x:c r="AC13" s="320">
        <x:f>'Reporte Componentes R1'!T564+'Reporte Componentes R1'!W564+'Reporte Componentes R1'!X564+'Reporte Componentes R1'!Y564+'Reporte Componentes R1'!Z564+'Reporte Componentes R1'!S564</x:f>
        <x:v>-33.33</x:v>
      </x:c>
      <x:c r="AD13" s="291">
        <x:f t="shared" si="1"/>
        <x:v>-1030082522.5999999</x:v>
      </x:c>
      <x:c r="AE13" s="291">
        <x:f>'Reporte Componentes R1'!F565</x:f>
        <x:v>-1113041546.26</x:v>
      </x:c>
      <x:c r="AF13" s="322">
        <x:f t="shared" si="4"/>
        <x:v>7522918236.8000011</x:v>
      </x:c>
      <x:c r="AG13" s="326">
        <x:f>(AF13-O13)</x:f>
        <x:v>2.86102294921875E-6</x:v>
      </x:c>
      <x:c r="AH13" s="1" t="b">
        <x:f t="shared" si="2"/>
        <x:v>1</x:v>
      </x:c>
      <x:c r="AI13" s="306"/>
    </x:row>
    <x:row r="14" spans="1:35" s="305" customFormat="1" ht="13.5" thickBot="1" x14ac:dyDescent="0.35">
      <x:c r="B14" s="327"/>
      <x:c r="C14" s="328" t="s">
        <x:v>2</x:v>
      </x:c>
      <x:c r="D14" s="290">
        <x:f>SUM(D9:D13)</x:f>
        <x:v>67867264177.850006</x:v>
      </x:c>
      <x:c r="E14" s="290">
        <x:f t="shared" ref="E14:O14" si="5">SUM(E9:E13)</x:f>
        <x:v>4293898950.9699993</x:v>
      </x:c>
      <x:c r="F14" s="290">
        <x:f t="shared" si="5"/>
        <x:v>2415783744.0499997</x:v>
      </x:c>
      <x:c r="G14" s="290">
        <x:f t="shared" si="5"/>
        <x:v>1267785984.75</x:v>
      </x:c>
      <x:c r="H14" s="290">
        <x:f t="shared" si="5"/>
        <x:v>16960651475.710001</x:v>
      </x:c>
      <x:c r="I14" s="290">
        <x:f t="shared" si="5"/>
        <x:v>636541292.62</x:v>
      </x:c>
      <x:c r="J14" s="290">
        <x:f t="shared" si="5"/>
        <x:v>-8466734681.1999998</x:v>
      </x:c>
      <x:c r="K14" s="300">
        <x:f t="shared" si="5"/>
        <x:v>50759337410.949997</x:v>
      </x:c>
      <x:c r="L14" s="301">
        <x:f>SUM(L9:L13)</x:f>
        <x:v>859936309</x:v>
      </x:c>
      <x:c r="M14" s="302">
        <x:f t="shared" si="5"/>
        <x:v>49899401101.949997</x:v>
      </x:c>
      <x:c r="N14" s="301">
        <x:f t="shared" si="5"/>
        <x:v>82003519.900000006</x:v>
      </x:c>
      <x:c r="O14" s="302">
        <x:f t="shared" si="5"/>
        <x:v>49981404621.849998</x:v>
      </x:c>
      <x:c r="P14" s="329"/>
      <x:c r="Q14" s="306"/>
      <x:c r="S14" s="327"/>
      <x:c r="T14" s="328" t="s">
        <x:v>2</x:v>
      </x:c>
      <x:c r="U14" s="330">
        <x:f>SUM(U9:U13)</x:f>
        <x:v>5583782732.2900009</x:v>
      </x:c>
      <x:c r="V14" s="330">
        <x:f t="shared" ref="V14:AF14" si="6">SUM(V9:V13)</x:f>
        <x:v>5469288256.8999996</x:v>
      </x:c>
      <x:c r="W14" s="330">
        <x:f t="shared" si="6"/>
        <x:v>26423483963.970005</x:v>
      </x:c>
      <x:c r="X14" s="330">
        <x:f t="shared" si="6"/>
        <x:v>10375665249.140001</x:v>
      </x:c>
      <x:c r="Y14" s="330">
        <x:f t="shared" si="6"/>
        <x:v>1039457765.26</x:v>
      </x:c>
      <x:c r="Z14" s="290">
        <x:f t="shared" si="6"/>
        <x:v>-859936309</x:v>
      </x:c>
      <x:c r="AA14" s="290">
        <x:f t="shared" si="6"/>
        <x:v>156734.07999999999</x:v>
      </x:c>
      <x:c r="AB14" s="290">
        <x:f t="shared" si="6"/>
        <x:v>82003519.900000006</x:v>
      </x:c>
      <x:c r="AC14" s="290">
        <x:f t="shared" si="6"/>
        <x:v>19.569999999999979</x:v>
      </x:c>
      <x:c r="AD14" s="290">
        <x:f>SUM(AD9:AD13)</x:f>
        <x:v>1867502689.7400002</x:v>
      </x:c>
      <x:c r="AE14" s="290">
        <x:f>SUM(AE9:AE13)</x:f>
        <x:v>-6599231991.460001</x:v>
      </x:c>
      <x:c r="AF14" s="331">
        <x:f t="shared" si="6"/>
        <x:v>49981404621.850006</x:v>
      </x:c>
      <x:c r="AG14" s="332">
        <x:f>SUM(AG9:AG13)</x:f>
        <x:v>-9.5367431640625E-7</x:v>
      </x:c>
      <x:c r="AH14" s="1" t="b">
        <x:f t="shared" si="2"/>
        <x:v>0</x:v>
      </x:c>
      <x:c r="AI14" s="306"/>
    </x:row>
    <x:row r="15" spans="1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48891677967.560005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">
      <x:c r="Q20" s="4"/>
      <x:c r="AI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5" x14ac:dyDescent="0.35">
      <x:c r="B25" s="8"/>
      <x:c r="C25" s="599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">
      <x:c r="B26" s="8"/>
      <x:c r="C26" s="599" t="s">
        <x:v>0</x:v>
      </x:c>
      <x:c r="D26" s="241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226</x:v>
      </x:c>
      <x:c r="AF27" s="39" t="s">
        <x:v>23</x:v>
      </x:c>
      <x:c r="AG27" s="13"/>
      <x:c r="AI27" s="4"/>
    </x:row>
    <x:row r="28" spans="1:35" s="305" customFormat="1" ht="12" thickBot="1" x14ac:dyDescent="0.3">
      <x:c r="B28" s="303">
        <x:v>1</x:v>
      </x:c>
      <x:c r="C28" s="304" t="s">
        <x:v>10</x:v>
      </x:c>
      <x:c r="D28" s="291">
        <x:f>'Rem. Anticipos R2'!E49</x:f>
        <x:v>97091142.519999996</x:v>
      </x:c>
      <x:c r="E28" s="292">
        <x:f>'Rem. Anticipos R2'!F49</x:f>
        <x:v>6976462.0700000003</x:v>
      </x:c>
      <x:c r="F28" s="292">
        <x:f>'Rem. Anticipos R2'!G49</x:f>
        <x:v>3989520.43</x:v>
      </x:c>
      <x:c r="G28" s="292">
        <x:f>'Rem. Anticipos R2'!H49</x:f>
        <x:v>1892052.01</x:v>
      </x:c>
      <x:c r="H28" s="292">
        <x:f>'Rem. Anticipos R2'!I49</x:f>
        <x:v>21816860.75</x:v>
      </x:c>
      <x:c r="I28" s="292">
        <x:f>'Rem. Anticipos R2'!J49</x:f>
        <x:v>885223.84</x:v>
      </x:c>
      <x:c r="J28" s="289">
        <x:v>0</x:v>
      </x:c>
      <x:c r="K28" s="293">
        <x:f>D28-E28-F28-G28-H28-I28-J28</x:f>
        <x:v>61531023.419999972</x:v>
      </x:c>
      <x:c r="L28" s="294">
        <x:v>0</x:v>
      </x:c>
      <x:c r="M28" s="293">
        <x:f>K28-L28</x:f>
        <x:v>61531023.419999972</x:v>
      </x:c>
      <x:c r="N28" s="294">
        <x:f>'Rem. Anticipos R2'!K49</x:f>
        <x:v>0</x:v>
      </x:c>
      <x:c r="O28" s="293">
        <x:f>M28+N28</x:f>
        <x:v>61531023.419999972</x:v>
      </x:c>
      <x:c r="Q28" s="306"/>
      <x:c r="S28" s="303">
        <x:v>1</x:v>
      </x:c>
      <x:c r="T28" s="304" t="s">
        <x:v>10</x:v>
      </x:c>
      <x:c r="U28" s="307">
        <x:f>'Rem. Anticipos R2'!L49</x:f>
        <x:v>8066881.2199999997</x:v>
      </x:c>
      <x:c r="V28" s="308">
        <x:f>'Rem. Anticipos R2'!M49</x:f>
        <x:v>7537523.3099999996</x:v>
      </x:c>
      <x:c r="W28" s="308">
        <x:f>'Rem. Anticipos R2'!N49</x:f>
        <x:v>33217967.449999999</x:v>
      </x:c>
      <x:c r="X28" s="308">
        <x:f>'Rem. Anticipos R2'!O49</x:f>
        <x:v>19118696.010000002</x:v>
      </x:c>
      <x:c r="Y28" s="309">
        <x:f>'Rem. Anticipos R2'!P49</x:f>
        <x:v>1269265.17</x:v>
      </x:c>
      <x:c r="Z28" s="310">
        <x:f>L28*-1</x:f>
        <x:v>0</x:v>
      </x:c>
      <x:c r="AA28" s="311">
        <x:f>'Rem. Anticipos R2'!Q49</x:f>
        <x:v>-0.55000000000000004</x:v>
      </x:c>
      <x:c r="AB28" s="294">
        <x:f>N28</x:f>
        <x:v>0</x:v>
      </x:c>
      <x:c r="AC28" s="311">
        <x:f>'Rem. Anticipos R2'!R49</x:f>
        <x:v>0</x:v>
      </x:c>
      <x:c r="AD28" s="291">
        <x:f>-J28+AE28</x:f>
        <x:v>-7679309.1900000004</x:v>
      </x:c>
      <x:c r="AE28" s="291">
        <x:f>'Rem. Anticipos R2'!E50</x:f>
        <x:v>-7679309.1900000004</x:v>
      </x:c>
      <x:c r="AF28" s="313">
        <x:f>SUM(U28:AD28)</x:f>
        <x:v>61531023.420000002</x:v>
      </x:c>
      <x:c r="AG28" s="311">
        <x:f>(AF28-O28)</x:f>
        <x:v>2.9802322387695313E-8</x:v>
      </x:c>
      <x:c r="AH28" s="1" t="b">
        <x:f>INT(AG28)=0</x:f>
        <x:v>1</x:v>
      </x:c>
      <x:c r="AI28" s="306"/>
    </x:row>
    <x:row r="29" spans="1:35" s="305" customFormat="1" x14ac:dyDescent="0.25">
      <x:c r="B29" s="314">
        <x:v>2</x:v>
      </x:c>
      <x:c r="C29" s="315" t="s">
        <x:v>11</x:v>
      </x:c>
      <x:c r="D29" s="291">
        <x:f>'Rem. Anticipos R2'!E145</x:f>
        <x:v>55676152.700000003</x:v>
      </x:c>
      <x:c r="E29" s="292">
        <x:f>'Rem. Anticipos R2'!F145</x:f>
        <x:v>4128221.21</x:v>
      </x:c>
      <x:c r="F29" s="292">
        <x:f>'Rem. Anticipos R2'!G145</x:f>
        <x:v>2450514.75</x:v>
      </x:c>
      <x:c r="G29" s="292">
        <x:f>'Rem. Anticipos R2'!H145</x:f>
        <x:v>991071.1</x:v>
      </x:c>
      <x:c r="H29" s="292">
        <x:f>'Rem. Anticipos R2'!I145</x:f>
        <x:v>18977352.940000001</x:v>
      </x:c>
      <x:c r="I29" s="292">
        <x:f>'Rem. Anticipos R2'!J145</x:f>
        <x:v>633591.15</x:v>
      </x:c>
      <x:c r="J29" s="288">
        <x:v>0</x:v>
      </x:c>
      <x:c r="K29" s="295">
        <x:f t="shared" ref="K29:K31" si="7">D29-E29-F29-G29-H29-I29-J29</x:f>
        <x:v>28495401.550000001</x:v>
      </x:c>
      <x:c r="L29" s="294">
        <x:v>0</x:v>
      </x:c>
      <x:c r="M29" s="295">
        <x:f>K29-L29</x:f>
        <x:v>28495401.550000001</x:v>
      </x:c>
      <x:c r="N29" s="294">
        <x:f>'Rem. Anticipos R2'!K145</x:f>
        <x:v>0</x:v>
      </x:c>
      <x:c r="O29" s="295">
        <x:f t="shared" ref="O29:O32" si="8">M29+N29</x:f>
        <x:v>28495401.550000001</x:v>
      </x:c>
      <x:c r="Q29" s="306"/>
      <x:c r="S29" s="314">
        <x:v>2</x:v>
      </x:c>
      <x:c r="T29" s="315" t="s">
        <x:v>11</x:v>
      </x:c>
      <x:c r="U29" s="316">
        <x:f>'Rem. Anticipos R2'!L145</x:f>
        <x:v>5929589.2400000002</x:v>
      </x:c>
      <x:c r="V29" s="317">
        <x:f>'Rem. Anticipos R2'!M145</x:f>
        <x:v>5758615.9699999997</x:v>
      </x:c>
      <x:c r="W29" s="317">
        <x:f>'Rem. Anticipos R2'!N145</x:f>
        <x:v>23292145.649999999</x:v>
      </x:c>
      <x:c r="X29" s="317">
        <x:f>'Rem. Anticipos R2'!O145</x:f>
        <x:v>8749581.6400000006</x:v>
      </x:c>
      <x:c r="Y29" s="318">
        <x:f>'Rem. Anticipos R2'!P145</x:f>
        <x:v>886619.66</x:v>
      </x:c>
      <x:c r="Z29" s="319">
        <x:f>L29*-1</x:f>
        <x:v>0</x:v>
      </x:c>
      <x:c r="AA29" s="320">
        <x:f>'Rem. Anticipos R2'!Q145</x:f>
        <x:v>144.25</x:v>
      </x:c>
      <x:c r="AB29" s="294">
        <x:f>N29</x:f>
        <x:v>0</x:v>
      </x:c>
      <x:c r="AC29" s="320">
        <x:f>'Rem. Anticipos R2'!R145</x:f>
        <x:v>0</x:v>
      </x:c>
      <x:c r="AD29" s="291">
        <x:f>-J29+AE29</x:f>
        <x:v>-16121294.859999999</x:v>
      </x:c>
      <x:c r="AE29" s="291">
        <x:f>'Rem. Anticipos R2'!E146</x:f>
        <x:v>-16121294.859999999</x:v>
      </x:c>
      <x:c r="AF29" s="322">
        <x:f>SUM(U29:AD29)</x:f>
        <x:v>28495401.549999997</x:v>
      </x:c>
      <x:c r="AG29" s="323">
        <x:f>(AF29-O29)</x:f>
        <x:v>-3.7252902984619141E-9</x:v>
      </x:c>
      <x:c r="AH29" s="1" t="b">
        <x:f t="shared" ref="AH29:AH33" si="9">INT(AG29)=0</x:f>
        <x:v>0</x:v>
      </x:c>
      <x:c r="AI29" s="306"/>
    </x:row>
    <x:row r="30" spans="1:35" s="305" customFormat="1" x14ac:dyDescent="0.25">
      <x:c r="B30" s="314">
        <x:v>3</x:v>
      </x:c>
      <x:c r="C30" s="315" t="s">
        <x:v>12</x:v>
      </x:c>
      <x:c r="D30" s="291">
        <x:f>'Rem. Anticipos R2'!E262</x:f>
        <x:v>10032919.670000002</x:v>
      </x:c>
      <x:c r="E30" s="292">
        <x:f>'Rem. Anticipos R2'!F262</x:f>
        <x:v>701731.13</x:v>
      </x:c>
      <x:c r="F30" s="292">
        <x:f>'Rem. Anticipos R2'!G262</x:f>
        <x:v>402850.38</x:v>
      </x:c>
      <x:c r="G30" s="292">
        <x:f>'Rem. Anticipos R2'!H262</x:f>
        <x:v>200945.85</x:v>
      </x:c>
      <x:c r="H30" s="292">
        <x:f>'Rem. Anticipos R2'!I262</x:f>
        <x:v>2080358.83</x:v>
      </x:c>
      <x:c r="I30" s="292">
        <x:f>'Rem. Anticipos R2'!J262</x:f>
        <x:v>75750.34</x:v>
      </x:c>
      <x:c r="J30" s="288">
        <x:v>0</x:v>
      </x:c>
      <x:c r="K30" s="295">
        <x:f t="shared" si="7"/>
        <x:v>6571283.1400000006</x:v>
      </x:c>
      <x:c r="L30" s="294">
        <x:v>0</x:v>
      </x:c>
      <x:c r="M30" s="295">
        <x:f>K30-L30</x:f>
        <x:v>6571283.1400000006</x:v>
      </x:c>
      <x:c r="N30" s="294">
        <x:f>'Rem. Anticipos R2'!K262</x:f>
        <x:v>22742.37</x:v>
      </x:c>
      <x:c r="O30" s="295">
        <x:f t="shared" si="8"/>
        <x:v>6594025.5100000007</x:v>
      </x:c>
      <x:c r="Q30" s="306"/>
      <x:c r="S30" s="314">
        <x:v>3</x:v>
      </x:c>
      <x:c r="T30" s="315" t="s">
        <x:v>12</x:v>
      </x:c>
      <x:c r="U30" s="316">
        <x:f>'Rem. Anticipos R2'!L262</x:f>
        <x:v>672022.47</x:v>
      </x:c>
      <x:c r="V30" s="317">
        <x:f>'Rem. Anticipos R2'!M262</x:f>
        <x:v>686444.88</x:v>
      </x:c>
      <x:c r="W30" s="317">
        <x:f>'Rem. Anticipos R2'!N262</x:f>
        <x:v>3594429</x:v>
      </x:c>
      <x:c r="X30" s="317">
        <x:f>'Rem. Anticipos R2'!O262</x:f>
        <x:v>1748778.82</x:v>
      </x:c>
      <x:c r="Y30" s="318">
        <x:f>'Rem. Anticipos R2'!P262</x:f>
        <x:v>105523.93999999999</x:v>
      </x:c>
      <x:c r="Z30" s="319">
        <x:f>L30*-1</x:f>
        <x:v>0</x:v>
      </x:c>
      <x:c r="AA30" s="320">
        <x:f>'Rem. Anticipos R2'!Q262</x:f>
        <x:v>14.57</x:v>
      </x:c>
      <x:c r="AB30" s="294">
        <x:f>N30</x:f>
        <x:v>22742.37</x:v>
      </x:c>
      <x:c r="AC30" s="320">
        <x:f>'Rem. Anticipos R2'!R262</x:f>
        <x:v>0</x:v>
      </x:c>
      <x:c r="AD30" s="291">
        <x:f t="shared" ref="AD30:AD32" si="10">-J30+AE30</x:f>
        <x:v>-235930.54</x:v>
      </x:c>
      <x:c r="AE30" s="291">
        <x:f>'Rem. Anticipos R2'!E263</x:f>
        <x:v>-235930.54</x:v>
      </x:c>
      <x:c r="AF30" s="322">
        <x:f>SUM(U30:AD30)</x:f>
        <x:v>6594025.5100000007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5">
      <x:c r="B31" s="314">
        <x:v>4</x:v>
      </x:c>
      <x:c r="C31" s="315" t="s">
        <x:v>13</x:v>
      </x:c>
      <x:c r="D31" s="291">
        <x:f>'Rem. Anticipos R2'!E364</x:f>
        <x:v>60774931.109999992</x:v>
      </x:c>
      <x:c r="E31" s="292">
        <x:f>'Rem. Anticipos R2'!F364</x:f>
        <x:v>3643585.71</x:v>
      </x:c>
      <x:c r="F31" s="292">
        <x:f>'Rem. Anticipos R2'!G364</x:f>
        <x:v>2134528.5099999998</x:v>
      </x:c>
      <x:c r="G31" s="292">
        <x:f>'Rem. Anticipos R2'!H364</x:f>
        <x:v>922327.31</x:v>
      </x:c>
      <x:c r="H31" s="292">
        <x:f>'Rem. Anticipos R2'!I364</x:f>
        <x:v>19101300.940000001</x:v>
      </x:c>
      <x:c r="I31" s="292">
        <x:f>'Rem. Anticipos R2'!J364</x:f>
        <x:v>695389.45</x:v>
      </x:c>
      <x:c r="J31" s="288">
        <x:v>0</x:v>
      </x:c>
      <x:c r="K31" s="295">
        <x:f t="shared" si="7"/>
        <x:v>34277799.189999983</x:v>
      </x:c>
      <x:c r="L31" s="294">
        <x:v>0</x:v>
      </x:c>
      <x:c r="M31" s="295">
        <x:f>K31-L31</x:f>
        <x:v>34277799.189999983</x:v>
      </x:c>
      <x:c r="N31" s="294">
        <x:f>'Rem. Anticipos R2'!K364</x:f>
        <x:v>0</x:v>
      </x:c>
      <x:c r="O31" s="295">
        <x:f t="shared" si="8"/>
        <x:v>34277799.189999983</x:v>
      </x:c>
      <x:c r="Q31" s="306"/>
      <x:c r="S31" s="314">
        <x:v>4</x:v>
      </x:c>
      <x:c r="T31" s="315" t="s">
        <x:v>13</x:v>
      </x:c>
      <x:c r="U31" s="316">
        <x:f>'Rem. Anticipos R2'!L364</x:f>
        <x:v>6006974.5499999998</x:v>
      </x:c>
      <x:c r="V31" s="317">
        <x:f>'Rem. Anticipos R2'!M364</x:f>
        <x:v>5941622.6399999997</x:v>
      </x:c>
      <x:c r="W31" s="317">
        <x:f>'Rem. Anticipos R2'!N364</x:f>
        <x:v>26384823.629999999</x:v>
      </x:c>
      <x:c r="X31" s="317">
        <x:f>'Rem. Anticipos R2'!O364</x:f>
        <x:v>9973356.7599999998</x:v>
      </x:c>
      <x:c r="Y31" s="318">
        <x:f>'Rem. Anticipos R2'!P364</x:f>
        <x:v>1107550.0900000001</x:v>
      </x:c>
      <x:c r="Z31" s="319">
        <x:f>L31*-1</x:f>
        <x:v>0</x:v>
      </x:c>
      <x:c r="AA31" s="320">
        <x:f>'Rem. Anticipos R2'!Q364</x:f>
        <x:v>-85.27</x:v>
      </x:c>
      <x:c r="AB31" s="294">
        <x:f>N31</x:f>
        <x:v>0</x:v>
      </x:c>
      <x:c r="AC31" s="320">
        <x:f>'Rem. Anticipos R2'!R364</x:f>
        <x:v>0</x:v>
      </x:c>
      <x:c r="AD31" s="291">
        <x:f t="shared" si="10"/>
        <x:v>-15136443.210000001</x:v>
      </x:c>
      <x:c r="AE31" s="291">
        <x:f>'Rem. Anticipos R2'!E365</x:f>
        <x:v>-15136443.210000001</x:v>
      </x:c>
      <x:c r="AF31" s="322">
        <x:f>SUM(U31:AD31)</x:f>
        <x:v>34277799.189999998</x:v>
      </x:c>
      <x:c r="AG31" s="323">
        <x:f t="shared" si="11"/>
        <x:v>1.4901161193847656E-8</x:v>
      </x:c>
      <x:c r="AH31" s="1" t="b">
        <x:f t="shared" si="9"/>
        <x:v>1</x:v>
      </x:c>
      <x:c r="AI31" s="306"/>
    </x:row>
    <x:row r="32" spans="1:35" s="305" customFormat="1" ht="12" thickBot="1" x14ac:dyDescent="0.3">
      <x:c r="B32" s="324">
        <x:v>5</x:v>
      </x:c>
      <x:c r="C32" s="325" t="s">
        <x:v>14</x:v>
      </x:c>
      <x:c r="D32" s="296">
        <x:f>'Rem. Anticipos R2'!E444</x:f>
        <x:v>23423861.739999998</x:v>
      </x:c>
      <x:c r="E32" s="297">
        <x:f>'Rem. Anticipos R2'!F444</x:f>
        <x:v>1434797.19</x:v>
      </x:c>
      <x:c r="F32" s="297">
        <x:f>'Rem. Anticipos R2'!G444</x:f>
        <x:v>822131.91</x:v>
      </x:c>
      <x:c r="G32" s="297">
        <x:f>'Rem. Anticipos R2'!H444</x:f>
        <x:v>382101.97</x:v>
      </x:c>
      <x:c r="H32" s="297">
        <x:f>'Rem. Anticipos R2'!I444</x:f>
        <x:v>4012967.88</x:v>
      </x:c>
      <x:c r="I32" s="297">
        <x:f>'Rem. Anticipos R2'!J444</x:f>
        <x:v>149799.45000000001</x:v>
      </x:c>
      <x:c r="J32" s="289">
        <x:v>0</x:v>
      </x:c>
      <x:c r="K32" s="295">
        <x:f>D32-E32-F32-G32-H32-I32-J32</x:f>
        <x:v>16622063.34</x:v>
      </x:c>
      <x:c r="L32" s="294">
        <x:v>0</x:v>
      </x:c>
      <x:c r="M32" s="298">
        <x:f>K32-L32</x:f>
        <x:v>16622063.34</x:v>
      </x:c>
      <x:c r="N32" s="299">
        <x:f>'Rem. Anticipos R2'!K444</x:f>
        <x:v>0</x:v>
      </x:c>
      <x:c r="O32" s="298">
        <x:f t="shared" si="8"/>
        <x:v>16622063.34</x:v>
      </x:c>
      <x:c r="Q32" s="306"/>
      <x:c r="S32" s="324">
        <x:v>5</x:v>
      </x:c>
      <x:c r="T32" s="325" t="s">
        <x:v>14</x:v>
      </x:c>
      <x:c r="U32" s="296">
        <x:f>'Rem. Anticipos R2'!L444</x:f>
        <x:v>1255063.1599999999</x:v>
      </x:c>
      <x:c r="V32" s="297">
        <x:f>'Rem. Anticipos R2'!M444</x:f>
        <x:v>1364790.51</x:v>
      </x:c>
      <x:c r="W32" s="297">
        <x:f>'Rem. Anticipos R2'!N444</x:f>
        <x:v>5825494.6100000003</x:v>
      </x:c>
      <x:c r="X32" s="297">
        <x:f>'Rem. Anticipos R2'!O444</x:f>
        <x:v>4273227.9400000004</x:v>
      </x:c>
      <x:c r="Y32" s="289">
        <x:f>'Rem. Anticipos R2'!P444</x:f>
        <x:v>211847.59</x:v>
      </x:c>
      <x:c r="Z32" s="319">
        <x:f>L32*-1</x:f>
        <x:v>0</x:v>
      </x:c>
      <x:c r="AA32" s="320">
        <x:f>'Rem. Anticipos R2'!Q444</x:f>
        <x:v>90.03</x:v>
      </x:c>
      <x:c r="AB32" s="294">
        <x:f>N32</x:f>
        <x:v>0</x:v>
      </x:c>
      <x:c r="AC32" s="320">
        <x:f>'Rem. Anticipos R2'!R444</x:f>
        <x:v>0</x:v>
      </x:c>
      <x:c r="AD32" s="291">
        <x:f t="shared" si="10"/>
        <x:v>3691549.5</x:v>
      </x:c>
      <x:c r="AE32" s="291">
        <x:f>'Rem. Anticipos R2'!E445</x:f>
        <x:v>3691549.5</x:v>
      </x:c>
      <x:c r="AF32" s="322">
        <x:f>SUM(U32:AD32)</x:f>
        <x:v>16622063.340000002</x:v>
      </x:c>
      <x:c r="AG32" s="326">
        <x:f>(AF32-O32)</x:f>
        <x:v>1.862645149230957E-9</x:v>
      </x:c>
      <x:c r="AH32" s="1" t="b">
        <x:f t="shared" si="9"/>
        <x:v>1</x:v>
      </x:c>
      <x:c r="AI32" s="306"/>
    </x:row>
    <x:row r="33" spans="1:35" s="305" customFormat="1" ht="13.5" thickBot="1" x14ac:dyDescent="0.35">
      <x:c r="B33" s="327"/>
      <x:c r="C33" s="328" t="s">
        <x:v>2</x:v>
      </x:c>
      <x:c r="D33" s="290">
        <x:f>SUM(D28:D32)</x:f>
        <x:v>246999007.73999998</x:v>
      </x:c>
      <x:c r="E33" s="290">
        <x:f>SUM(E28:E32)</x:f>
        <x:v>16884797.310000002</x:v>
      </x:c>
      <x:c r="F33" s="290">
        <x:f t="shared" ref="F33:O33" si="12">SUM(F28:F32)</x:f>
        <x:v>9799545.9800000004</x:v>
      </x:c>
      <x:c r="G33" s="290">
        <x:f t="shared" si="12"/>
        <x:v>4388498.24</x:v>
      </x:c>
      <x:c r="H33" s="290">
        <x:f t="shared" si="12"/>
        <x:v>65988841.339999996</x:v>
      </x:c>
      <x:c r="I33" s="290">
        <x:f t="shared" si="12"/>
        <x:v>2439754.2300000004</x:v>
      </x:c>
      <x:c r="J33" s="290">
        <x:f t="shared" si="12"/>
        <x:v>0</x:v>
      </x:c>
      <x:c r="K33" s="300">
        <x:f t="shared" si="12"/>
        <x:v>147497570.63999996</x:v>
      </x:c>
      <x:c r="L33" s="301">
        <x:f t="shared" si="12"/>
        <x:v>0</x:v>
      </x:c>
      <x:c r="M33" s="302">
        <x:f t="shared" si="12"/>
        <x:v>147497570.63999996</x:v>
      </x:c>
      <x:c r="N33" s="301">
        <x:f t="shared" si="12"/>
        <x:v>22742.37</x:v>
      </x:c>
      <x:c r="O33" s="302">
        <x:f t="shared" si="12"/>
        <x:v>147520313.00999996</x:v>
      </x:c>
      <x:c r="P33" s="329"/>
      <x:c r="Q33" s="306"/>
      <x:c r="S33" s="327"/>
      <x:c r="T33" s="328" t="s">
        <x:v>2</x:v>
      </x:c>
      <x:c r="U33" s="330">
        <x:f>SUM(U28:U32)</x:f>
        <x:v>21930530.640000001</x:v>
      </x:c>
      <x:c r="V33" s="330">
        <x:f t="shared" ref="V33:AG33" si="13">SUM(V28:V32)</x:f>
        <x:v>21288997.310000002</x:v>
      </x:c>
      <x:c r="W33" s="330">
        <x:f t="shared" si="13"/>
        <x:v>92314860.339999989</x:v>
      </x:c>
      <x:c r="X33" s="330">
        <x:f t="shared" si="13"/>
        <x:v>43863641.170000002</x:v>
      </x:c>
      <x:c r="Y33" s="330">
        <x:f t="shared" si="13"/>
        <x:v>3580806.45</x:v>
      </x:c>
      <x:c r="Z33" s="290">
        <x:f t="shared" si="13"/>
        <x:v>0</x:v>
      </x:c>
      <x:c r="AA33" s="290">
        <x:f t="shared" si="13"/>
        <x:v>163.02999999999997</x:v>
      </x:c>
      <x:c r="AB33" s="290">
        <x:f t="shared" si="13"/>
        <x:v>22742.37</x:v>
      </x:c>
      <x:c r="AC33" s="290">
        <x:f t="shared" ref="AC33" si="14">SUM(AC28:AC32)</x:f>
        <x:v>0</x:v>
      </x:c>
      <x:c r="AD33" s="290">
        <x:f>SUM(AD28:AD32)</x:f>
        <x:v>-35481428.299999997</x:v>
      </x:c>
      <x:c r="AE33" s="290">
        <x:f>SUM(AE28:AE32)</x:f>
        <x:v>-35481428.299999997</x:v>
      </x:c>
      <x:c r="AF33" s="331">
        <x:f t="shared" si="13"/>
        <x:v>147520313.00999999</x:v>
      </x:c>
      <x:c r="AG33" s="332">
        <x:f t="shared" si="13"/>
        <x:v>4.2840838432312012E-8</x:v>
      </x:c>
      <x:c r="AH33" s="1" t="b">
        <x:f t="shared" si="9"/>
        <x:v>1</x:v>
      </x:c>
      <x:c r="AI33" s="306"/>
    </x:row>
    <x:row r="34" spans="1:35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182978835.90999997</x:v>
      </x:c>
      <x:c r="AD35" s="1" t="s">
        <x:v>1</x:v>
      </x:c>
      <x:c r="AF35" s="1" t="s">
        <x:v>1</x:v>
      </x:c>
      <x:c r="AI35" s="4"/>
    </x:row>
    <x:row r="36" spans="1:35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">
      <x:c r="Q39" s="4"/>
      <x:c r="AI39" s="4"/>
    </x:row>
    <x:row r="40" spans="1:35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5" x14ac:dyDescent="0.35">
      <x:c r="B44" s="8"/>
      <x:c r="C44" s="599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">
      <x:c r="B45" s="8"/>
      <x:c r="C45" s="599" t="s">
        <x:v>0</x:v>
      </x:c>
      <x:c r="D45" s="241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226</x:v>
      </x:c>
      <x:c r="AF46" s="39" t="s">
        <x:v>23</x:v>
      </x:c>
      <x:c r="AG46" s="13"/>
      <x:c r="AI46" s="4"/>
    </x:row>
    <x:row r="47" spans="1:35" s="305" customFormat="1" ht="12" thickBot="1" x14ac:dyDescent="0.3">
      <x:c r="B47" s="303">
        <x:v>1</x:v>
      </x:c>
      <x:c r="C47" s="304" t="s">
        <x:v>10</x:v>
      </x:c>
      <x:c r="D47" s="291">
        <x:f>'Reporte Componentes R1'!F62</x:f>
        <x:v>49580</x:v>
      </x:c>
      <x:c r="E47" s="292">
        <x:f>'Reporte Componentes R1'!G62</x:f>
        <x:v>2007.44</x:v>
      </x:c>
      <x:c r="F47" s="292">
        <x:f>'Reporte Componentes R1'!H62</x:f>
        <x:v>1133.3800000000001</x:v>
      </x:c>
      <x:c r="G47" s="292">
        <x:f>'Reporte Componentes R1'!I62</x:f>
        <x:v>594.88</x:v>
      </x:c>
      <x:c r="H47" s="292">
        <x:f>'Reporte Componentes R1'!J62</x:f>
        <x:v>0</x:v>
      </x:c>
      <x:c r="I47" s="292">
        <x:f>'Reporte Componentes R1'!K62</x:f>
        <x:v>0</x:v>
      </x:c>
      <x:c r="J47" s="289">
        <x:v>0</x:v>
      </x:c>
      <x:c r="K47" s="293">
        <x:f>D47-E47-F47-G47-H47-I47-J47</x:f>
        <x:v>45844.3</x:v>
      </x:c>
      <x:c r="L47" s="294">
        <x:v>0</x:v>
      </x:c>
      <x:c r="M47" s="293">
        <x:f>K47-L47</x:f>
        <x:v>45844.3</x:v>
      </x:c>
      <x:c r="N47" s="294">
        <x:f>'Reporte Componentes R1'!L62</x:f>
        <x:v>0</x:v>
      </x:c>
      <x:c r="O47" s="293">
        <x:f>M47+N47</x:f>
        <x:v>45844.3</x:v>
      </x:c>
      <x:c r="Q47" s="306"/>
      <x:c r="S47" s="303">
        <x:v>1</x:v>
      </x:c>
      <x:c r="T47" s="304" t="s">
        <x:v>10</x:v>
      </x:c>
      <x:c r="U47" s="307">
        <x:f>'Reporte Componentes R1'!M62</x:f>
        <x:v>0</x:v>
      </x:c>
      <x:c r="V47" s="308">
        <x:f>'Reporte Componentes R1'!N62</x:f>
        <x:v>0</x:v>
      </x:c>
      <x:c r="W47" s="308">
        <x:f>'Reporte Componentes R1'!O62</x:f>
        <x:v>0</x:v>
      </x:c>
      <x:c r="X47" s="308">
        <x:f>'Reporte Componentes R1'!P62</x:f>
        <x:v>5482.6</x:v>
      </x:c>
      <x:c r="Y47" s="309">
        <x:f>'Reporte Componentes R1'!Q62</x:f>
        <x:v>0</x:v>
      </x:c>
      <x:c r="Z47" s="310">
        <x:f>-L47</x:f>
        <x:v>0</x:v>
      </x:c>
      <x:c r="AA47" s="320">
        <x:f>'Reporte Componentes R1'!R62+'Reporte Componentes R1'!V62+'Reporte Componentes R1'!U62</x:f>
        <x:v>-2.61</x:v>
      </x:c>
      <x:c r="AB47" s="294">
        <x:f>N47</x:f>
        <x:v>0</x:v>
      </x:c>
      <x:c r="AC47" s="311">
        <x:f>'Reporte Componentes R1'!T62+'Reporte Componentes R1'!W62+'Reporte Componentes R1'!X62+'Reporte Componentes R1'!Y62+'Reporte Componentes R1'!Z62+'Reporte Componentes R1'!S62</x:f>
        <x:v>0</x:v>
      </x:c>
      <x:c r="AD47" s="291">
        <x:f>-J47+AE47</x:f>
        <x:v>40364.31</x:v>
      </x:c>
      <x:c r="AE47" s="291">
        <x:f>'Reporte Componentes R1'!F63</x:f>
        <x:v>40364.31</x:v>
      </x:c>
      <x:c r="AF47" s="313">
        <x:f>SUM(U47:AD47)</x:f>
        <x:v>45844.299999999996</x:v>
      </x:c>
      <x:c r="AG47" s="311">
        <x:f>(AF47-O47)</x:f>
        <x:v>-7.2759576141834259E-12</x:v>
      </x:c>
      <x:c r="AH47" s="1" t="b">
        <x:f>INT(AG47)=0</x:f>
        <x:v>0</x:v>
      </x:c>
      <x:c r="AI47" s="306"/>
    </x:row>
    <x:row r="48" spans="1:35" s="305" customFormat="1" x14ac:dyDescent="0.25">
      <x:c r="B48" s="314">
        <x:v>2</x:v>
      </x:c>
      <x:c r="C48" s="315" t="s">
        <x:v>11</x:v>
      </x:c>
      <x:c r="D48" s="291">
        <x:f>'Reporte Componentes R1'!F206</x:f>
        <x:v>56078860</x:v>
      </x:c>
      <x:c r="E48" s="292">
        <x:f>'Reporte Componentes R1'!G206</x:f>
        <x:v>7696969.2400000002</x:v>
      </x:c>
      <x:c r="F48" s="292">
        <x:f>'Reporte Componentes R1'!H206</x:f>
        <x:v>4351440.59</x:v>
      </x:c>
      <x:c r="G48" s="292">
        <x:f>'Reporte Componentes R1'!I206</x:f>
        <x:v>2306516.2999999998</x:v>
      </x:c>
      <x:c r="H48" s="292">
        <x:f>'Reporte Componentes R1'!J206</x:f>
        <x:v>107263.69</x:v>
      </x:c>
      <x:c r="I48" s="292">
        <x:f>'Reporte Componentes R1'!K206</x:f>
        <x:v>3376.45</x:v>
      </x:c>
      <x:c r="J48" s="288">
        <x:v>0</x:v>
      </x:c>
      <x:c r="K48" s="295">
        <x:f t="shared" ref="K48:K51" si="15">D48-E48-F48-G48-H48-I48-J48</x:f>
        <x:v>41613293.730000004</x:v>
      </x:c>
      <x:c r="L48" s="294">
        <x:v>0</x:v>
      </x:c>
      <x:c r="M48" s="295">
        <x:f>K48-L48</x:f>
        <x:v>41613293.730000004</x:v>
      </x:c>
      <x:c r="N48" s="294">
        <x:f>'Reporte Componentes R1'!L206</x:f>
        <x:v>0</x:v>
      </x:c>
      <x:c r="O48" s="295">
        <x:f t="shared" ref="O48:O51" si="16">M48+N48</x:f>
        <x:v>41613293.730000004</x:v>
      </x:c>
      <x:c r="Q48" s="306"/>
      <x:c r="S48" s="314">
        <x:v>2</x:v>
      </x:c>
      <x:c r="T48" s="315" t="s">
        <x:v>11</x:v>
      </x:c>
      <x:c r="U48" s="316">
        <x:f>'Reporte Componentes R1'!M206</x:f>
        <x:v>29617.98</x:v>
      </x:c>
      <x:c r="V48" s="317">
        <x:f>'Reporte Componentes R1'!N206</x:f>
        <x:v>33795.33</x:v>
      </x:c>
      <x:c r="W48" s="317">
        <x:f>'Reporte Componentes R1'!O206</x:f>
        <x:v>157592.63</x:v>
      </x:c>
      <x:c r="X48" s="317">
        <x:f>'Reporte Componentes R1'!P206</x:f>
        <x:v>15452175.380000001</x:v>
      </x:c>
      <x:c r="Y48" s="318">
        <x:f>'Reporte Componentes R1'!Q206</x:f>
        <x:v>5508.95</x:v>
      </x:c>
      <x:c r="Z48" s="319">
        <x:f>-L48</x:f>
        <x:v>0</x:v>
      </x:c>
      <x:c r="AA48" s="320">
        <x:f>'Reporte Componentes R1'!R206+'Reporte Componentes R1'!V206+'Reporte Componentes R1'!U206</x:f>
        <x:v>2.83</x:v>
      </x:c>
      <x:c r="AB48" s="294">
        <x:f>N48</x:f>
        <x:v>0</x:v>
      </x:c>
      <x:c r="AC48" s="320">
        <x:f>'Reporte Componentes R1'!T206+'Reporte Componentes R1'!W206+'Reporte Componentes R1'!X206+'Reporte Componentes R1'!Y206+'Reporte Componentes R1'!Z206+'Reporte Componentes R1'!S206</x:f>
        <x:v>0</x:v>
      </x:c>
      <x:c r="AD48" s="291">
        <x:f t="shared" ref="AD48:AD51" si="17">-J48+AE48</x:f>
        <x:v>25934600.629999999</x:v>
      </x:c>
      <x:c r="AE48" s="291">
        <x:f>'Reporte Componentes R1'!F207</x:f>
        <x:v>25934600.629999999</x:v>
      </x:c>
      <x:c r="AF48" s="322">
        <x:f>SUM(U48:AD48)</x:f>
        <x:v>41613293.729999997</x:v>
      </x:c>
      <x:c r="AG48" s="323">
        <x:f>(AF48-O48)</x:f>
        <x:v>-7.4505805969238281E-9</x:v>
      </x:c>
      <x:c r="AH48" s="1" t="b">
        <x:f t="shared" ref="AH48:AH52" si="18">INT(AG48)=0</x:f>
        <x:v>0</x:v>
      </x:c>
      <x:c r="AI48" s="306"/>
    </x:row>
    <x:row r="49" spans="1:35" s="305" customFormat="1" x14ac:dyDescent="0.25">
      <x:c r="B49" s="314">
        <x:v>3</x:v>
      </x:c>
      <x:c r="C49" s="315" t="s">
        <x:v>12</x:v>
      </x:c>
      <x:c r="D49" s="291">
        <x:f>'Reporte Componentes R1'!F337</x:f>
        <x:v>1307680</x:v>
      </x:c>
      <x:c r="E49" s="292">
        <x:f>'Reporte Componentes R1'!G337</x:f>
        <x:v>147598.38</x:v>
      </x:c>
      <x:c r="F49" s="292">
        <x:f>'Reporte Componentes R1'!H337</x:f>
        <x:v>66140.960000000006</x:v>
      </x:c>
      <x:c r="G49" s="292">
        <x:f>'Reporte Componentes R1'!I337</x:f>
        <x:v>37291.57</x:v>
      </x:c>
      <x:c r="H49" s="292">
        <x:f>'Reporte Componentes R1'!J337</x:f>
        <x:v>33572.080000000002</x:v>
      </x:c>
      <x:c r="I49" s="292">
        <x:f>'Reporte Componentes R1'!K337</x:f>
        <x:v>682.45</x:v>
      </x:c>
      <x:c r="J49" s="288">
        <x:v>0</x:v>
      </x:c>
      <x:c r="K49" s="295">
        <x:f t="shared" si="15"/>
        <x:v>1022394.5600000002</x:v>
      </x:c>
      <x:c r="L49" s="294">
        <x:v>0</x:v>
      </x:c>
      <x:c r="M49" s="295">
        <x:f>K49-L49</x:f>
        <x:v>1022394.5600000002</x:v>
      </x:c>
      <x:c r="N49" s="294">
        <x:f>'Reporte Componentes R1'!L337</x:f>
        <x:v>0</x:v>
      </x:c>
      <x:c r="O49" s="295">
        <x:f t="shared" si="16"/>
        <x:v>1022394.5600000002</x:v>
      </x:c>
      <x:c r="Q49" s="306"/>
      <x:c r="S49" s="314">
        <x:v>3</x:v>
      </x:c>
      <x:c r="T49" s="315" t="s">
        <x:v>12</x:v>
      </x:c>
      <x:c r="U49" s="316">
        <x:f>'Reporte Componentes R1'!M337</x:f>
        <x:v>5991.23</x:v>
      </x:c>
      <x:c r="V49" s="317">
        <x:f>'Reporte Componentes R1'!N337</x:f>
        <x:v>7293.25</x:v>
      </x:c>
      <x:c r="W49" s="317">
        <x:f>'Reporte Componentes R1'!O337</x:f>
        <x:v>33919.089999999997</x:v>
      </x:c>
      <x:c r="X49" s="317">
        <x:f>'Reporte Componentes R1'!P337</x:f>
        <x:v>346942.9</x:v>
      </x:c>
      <x:c r="Y49" s="318">
        <x:f>'Reporte Componentes R1'!Q337</x:f>
        <x:v>1113.3699999999999</x:v>
      </x:c>
      <x:c r="Z49" s="319">
        <x:f>-L49</x:f>
        <x:v>0</x:v>
      </x:c>
      <x:c r="AA49" s="320">
        <x:f>'Reporte Componentes R1'!R337+'Reporte Componentes R1'!V337+'Reporte Componentes R1'!U337</x:f>
        <x:v>-7.95</x:v>
      </x:c>
      <x:c r="AB49" s="294">
        <x:f>N49</x:f>
        <x:v>0</x:v>
      </x:c>
      <x:c r="AC49" s="320">
        <x:f>'Reporte Componentes R1'!T337+'Reporte Componentes R1'!W337+'Reporte Componentes R1'!X337+'Reporte Componentes R1'!Y337+'Reporte Componentes R1'!Z337+'Reporte Componentes R1'!S337</x:f>
        <x:v>0.7</x:v>
      </x:c>
      <x:c r="AD49" s="291">
        <x:f t="shared" si="17"/>
        <x:v>627141.97</x:v>
      </x:c>
      <x:c r="AE49" s="291">
        <x:f>'Reporte Componentes R1'!F338</x:f>
        <x:v>627141.97</x:v>
      </x:c>
      <x:c r="AF49" s="322">
        <x:f t="shared" ref="AF49:AF51" si="19">SUM(U49:AD49)</x:f>
        <x:v>1022394.56</x:v>
      </x:c>
      <x:c r="AG49" s="323">
        <x:f t="shared" ref="AG49:AG51" si="20">(AF49-O49)</x:f>
        <x:v>-1.1641532182693481E-10</x:v>
      </x:c>
      <x:c r="AH49" s="1" t="b">
        <x:f t="shared" si="18"/>
        <x:v>0</x:v>
      </x:c>
      <x:c r="AI49" s="306"/>
    </x:row>
    <x:row r="50" spans="1:35" s="305" customFormat="1" x14ac:dyDescent="0.25">
      <x:c r="B50" s="314">
        <x:v>4</x:v>
      </x:c>
      <x:c r="C50" s="315" t="s">
        <x:v>13</x:v>
      </x:c>
      <x:c r="D50" s="291">
        <x:f>'Reporte Componentes R1'!F468</x:f>
        <x:v>3610007</x:v>
      </x:c>
      <x:c r="E50" s="292">
        <x:f>'Reporte Componentes R1'!G468</x:f>
        <x:v>257262.75</x:v>
      </x:c>
      <x:c r="F50" s="292">
        <x:f>'Reporte Componentes R1'!H468</x:f>
        <x:v>144117.51999999999</x:v>
      </x:c>
      <x:c r="G50" s="292">
        <x:f>'Reporte Componentes R1'!I468</x:f>
        <x:v>78318.55</x:v>
      </x:c>
      <x:c r="H50" s="292">
        <x:f>'Reporte Componentes R1'!J468</x:f>
        <x:v>797142.56</x:v>
      </x:c>
      <x:c r="I50" s="292">
        <x:f>'Reporte Componentes R1'!K468</x:f>
        <x:v>26303.65</x:v>
      </x:c>
      <x:c r="J50" s="288">
        <x:v>0</x:v>
      </x:c>
      <x:c r="K50" s="295">
        <x:f t="shared" si="15"/>
        <x:v>2306861.9700000002</x:v>
      </x:c>
      <x:c r="L50" s="294">
        <x:v>0</x:v>
      </x:c>
      <x:c r="M50" s="295">
        <x:f>K50-L50</x:f>
        <x:v>2306861.9700000002</x:v>
      </x:c>
      <x:c r="N50" s="294">
        <x:f>'Reporte Componentes R1'!L468</x:f>
        <x:v>0</x:v>
      </x:c>
      <x:c r="O50" s="295">
        <x:f t="shared" si="16"/>
        <x:v>2306861.9700000002</x:v>
      </x:c>
      <x:c r="Q50" s="306"/>
      <x:c r="S50" s="314">
        <x:v>4</x:v>
      </x:c>
      <x:c r="T50" s="315" t="s">
        <x:v>13</x:v>
      </x:c>
      <x:c r="U50" s="316">
        <x:f>'Reporte Componentes R1'!M468</x:f>
        <x:v>230741.2</x:v>
      </x:c>
      <x:c r="V50" s="317">
        <x:f>'Reporte Componentes R1'!N468</x:f>
        <x:v>257553.6</x:v>
      </x:c>
      <x:c r="W50" s="317">
        <x:f>'Reporte Componentes R1'!O468</x:f>
        <x:v>1317195.17</x:v>
      </x:c>
      <x:c r="X50" s="317">
        <x:f>'Reporte Componentes R1'!P468</x:f>
        <x:v>682944.24</x:v>
      </x:c>
      <x:c r="Y50" s="318">
        <x:f>'Reporte Componentes R1'!Q468</x:f>
        <x:v>44789.86</x:v>
      </x:c>
      <x:c r="Z50" s="319">
        <x:f>-L50</x:f>
        <x:v>0</x:v>
      </x:c>
      <x:c r="AA50" s="320">
        <x:f>'Reporte Componentes R1'!R468+'Reporte Componentes R1'!V468+'Reporte Componentes R1'!U468</x:f>
        <x:v>4.71</x:v>
      </x:c>
      <x:c r="AB50" s="294">
        <x:f>N50</x:f>
        <x:v>0</x:v>
      </x:c>
      <x:c r="AC50" s="320">
        <x:f>'Reporte Componentes R1'!T468+'Reporte Componentes R1'!W468+'Reporte Componentes R1'!X468+'Reporte Componentes R1'!Y468+'Reporte Componentes R1'!Z468+'Reporte Componentes R1'!S468</x:f>
        <x:v>-88.74</x:v>
      </x:c>
      <x:c r="AD50" s="291">
        <x:f t="shared" si="17"/>
        <x:v>-226278.07</x:v>
      </x:c>
      <x:c r="AE50" s="291">
        <x:f>'Reporte Componentes R1'!F469</x:f>
        <x:v>-226278.07</x:v>
      </x:c>
      <x:c r="AF50" s="322">
        <x:f t="shared" si="19"/>
        <x:v>2306861.9699999997</x:v>
      </x:c>
      <x:c r="AG50" s="323">
        <x:f t="shared" si="20"/>
        <x:v>-4.6566128730773926E-10</x:v>
      </x:c>
      <x:c r="AH50" s="1" t="b">
        <x:f t="shared" si="18"/>
        <x:v>0</x:v>
      </x:c>
      <x:c r="AI50" s="306"/>
    </x:row>
    <x:row r="51" spans="1:35" s="305" customFormat="1" ht="12" thickBot="1" x14ac:dyDescent="0.3">
      <x:c r="B51" s="324">
        <x:v>5</x:v>
      </x:c>
      <x:c r="C51" s="325" t="s">
        <x:v>14</x:v>
      </x:c>
      <x:c r="D51" s="296">
        <x:f>'Reporte Componentes R1'!F566</x:f>
        <x:v>0</x:v>
      </x:c>
      <x:c r="E51" s="297">
        <x:f>'Reporte Componentes R1'!G566</x:f>
        <x:v>0</x:v>
      </x:c>
      <x:c r="F51" s="297">
        <x:f>'Reporte Componentes R1'!H566</x:f>
        <x:v>0</x:v>
      </x:c>
      <x:c r="G51" s="297">
        <x:f>'Reporte Componentes R1'!I566</x:f>
        <x:v>0</x:v>
      </x:c>
      <x:c r="H51" s="297">
        <x:f>'Reporte Componentes R1'!J566</x:f>
        <x:v>0</x:v>
      </x:c>
      <x:c r="I51" s="297">
        <x:f>'Reporte Componentes R1'!K566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R1'!L566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R1'!M566</x:f>
        <x:v>0</x:v>
      </x:c>
      <x:c r="V51" s="297">
        <x:f>'Reporte Componentes R1'!N566</x:f>
        <x:v>0</x:v>
      </x:c>
      <x:c r="W51" s="297">
        <x:f>'Reporte Componentes R1'!O566</x:f>
        <x:v>0</x:v>
      </x:c>
      <x:c r="X51" s="297">
        <x:f>'Reporte Componentes R1'!P566</x:f>
        <x:v>0</x:v>
      </x:c>
      <x:c r="Y51" s="289">
        <x:f>'Reporte Componentes R1'!Q566</x:f>
        <x:v>0</x:v>
      </x:c>
      <x:c r="Z51" s="319">
        <x:f>-L51</x:f>
        <x:v>0</x:v>
      </x:c>
      <x:c r="AA51" s="320">
        <x:f>'Reporte Componentes R1'!R566+'Reporte Componentes R1'!V566+'Reporte Componentes R1'!U566</x:f>
        <x:v>0</x:v>
      </x:c>
      <x:c r="AB51" s="294">
        <x:f>N51</x:f>
        <x:v>0</x:v>
      </x:c>
      <x:c r="AC51" s="320">
        <x:f>'Reporte Componentes R1'!T566+'Reporte Componentes R1'!W566+'Reporte Componentes R1'!X566+'Reporte Componentes R1'!Y566+'Reporte Componentes R1'!Z566+'Reporte Componentes R1'!S566</x:f>
        <x:v>0</x:v>
      </x:c>
      <x:c r="AD51" s="291">
        <x:f t="shared" si="17"/>
        <x:v>0</x:v>
      </x:c>
      <x:c r="AE51" s="291">
        <x:f>'Reporte Componentes R1'!F567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35">
      <x:c r="B52" s="327"/>
      <x:c r="C52" s="328" t="s">
        <x:v>2</x:v>
      </x:c>
      <x:c r="D52" s="290">
        <x:f t="shared" ref="D52:O52" si="21">SUM(D47:D51)</x:f>
        <x:v>61046127</x:v>
      </x:c>
      <x:c r="E52" s="290">
        <x:f t="shared" si="21"/>
        <x:v>8103837.8100000005</x:v>
      </x:c>
      <x:c r="F52" s="290">
        <x:f t="shared" si="21"/>
        <x:v>4562832.4499999993</x:v>
      </x:c>
      <x:c r="G52" s="290">
        <x:f t="shared" ref="G52" si="22">SUM(G47:G51)</x:f>
        <x:v>2422721.2999999993</x:v>
      </x:c>
      <x:c r="H52" s="290">
        <x:f t="shared" si="21"/>
        <x:v>937978.33000000007</x:v>
      </x:c>
      <x:c r="I52" s="290">
        <x:f t="shared" si="21"/>
        <x:v>30362.550000000003</x:v>
      </x:c>
      <x:c r="J52" s="290">
        <x:f t="shared" si="21"/>
        <x:v>0</x:v>
      </x:c>
      <x:c r="K52" s="300">
        <x:f t="shared" si="21"/>
        <x:v>44988394.560000002</x:v>
      </x:c>
      <x:c r="L52" s="301">
        <x:f t="shared" si="21"/>
        <x:v>0</x:v>
      </x:c>
      <x:c r="M52" s="302">
        <x:f t="shared" si="21"/>
        <x:v>44988394.560000002</x:v>
      </x:c>
      <x:c r="N52" s="301">
        <x:f t="shared" si="21"/>
        <x:v>0</x:v>
      </x:c>
      <x:c r="O52" s="302">
        <x:f t="shared" si="21"/>
        <x:v>44988394.560000002</x:v>
      </x:c>
      <x:c r="P52" s="329"/>
      <x:c r="Q52" s="306"/>
      <x:c r="S52" s="327"/>
      <x:c r="T52" s="328" t="s">
        <x:v>2</x:v>
      </x:c>
      <x:c r="U52" s="330">
        <x:f>SUM(U47:U51)</x:f>
        <x:v>266350.41000000003</x:v>
      </x:c>
      <x:c r="V52" s="330">
        <x:f t="shared" ref="V52:AG52" si="23">SUM(V47:V51)</x:f>
        <x:v>298642.18</x:v>
      </x:c>
      <x:c r="W52" s="330">
        <x:f t="shared" si="23"/>
        <x:v>1508706.89</x:v>
      </x:c>
      <x:c r="X52" s="330">
        <x:f t="shared" si="23"/>
        <x:v>16487545.120000001</x:v>
      </x:c>
      <x:c r="Y52" s="330">
        <x:f t="shared" si="23"/>
        <x:v>51412.18</x:v>
      </x:c>
      <x:c r="Z52" s="290">
        <x:f t="shared" si="23"/>
        <x:v>0</x:v>
      </x:c>
      <x:c r="AA52" s="290">
        <x:f t="shared" si="23"/>
        <x:v>-3.0200000000000005</x:v>
      </x:c>
      <x:c r="AB52" s="290">
        <x:f t="shared" si="23"/>
        <x:v>0</x:v>
      </x:c>
      <x:c r="AC52" s="290">
        <x:f t="shared" si="23"/>
        <x:v>-88.039999999999992</x:v>
      </x:c>
      <x:c r="AD52" s="290">
        <x:f>SUM(AD47:AD51)</x:f>
        <x:v>26375828.839999996</x:v>
      </x:c>
      <x:c r="AE52" s="290">
        <x:f>SUM(AE47:AE51)</x:f>
        <x:v>26375828.839999996</x:v>
      </x:c>
      <x:c r="AF52" s="331">
        <x:f t="shared" si="23"/>
        <x:v>44988394.559999995</x:v>
      </x:c>
      <x:c r="AG52" s="332">
        <x:f t="shared" si="23"/>
        <x:v>-8.0399331636726856E-9</x:v>
      </x:c>
      <x:c r="AH52" s="1" t="b">
        <x:f t="shared" si="18"/>
        <x:v>0</x:v>
      </x:c>
      <x:c r="AI52" s="306"/>
    </x:row>
    <x:row r="53" spans="1:35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18612656.780000001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">
      <x:c r="Q58" s="4"/>
      <x:c r="AI58" s="4"/>
    </x:row>
    <x:row r="59" spans="1:35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" x14ac:dyDescent="0.3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5" x14ac:dyDescent="0.3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" x14ac:dyDescent="0.3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5" x14ac:dyDescent="0.35">
      <x:c r="B63" s="8"/>
      <x:c r="C63" s="599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">
      <x:c r="B64" s="8"/>
      <x:c r="C64" s="599" t="s">
        <x:v>0</x:v>
      </x:c>
      <x:c r="D64" s="241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3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226</x:v>
      </x:c>
      <x:c r="AF65" s="39" t="s">
        <x:v>23</x:v>
      </x:c>
      <x:c r="AG65" s="13"/>
      <x:c r="AI65" s="4"/>
    </x:row>
    <x:row r="66" spans="1:35" s="305" customFormat="1" x14ac:dyDescent="0.25">
      <x:c r="B66" s="303">
        <x:v>1</x:v>
      </x:c>
      <x:c r="C66" s="304" t="s">
        <x:v>10</x:v>
      </x:c>
      <x:c r="D66" s="291">
        <x:f>'Reversion Pagos R4'!D79</x:f>
        <x:v>-15533961.699999999</x:v>
      </x:c>
      <x:c r="E66" s="292">
        <x:f>'Reversion Pagos R4'!E79</x:f>
        <x:v>-793724.01</x:v>
      </x:c>
      <x:c r="F66" s="292">
        <x:f>'Reversion Pagos R4'!F79</x:f>
        <x:v>-444038.25</x:v>
      </x:c>
      <x:c r="G66" s="292">
        <x:f>'Reversion Pagos R4'!G79</x:f>
        <x:v>-235437.54</x:v>
      </x:c>
      <x:c r="H66" s="292">
        <x:f>'Reversion Pagos R4'!H79</x:f>
        <x:v>-3814145.68</x:v>
      </x:c>
      <x:c r="I66" s="292">
        <x:f>'Reversion Pagos R4'!I79</x:f>
        <x:v>-140234.1</x:v>
      </x:c>
      <x:c r="J66" s="309">
        <x:v>0</x:v>
      </x:c>
      <x:c r="K66" s="293">
        <x:f>D66-E66-F66-G66-H66-I66-J66</x:f>
        <x:v>-10106382.120000001</x:v>
      </x:c>
      <x:c r="L66" s="294">
        <x:v>0</x:v>
      </x:c>
      <x:c r="M66" s="293">
        <x:f>K66-L66</x:f>
        <x:v>-10106382.120000001</x:v>
      </x:c>
      <x:c r="N66" s="294">
        <x:f>'Reversion Pagos R4'!P79</x:f>
        <x:v>0</x:v>
      </x:c>
      <x:c r="O66" s="293">
        <x:f>M66+N66</x:f>
        <x:v>-10106382.120000001</x:v>
      </x:c>
      <x:c r="Q66" s="306"/>
      <x:c r="S66" s="303">
        <x:v>1</x:v>
      </x:c>
      <x:c r="T66" s="304" t="s">
        <x:v>10</x:v>
      </x:c>
      <x:c r="U66" s="307">
        <x:f>'Reversion Pagos R4'!J79</x:f>
        <x:v>-1243696.27</x:v>
      </x:c>
      <x:c r="V66" s="308">
        <x:f>'Reversion Pagos R4'!K79</x:f>
        <x:v>-1203871</x:v>
      </x:c>
      <x:c r="W66" s="308">
        <x:f>'Reversion Pagos R4'!L79</x:f>
        <x:v>-5528843.9900000002</x:v>
      </x:c>
      <x:c r="X66" s="308">
        <x:f>'Reversion Pagos R4'!M79</x:f>
        <x:v>-2184189.35</x:v>
      </x:c>
      <x:c r="Y66" s="309">
        <x:f>'Reversion Pagos R4'!N79</x:f>
        <x:v>-229854.06</x:v>
      </x:c>
      <x:c r="Z66" s="310">
        <x:f>-L66</x:f>
        <x:v>0</x:v>
      </x:c>
      <x:c r="AA66" s="311">
        <x:f>+'Reversion Pagos R4'!O79</x:f>
        <x:v>111.04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283961.51</x:v>
      </x:c>
      <x:c r="AE66" s="291">
        <x:f>'Reversion Pagos R4'!D80</x:f>
        <x:v>283961.51</x:v>
      </x:c>
      <x:c r="AF66" s="313">
        <x:f>SUM(U66:AD66)</x:f>
        <x:v>-10106382.120000001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5">
      <x:c r="B67" s="314">
        <x:v>2</x:v>
      </x:c>
      <x:c r="C67" s="315" t="s">
        <x:v>11</x:v>
      </x:c>
      <x:c r="D67" s="291">
        <x:f>'Reversion Pagos R4'!D174</x:f>
        <x:v>-70779009</x:v>
      </x:c>
      <x:c r="E67" s="292">
        <x:f>'Reversion Pagos R4'!E174</x:f>
        <x:v>-15837976.050000001</x:v>
      </x:c>
      <x:c r="F67" s="292">
        <x:f>'Reversion Pagos R4'!F174</x:f>
        <x:v>-7358007.8200000003</x:v>
      </x:c>
      <x:c r="G67" s="292">
        <x:f>'Reversion Pagos R4'!G174</x:f>
        <x:v>-4026740.13</x:v>
      </x:c>
      <x:c r="H67" s="292">
        <x:f>'Reversion Pagos R4'!H174</x:f>
        <x:v>-3253504.04</x:v>
      </x:c>
      <x:c r="I67" s="292">
        <x:f>'Reversion Pagos R4'!I174</x:f>
        <x:v>-117278.95</x:v>
      </x:c>
      <x:c r="J67" s="288">
        <x:v>0</x:v>
      </x:c>
      <x:c r="K67" s="295">
        <x:f t="shared" ref="K67:K70" si="24">D67-E67-F67-G67-H67-I67-J67</x:f>
        <x:v>-40185502.009999998</x:v>
      </x:c>
      <x:c r="L67" s="294">
        <x:v>0</x:v>
      </x:c>
      <x:c r="M67" s="295">
        <x:f>K67-L67</x:f>
        <x:v>-40185502.009999998</x:v>
      </x:c>
      <x:c r="N67" s="294">
        <x:f>'Reversion Pagos R4'!P174</x:f>
        <x:v>0</x:v>
      </x:c>
      <x:c r="O67" s="295">
        <x:f t="shared" ref="O67:O70" si="25">M67+N67</x:f>
        <x:v>-40185502.009999998</x:v>
      </x:c>
      <x:c r="Q67" s="306"/>
      <x:c r="S67" s="314">
        <x:v>2</x:v>
      </x:c>
      <x:c r="T67" s="315" t="s">
        <x:v>11</x:v>
      </x:c>
      <x:c r="U67" s="316">
        <x:f>'Reversion Pagos R4'!J174</x:f>
        <x:v>-1030358.55</x:v>
      </x:c>
      <x:c r="V67" s="317">
        <x:f>'Reversion Pagos R4'!K174</x:f>
        <x:v>-1031768.99</x:v>
      </x:c>
      <x:c r="W67" s="317">
        <x:f>'Reversion Pagos R4'!L174</x:f>
        <x:v>-4830594.83</x:v>
      </x:c>
      <x:c r="X67" s="317">
        <x:f>'Reversion Pagos R4'!M174</x:f>
        <x:v>-32110042.210000001</x:v>
      </x:c>
      <x:c r="Y67" s="318">
        <x:f>'Reversion Pagos R4'!N174</x:f>
        <x:v>-191350.21</x:v>
      </x:c>
      <x:c r="Z67" s="319">
        <x:f t="shared" ref="Z67:Z70" si="26">-L67</x:f>
        <x:v>0</x:v>
      </x:c>
      <x:c r="AA67" s="320">
        <x:f>'Reversion Pagos R4'!O174</x:f>
        <x:v>23.74</x:v>
      </x:c>
      <x:c r="AB67" s="294">
        <x:f t="shared" ref="AB67:AB70" si="27">N67</x:f>
        <x:v>0</x:v>
      </x:c>
      <x:c r="AC67" s="320">
        <x:f>'Reversion Pagos R4'!Q174+'Reversion Pagos R4'!R174</x:f>
        <x:v>0</x:v>
      </x:c>
      <x:c r="AD67" s="291">
        <x:f t="shared" ref="AD67:AD70" si="28">-J67+AE67</x:f>
        <x:v>-991410.96</x:v>
      </x:c>
      <x:c r="AE67" s="291">
        <x:f>'Reversion Pagos R4'!D175</x:f>
        <x:v>-991410.96</x:v>
      </x:c>
      <x:c r="AF67" s="322">
        <x:f>SUM(U67:AD67)</x:f>
        <x:v>-40185502.009999998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5">
      <x:c r="B68" s="314">
        <x:v>3</x:v>
      </x:c>
      <x:c r="C68" s="315" t="s">
        <x:v>12</x:v>
      </x:c>
      <x:c r="D68" s="291">
        <x:f>'Reversion Pagos R4'!D211</x:f>
        <x:v>-32004320</x:v>
      </x:c>
      <x:c r="E68" s="292">
        <x:f>'Reversion Pagos R4'!E211</x:f>
        <x:v>-2340537.3199999998</x:v>
      </x:c>
      <x:c r="F68" s="292">
        <x:f>'Reversion Pagos R4'!F211</x:f>
        <x:v>-1296820.46</x:v>
      </x:c>
      <x:c r="G68" s="292">
        <x:f>'Reversion Pagos R4'!G211</x:f>
        <x:v>-688419.35</x:v>
      </x:c>
      <x:c r="H68" s="292">
        <x:f>'Reversion Pagos R4'!H211</x:f>
        <x:v>-5532000.4000000004</x:v>
      </x:c>
      <x:c r="I68" s="292">
        <x:f>'Reversion Pagos R4'!I211</x:f>
        <x:v>-205312.19</x:v>
      </x:c>
      <x:c r="J68" s="288">
        <x:v>0</x:v>
      </x:c>
      <x:c r="K68" s="295">
        <x:f t="shared" si="24"/>
        <x:v>-21941230.279999997</x:v>
      </x:c>
      <x:c r="L68" s="294">
        <x:v>0</x:v>
      </x:c>
      <x:c r="M68" s="295">
        <x:f>K68-L68</x:f>
        <x:v>-21941230.279999997</x:v>
      </x:c>
      <x:c r="N68" s="294">
        <x:f>'Reversion Pagos R4'!P211</x:f>
        <x:v>0</x:v>
      </x:c>
      <x:c r="O68" s="295">
        <x:f t="shared" si="25"/>
        <x:v>-21941230.279999997</x:v>
      </x:c>
      <x:c r="Q68" s="306"/>
      <x:c r="S68" s="314">
        <x:v>3</x:v>
      </x:c>
      <x:c r="T68" s="315" t="s">
        <x:v>12</x:v>
      </x:c>
      <x:c r="U68" s="316">
        <x:f>'Reversion Pagos R4'!J211</x:f>
        <x:v>-1808499.37</x:v>
      </x:c>
      <x:c r="V68" s="317">
        <x:f>'Reversion Pagos R4'!K211</x:f>
        <x:v>-1737951.36</x:v>
      </x:c>
      <x:c r="W68" s="317">
        <x:f>'Reversion Pagos R4'!L211</x:f>
        <x:v>-8173269.9000000004</x:v>
      </x:c>
      <x:c r="X68" s="317">
        <x:f>'Reversion Pagos R4'!M211</x:f>
        <x:v>-5453141.6200000001</x:v>
      </x:c>
      <x:c r="Y68" s="318">
        <x:f>'Reversion Pagos R4'!N211</x:f>
        <x:v>-337646.88</x:v>
      </x:c>
      <x:c r="Z68" s="319">
        <x:f t="shared" si="26"/>
        <x:v>0</x:v>
      </x:c>
      <x:c r="AA68" s="320">
        <x:f>'Reversion Pagos R4'!O211</x:f>
        <x:v>-127.97</x:v>
      </x:c>
      <x:c r="AB68" s="294">
        <x:f t="shared" si="27"/>
        <x:v>0</x:v>
      </x:c>
      <x:c r="AC68" s="320">
        <x:f>'Reversion Pagos R4'!Q211+'Reversion Pagos R4'!R211</x:f>
        <x:v>0</x:v>
      </x:c>
      <x:c r="AD68" s="291">
        <x:f t="shared" si="28"/>
        <x:v>-4430593.18</x:v>
      </x:c>
      <x:c r="AE68" s="291">
        <x:f>'Reversion Pagos R4'!D212</x:f>
        <x:v>-4430593.18</x:v>
      </x:c>
      <x:c r="AF68" s="322">
        <x:f t="shared" ref="AF68:AF70" si="30">SUM(U68:AD68)</x:f>
        <x:v>-21941230.279999997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5">
      <x:c r="B69" s="314">
        <x:v>4</x:v>
      </x:c>
      <x:c r="C69" s="315" t="s">
        <x:v>13</x:v>
      </x:c>
      <x:c r="D69" s="291">
        <x:f>'Reversion Pagos R4'!D326</x:f>
        <x:v>-29768645.890000001</x:v>
      </x:c>
      <x:c r="E69" s="292">
        <x:f>'Reversion Pagos R4'!E326</x:f>
        <x:v>-2979733</x:v>
      </x:c>
      <x:c r="F69" s="292">
        <x:f>'Reversion Pagos R4'!F326</x:f>
        <x:v>-1487124.52</x:v>
      </x:c>
      <x:c r="G69" s="292">
        <x:f>'Reversion Pagos R4'!G326</x:f>
        <x:v>-685656.31</x:v>
      </x:c>
      <x:c r="H69" s="292">
        <x:f>'Reversion Pagos R4'!H326</x:f>
        <x:v>-5741813.8499999996</x:v>
      </x:c>
      <x:c r="I69" s="292">
        <x:f>'Reversion Pagos R4'!I326</x:f>
        <x:v>-212062.94</x:v>
      </x:c>
      <x:c r="J69" s="288">
        <x:v>0</x:v>
      </x:c>
      <x:c r="K69" s="295">
        <x:f t="shared" si="24"/>
        <x:v>-18662255.27</x:v>
      </x:c>
      <x:c r="L69" s="294">
        <x:v>0</x:v>
      </x:c>
      <x:c r="M69" s="295">
        <x:f>K69-L69</x:f>
        <x:v>-18662255.27</x:v>
      </x:c>
      <x:c r="N69" s="294">
        <x:f>'Reversion Pagos R4'!P326</x:f>
        <x:v>0</x:v>
      </x:c>
      <x:c r="O69" s="295">
        <x:f t="shared" si="25"/>
        <x:v>-18662255.27</x:v>
      </x:c>
      <x:c r="Q69" s="306"/>
      <x:c r="S69" s="314">
        <x:v>4</x:v>
      </x:c>
      <x:c r="T69" s="315" t="s">
        <x:v>13</x:v>
      </x:c>
      <x:c r="U69" s="316">
        <x:f>'Reversion Pagos R4'!J326</x:f>
        <x:v>-1844890.36</x:v>
      </x:c>
      <x:c r="V69" s="317">
        <x:f>'Reversion Pagos R4'!K326</x:f>
        <x:v>-1940190.03</x:v>
      </x:c>
      <x:c r="W69" s="317">
        <x:f>'Reversion Pagos R4'!L326</x:f>
        <x:v>-8829559.8200000003</x:v>
      </x:c>
      <x:c r="X69" s="317">
        <x:f>'Reversion Pagos R4'!M326</x:f>
        <x:v>-7875657.4699999997</x:v>
      </x:c>
      <x:c r="Y69" s="318">
        <x:f>'Reversion Pagos R4'!N326</x:f>
        <x:v>-346018.31</x:v>
      </x:c>
      <x:c r="Z69" s="319">
        <x:f t="shared" si="26"/>
        <x:v>0</x:v>
      </x:c>
      <x:c r="AA69" s="320">
        <x:f>'Reversion Pagos R4'!O326</x:f>
        <x:v>-21.79</x:v>
      </x:c>
      <x:c r="AB69" s="294">
        <x:f t="shared" si="27"/>
        <x:v>0</x:v>
      </x:c>
      <x:c r="AC69" s="320">
        <x:f>'Reversion Pagos R4'!Q326+'Reversion Pagos R4'!R326</x:f>
        <x:v>-0.28999999999999998</x:v>
      </x:c>
      <x:c r="AD69" s="291">
        <x:f t="shared" si="28"/>
        <x:v>2174082.7999999998</x:v>
      </x:c>
      <x:c r="AE69" s="291">
        <x:f>'Reversion Pagos R4'!D327</x:f>
        <x:v>2174082.7999999998</x:v>
      </x:c>
      <x:c r="AF69" s="322">
        <x:f>SUM(U69:AD69)</x:f>
        <x:v>-18662255.269999996</x:v>
      </x:c>
      <x:c r="AG69" s="323">
        <x:f>(AF69-O69)</x:f>
        <x:v>3.7252902984619141E-9</x:v>
      </x:c>
      <x:c r="AH69" s="1" t="b">
        <x:f t="shared" si="29"/>
        <x:v>1</x:v>
      </x:c>
      <x:c r="AI69" s="306"/>
    </x:row>
    <x:row r="70" spans="1:35" s="305" customFormat="1" ht="12" thickBot="1" x14ac:dyDescent="0.3">
      <x:c r="B70" s="324">
        <x:v>5</x:v>
      </x:c>
      <x:c r="C70" s="325" t="s">
        <x:v>14</x:v>
      </x:c>
      <x:c r="D70" s="296">
        <x:f>'Reversion Pagos R4'!D361</x:f>
        <x:v>-2065600</x:v>
      </x:c>
      <x:c r="E70" s="297">
        <x:f>'Reversion Pagos R4'!E361</x:f>
        <x:v>-131268.72</x:v>
      </x:c>
      <x:c r="F70" s="297">
        <x:f>'Reversion Pagos R4'!F361</x:f>
        <x:v>-73999.75</x:v>
      </x:c>
      <x:c r="G70" s="297">
        <x:f>'Reversion Pagos R4'!G361</x:f>
        <x:v>-38388.879999999997</x:v>
      </x:c>
      <x:c r="H70" s="297">
        <x:f>'Reversion Pagos R4'!H361</x:f>
        <x:v>-517154.17</x:v>
      </x:c>
      <x:c r="I70" s="297">
        <x:f>'Reversion Pagos R4'!I361</x:f>
        <x:v>-20620.099999999999</x:v>
      </x:c>
      <x:c r="J70" s="289">
        <x:v>0</x:v>
      </x:c>
      <x:c r="K70" s="295">
        <x:f t="shared" si="24"/>
        <x:v>-1284168.3800000001</x:v>
      </x:c>
      <x:c r="L70" s="294">
        <x:v>0</x:v>
      </x:c>
      <x:c r="M70" s="298">
        <x:f>K70-L70</x:f>
        <x:v>-1284168.3800000001</x:v>
      </x:c>
      <x:c r="N70" s="294">
        <x:f>'Reversion Pagos R4'!P361</x:f>
        <x:v>0</x:v>
      </x:c>
      <x:c r="O70" s="298">
        <x:f t="shared" si="25"/>
        <x:v>-1284168.3800000001</x:v>
      </x:c>
      <x:c r="Q70" s="306"/>
      <x:c r="S70" s="324">
        <x:v>5</x:v>
      </x:c>
      <x:c r="T70" s="325" t="s">
        <x:v>14</x:v>
      </x:c>
      <x:c r="U70" s="296">
        <x:f>'Reversion Pagos R4'!J361</x:f>
        <x:v>-180880.17</x:v>
      </x:c>
      <x:c r="V70" s="297">
        <x:f>'Reversion Pagos R4'!K361</x:f>
        <x:v>-177121.01</x:v>
      </x:c>
      <x:c r="W70" s="297">
        <x:f>'Reversion Pagos R4'!L361</x:f>
        <x:v>-904166.17</x:v>
      </x:c>
      <x:c r="X70" s="297">
        <x:f>'Reversion Pagos R4'!M361</x:f>
        <x:v>-384256.35</x:v>
      </x:c>
      <x:c r="Y70" s="289">
        <x:f>'Reversion Pagos R4'!N361</x:f>
        <x:v>-33643.24</x:v>
      </x:c>
      <x:c r="Z70" s="319">
        <x:f t="shared" si="26"/>
        <x:v>0</x:v>
      </x:c>
      <x:c r="AA70" s="320">
        <x:f>'Reversion Pagos R4'!O361</x:f>
        <x:v>8.7899999999999991</x:v>
      </x:c>
      <x:c r="AB70" s="294">
        <x:f t="shared" si="27"/>
        <x:v>0</x:v>
      </x:c>
      <x:c r="AC70" s="320">
        <x:f>'Reversion Pagos R4'!Q361+'Reversion Pagos R4'!R361</x:f>
        <x:v>0</x:v>
      </x:c>
      <x:c r="AD70" s="291">
        <x:f t="shared" si="28"/>
        <x:v>395889.77</x:v>
      </x:c>
      <x:c r="AE70" s="291">
        <x:f>'Reversion Pagos R4'!D362</x:f>
        <x:v>395889.77</x:v>
      </x:c>
      <x:c r="AF70" s="322">
        <x:f t="shared" si="30"/>
        <x:v>-1284168.3800000001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35">
      <x:c r="B71" s="327"/>
      <x:c r="C71" s="328" t="s">
        <x:v>2</x:v>
      </x:c>
      <x:c r="D71" s="290">
        <x:f t="shared" ref="D71:O71" si="32">SUM(D66:D70)</x:f>
        <x:v>-150151536.59</x:v>
      </x:c>
      <x:c r="E71" s="290">
        <x:f t="shared" si="32"/>
        <x:v>-22083239.099999998</x:v>
      </x:c>
      <x:c r="F71" s="290">
        <x:f t="shared" si="32"/>
        <x:v>-10659990.800000001</x:v>
      </x:c>
      <x:c r="G71" s="290">
        <x:f t="shared" si="32"/>
        <x:v>-5674642.21</x:v>
      </x:c>
      <x:c r="H71" s="290">
        <x:f t="shared" si="32"/>
        <x:v>-18858618.140000001</x:v>
      </x:c>
      <x:c r="I71" s="290">
        <x:f t="shared" si="32"/>
        <x:v>-695508.27999999991</x:v>
      </x:c>
      <x:c r="J71" s="290">
        <x:f t="shared" si="32"/>
        <x:v>0</x:v>
      </x:c>
      <x:c r="K71" s="300">
        <x:f t="shared" si="32"/>
        <x:v>-92179538.059999987</x:v>
      </x:c>
      <x:c r="L71" s="301">
        <x:f t="shared" si="32"/>
        <x:v>0</x:v>
      </x:c>
      <x:c r="M71" s="302">
        <x:f t="shared" si="32"/>
        <x:v>-92179538.059999987</x:v>
      </x:c>
      <x:c r="N71" s="301">
        <x:f t="shared" si="32"/>
        <x:v>0</x:v>
      </x:c>
      <x:c r="O71" s="302">
        <x:f t="shared" si="32"/>
        <x:v>-92179538.059999987</x:v>
      </x:c>
      <x:c r="P71" s="329"/>
      <x:c r="Q71" s="306"/>
      <x:c r="S71" s="327"/>
      <x:c r="T71" s="328" t="s">
        <x:v>2</x:v>
      </x:c>
      <x:c r="U71" s="330">
        <x:f>SUM(U66:U70)</x:f>
        <x:v>-6108324.7200000007</x:v>
      </x:c>
      <x:c r="V71" s="330">
        <x:f t="shared" ref="V71:AG71" si="33">SUM(V66:V70)</x:f>
        <x:v>-6090902.3900000006</x:v>
      </x:c>
      <x:c r="W71" s="330">
        <x:f t="shared" si="33"/>
        <x:v>-28266434.710000001</x:v>
      </x:c>
      <x:c r="X71" s="330">
        <x:f t="shared" si="33"/>
        <x:v>-48007287</x:v>
      </x:c>
      <x:c r="Y71" s="330">
        <x:f t="shared" si="33"/>
        <x:v>-1138512.7</x:v>
      </x:c>
      <x:c r="Z71" s="290">
        <x:f t="shared" si="33"/>
        <x:v>0</x:v>
      </x:c>
      <x:c r="AA71" s="290">
        <x:f>SUM(AA66:AA70)</x:f>
        <x:v>-6.1899999999999977</x:v>
      </x:c>
      <x:c r="AB71" s="290">
        <x:f t="shared" si="33"/>
        <x:v>0</x:v>
      </x:c>
      <x:c r="AC71" s="290">
        <x:f t="shared" ref="AC71" si="34">SUM(AC66:AC70)</x:f>
        <x:v>-0.28999999999999998</x:v>
      </x:c>
      <x:c r="AD71" s="290">
        <x:f>SUM(AD66:AD70)</x:f>
        <x:v>-2568070.06</x:v>
      </x:c>
      <x:c r="AE71" s="290">
        <x:f>SUM(AE66:AE70)</x:f>
        <x:v>-2568070.06</x:v>
      </x:c>
      <x:c r="AF71" s="331">
        <x:f t="shared" si="33"/>
        <x:v>-92179538.059999987</x:v>
      </x:c>
      <x:c r="AG71" s="332">
        <x:f t="shared" si="33"/>
        <x:v>3.7252902984619141E-9</x:v>
      </x:c>
      <x:c r="AH71" s="1" t="b">
        <x:f t="shared" si="29"/>
        <x:v>1</x:v>
      </x:c>
      <x:c r="AI71" s="306"/>
    </x:row>
    <x:row r="72" spans="1:35" ht="12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-89611461.519999996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">
      <x:c r="Q77" s="4"/>
      <x:c r="AI77" s="4"/>
    </x:row>
    <x:row r="78" spans="1:35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" x14ac:dyDescent="0.3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5" x14ac:dyDescent="0.3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" x14ac:dyDescent="0.3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5" x14ac:dyDescent="0.35">
      <x:c r="B82" s="8"/>
      <x:c r="C82" s="599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">
      <x:c r="B83" s="8"/>
      <x:c r="C83" s="599" t="s">
        <x:v>0</x:v>
      </x:c>
      <x:c r="D83" s="241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3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5">
      <x:c r="B85" s="303">
        <x:v>1</x:v>
      </x:c>
      <x:c r="C85" s="304" t="s">
        <x:v>10</x:v>
      </x:c>
      <x:c r="D85" s="291">
        <x:f>'AJUSTES - SF-T'!D47</x:f>
        <x:v>973693.46</x:v>
      </x:c>
      <x:c r="E85" s="292">
        <x:f>'AJUSTES - SF-T'!E47</x:f>
        <x:v>65524.22</x:v>
      </x:c>
      <x:c r="F85" s="292">
        <x:f>'AJUSTES - SF-T'!F47</x:f>
        <x:v>36995.019999999997</x:v>
      </x:c>
      <x:c r="G85" s="292">
        <x:f>'AJUSTES - SF-T'!G47</x:f>
        <x:v>19417.650000000001</x:v>
      </x:c>
      <x:c r="H85" s="292">
        <x:f>'AJUSTES - SF-T'!H47</x:f>
        <x:v>156624.35</x:v>
      </x:c>
      <x:c r="I85" s="292">
        <x:f>'AJUSTES - SF-T'!I47</x:f>
        <x:v>5557.5</x:v>
      </x:c>
      <x:c r="J85" s="292">
        <x:f>'AJUSTES - SF-T'!J47</x:f>
        <x:v>0</x:v>
      </x:c>
      <x:c r="K85" s="292">
        <x:f>D85-E85-F85-G85-H85-I85-J85</x:f>
        <x:v>689574.72</x:v>
      </x:c>
      <x:c r="L85" s="294">
        <x:v>0</x:v>
      </x:c>
      <x:c r="M85" s="321">
        <x:f>K85-L85</x:f>
        <x:v>689574.72</x:v>
      </x:c>
      <x:c r="N85" s="321">
        <x:f>'AJUSTES - SF-T'!N47</x:f>
        <x:v>0</x:v>
      </x:c>
      <x:c r="O85" s="321">
        <x:f>M85+N85</x:f>
        <x:v>689574.72</x:v>
      </x:c>
      <x:c r="Q85" s="306"/>
      <x:c r="S85" s="303">
        <x:v>1</x:v>
      </x:c>
      <x:c r="T85" s="304" t="s">
        <x:v>10</x:v>
      </x:c>
      <x:c r="U85" s="312">
        <x:f>'AJUSTES - SF-T'!U47</x:f>
        <x:v>52109.79</x:v>
      </x:c>
      <x:c r="V85" s="312">
        <x:f>'AJUSTES - SF-T'!V47</x:f>
        <x:v>47607.03</x:v>
      </x:c>
      <x:c r="W85" s="312">
        <x:f>'AJUSTES - SF-T'!W47</x:f>
        <x:v>225441.17</x:v>
      </x:c>
      <x:c r="X85" s="312">
        <x:f>'AJUSTES - SF-T'!X47</x:f>
        <x:v>178429.31</x:v>
      </x:c>
      <x:c r="Y85" s="312">
        <x:f>'AJUSTES - SF-T'!Y47</x:f>
        <x:v>9067.43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176919.99</x:v>
      </x:c>
      <x:c r="AE85" s="294">
        <x:f>'AJUSTES - SF-T'!AD47</x:f>
        <x:v>176919.99</x:v>
      </x:c>
      <x:c r="AF85" s="363">
        <x:f>SUM(U85:AD85)</x:f>
        <x:v>689574.72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5">
      <x:c r="B87" s="314">
        <x:v>3</x:v>
      </x:c>
      <x:c r="C87" s="315" t="s">
        <x:v>12</x:v>
      </x:c>
      <x:c r="D87" s="291">
        <x:f>'AJUSTES - SF-T'!D49</x:f>
        <x:v>104231.83</x:v>
      </x:c>
      <x:c r="E87" s="292">
        <x:f>'AJUSTES - SF-T'!E49</x:f>
        <x:v>6620.63</x:v>
      </x:c>
      <x:c r="F87" s="292">
        <x:f>'AJUSTES - SF-T'!F49</x:f>
        <x:v>3738.02</x:v>
      </x:c>
      <x:c r="G87" s="292">
        <x:f>'AJUSTES - SF-T'!G49</x:f>
        <x:v>1961.98</x:v>
      </x:c>
      <x:c r="H87" s="292">
        <x:f>'AJUSTES - SF-T'!H49</x:f>
        <x:v>20927.5</x:v>
      </x:c>
      <x:c r="I87" s="292">
        <x:f>'AJUSTES - SF-T'!I49</x:f>
        <x:v>743.08</x:v>
      </x:c>
      <x:c r="J87" s="292">
        <x:f>'AJUSTES - SF-T'!J49</x:f>
        <x:v>0</x:v>
      </x:c>
      <x:c r="K87" s="292">
        <x:f>D87-E87-F87-G87-H87-I87-J87</x:f>
        <x:v>70240.62</x:v>
      </x:c>
      <x:c r="L87" s="294">
        <x:v>0</x:v>
      </x:c>
      <x:c r="M87" s="321">
        <x:f>K87-L87</x:f>
        <x:v>70240.62</x:v>
      </x:c>
      <x:c r="N87" s="321">
        <x:f>'AJUSTES - SF-T'!N49</x:f>
        <x:v>0</x:v>
      </x:c>
      <x:c r="O87" s="321">
        <x:f>M87+N87</x:f>
        <x:v>70240.62</x:v>
      </x:c>
      <x:c r="Q87" s="306"/>
      <x:c r="S87" s="314">
        <x:v>3</x:v>
      </x:c>
      <x:c r="T87" s="315" t="s">
        <x:v>12</x:v>
      </x:c>
      <x:c r="U87" s="320">
        <x:f>'AJUSTES - SF-T'!U49</x:f>
        <x:v>6518.28</x:v>
      </x:c>
      <x:c r="V87" s="320">
        <x:f>'AJUSTES - SF-T'!V49</x:f>
        <x:v>6410.86</x:v>
      </x:c>
      <x:c r="W87" s="320">
        <x:f>'AJUSTES - SF-T'!W49</x:f>
        <x:v>30349.1</x:v>
      </x:c>
      <x:c r="X87" s="320">
        <x:f>'AJUSTES - SF-T'!X49</x:f>
        <x:v>15383.1</x:v>
      </x:c>
      <x:c r="Y87" s="320">
        <x:f>'AJUSTES - SF-T'!Y49</x:f>
        <x:v>1212.4000000000001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10366.879999999999</x:v>
      </x:c>
      <x:c r="AE87" s="299">
        <x:f>'AJUSTES - SF-T'!AD49</x:f>
        <x:v>10366.879999999999</x:v>
      </x:c>
      <x:c r="AF87" s="365">
        <x:f>SUM(U87:AD87)</x:f>
        <x:v>70240.62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9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35">
      <x:c r="B90" s="327"/>
      <x:c r="C90" s="328" t="s">
        <x:v>2</x:v>
      </x:c>
      <x:c r="D90" s="290">
        <x:f t="shared" ref="D90:O90" si="40">SUM(D85:D89)</x:f>
        <x:v>1077925.29</x:v>
      </x:c>
      <x:c r="E90" s="290">
        <x:f t="shared" si="40"/>
        <x:v>72144.850000000006</x:v>
      </x:c>
      <x:c r="F90" s="290">
        <x:f t="shared" si="40"/>
        <x:v>40733.039999999994</x:v>
      </x:c>
      <x:c r="G90" s="290">
        <x:f t="shared" si="40"/>
        <x:v>21379.63</x:v>
      </x:c>
      <x:c r="H90" s="290">
        <x:f t="shared" si="40"/>
        <x:v>177551.85</x:v>
      </x:c>
      <x:c r="I90" s="290">
        <x:f t="shared" si="40"/>
        <x:v>6300.58</x:v>
      </x:c>
      <x:c r="J90" s="290">
        <x:f t="shared" si="40"/>
        <x:v>0</x:v>
      </x:c>
      <x:c r="K90" s="300">
        <x:f t="shared" si="40"/>
        <x:v>759815.34</x:v>
      </x:c>
      <x:c r="L90" s="301">
        <x:f t="shared" si="40"/>
        <x:v>0</x:v>
      </x:c>
      <x:c r="M90" s="302">
        <x:f t="shared" si="40"/>
        <x:v>759815.34</x:v>
      </x:c>
      <x:c r="N90" s="301">
        <x:f t="shared" si="40"/>
        <x:v>0</x:v>
      </x:c>
      <x:c r="O90" s="302">
        <x:f t="shared" si="40"/>
        <x:v>759815.34</x:v>
      </x:c>
      <x:c r="P90" s="329"/>
      <x:c r="Q90" s="306"/>
      <x:c r="S90" s="327"/>
      <x:c r="T90" s="567" t="s">
        <x:v>2</x:v>
      </x:c>
      <x:c r="U90" s="330">
        <x:f>SUM(U85:U89)</x:f>
        <x:v>58628.07</x:v>
      </x:c>
      <x:c r="V90" s="330">
        <x:f t="shared" ref="V90:AG90" si="41">SUM(V85:V89)</x:f>
        <x:v>54017.89</x:v>
      </x:c>
      <x:c r="W90" s="568">
        <x:f t="shared" si="41"/>
        <x:v>255790.27000000002</x:v>
      </x:c>
      <x:c r="X90" s="330">
        <x:f t="shared" si="41"/>
        <x:v>193812.41</x:v>
      </x:c>
      <x:c r="Y90" s="330">
        <x:f t="shared" si="41"/>
        <x:v>10279.83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187286.87</x:v>
      </x:c>
      <x:c r="AE90" s="290">
        <x:f t="shared" si="41"/>
        <x:v>187286.87</x:v>
      </x:c>
      <x:c r="AF90" s="331">
        <x:f t="shared" si="41"/>
        <x:v>759815.34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572528.47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">
      <x:c r="Q96" s="4"/>
      <x:c r="AI96" s="4"/>
    </x:row>
    <x:row r="97" spans="2:36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" x14ac:dyDescent="0.3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5" x14ac:dyDescent="0.3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" x14ac:dyDescent="0.3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5" x14ac:dyDescent="0.35">
      <x:c r="B101" s="8"/>
      <x:c r="C101" s="599" t="s">
        <x:v>17</x:v>
      </x:c>
      <x:c r="D101" s="9">
        <x:f>D6</x:f>
        <x:v>46238</x:v>
      </x:c>
      <x:c r="F101" s="58" t="s">
        <x:v>217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5">
      <x:c r="B102" s="8"/>
      <x:c r="C102" s="599" t="s">
        <x:v>0</x:v>
      </x:c>
      <x:c r="D102" s="241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5">
      <x:c r="B104" s="303">
        <x:v>1</x:v>
      </x:c>
      <x:c r="C104" s="304" t="s">
        <x:v>10</x:v>
      </x:c>
      <x:c r="D104" s="291">
        <x:f t="shared" ref="D104:J108" si="43">D9+D28+D47+D66+D85</x:f>
        <x:v>16643179604.779999</x:v>
      </x:c>
      <x:c r="E104" s="292">
        <x:f t="shared" si="43"/>
        <x:v>807895299.00000012</x:v>
      </x:c>
      <x:c r="F104" s="292">
        <x:f t="shared" si="43"/>
        <x:v>455912503.50999999</x:v>
      </x:c>
      <x:c r="G104" s="292">
        <x:f t="shared" si="43"/>
        <x:v>239329779.88</x:v>
      </x:c>
      <x:c r="H104" s="292">
        <x:f t="shared" si="43"/>
        <x:v>3761557796.75</x:v>
      </x:c>
      <x:c r="I104" s="292">
        <x:f t="shared" si="43"/>
        <x:v>132659753.62000002</x:v>
      </x:c>
      <x:c r="J104" s="292">
        <x:f t="shared" si="43"/>
        <x:v>-3589454665.5499997</x:v>
      </x:c>
      <x:c r="K104" s="293">
        <x:f>D104-E104-F104-G104-H104-I104-J104</x:f>
        <x:v>14835279137.569998</x:v>
      </x:c>
      <x:c r="L104" s="294">
        <x:f>L9+L28+L47+L66+L85</x:f>
        <x:v>189185988</x:v>
      </x:c>
      <x:c r="M104" s="293">
        <x:f>K104-L104</x:f>
        <x:v>14646093149.569998</x:v>
      </x:c>
      <x:c r="N104" s="294">
        <x:f>N9+N28+N47+N66+N85</x:f>
        <x:v>16516492.25</x:v>
      </x:c>
      <x:c r="O104" s="293">
        <x:f>M104+N104</x:f>
        <x:v>14662609641.819998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1167429697.9300001</x:v>
      </x:c>
      <x:c r="V104" s="308">
        <x:f t="shared" si="44"/>
        <x:v>1119851344.1899998</x:v>
      </x:c>
      <x:c r="W104" s="308">
        <x:f t="shared" si="44"/>
        <x:v>5299081059.21</x:v>
      </x:c>
      <x:c r="X104" s="308">
        <x:f t="shared" si="44"/>
        <x:v>2189246770.6300006</x:v>
      </x:c>
      <x:c r="Y104" s="309">
        <x:f t="shared" si="44"/>
        <x:v>216286907.63999999</x:v>
      </x:c>
      <x:c r="Z104" s="310">
        <x:f t="shared" si="44"/>
        <x:v>-189185988</x:v>
      </x:c>
      <x:c r="AA104" s="311">
        <x:f>AA9+AA28+AA47+AA66+AA85</x:f>
        <x:v>-16656.379999999997</x:v>
      </x:c>
      <x:c r="AB104" s="294">
        <x:f>AB9+AB28+AB47+AB66+AB85</x:f>
        <x:v>16516492.25</x:v>
      </x:c>
      <x:c r="AC104" s="311">
        <x:f>AC9+AC28+AC47+AC66+AC85</x:f>
        <x:v>521.77</x:v>
      </x:c>
      <x:c r="AD104" s="291">
        <x:f>-J104+AE104</x:f>
        <x:v>4843399492.5799999</x:v>
      </x:c>
      <x:c r="AE104" s="291">
        <x:f>AE9+AE28+AE47+AE66+AE85</x:f>
        <x:v>1253944827.03</x:v>
      </x:c>
      <x:c r="AF104" s="313">
        <x:f>SUM(U104:AD104)</x:f>
        <x:v>14662609641.820002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5">
      <x:c r="B105" s="314">
        <x:v>2</x:v>
      </x:c>
      <x:c r="C105" s="315" t="s">
        <x:v>11</x:v>
      </x:c>
      <x:c r="D105" s="291">
        <x:f t="shared" si="43"/>
        <x:v>19064501226.810005</x:v>
      </x:c>
      <x:c r="E105" s="292">
        <x:f t="shared" si="43"/>
        <x:v>1396129505.3300002</x:v>
      </x:c>
      <x:c r="F105" s="292">
        <x:f t="shared" si="43"/>
        <x:v>784878776.18999994</x:v>
      </x:c>
      <x:c r="G105" s="292">
        <x:f t="shared" si="43"/>
        <x:v>411247567.16000009</x:v>
      </x:c>
      <x:c r="H105" s="292">
        <x:f t="shared" si="43"/>
        <x:v>5582809669.8899994</x:v>
      </x:c>
      <x:c r="I105" s="292">
        <x:f t="shared" si="43"/>
        <x:v>216022487.64000002</x:v>
      </x:c>
      <x:c r="J105" s="292">
        <x:f t="shared" si="43"/>
        <x:v>-3241193714.1100001</x:v>
      </x:c>
      <x:c r="K105" s="295">
        <x:f t="shared" ref="K105:K108" si="45">D105-E105-F105-G105-H105-I105-J105</x:f>
        <x:v>13914606934.710005</x:v>
      </x:c>
      <x:c r="L105" s="294">
        <x:f>L10+L29+L48+L67+L86</x:f>
        <x:v>266580256</x:v>
      </x:c>
      <x:c r="M105" s="295">
        <x:f>K105-L105</x:f>
        <x:v>13648026678.710005</x:v>
      </x:c>
      <x:c r="N105" s="294">
        <x:f>N10+N29+N48+N67+N86</x:f>
        <x:v>24273229.890000001</x:v>
      </x:c>
      <x:c r="O105" s="295">
        <x:f t="shared" ref="O105:O108" si="46">M105+N105</x:f>
        <x:v>13672299908.600004</x:v>
      </x:c>
      <x:c r="Q105" s="306"/>
      <x:c r="S105" s="314">
        <x:v>2</x:v>
      </x:c>
      <x:c r="T105" s="315" t="s">
        <x:v>11</x:v>
      </x:c>
      <x:c r="U105" s="316">
        <x:f t="shared" si="44"/>
        <x:v>1893620444.5699999</x:v>
      </x:c>
      <x:c r="V105" s="317">
        <x:f t="shared" si="44"/>
        <x:v>1869892249.3700001</x:v>
      </x:c>
      <x:c r="W105" s="317">
        <x:f t="shared" si="44"/>
        <x:v>8814809316.3799992</x:v>
      </x:c>
      <x:c r="X105" s="317">
        <x:f t="shared" si="44"/>
        <x:v>2749999250.0999999</x:v>
      </x:c>
      <x:c r="Y105" s="318">
        <x:f t="shared" si="44"/>
        <x:v>352820304.41000003</x:v>
      </x:c>
      <x:c r="Z105" s="319">
        <x:f t="shared" si="44"/>
        <x:v>-266580256</x:v>
      </x:c>
      <x:c r="AA105" s="320">
        <x:f t="shared" si="44"/>
        <x:v>90135.24</x:v>
      </x:c>
      <x:c r="AB105" s="294">
        <x:f t="shared" si="44"/>
        <x:v>24273229.890000001</x:v>
      </x:c>
      <x:c r="AC105" s="320">
        <x:f t="shared" ref="AC105" si="47">AC10+AC29+AC48+AC67+AC86</x:f>
        <x:v>-109.61</x:v>
      </x:c>
      <x:c r="AD105" s="291">
        <x:f t="shared" ref="AD105:AD106" si="48">-J105+AE105</x:f>
        <x:v>-1766624655.7499995</x:v>
      </x:c>
      <x:c r="AE105" s="291">
        <x:f>AE10+AE29+AE48+AE67+AE86</x:f>
        <x:v>-5007818369.8599997</x:v>
      </x:c>
      <x:c r="AF105" s="322">
        <x:f>SUM(U105:AD105)</x:f>
        <x:v>13672299908.599998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5">
      <x:c r="B106" s="314">
        <x:v>3</x:v>
      </x:c>
      <x:c r="C106" s="315" t="s">
        <x:v>12</x:v>
      </x:c>
      <x:c r="D106" s="291">
        <x:f t="shared" si="43"/>
        <x:v>13976635090.370001</x:v>
      </x:c>
      <x:c r="E106" s="292">
        <x:f t="shared" si="43"/>
        <x:v>985637596.05999994</x:v>
      </x:c>
      <x:c r="F106" s="292">
        <x:f t="shared" si="43"/>
        <x:v>555973895.94999993</x:v>
      </x:c>
      <x:c r="G106" s="292">
        <x:f t="shared" si="43"/>
        <x:v>292056214.65000004</x:v>
      </x:c>
      <x:c r="H106" s="292">
        <x:f t="shared" si="43"/>
        <x:v>3381560449.0999999</x:v>
      </x:c>
      <x:c r="I106" s="292">
        <x:f t="shared" si="43"/>
        <x:v>124524527.32000001</x:v>
      </x:c>
      <x:c r="J106" s="292">
        <x:f t="shared" si="43"/>
        <x:v>-853244564.50999999</x:v>
      </x:c>
      <x:c r="K106" s="295">
        <x:f t="shared" si="45"/>
        <x:v>9490126971.8000011</x:v>
      </x:c>
      <x:c r="L106" s="294">
        <x:f>L11+L30+L49+L68+L87</x:f>
        <x:v>154788536</x:v>
      </x:c>
      <x:c r="M106" s="295">
        <x:f>K106-L106</x:f>
        <x:v>9335338435.8000011</x:v>
      </x:c>
      <x:c r="N106" s="294">
        <x:f>N11+N30+N49+N68+N87</x:f>
        <x:v>13030575.5</x:v>
      </x:c>
      <x:c r="O106" s="295">
        <x:f t="shared" si="46"/>
        <x:v>9348369011.3000011</x:v>
      </x:c>
      <x:c r="Q106" s="306"/>
      <x:c r="S106" s="314">
        <x:v>3</x:v>
      </x:c>
      <x:c r="T106" s="315" t="s">
        <x:v>12</x:v>
      </x:c>
      <x:c r="U106" s="316">
        <x:f t="shared" si="44"/>
        <x:v>1092110322.45</x:v>
      </x:c>
      <x:c r="V106" s="317">
        <x:f t="shared" si="44"/>
        <x:v>1072670179.5</x:v>
      </x:c>
      <x:c r="W106" s="317">
        <x:f t="shared" si="44"/>
        <x:v>5077455755.5400009</x:v>
      </x:c>
      <x:c r="X106" s="317">
        <x:f t="shared" si="44"/>
        <x:v>2292038481.0500002</x:v>
      </x:c>
      <x:c r="Y106" s="318">
        <x:f t="shared" si="44"/>
        <x:v>203250483.36000001</x:v>
      </x:c>
      <x:c r="Z106" s="319">
        <x:f t="shared" si="44"/>
        <x:v>-154788536</x:v>
      </x:c>
      <x:c r="AA106" s="320">
        <x:f t="shared" si="44"/>
        <x:v>247376.99</x:v>
      </x:c>
      <x:c r="AB106" s="294">
        <x:f t="shared" si="44"/>
        <x:v>13030575.5</x:v>
      </x:c>
      <x:c r="AC106" s="320">
        <x:f t="shared" ref="AC106" si="50">AC11+AC30+AC49+AC68+AC87</x:f>
        <x:v>0.94</x:v>
      </x:c>
      <x:c r="AD106" s="291">
        <x:f t="shared" si="48"/>
        <x:v>-247645628.02999997</x:v>
      </x:c>
      <x:c r="AE106" s="291">
        <x:f>AE11+AE30+AE49+AE68+AE87</x:f>
        <x:v>-1100890192.54</x:v>
      </x:c>
      <x:c r="AF106" s="322">
        <x:f>SUM(U106:AD106)</x:f>
        <x:v>9348369011.3000011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5">
      <x:c r="B107" s="314">
        <x:v>4</x:v>
      </x:c>
      <x:c r="C107" s="315" t="s">
        <x:v>13</x:v>
      </x:c>
      <x:c r="D107" s="291">
        <x:f t="shared" si="43"/>
        <x:v>6619403672.6899996</x:v>
      </x:c>
      <x:c r="E107" s="292">
        <x:f t="shared" si="43"/>
        <x:v>409065767.94999999</x:v>
      </x:c>
      <x:c r="F107" s="292">
        <x:f t="shared" si="43"/>
        <x:v>229023916.59999999</x:v>
      </x:c>
      <x:c r="G107" s="292">
        <x:f t="shared" si="43"/>
        <x:v>119897084.47999999</x:v>
      </x:c>
      <x:c r="H107" s="292">
        <x:f t="shared" si="43"/>
        <x:v>1538751149.1300001</x:v>
      </x:c>
      <x:c r="I107" s="292">
        <x:f t="shared" si="43"/>
        <x:v>60407359.210000001</x:v>
      </x:c>
      <x:c r="J107" s="292">
        <x:f t="shared" si="43"/>
        <x:v>-699882713.37000012</x:v>
      </x:c>
      <x:c r="K107" s="295">
        <x:f t="shared" si="45"/>
        <x:v>4962141108.6899996</x:v>
      </x:c>
      <x:c r="L107" s="294">
        <x:f>L12+L31+L50+L69+L88</x:f>
        <x:v>120391083</x:v>
      </x:c>
      <x:c r="M107" s="295">
        <x:f>K107-L107</x:f>
        <x:v>4841750025.6899996</x:v>
      </x:c>
      <x:c r="N107" s="294">
        <x:f>N12+N31+N50+N69+N88</x:f>
        <x:v>19208887.530000001</x:v>
      </x:c>
      <x:c r="O107" s="295">
        <x:f>M107+N107</x:f>
        <x:v>4860958913.2199993</x:v>
      </x:c>
      <x:c r="Q107" s="306"/>
      <x:c r="S107" s="314">
        <x:v>4</x:v>
      </x:c>
      <x:c r="T107" s="315" t="s">
        <x:v>13</x:v>
      </x:c>
      <x:c r="U107" s="316">
        <x:f t="shared" si="44"/>
        <x:v>528790659.44</x:v>
      </x:c>
      <x:c r="V107" s="317">
        <x:f t="shared" si="44"/>
        <x:v>522948481.87</x:v>
      </x:c>
      <x:c r="W107" s="317">
        <x:f t="shared" si="44"/>
        <x:v>2676043606.7200003</x:v>
      </x:c>
      <x:c r="X107" s="317">
        <x:f t="shared" si="44"/>
        <x:v>1082748026.71</x:v>
      </x:c>
      <x:c r="Y107" s="318">
        <x:f t="shared" si="44"/>
        <x:v>98745519.159999996</x:v>
      </x:c>
      <x:c r="Z107" s="319">
        <x:f t="shared" si="44"/>
        <x:v>-120391083</x:v>
      </x:c>
      <x:c r="AA107" s="320">
        <x:f>AA12+AA31+AA50+AA69+AA88</x:f>
        <x:v>-16918.300000000003</x:v>
      </x:c>
      <x:c r="AB107" s="294">
        <x:f t="shared" si="44"/>
        <x:v>19208887.530000001</x:v>
      </x:c>
      <x:c r="AC107" s="320">
        <x:f t="shared" ref="AC107" si="51">AC12+AC31+AC50+AC69+AC88</x:f>
        <x:v>-448.53000000000003</x:v>
      </x:c>
      <x:c r="AD107" s="291">
        <x:f t="shared" ref="AD107" si="52">-J107+AE107</x:f>
        <x:v>52882181.620000005</x:v>
      </x:c>
      <x:c r="AE107" s="291">
        <x:f>AE12+AE31+AE50+AE69+AE88</x:f>
        <x:v>-647000531.75000012</x:v>
      </x:c>
      <x:c r="AF107" s="322">
        <x:f t="shared" ref="AF107:AF108" si="53">SUM(U107:AD107)</x:f>
        <x:v>4860958913.2199993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" thickBot="1" x14ac:dyDescent="0.3">
      <x:c r="B108" s="324">
        <x:v>5</x:v>
      </x:c>
      <x:c r="C108" s="325" t="s">
        <x:v>14</x:v>
      </x:c>
      <x:c r="D108" s="296">
        <x:f>D13+D32+D51+D70+D89</x:f>
        <x:v>11722516106.639999</x:v>
      </x:c>
      <x:c r="E108" s="297">
        <x:f t="shared" si="43"/>
        <x:v>698148323.5</x:v>
      </x:c>
      <x:c r="F108" s="297">
        <x:f t="shared" si="43"/>
        <x:v>393737772.47000003</x:v>
      </x:c>
      <x:c r="G108" s="297">
        <x:f t="shared" si="43"/>
        <x:v>206413295.53999999</x:v>
      </x:c>
      <x:c r="H108" s="297">
        <x:f t="shared" si="43"/>
        <x:v>2744218164.2200003</x:v>
      </x:c>
      <x:c r="I108" s="297">
        <x:f t="shared" si="43"/>
        <x:v>104708073.91000001</x:v>
      </x:c>
      <x:c r="J108" s="297">
        <x:f t="shared" si="43"/>
        <x:v>-82959023.660000086</x:v>
      </x:c>
      <x:c r="K108" s="295">
        <x:f t="shared" si="45"/>
        <x:v>7658249500.6599989</x:v>
      </x:c>
      <x:c r="L108" s="294">
        <x:f>L13+L32+L51+L70+L89</x:f>
        <x:v>128990446</x:v>
      </x:c>
      <x:c r="M108" s="298">
        <x:f>K108-L108</x:f>
        <x:v>7529259054.6599989</x:v>
      </x:c>
      <x:c r="N108" s="299">
        <x:f>N13+N32+N51+N70+N89</x:f>
        <x:v>8997077.0999999996</x:v>
      </x:c>
      <x:c r="O108" s="298">
        <x:f t="shared" si="46"/>
        <x:v>7538256131.7599993</x:v>
      </x:c>
      <x:c r="Q108" s="306"/>
      <x:c r="S108" s="324">
        <x:v>5</x:v>
      </x:c>
      <x:c r="T108" s="325" t="s">
        <x:v>14</x:v>
      </x:c>
      <x:c r="U108" s="296">
        <x:f t="shared" si="44"/>
        <x:v>917978792.29999995</x:v>
      </x:c>
      <x:c r="V108" s="297">
        <x:f t="shared" si="44"/>
        <x:v>899476756.96000004</x:v>
      </x:c>
      <x:c r="W108" s="297">
        <x:f t="shared" si="44"/>
        <x:v>4621907148.9099998</x:v>
      </x:c>
      <x:c r="X108" s="297">
        <x:f t="shared" si="44"/>
        <x:v>2074170432.3500001</x:v>
      </x:c>
      <x:c r="Y108" s="289">
        <x:f t="shared" si="44"/>
        <x:v>170858536.44999999</x:v>
      </x:c>
      <x:c r="Z108" s="319">
        <x:f t="shared" si="44"/>
        <x:v>-128990446</x:v>
      </x:c>
      <x:c r="AA108" s="320">
        <x:f t="shared" si="44"/>
        <x:v>-147049.65</x:v>
      </x:c>
      <x:c r="AB108" s="294">
        <x:f t="shared" si="44"/>
        <x:v>8997077.0999999996</x:v>
      </x:c>
      <x:c r="AC108" s="320">
        <x:f t="shared" ref="AC108" si="54">AC13+AC32+AC51+AC70+AC89</x:f>
        <x:v>-33.33</x:v>
      </x:c>
      <x:c r="AD108" s="291">
        <x:f>-J108+AE108</x:f>
        <x:v>-1025995083.3299999</x:v>
      </x:c>
      <x:c r="AE108" s="291">
        <x:f>AE13+AE32+AE51+AE70+AE89</x:f>
        <x:v>-1108954106.99</x:v>
      </x:c>
      <x:c r="AF108" s="322">
        <x:f t="shared" si="53"/>
        <x:v>7538256131.7600021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35">
      <x:c r="B109" s="327"/>
      <x:c r="C109" s="328" t="s">
        <x:v>2</x:v>
      </x:c>
      <x:c r="D109" s="290">
        <x:f t="shared" ref="D109:O109" si="55">SUM(D104:D108)</x:f>
        <x:v>68026235701.290009</x:v>
      </x:c>
      <x:c r="E109" s="290">
        <x:f t="shared" si="55"/>
        <x:v>4296876491.8400002</x:v>
      </x:c>
      <x:c r="F109" s="290">
        <x:f t="shared" si="55"/>
        <x:v>2419526864.7199993</x:v>
      </x:c>
      <x:c r="G109" s="290">
        <x:f t="shared" si="55"/>
        <x:v>1268943941.71</x:v>
      </x:c>
      <x:c r="H109" s="290">
        <x:f t="shared" si="55"/>
        <x:v>17008897229.09</x:v>
      </x:c>
      <x:c r="I109" s="290">
        <x:f t="shared" si="55"/>
        <x:v>638322201.70000005</x:v>
      </x:c>
      <x:c r="J109" s="290">
        <x:f t="shared" si="55"/>
        <x:v>-8466734681.1999998</x:v>
      </x:c>
      <x:c r="K109" s="300">
        <x:f t="shared" si="55"/>
        <x:v>50860403653.43</x:v>
      </x:c>
      <x:c r="L109" s="301">
        <x:f t="shared" si="55"/>
        <x:v>859936309</x:v>
      </x:c>
      <x:c r="M109" s="302">
        <x:f t="shared" si="55"/>
        <x:v>50000467344.43</x:v>
      </x:c>
      <x:c r="N109" s="301">
        <x:f t="shared" si="55"/>
        <x:v>82026262.269999996</x:v>
      </x:c>
      <x:c r="O109" s="302">
        <x:f t="shared" si="55"/>
        <x:v>50082493606.700005</x:v>
      </x:c>
      <x:c r="P109" s="329"/>
      <x:c r="Q109" s="306"/>
      <x:c r="S109" s="327"/>
      <x:c r="T109" s="328" t="s">
        <x:v>2</x:v>
      </x:c>
      <x:c r="U109" s="330">
        <x:f>SUM(U104:U108)</x:f>
        <x:v>5599929916.6899996</x:v>
      </x:c>
      <x:c r="V109" s="330">
        <x:f t="shared" ref="V109:AF109" si="56">SUM(V104:V108)</x:f>
        <x:v>5484839011.8900003</x:v>
      </x:c>
      <x:c r="W109" s="330">
        <x:f t="shared" si="56"/>
        <x:v>26489296886.760002</x:v>
      </x:c>
      <x:c r="X109" s="330">
        <x:f t="shared" si="56"/>
        <x:v>10388202960.84</x:v>
      </x:c>
      <x:c r="Y109" s="330">
        <x:f t="shared" si="56"/>
        <x:v>1041961751.02</x:v>
      </x:c>
      <x:c r="Z109" s="290">
        <x:f t="shared" si="56"/>
        <x:v>-859936309</x:v>
      </x:c>
      <x:c r="AA109" s="290">
        <x:f t="shared" si="56"/>
        <x:v>156887.9</x:v>
      </x:c>
      <x:c r="AB109" s="290">
        <x:f t="shared" si="56"/>
        <x:v>82026262.269999996</x:v>
      </x:c>
      <x:c r="AC109" s="290">
        <x:f t="shared" si="56"/>
        <x:v>-68.760000000000062</x:v>
      </x:c>
      <x:c r="AD109" s="290">
        <x:f t="shared" si="56"/>
        <x:v>1856016307.0900002</x:v>
      </x:c>
      <x:c r="AE109" s="290">
        <x:f>SUM(AE104:AE108)</x:f>
        <x:v>-6610718374.1099997</x:v>
      </x:c>
      <x:c r="AF109" s="331">
        <x:f t="shared" si="56"/>
        <x:v>50082493606.700005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49004230527.200005</x:v>
      </x:c>
      <x:c r="AD111" s="1" t="s">
        <x:v>1</x:v>
      </x:c>
      <x:c r="AF111" s="1" t="s">
        <x:v>1</x:v>
      </x:c>
      <x:c r="AI111" s="4"/>
    </x:row>
    <x:row r="112" spans="2:36" ht="12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">
      <x:c r="Q115" s="4"/>
    </x:row>
    <x:row r="116" spans="1:35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" x14ac:dyDescent="0.3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5" x14ac:dyDescent="0.3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5">
      <x:c r="B120" s="8"/>
      <x:c r="I120" s="2"/>
      <x:c r="J120" s="2"/>
      <x:c r="O120" s="10"/>
      <x:c r="P120" s="2"/>
      <x:c r="Q120" s="4"/>
    </x:row>
    <x:row r="121" spans="1:35" ht="15.5" x14ac:dyDescent="0.3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5" thickBot="1" x14ac:dyDescent="0.3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5">
      <x:c r="B125" s="108">
        <x:v>1</x:v>
      </x:c>
      <x:c r="C125" s="109" t="s">
        <x:v>10</x:v>
      </x:c>
      <x:c r="D125" s="110">
        <x:f>'ANTICIPOS USUARIOS'!I3</x:f>
        <x:v>83572548.25</x:v>
      </x:c>
      <x:c r="E125" s="111">
        <x:v>0</x:v>
      </x:c>
      <x:c r="G125" s="336">
        <x:f>D47+N47</x:f>
        <x:v>49580</x:v>
      </x:c>
      <x:c r="H125" s="310">
        <x:f>D28+N28</x:f>
        <x:v>97091142.519999996</x:v>
      </x:c>
      <x:c r="I125" s="309">
        <x:f>D85+N85</x:f>
        <x:v>973693.46</x:v>
      </x:c>
      <x:c r="J125" s="309">
        <x:f>D66+N66</x:f>
        <x:v>-15533961.699999999</x:v>
      </x:c>
      <x:c r="K125" s="309">
        <x:f>'ANTICIPOS USUARIOS'!I12</x:f>
        <x:v>0</x:v>
      </x:c>
      <x:c r="L125" s="309">
        <x:f>-'ANTICIPOS USUARIOS'!I21</x:f>
        <x:v>16889.3</x:v>
      </x:c>
      <x:c r="O125" s="44"/>
      <x:c r="Q125" s="4"/>
    </x:row>
    <x:row r="126" spans="1:35" x14ac:dyDescent="0.25">
      <x:c r="B126" s="16">
        <x:v>2</x:v>
      </x:c>
      <x:c r="C126" s="17" t="s">
        <x:v>11</x:v>
      </x:c>
      <x:c r="D126" s="15">
        <x:f>'ANTICIPOS USUARIOS'!I4</x:f>
        <x:v>44281124</x:v>
      </x:c>
      <x:c r="E126" s="74">
        <x:v>0</x:v>
      </x:c>
      <x:c r="G126" s="339">
        <x:f>D48+N48</x:f>
        <x:v>56078860</x:v>
      </x:c>
      <x:c r="H126" s="340">
        <x:f>D29+N29</x:f>
        <x:v>55676152.700000003</x:v>
      </x:c>
      <x:c r="I126" s="288">
        <x:f>D86+N86</x:f>
        <x:v>0</x:v>
      </x:c>
      <x:c r="J126" s="288">
        <x:f t="shared" ref="J126:J129" si="57">D67+N67</x:f>
        <x:v>-70779009</x:v>
      </x:c>
      <x:c r="K126" s="288">
        <x:f>'ANTICIPOS USUARIOS'!I13</x:f>
        <x:v>5227240</x:v>
      </x:c>
      <x:c r="L126" s="288">
        <x:f>-'ANTICIPOS USUARIOS'!I22</x:f>
        <x:v>0</x:v>
      </x:c>
      <x:c r="O126" s="44"/>
      <x:c r="Q126" s="4"/>
    </x:row>
    <x:row r="127" spans="1:35" x14ac:dyDescent="0.25">
      <x:c r="B127" s="16">
        <x:v>3</x:v>
      </x:c>
      <x:c r="C127" s="17" t="s">
        <x:v>12</x:v>
      </x:c>
      <x:c r="D127" s="15">
        <x:f>'ANTICIPOS USUARIOS'!I5</x:f>
        <x:v>44039530</x:v>
      </x:c>
      <x:c r="E127" s="74">
        <x:v>0</x:v>
      </x:c>
      <x:c r="G127" s="339">
        <x:f>D49+N49</x:f>
        <x:v>1307680</x:v>
      </x:c>
      <x:c r="H127" s="340">
        <x:f>D30+N30</x:f>
        <x:v>10055662.040000001</x:v>
      </x:c>
      <x:c r="I127" s="288">
        <x:f>D87+N87</x:f>
        <x:v>104231.83</x:v>
      </x:c>
      <x:c r="J127" s="288">
        <x:f t="shared" si="57"/>
        <x:v>-32004320</x:v>
      </x:c>
      <x:c r="K127" s="288">
        <x:f>'ANTICIPOS USUARIOS'!I14</x:f>
        <x:v>0</x:v>
      </x:c>
      <x:c r="L127" s="288">
        <x:f>-'ANTICIPOS USUARIOS'!I23</x:f>
        <x:v>79850</x:v>
      </x:c>
      <x:c r="O127" s="44"/>
      <x:c r="Q127" s="4"/>
    </x:row>
    <x:row r="128" spans="1:35" x14ac:dyDescent="0.25">
      <x:c r="B128" s="16">
        <x:v>4</x:v>
      </x:c>
      <x:c r="C128" s="17" t="s">
        <x:v>13</x:v>
      </x:c>
      <x:c r="D128" s="15">
        <x:f>'ANTICIPOS USUARIOS'!I6</x:f>
        <x:v>48826052</x:v>
      </x:c>
      <x:c r="E128" s="74">
        <x:v>0</x:v>
      </x:c>
      <x:c r="G128" s="339">
        <x:f>D50+N50</x:f>
        <x:v>3610007</x:v>
      </x:c>
      <x:c r="H128" s="340">
        <x:f>D31+N31</x:f>
        <x:v>60774931.109999992</x:v>
      </x:c>
      <x:c r="I128" s="288">
        <x:f>D88+N88</x:f>
        <x:v>0</x:v>
      </x:c>
      <x:c r="J128" s="288">
        <x:f t="shared" si="57"/>
        <x:v>-29768645.890000001</x:v>
      </x:c>
      <x:c r="K128" s="288">
        <x:f>'ANTICIPOS USUARIOS'!I15</x:f>
        <x:v>11634964</x:v>
      </x:c>
      <x:c r="L128" s="288">
        <x:f>-'ANTICIPOS USUARIOS'!I24</x:f>
        <x:v>386384.11</x:v>
      </x:c>
      <x:c r="O128" s="44"/>
      <x:c r="Q128" s="4"/>
    </x:row>
    <x:row r="129" spans="1:18" x14ac:dyDescent="0.25">
      <x:c r="B129" s="133">
        <x:v>5</x:v>
      </x:c>
      <x:c r="C129" s="138" t="s">
        <x:v>14</x:v>
      </x:c>
      <x:c r="D129" s="15">
        <x:f>'ANTICIPOS USUARIOS'!I7</x:f>
        <x:v>15997915</x:v>
      </x:c>
      <x:c r="E129" s="139">
        <x:v>0</x:v>
      </x:c>
      <x:c r="G129" s="339">
        <x:f>D51+N51</x:f>
        <x:v>0</x:v>
      </x:c>
      <x:c r="H129" s="340">
        <x:f>D32+N32</x:f>
        <x:v>23423861.739999998</x:v>
      </x:c>
      <x:c r="I129" s="288">
        <x:f>D89+N89</x:f>
        <x:v>0</x:v>
      </x:c>
      <x:c r="J129" s="288">
        <x:f t="shared" si="57"/>
        <x:v>-2065600</x:v>
      </x:c>
      <x:c r="K129" s="288">
        <x:f>'ANTICIPOS USUARIOS'!I16</x:f>
        <x:v>0</x:v>
      </x:c>
      <x:c r="L129" s="288">
        <x:f>-'ANTICIPOS USUARIOS'!I25</x:f>
        <x:v>49280</x:v>
      </x:c>
      <x:c r="O129" s="44"/>
      <x:c r="Q129" s="4"/>
    </x:row>
    <x:row r="130" spans="1:18" ht="12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">
      <x:c r="B131" s="95"/>
      <x:c r="C131" s="106" t="s">
        <x:v>2</x:v>
      </x:c>
      <x:c r="D131" s="107">
        <x:f>SUM(D125:D130)</x:f>
        <x:v>236717169.25</x:v>
      </x:c>
      <x:c r="E131" s="107">
        <x:f>SUM(E125:E130)</x:f>
        <x:v>0</x:v>
      </x:c>
      <x:c r="F131" s="45"/>
      <x:c r="G131" s="350">
        <x:f t="shared" ref="G131" si="58">SUM(G125:G129)</x:f>
        <x:v>61046127</x:v>
      </x:c>
      <x:c r="H131" s="350">
        <x:f>SUM(H125:H130)</x:f>
        <x:v>247021750.10999998</x:v>
      </x:c>
      <x:c r="I131" s="350">
        <x:f>SUM(I125:I130)</x:f>
        <x:v>1077925.29</x:v>
      </x:c>
      <x:c r="J131" s="350">
        <x:f>SUM(J125:J130)</x:f>
        <x:v>-150151536.59</x:v>
      </x:c>
      <x:c r="K131" s="350">
        <x:f>SUM(K125:K130)</x:f>
        <x:v>16862204</x:v>
      </x:c>
      <x:c r="L131" s="350">
        <x:f>SUM(L125:L130)</x:f>
        <x:v>532403.40999999992</x:v>
      </x:c>
      <x:c r="M131" s="45"/>
      <x:c r="N131" s="45"/>
      <x:c r="O131" s="46"/>
      <x:c r="P131" s="2"/>
      <x:c r="Q131" s="4"/>
    </x:row>
    <x:row r="132" spans="1:18" x14ac:dyDescent="0.25">
      <x:c r="B132" s="2"/>
      <x:c r="C132" s="2"/>
      <x:c r="D132" s="24"/>
      <x:c r="Q132" s="4"/>
    </x:row>
    <x:row r="133" spans="1:18" x14ac:dyDescent="0.25">
      <x:c r="B133" s="2"/>
      <x:c r="C133" s="2"/>
      <x:c r="D133" s="24"/>
      <x:c r="L133" s="1" t="s">
        <x:v>1</x:v>
      </x:c>
      <x:c r="Q133" s="4"/>
    </x:row>
    <x:row r="134" spans="1:18" ht="12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5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5">
      <x:c r="B142" s="108">
        <x:v>1</x:v>
      </x:c>
      <x:c r="C142" s="109" t="s">
        <x:v>10</x:v>
      </x:c>
      <x:c r="D142" s="110">
        <x:f>D104+N104+D125+E125</x:f>
        <x:v>16743268645.279999</x:v>
      </x:c>
      <x:c r="E142" s="110">
        <x:f>'Recaudo ENEL'!F21</x:f>
        <x:v>16660688191</x:v>
      </x:c>
      <x:c r="F142" s="110">
        <x:f>D28+N28</x:f>
        <x:v>97091142.519999996</x:v>
      </x:c>
      <x:c r="G142" s="110">
        <x:f>D66+N66</x:f>
        <x:v>-15533961.699999999</x:v>
      </x:c>
      <x:c r="H142" s="110">
        <x:f>D85+N85</x:f>
        <x:v>973693.46</x:v>
      </x:c>
      <x:c r="I142" s="110">
        <x:f>('REPORTE RECAUDO x BANCO'!E62)</x:f>
        <x:v>0</x:v>
      </x:c>
      <x:c r="J142" s="110">
        <x:f t="shared" ref="J142:K146" si="59">G125</x:f>
        <x:v>49580</x:v>
      </x:c>
      <x:c r="K142" s="111">
        <x:f t="shared" si="59"/>
        <x:v>97091142.519999996</x:v>
      </x:c>
      <x:c r="L142" s="525">
        <x:f>D142-E142-F142-G142-J142-H142-I142</x:f>
        <x:v>-1.2172386050224304E-6</x:v>
      </x:c>
      <x:c r="M142" s="1" t="b">
        <x:f>INT(L142)=0</x:f>
        <x:v>0</x:v>
      </x:c>
      <x:c r="O142" s="55"/>
      <x:c r="P142" s="24"/>
      <x:c r="Q142" s="35"/>
      <x:c r="R142" s="24"/>
    </x:row>
    <x:row r="143" spans="1:18" x14ac:dyDescent="0.25">
      <x:c r="B143" s="16">
        <x:v>2</x:v>
      </x:c>
      <x:c r="C143" s="17" t="s">
        <x:v>11</x:v>
      </x:c>
      <x:c r="D143" s="18">
        <x:f>D105+N105+D126+E126</x:f>
        <x:v>19133055580.700005</x:v>
      </x:c>
      <x:c r="E143" s="18">
        <x:f>'Recaudo ENEL'!F22</x:f>
        <x:v>19090710142</x:v>
      </x:c>
      <x:c r="F143" s="18">
        <x:f>D29+N29</x:f>
        <x:v>55676152.700000003</x:v>
      </x:c>
      <x:c r="G143" s="18">
        <x:f>D67+N67</x:f>
        <x:v>-70779009</x:v>
      </x:c>
      <x:c r="H143" s="18">
        <x:f>D86+N86</x:f>
        <x:v>0</x:v>
      </x:c>
      <x:c r="I143" s="18">
        <x:f>('REPORTE RECAUDO x BANCO'!E65)</x:f>
        <x:v>1369435</x:v>
      </x:c>
      <x:c r="J143" s="18">
        <x:f t="shared" si="59"/>
        <x:v>56078860</x:v>
      </x:c>
      <x:c r="K143" s="83">
        <x:f t="shared" si="59"/>
        <x:v>55676152.700000003</x:v>
      </x:c>
      <x:c r="L143" s="525">
        <x:f>D143-E143-F143-G143-J143-H143-I143</x:f>
        <x:v>4.5746564865112305E-6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5">
      <x:c r="B144" s="16">
        <x:v>3</x:v>
      </x:c>
      <x:c r="C144" s="17" t="s">
        <x:v>12</x:v>
      </x:c>
      <x:c r="D144" s="18">
        <x:f>D106+N106+D127+E127</x:f>
        <x:v>14033705195.870001</x:v>
      </x:c>
      <x:c r="E144" s="18">
        <x:f>'Recaudo ENEL'!F23</x:f>
        <x:v>14027201822</x:v>
      </x:c>
      <x:c r="F144" s="18">
        <x:f>D30+N30</x:f>
        <x:v>10055662.040000001</x:v>
      </x:c>
      <x:c r="G144" s="18">
        <x:f>D68+N68</x:f>
        <x:v>-32004320</x:v>
      </x:c>
      <x:c r="H144" s="18">
        <x:f>D87+N87</x:f>
        <x:v>104231.83</x:v>
      </x:c>
      <x:c r="I144" s="18">
        <x:f>('REPORTE RECAUDO x BANCO'!E67)</x:f>
        <x:v>27040120</x:v>
      </x:c>
      <x:c r="J144" s="18">
        <x:f t="shared" si="59"/>
        <x:v>1307680</x:v>
      </x:c>
      <x:c r="K144" s="83">
        <x:f t="shared" si="59"/>
        <x:v>10055662.040000001</x:v>
      </x:c>
      <x:c r="L144" s="525">
        <x:f>D144-E144-F144-G144-J144-H144-I144</x:f>
        <x:v>8.4191560745239258E-7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5">
      <x:c r="B145" s="16">
        <x:v>4</x:v>
      </x:c>
      <x:c r="C145" s="17" t="s">
        <x:v>13</x:v>
      </x:c>
      <x:c r="D145" s="18">
        <x:f>D107+N107+D128+E128</x:f>
        <x:v>6687438612.2199993</x:v>
      </x:c>
      <x:c r="E145" s="18">
        <x:f>'Recaudo ENEL'!F24</x:f>
        <x:v>6640391410</x:v>
      </x:c>
      <x:c r="F145" s="18">
        <x:f>D31+N31</x:f>
        <x:v>60774931.109999992</x:v>
      </x:c>
      <x:c r="G145" s="18">
        <x:f>D69+N69</x:f>
        <x:v>-29768645.890000001</x:v>
      </x:c>
      <x:c r="H145" s="18">
        <x:f>D88+N88</x:f>
        <x:v>0</x:v>
      </x:c>
      <x:c r="I145" s="18">
        <x:f>('REPORTE RECAUDO x BANCO'!E70)</x:f>
        <x:v>12430910</x:v>
      </x:c>
      <x:c r="J145" s="18">
        <x:f t="shared" si="59"/>
        <x:v>3610007</x:v>
      </x:c>
      <x:c r="K145" s="83">
        <x:f t="shared" si="59"/>
        <x:v>60774931.109999992</x:v>
      </x:c>
      <x:c r="L145" s="525">
        <x:f>D145-E145-F145-G145-J145-H145-I145</x:f>
        <x:v>-6.7800283432006836E-7</x:v>
      </x:c>
      <x:c r="M145" s="1" t="b">
        <x:f t="shared" si="60"/>
        <x:v>0</x:v>
      </x:c>
      <x:c r="O145" s="96"/>
      <x:c r="P145" s="24"/>
      <x:c r="Q145" s="35"/>
      <x:c r="R145" s="24"/>
    </x:row>
    <x:row r="146" spans="1:20" ht="12" thickBot="1" x14ac:dyDescent="0.3">
      <x:c r="B146" s="133">
        <x:v>5</x:v>
      </x:c>
      <x:c r="C146" s="138" t="s">
        <x:v>14</x:v>
      </x:c>
      <x:c r="D146" s="134">
        <x:f>D108+N108+D129+E129</x:f>
        <x:v>11747511098.74</x:v>
      </x:c>
      <x:c r="E146" s="18">
        <x:f>'Recaudo ENEL'!F25</x:f>
        <x:v>11725626627</x:v>
      </x:c>
      <x:c r="F146" s="134">
        <x:f>D32+N32</x:f>
        <x:v>23423861.739999998</x:v>
      </x:c>
      <x:c r="G146" s="134">
        <x:f>D70+N70</x:f>
        <x:v>-2065600</x:v>
      </x:c>
      <x:c r="H146" s="134">
        <x:f>D89+N89</x:f>
        <x:v>0</x:v>
      </x:c>
      <x:c r="I146" s="134">
        <x:f>('REPORTE RECAUDO x BANCO'!E72)</x:f>
        <x:v>526210</x:v>
      </x:c>
      <x:c r="J146" s="134">
        <x:f t="shared" si="59"/>
        <x:v>0</x:v>
      </x:c>
      <x:c r="K146" s="136">
        <x:f t="shared" si="59"/>
        <x:v>23423861.739999998</x:v>
      </x:c>
      <x:c r="L146" s="525">
        <x:f>D146-E146-F146-G146-J146-H146-I146</x:f>
        <x:v>-2.2724270820617676E-7</x:v>
      </x:c>
      <x:c r="M146" s="1" t="b">
        <x:f t="shared" si="60"/>
        <x:v>0</x:v>
      </x:c>
      <x:c r="O146" s="55"/>
      <x:c r="P146" s="24"/>
      <x:c r="Q146" s="35"/>
      <x:c r="R146" s="24"/>
    </x:row>
    <x:row r="147" spans="1:20" ht="12" thickBot="1" x14ac:dyDescent="0.3">
      <x:c r="B147" s="21"/>
      <x:c r="C147" s="22" t="s">
        <x:v>2</x:v>
      </x:c>
      <x:c r="D147" s="47">
        <x:f>SUM(D142:D146)</x:f>
        <x:v>68344979132.810005</x:v>
      </x:c>
      <x:c r="E147" s="47">
        <x:f>SUM(E142:E146)</x:f>
        <x:v>68144618192</x:v>
      </x:c>
      <x:c r="F147" s="47">
        <x:f t="shared" ref="F147:K147" si="61">SUM(F142:F146)</x:f>
        <x:v>247021750.10999998</x:v>
      </x:c>
      <x:c r="G147" s="47">
        <x:f t="shared" si="61"/>
        <x:v>-150151536.59</x:v>
      </x:c>
      <x:c r="H147" s="47">
        <x:f t="shared" si="61"/>
        <x:v>1077925.29</x:v>
      </x:c>
      <x:c r="I147" s="47">
        <x:f t="shared" si="61"/>
        <x:v>41366675</x:v>
      </x:c>
      <x:c r="J147" s="47">
        <x:f t="shared" si="61"/>
        <x:v>61046127</x:v>
      </x:c>
      <x:c r="K147" s="47">
        <x:f t="shared" si="61"/>
        <x:v>247021750.10999998</x:v>
      </x:c>
      <x:c r="L147" s="525">
        <x:f>SUM(L142:L146)</x:f>
        <x:v>3.2940879464149475E-6</x:v>
      </x:c>
      <x:c r="M147" s="1" t="b">
        <x:f t="shared" si="60"/>
        <x:v>1</x:v>
      </x:c>
      <x:c r="P147" s="24"/>
      <x:c r="Q147" s="35"/>
      <x:c r="R147" s="24"/>
    </x:row>
    <x:row r="148" spans="1:20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5">
      <x:c r="N152" s="24"/>
      <x:c r="O152" s="24"/>
      <x:c r="Q152" s="24"/>
      <x:c r="T152" s="24"/>
    </x:row>
    <x:row r="153" spans="1:20" x14ac:dyDescent="0.25">
      <x:c r="E153" s="660"/>
      <x:c r="N153" s="24"/>
      <x:c r="O153" s="24"/>
      <x:c r="Q153" s="24"/>
      <x:c r="T153" s="24"/>
    </x:row>
    <x:row r="154" spans="1:20" x14ac:dyDescent="0.25">
      <x:c r="N154" s="24"/>
      <x:c r="O154" s="24"/>
      <x:c r="Q154" s="24"/>
      <x:c r="T154" s="24"/>
    </x:row>
    <x:row r="155" spans="1:20" x14ac:dyDescent="0.25">
      <x:c r="Q155" s="24"/>
      <x:c r="T155" s="24"/>
    </x:row>
    <x:row r="156" spans="1:20" x14ac:dyDescent="0.25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5" x14ac:dyDescent="0.25"/>
  <x:cols>
    <x:col min="1" max="1" width="3" customWidth="1"/>
    <x:col min="2" max="2" width="4.1796875" bestFit="1" customWidth="1"/>
    <x:col min="3" max="3" width="16.81640625" customWidth="1"/>
    <x:col min="4" max="4" width="14.1796875" customWidth="1"/>
    <x:col min="5" max="7" width="17.81640625" customWidth="1"/>
    <x:col min="8" max="8" width="18.1796875" customWidth="1"/>
    <x:col min="9" max="9" width="15.81640625" customWidth="1"/>
    <x:col min="10" max="10" width="16.453125" customWidth="1"/>
    <x:col min="11" max="11" width="15.81640625" customWidth="1"/>
    <x:col min="12" max="13" width="18.1796875" customWidth="1"/>
    <x:col min="14" max="14" width="15.81640625" customWidth="1"/>
    <x:col min="15" max="15" width="14.1796875" customWidth="1"/>
    <x:col min="16" max="16" width="14.453125" customWidth="1"/>
  </x:cols>
  <x:sheetData>
    <x:row r="1" spans="2:16" ht="13" thickBot="1" x14ac:dyDescent="0.3"/>
    <x:row r="2" spans="2:16" ht="35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16660688191</x:v>
      </x:c>
      <x:c r="D3" s="292">
        <x:f>REMUNERACION_ENEL!G125</x:f>
        <x:v>49580</x:v>
      </x:c>
      <x:c r="E3" s="292">
        <x:f>REMUNERACION_ENEL!D28+REMUNERACION_ENEL!N28</x:f>
        <x:v>97091142.519999996</x:v>
      </x:c>
      <x:c r="F3" s="292">
        <x:f>REMUNERACION_ENEL!I142</x:f>
        <x:v>0</x:v>
      </x:c>
      <x:c r="G3" s="292">
        <x:f>REMUNERACION_ENEL!H142</x:f>
        <x:v>973693.46</x:v>
      </x:c>
      <x:c r="H3" s="340">
        <x:f>SUM(C3:G3)</x:f>
        <x:v>16758802606.98</x:v>
      </x:c>
      <x:c r="I3" s="291">
        <x:f>REMUNERACION_ENEL!D104</x:f>
        <x:v>16643179604.779999</x:v>
      </x:c>
      <x:c r="J3" s="292">
        <x:f>REMUNERACION_ENEL!N104</x:f>
        <x:v>16516492.25</x:v>
      </x:c>
      <x:c r="K3" s="292">
        <x:f>REMUNERACION_ENEL!D125</x:f>
        <x:v>83572548.25</x:v>
      </x:c>
      <x:c r="L3" s="353">
        <x:f>REMUNERACION_ENEL!E125</x:f>
        <x:v>0</x:v>
      </x:c>
      <x:c r="M3" s="292">
        <x:f>-REMUNERACION_ENEL!D66-REMUNERACION_ENEL!N66</x:f>
        <x:v>15533961.699999999</x:v>
      </x:c>
      <x:c r="N3" s="288">
        <x:f>SUM(I3:M3)</x:f>
        <x:v>16758802606.98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19090710142</x:v>
      </x:c>
      <x:c r="D4" s="292">
        <x:f>REMUNERACION_ENEL!G126</x:f>
        <x:v>56078860</x:v>
      </x:c>
      <x:c r="E4" s="292">
        <x:f>REMUNERACION_ENEL!D29+REMUNERACION_ENEL!N29</x:f>
        <x:v>55676152.700000003</x:v>
      </x:c>
      <x:c r="F4" s="292">
        <x:f>REMUNERACION_ENEL!I143</x:f>
        <x:v>1369435</x:v>
      </x:c>
      <x:c r="G4" s="292">
        <x:f>REMUNERACION_ENEL!H143</x:f>
        <x:v>0</x:v>
      </x:c>
      <x:c r="H4" s="340">
        <x:f t="shared" ref="H4:H8" si="1">SUM(C4:G4)</x:f>
        <x:v>19203834589.700001</x:v>
      </x:c>
      <x:c r="I4" s="291">
        <x:f>REMUNERACION_ENEL!D105</x:f>
        <x:v>19064501226.810005</x:v>
      </x:c>
      <x:c r="J4" s="292">
        <x:f>REMUNERACION_ENEL!N105</x:f>
        <x:v>24273229.890000001</x:v>
      </x:c>
      <x:c r="K4" s="292">
        <x:f>REMUNERACION_ENEL!D126</x:f>
        <x:v>44281124</x:v>
      </x:c>
      <x:c r="L4" s="353">
        <x:f>REMUNERACION_ENEL!E126</x:f>
        <x:v>0</x:v>
      </x:c>
      <x:c r="M4" s="292">
        <x:f>-REMUNERACION_ENEL!D67-REMUNERACION_ENEL!N67</x:f>
        <x:v>70779009</x:v>
      </x:c>
      <x:c r="N4" s="318">
        <x:f>SUM(I4:M4)</x:f>
        <x:v>19203834589.700005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14027201822</x:v>
      </x:c>
      <x:c r="D5" s="292">
        <x:f>REMUNERACION_ENEL!G127</x:f>
        <x:v>1307680</x:v>
      </x:c>
      <x:c r="E5" s="292">
        <x:f>REMUNERACION_ENEL!D30+REMUNERACION_ENEL!N30</x:f>
        <x:v>10055662.040000001</x:v>
      </x:c>
      <x:c r="F5" s="292">
        <x:f>REMUNERACION_ENEL!I144</x:f>
        <x:v>27040120</x:v>
      </x:c>
      <x:c r="G5" s="292">
        <x:f>REMUNERACION_ENEL!H144</x:f>
        <x:v>104231.83</x:v>
      </x:c>
      <x:c r="H5" s="340">
        <x:f t="shared" si="1"/>
        <x:v>14065709515.870001</x:v>
      </x:c>
      <x:c r="I5" s="291">
        <x:f>REMUNERACION_ENEL!D106</x:f>
        <x:v>13976635090.370001</x:v>
      </x:c>
      <x:c r="J5" s="292">
        <x:f>REMUNERACION_ENEL!N106</x:f>
        <x:v>13030575.5</x:v>
      </x:c>
      <x:c r="K5" s="292">
        <x:f>REMUNERACION_ENEL!D127</x:f>
        <x:v>44039530</x:v>
      </x:c>
      <x:c r="L5" s="353">
        <x:f>REMUNERACION_ENEL!E127</x:f>
        <x:v>0</x:v>
      </x:c>
      <x:c r="M5" s="292">
        <x:f>-REMUNERACION_ENEL!D68-REMUNERACION_ENEL!N68</x:f>
        <x:v>32004320</x:v>
      </x:c>
      <x:c r="N5" s="318">
        <x:f>SUM(I5:M5)</x:f>
        <x:v>14065709515.870001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6640391410</x:v>
      </x:c>
      <x:c r="D6" s="292">
        <x:f>REMUNERACION_ENEL!G128</x:f>
        <x:v>3610007</x:v>
      </x:c>
      <x:c r="E6" s="292">
        <x:f>REMUNERACION_ENEL!D31+REMUNERACION_ENEL!N31</x:f>
        <x:v>60774931.109999992</x:v>
      </x:c>
      <x:c r="F6" s="292">
        <x:f>REMUNERACION_ENEL!I145</x:f>
        <x:v>12430910</x:v>
      </x:c>
      <x:c r="G6" s="292">
        <x:f>REMUNERACION_ENEL!H145</x:f>
        <x:v>0</x:v>
      </x:c>
      <x:c r="H6" s="340">
        <x:f t="shared" si="1"/>
        <x:v>6717207258.1099997</x:v>
      </x:c>
      <x:c r="I6" s="291">
        <x:f>REMUNERACION_ENEL!D107</x:f>
        <x:v>6619403672.6899996</x:v>
      </x:c>
      <x:c r="J6" s="292">
        <x:f>REMUNERACION_ENEL!N107</x:f>
        <x:v>19208887.530000001</x:v>
      </x:c>
      <x:c r="K6" s="292">
        <x:f>REMUNERACION_ENEL!D128</x:f>
        <x:v>48826052</x:v>
      </x:c>
      <x:c r="L6" s="353">
        <x:f>REMUNERACION_ENEL!E128</x:f>
        <x:v>0</x:v>
      </x:c>
      <x:c r="M6" s="292">
        <x:f>-REMUNERACION_ENEL!D69-REMUNERACION_ENEL!N69</x:f>
        <x:v>29768645.890000001</x:v>
      </x:c>
      <x:c r="N6" s="318">
        <x:f t="shared" ref="N6:N7" si="3">SUM(I6:M6)</x:f>
        <x:v>6717207258.1099997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11725626627</x:v>
      </x:c>
      <x:c r="D7" s="292">
        <x:f>REMUNERACION_ENEL!G129</x:f>
        <x:v>0</x:v>
      </x:c>
      <x:c r="E7" s="292">
        <x:f>REMUNERACION_ENEL!D32+REMUNERACION_ENEL!N32</x:f>
        <x:v>23423861.739999998</x:v>
      </x:c>
      <x:c r="F7" s="292">
        <x:f>REMUNERACION_ENEL!I146</x:f>
        <x:v>526210</x:v>
      </x:c>
      <x:c r="G7" s="292">
        <x:f>REMUNERACION_ENEL!H146</x:f>
        <x:v>0</x:v>
      </x:c>
      <x:c r="H7" s="340">
        <x:f t="shared" si="1"/>
        <x:v>11749576698.74</x:v>
      </x:c>
      <x:c r="I7" s="291">
        <x:f>REMUNERACION_ENEL!D108</x:f>
        <x:v>11722516106.639999</x:v>
      </x:c>
      <x:c r="J7" s="292">
        <x:f>REMUNERACION_ENEL!N108</x:f>
        <x:v>8997077.0999999996</x:v>
      </x:c>
      <x:c r="K7" s="292">
        <x:f>REMUNERACION_ENEL!D129</x:f>
        <x:v>15997915</x:v>
      </x:c>
      <x:c r="L7" s="353">
        <x:f>REMUNERACION_ENEL!E129</x:f>
        <x:v>0</x:v>
      </x:c>
      <x:c r="M7" s="292">
        <x:f>-REMUNERACION_ENEL!D70-REMUNERACION_ENEL!N70</x:f>
        <x:v>2065600</x:v>
      </x:c>
      <x:c r="N7" s="318">
        <x:f t="shared" si="3"/>
        <x:v>11749576698.74</x:v>
      </x:c>
      <x:c r="O7" s="354">
        <x:f>H7-N7</x:f>
        <x:v>0</x:v>
      </x:c>
      <x:c r="P7" s="1" t="b">
        <x:f t="shared" si="2"/>
        <x:v>1</x:v>
      </x:c>
    </x:row>
    <x:row r="8" spans="2:16" s="355" customFormat="1" ht="13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" thickBot="1" x14ac:dyDescent="0.3">
      <x:c r="B9" s="327"/>
      <x:c r="C9" s="290">
        <x:f>SUM(C3:C8)</x:f>
        <x:v>68144618192</x:v>
      </x:c>
      <x:c r="D9" s="290">
        <x:f t="shared" ref="D9:M9" si="4">SUM(D3:D8)</x:f>
        <x:v>61046127</x:v>
      </x:c>
      <x:c r="E9" s="290">
        <x:f t="shared" si="4"/>
        <x:v>247021750.10999998</x:v>
      </x:c>
      <x:c r="F9" s="290">
        <x:f t="shared" si="4"/>
        <x:v>41366675</x:v>
      </x:c>
      <x:c r="G9" s="290">
        <x:f t="shared" si="4"/>
        <x:v>1077925.29</x:v>
      </x:c>
      <x:c r="H9" s="290">
        <x:f t="shared" si="4"/>
        <x:v>68495130669.400002</x:v>
      </x:c>
      <x:c r="I9" s="290">
        <x:f t="shared" si="4"/>
        <x:v>68026235701.290009</x:v>
      </x:c>
      <x:c r="J9" s="290">
        <x:f t="shared" si="4"/>
        <x:v>82026262.269999996</x:v>
      </x:c>
      <x:c r="K9" s="290">
        <x:f t="shared" si="4"/>
        <x:v>236717169.25</x:v>
      </x:c>
      <x:c r="L9" s="290">
        <x:f t="shared" si="4"/>
        <x:v>0</x:v>
      </x:c>
      <x:c r="M9" s="290">
        <x:f t="shared" si="4"/>
        <x:v>150151536.59</x:v>
      </x:c>
      <x:c r="N9" s="290">
        <x:f>SUM(N3:N8)</x:f>
        <x:v>68495130669.400009</x:v>
      </x:c>
      <x:c r="O9" s="359">
        <x:f>SUM(O3:O8)</x:f>
        <x:v>0</x:v>
      </x:c>
      <x:c r="P9" s="1" t="b">
        <x:f t="shared" si="2"/>
        <x:v>1</x:v>
      </x:c>
    </x:row>
    <x:row r="11" spans="2:16" ht="13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68144618192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J10" sqref="J10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6.54296875" style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9.453125" style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">
      <x:c r="B7" s="8"/>
      <x:c r="C7" s="599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69.5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5">
      <x:c r="B9" s="14">
        <x:v>1</x:v>
      </x:c>
      <x:c r="C9" s="61" t="s">
        <x:v>10</x:v>
      </x:c>
      <x:c r="D9" s="66">
        <x:f>REMUNERACION_ENEL!D104</x:f>
        <x:v>16643179604.779999</x:v>
      </x:c>
      <x:c r="E9" s="66">
        <x:f>REMUNERACION_ENEL!E104</x:f>
        <x:v>807895299.00000012</x:v>
      </x:c>
      <x:c r="F9" s="66">
        <x:f>REMUNERACION_ENEL!F104</x:f>
        <x:v>455912503.50999999</x:v>
      </x:c>
      <x:c r="G9" s="66">
        <x:f>REMUNERACION_ENEL!G104</x:f>
        <x:v>239329779.88</x:v>
      </x:c>
      <x:c r="H9" s="66">
        <x:f>REMUNERACION_ENEL!H104</x:f>
        <x:v>3761557796.75</x:v>
      </x:c>
      <x:c r="I9" s="66">
        <x:f>REMUNERACION_ENEL!I104</x:f>
        <x:v>132659753.62000002</x:v>
      </x:c>
      <x:c r="J9" s="66">
        <x:f>REMUNERACION_ENEL!J104</x:f>
        <x:v>-3589454665.5499997</x:v>
      </x:c>
      <x:c r="K9" s="30">
        <x:f>D9-E9-F9-G9-H9-I9-J9</x:f>
        <x:v>14835279137.569998</x:v>
      </x:c>
      <x:c r="L9" s="66">
        <x:f>REMUNERACION_ENEL!L104</x:f>
        <x:v>189185988</x:v>
      </x:c>
      <x:c r="M9" s="30">
        <x:f>K9-L9</x:f>
        <x:v>14646093149.569998</x:v>
      </x:c>
      <x:c r="N9" s="66">
        <x:f>REMUNERACION_ENEL!N104</x:f>
        <x:v>16516492.25</x:v>
      </x:c>
      <x:c r="O9" s="30">
        <x:f>M9+N9</x:f>
        <x:v>14662609641.819998</x:v>
      </x:c>
      <x:c r="Q9" s="4"/>
      <x:c r="S9" s="14">
        <x:v>1</x:v>
      </x:c>
      <x:c r="T9" s="61" t="s">
        <x:v>10</x:v>
      </x:c>
      <x:c r="U9" s="66">
        <x:f>REMUNERACION_ENEL!U104</x:f>
        <x:v>1167429697.9300001</x:v>
      </x:c>
      <x:c r="V9" s="66">
        <x:f>REMUNERACION_ENEL!V104</x:f>
        <x:v>1119851344.1899998</x:v>
      </x:c>
      <x:c r="W9" s="66">
        <x:f>REMUNERACION_ENEL!W104</x:f>
        <x:v>5299081059.21</x:v>
      </x:c>
      <x:c r="X9" s="66">
        <x:f>REMUNERACION_ENEL!X104</x:f>
        <x:v>2189246770.6300006</x:v>
      </x:c>
      <x:c r="Y9" s="66">
        <x:f>REMUNERACION_ENEL!Y104</x:f>
        <x:v>216286907.63999999</x:v>
      </x:c>
      <x:c r="Z9" s="66">
        <x:f>REMUNERACION_ENEL!Z104</x:f>
        <x:v>-189185988</x:v>
      </x:c>
      <x:c r="AA9" s="66">
        <x:f>REMUNERACION_ENEL!AA104</x:f>
        <x:v>-16656.379999999997</x:v>
      </x:c>
      <x:c r="AB9" s="66">
        <x:f>REMUNERACION_ENEL!AB104</x:f>
        <x:v>16516492.25</x:v>
      </x:c>
      <x:c r="AC9" s="66">
        <x:f>REMUNERACION_ENEL!AC104</x:f>
        <x:v>521.77</x:v>
      </x:c>
      <x:c r="AD9" s="66">
        <x:f>REMUNERACION_ENEL!AD104</x:f>
        <x:v>4843399492.5799999</x:v>
      </x:c>
      <x:c r="AE9" s="66">
        <x:f>REMUNERACION_ENEL!AE104</x:f>
        <x:v>1253944827.03</x:v>
      </x:c>
      <x:c r="AF9" s="69">
        <x:f>SUM(U9:AD9)</x:f>
        <x:v>14662609641.820002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5">
      <x:c r="B10" s="16">
        <x:v>2</x:v>
      </x:c>
      <x:c r="C10" s="62" t="s">
        <x:v>11</x:v>
      </x:c>
      <x:c r="D10" s="66">
        <x:f>REMUNERACION_ENEL!D105</x:f>
        <x:v>19064501226.810005</x:v>
      </x:c>
      <x:c r="E10" s="66">
        <x:f>REMUNERACION_ENEL!E105</x:f>
        <x:v>1396129505.3300002</x:v>
      </x:c>
      <x:c r="F10" s="66">
        <x:f>REMUNERACION_ENEL!F105</x:f>
        <x:v>784878776.18999994</x:v>
      </x:c>
      <x:c r="G10" s="66">
        <x:f>REMUNERACION_ENEL!G105</x:f>
        <x:v>411247567.16000009</x:v>
      </x:c>
      <x:c r="H10" s="66">
        <x:f>REMUNERACION_ENEL!H105</x:f>
        <x:v>5582809669.8899994</x:v>
      </x:c>
      <x:c r="I10" s="66">
        <x:f>REMUNERACION_ENEL!I105</x:f>
        <x:v>216022487.64000002</x:v>
      </x:c>
      <x:c r="J10" s="66">
        <x:f>REMUNERACION_ENEL!J105</x:f>
        <x:v>-3241193714.1100001</x:v>
      </x:c>
      <x:c r="K10" s="31">
        <x:f t="shared" ref="K10:K13" si="0">D10-E10-F10-G10-H10-I10-J10</x:f>
        <x:v>13914606934.710005</x:v>
      </x:c>
      <x:c r="L10" s="66">
        <x:f>REMUNERACION_ENEL!L105</x:f>
        <x:v>266580256</x:v>
      </x:c>
      <x:c r="M10" s="31">
        <x:f>K10-L10</x:f>
        <x:v>13648026678.710005</x:v>
      </x:c>
      <x:c r="N10" s="66">
        <x:f>REMUNERACION_ENEL!N105</x:f>
        <x:v>24273229.890000001</x:v>
      </x:c>
      <x:c r="O10" s="31">
        <x:f t="shared" ref="O10:O13" si="1">M10+N10</x:f>
        <x:v>13672299908.600004</x:v>
      </x:c>
      <x:c r="Q10" s="4"/>
      <x:c r="S10" s="16">
        <x:v>2</x:v>
      </x:c>
      <x:c r="T10" s="62" t="s">
        <x:v>11</x:v>
      </x:c>
      <x:c r="U10" s="66">
        <x:f>REMUNERACION_ENEL!U105</x:f>
        <x:v>1893620444.5699999</x:v>
      </x:c>
      <x:c r="V10" s="66">
        <x:f>REMUNERACION_ENEL!V105</x:f>
        <x:v>1869892249.3700001</x:v>
      </x:c>
      <x:c r="W10" s="66">
        <x:f>REMUNERACION_ENEL!W105</x:f>
        <x:v>8814809316.3799992</x:v>
      </x:c>
      <x:c r="X10" s="66">
        <x:f>REMUNERACION_ENEL!X105</x:f>
        <x:v>2749999250.0999999</x:v>
      </x:c>
      <x:c r="Y10" s="66">
        <x:f>REMUNERACION_ENEL!Y105</x:f>
        <x:v>352820304.41000003</x:v>
      </x:c>
      <x:c r="Z10" s="66">
        <x:f>REMUNERACION_ENEL!Z105</x:f>
        <x:v>-266580256</x:v>
      </x:c>
      <x:c r="AA10" s="66">
        <x:f>REMUNERACION_ENEL!AA105</x:f>
        <x:v>90135.24</x:v>
      </x:c>
      <x:c r="AB10" s="66">
        <x:f>REMUNERACION_ENEL!AB105</x:f>
        <x:v>24273229.890000001</x:v>
      </x:c>
      <x:c r="AC10" s="66">
        <x:f>REMUNERACION_ENEL!AC105</x:f>
        <x:v>-109.61</x:v>
      </x:c>
      <x:c r="AD10" s="66">
        <x:f>REMUNERACION_ENEL!AD105</x:f>
        <x:v>-1766624655.7499995</x:v>
      </x:c>
      <x:c r="AE10" s="66">
        <x:f>REMUNERACION_ENEL!AE105</x:f>
        <x:v>-5007818369.8599997</x:v>
      </x:c>
      <x:c r="AF10" s="70">
        <x:f>SUM(U10:AD10)</x:f>
        <x:v>13672299908.599998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5">
      <x:c r="B11" s="16">
        <x:v>3</x:v>
      </x:c>
      <x:c r="C11" s="62" t="s">
        <x:v>12</x:v>
      </x:c>
      <x:c r="D11" s="66">
        <x:f>REMUNERACION_ENEL!D106</x:f>
        <x:v>13976635090.370001</x:v>
      </x:c>
      <x:c r="E11" s="66">
        <x:f>REMUNERACION_ENEL!E106</x:f>
        <x:v>985637596.05999994</x:v>
      </x:c>
      <x:c r="F11" s="66">
        <x:f>REMUNERACION_ENEL!F106</x:f>
        <x:v>555973895.94999993</x:v>
      </x:c>
      <x:c r="G11" s="66">
        <x:f>REMUNERACION_ENEL!G106</x:f>
        <x:v>292056214.65000004</x:v>
      </x:c>
      <x:c r="H11" s="66">
        <x:f>REMUNERACION_ENEL!H106</x:f>
        <x:v>3381560449.0999999</x:v>
      </x:c>
      <x:c r="I11" s="66">
        <x:f>REMUNERACION_ENEL!I106</x:f>
        <x:v>124524527.32000001</x:v>
      </x:c>
      <x:c r="J11" s="66">
        <x:f>REMUNERACION_ENEL!J106</x:f>
        <x:v>-853244564.50999999</x:v>
      </x:c>
      <x:c r="K11" s="31">
        <x:f t="shared" si="0"/>
        <x:v>9490126971.8000011</x:v>
      </x:c>
      <x:c r="L11" s="66">
        <x:f>REMUNERACION_ENEL!L106</x:f>
        <x:v>154788536</x:v>
      </x:c>
      <x:c r="M11" s="31">
        <x:f>K11-L11</x:f>
        <x:v>9335338435.8000011</x:v>
      </x:c>
      <x:c r="N11" s="66">
        <x:f>REMUNERACION_ENEL!N106</x:f>
        <x:v>13030575.5</x:v>
      </x:c>
      <x:c r="O11" s="31">
        <x:f t="shared" si="1"/>
        <x:v>9348369011.3000011</x:v>
      </x:c>
      <x:c r="Q11" s="4"/>
      <x:c r="S11" s="16">
        <x:v>3</x:v>
      </x:c>
      <x:c r="T11" s="62" t="s">
        <x:v>12</x:v>
      </x:c>
      <x:c r="U11" s="66">
        <x:f>REMUNERACION_ENEL!U106</x:f>
        <x:v>1092110322.45</x:v>
      </x:c>
      <x:c r="V11" s="66">
        <x:f>REMUNERACION_ENEL!V106</x:f>
        <x:v>1072670179.5</x:v>
      </x:c>
      <x:c r="W11" s="66">
        <x:f>REMUNERACION_ENEL!W106</x:f>
        <x:v>5077455755.5400009</x:v>
      </x:c>
      <x:c r="X11" s="66">
        <x:f>REMUNERACION_ENEL!X106</x:f>
        <x:v>2292038481.0500002</x:v>
      </x:c>
      <x:c r="Y11" s="66">
        <x:f>REMUNERACION_ENEL!Y106</x:f>
        <x:v>203250483.36000001</x:v>
      </x:c>
      <x:c r="Z11" s="66">
        <x:f>REMUNERACION_ENEL!Z106</x:f>
        <x:v>-154788536</x:v>
      </x:c>
      <x:c r="AA11" s="66">
        <x:f>REMUNERACION_ENEL!AA106</x:f>
        <x:v>247376.99</x:v>
      </x:c>
      <x:c r="AB11" s="66">
        <x:f>REMUNERACION_ENEL!AB106</x:f>
        <x:v>13030575.5</x:v>
      </x:c>
      <x:c r="AC11" s="66">
        <x:f>REMUNERACION_ENEL!AC106</x:f>
        <x:v>0.94</x:v>
      </x:c>
      <x:c r="AD11" s="66">
        <x:f>REMUNERACION_ENEL!AD106</x:f>
        <x:v>-247645628.02999997</x:v>
      </x:c>
      <x:c r="AE11" s="66">
        <x:f>REMUNERACION_ENEL!AE106</x:f>
        <x:v>-1100890192.54</x:v>
      </x:c>
      <x:c r="AF11" s="70">
        <x:f>SUM(U11:AD11)</x:f>
        <x:v>9348369011.3000011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5">
      <x:c r="B12" s="16">
        <x:v>4</x:v>
      </x:c>
      <x:c r="C12" s="62" t="s">
        <x:v>13</x:v>
      </x:c>
      <x:c r="D12" s="66">
        <x:f>REMUNERACION_ENEL!D107</x:f>
        <x:v>6619403672.6899996</x:v>
      </x:c>
      <x:c r="E12" s="66">
        <x:f>REMUNERACION_ENEL!E107</x:f>
        <x:v>409065767.94999999</x:v>
      </x:c>
      <x:c r="F12" s="66">
        <x:f>REMUNERACION_ENEL!F107</x:f>
        <x:v>229023916.59999999</x:v>
      </x:c>
      <x:c r="G12" s="66">
        <x:f>REMUNERACION_ENEL!G107</x:f>
        <x:v>119897084.47999999</x:v>
      </x:c>
      <x:c r="H12" s="66">
        <x:f>REMUNERACION_ENEL!H107</x:f>
        <x:v>1538751149.1300001</x:v>
      </x:c>
      <x:c r="I12" s="66">
        <x:f>REMUNERACION_ENEL!I107</x:f>
        <x:v>60407359.210000001</x:v>
      </x:c>
      <x:c r="J12" s="66">
        <x:f>REMUNERACION_ENEL!J107</x:f>
        <x:v>-699882713.37000012</x:v>
      </x:c>
      <x:c r="K12" s="31">
        <x:f t="shared" si="0"/>
        <x:v>4962141108.6899996</x:v>
      </x:c>
      <x:c r="L12" s="66">
        <x:f>REMUNERACION_ENEL!L107</x:f>
        <x:v>120391083</x:v>
      </x:c>
      <x:c r="M12" s="31">
        <x:f>K12-L12</x:f>
        <x:v>4841750025.6899996</x:v>
      </x:c>
      <x:c r="N12" s="66">
        <x:f>REMUNERACION_ENEL!N107</x:f>
        <x:v>19208887.530000001</x:v>
      </x:c>
      <x:c r="O12" s="31">
        <x:f t="shared" si="1"/>
        <x:v>4860958913.2199993</x:v>
      </x:c>
      <x:c r="Q12" s="4"/>
      <x:c r="S12" s="16">
        <x:v>4</x:v>
      </x:c>
      <x:c r="T12" s="62" t="s">
        <x:v>13</x:v>
      </x:c>
      <x:c r="U12" s="66">
        <x:f>REMUNERACION_ENEL!U107</x:f>
        <x:v>528790659.44</x:v>
      </x:c>
      <x:c r="V12" s="66">
        <x:f>REMUNERACION_ENEL!V107</x:f>
        <x:v>522948481.87</x:v>
      </x:c>
      <x:c r="W12" s="66">
        <x:f>REMUNERACION_ENEL!W107</x:f>
        <x:v>2676043606.7200003</x:v>
      </x:c>
      <x:c r="X12" s="66">
        <x:f>REMUNERACION_ENEL!X107</x:f>
        <x:v>1082748026.71</x:v>
      </x:c>
      <x:c r="Y12" s="66">
        <x:f>REMUNERACION_ENEL!Y107</x:f>
        <x:v>98745519.159999996</x:v>
      </x:c>
      <x:c r="Z12" s="66">
        <x:f>REMUNERACION_ENEL!Z107</x:f>
        <x:v>-120391083</x:v>
      </x:c>
      <x:c r="AA12" s="66">
        <x:f>REMUNERACION_ENEL!AA107</x:f>
        <x:v>-16918.300000000003</x:v>
      </x:c>
      <x:c r="AB12" s="66">
        <x:f>REMUNERACION_ENEL!AB107</x:f>
        <x:v>19208887.530000001</x:v>
      </x:c>
      <x:c r="AC12" s="66">
        <x:f>REMUNERACION_ENEL!AC107</x:f>
        <x:v>-448.53000000000003</x:v>
      </x:c>
      <x:c r="AD12" s="66">
        <x:f>REMUNERACION_ENEL!AD107</x:f>
        <x:v>52882181.620000005</x:v>
      </x:c>
      <x:c r="AE12" s="66">
        <x:f>REMUNERACION_ENEL!AE107</x:f>
        <x:v>-647000531.75000012</x:v>
      </x:c>
      <x:c r="AF12" s="70">
        <x:f>SUM(U12:AD12)</x:f>
        <x:v>4860958913.2199993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">
      <x:c r="B13" s="19">
        <x:v>5</x:v>
      </x:c>
      <x:c r="C13" s="63" t="s">
        <x:v>14</x:v>
      </x:c>
      <x:c r="D13" s="66">
        <x:f>REMUNERACION_ENEL!D108</x:f>
        <x:v>11722516106.639999</x:v>
      </x:c>
      <x:c r="E13" s="66">
        <x:f>REMUNERACION_ENEL!E108</x:f>
        <x:v>698148323.5</x:v>
      </x:c>
      <x:c r="F13" s="66">
        <x:f>REMUNERACION_ENEL!F108</x:f>
        <x:v>393737772.47000003</x:v>
      </x:c>
      <x:c r="G13" s="66">
        <x:f>REMUNERACION_ENEL!G108</x:f>
        <x:v>206413295.53999999</x:v>
      </x:c>
      <x:c r="H13" s="66">
        <x:f>REMUNERACION_ENEL!H108</x:f>
        <x:v>2744218164.2200003</x:v>
      </x:c>
      <x:c r="I13" s="66">
        <x:f>REMUNERACION_ENEL!I108</x:f>
        <x:v>104708073.91000001</x:v>
      </x:c>
      <x:c r="J13" s="66">
        <x:f>REMUNERACION_ENEL!J108</x:f>
        <x:v>-82959023.660000086</x:v>
      </x:c>
      <x:c r="K13" s="31">
        <x:f t="shared" si="0"/>
        <x:v>7658249500.6599989</x:v>
      </x:c>
      <x:c r="L13" s="66">
        <x:f>REMUNERACION_ENEL!L108</x:f>
        <x:v>128990446</x:v>
      </x:c>
      <x:c r="M13" s="40">
        <x:f>K13-L13</x:f>
        <x:v>7529259054.6599989</x:v>
      </x:c>
      <x:c r="N13" s="66">
        <x:f>REMUNERACION_ENEL!N108</x:f>
        <x:v>8997077.0999999996</x:v>
      </x:c>
      <x:c r="O13" s="40">
        <x:f t="shared" si="1"/>
        <x:v>7538256131.7599993</x:v>
      </x:c>
      <x:c r="Q13" s="4"/>
      <x:c r="S13" s="19">
        <x:v>5</x:v>
      </x:c>
      <x:c r="T13" s="63" t="s">
        <x:v>14</x:v>
      </x:c>
      <x:c r="U13" s="66">
        <x:f>REMUNERACION_ENEL!U108</x:f>
        <x:v>917978792.29999995</x:v>
      </x:c>
      <x:c r="V13" s="66">
        <x:f>REMUNERACION_ENEL!V108</x:f>
        <x:v>899476756.96000004</x:v>
      </x:c>
      <x:c r="W13" s="66">
        <x:f>REMUNERACION_ENEL!W108</x:f>
        <x:v>4621907148.9099998</x:v>
      </x:c>
      <x:c r="X13" s="66">
        <x:f>REMUNERACION_ENEL!X108</x:f>
        <x:v>2074170432.3500001</x:v>
      </x:c>
      <x:c r="Y13" s="66">
        <x:f>REMUNERACION_ENEL!Y108</x:f>
        <x:v>170858536.44999999</x:v>
      </x:c>
      <x:c r="Z13" s="66">
        <x:f>REMUNERACION_ENEL!Z108</x:f>
        <x:v>-128990446</x:v>
      </x:c>
      <x:c r="AA13" s="66">
        <x:f>REMUNERACION_ENEL!AA108</x:f>
        <x:v>-147049.65</x:v>
      </x:c>
      <x:c r="AB13" s="66">
        <x:f>REMUNERACION_ENEL!AB108</x:f>
        <x:v>8997077.0999999996</x:v>
      </x:c>
      <x:c r="AC13" s="66">
        <x:f>REMUNERACION_ENEL!AC108</x:f>
        <x:v>-33.33</x:v>
      </x:c>
      <x:c r="AD13" s="66">
        <x:f>REMUNERACION_ENEL!AD108</x:f>
        <x:v>-1025995083.3299999</x:v>
      </x:c>
      <x:c r="AE13" s="66">
        <x:f>REMUNERACION_ENEL!AE108</x:f>
        <x:v>-1108954106.99</x:v>
      </x:c>
      <x:c r="AF13" s="70">
        <x:f>SUM(U13:AD13)</x:f>
        <x:v>7538256131.7600021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35">
      <x:c r="B14" s="21"/>
      <x:c r="C14" s="22" t="s">
        <x:v>2</x:v>
      </x:c>
      <x:c r="D14" s="43">
        <x:f t="shared" ref="D14:O14" si="3">SUM(D9:D13)</x:f>
        <x:v>68026235701.290009</x:v>
      </x:c>
      <x:c r="E14" s="43">
        <x:f t="shared" si="3"/>
        <x:v>4296876491.8400002</x:v>
      </x:c>
      <x:c r="F14" s="43">
        <x:f t="shared" si="3"/>
        <x:v>2419526864.7199993</x:v>
      </x:c>
      <x:c r="G14" s="43">
        <x:f t="shared" si="3"/>
        <x:v>1268943941.71</x:v>
      </x:c>
      <x:c r="H14" s="43">
        <x:f t="shared" si="3"/>
        <x:v>17008897229.09</x:v>
      </x:c>
      <x:c r="I14" s="43">
        <x:f t="shared" si="3"/>
        <x:v>638322201.70000005</x:v>
      </x:c>
      <x:c r="J14" s="43">
        <x:f t="shared" si="3"/>
        <x:v>-8466734681.1999998</x:v>
      </x:c>
      <x:c r="K14" s="32">
        <x:f t="shared" si="3"/>
        <x:v>50860403653.43</x:v>
      </x:c>
      <x:c r="L14" s="23">
        <x:f t="shared" si="3"/>
        <x:v>859936309</x:v>
      </x:c>
      <x:c r="M14" s="76">
        <x:f t="shared" si="3"/>
        <x:v>50000467344.43</x:v>
      </x:c>
      <x:c r="N14" s="23">
        <x:f t="shared" si="3"/>
        <x:v>82026262.269999996</x:v>
      </x:c>
      <x:c r="O14" s="76">
        <x:f t="shared" si="3"/>
        <x:v>50082493606.700005</x:v>
      </x:c>
      <x:c r="P14" s="2"/>
      <x:c r="Q14" s="4"/>
      <x:c r="S14" s="21"/>
      <x:c r="T14" s="22" t="s">
        <x:v>2</x:v>
      </x:c>
      <x:c r="U14" s="43">
        <x:f>SUM(U9:U13)</x:f>
        <x:v>5599929916.6899996</x:v>
      </x:c>
      <x:c r="V14" s="43">
        <x:f t="shared" ref="V14:AG14" si="4">SUM(V9:V13)</x:f>
        <x:v>5484839011.8900003</x:v>
      </x:c>
      <x:c r="W14" s="43">
        <x:f t="shared" si="4"/>
        <x:v>26489296886.760002</x:v>
      </x:c>
      <x:c r="X14" s="43">
        <x:f t="shared" si="4"/>
        <x:v>10388202960.84</x:v>
      </x:c>
      <x:c r="Y14" s="43">
        <x:f t="shared" si="4"/>
        <x:v>1041961751.02</x:v>
      </x:c>
      <x:c r="Z14" s="43">
        <x:f t="shared" si="4"/>
        <x:v>-859936309</x:v>
      </x:c>
      <x:c r="AA14" s="43">
        <x:f t="shared" si="4"/>
        <x:v>156887.9</x:v>
      </x:c>
      <x:c r="AB14" s="43">
        <x:f t="shared" si="4"/>
        <x:v>82026262.269999996</x:v>
      </x:c>
      <x:c r="AC14" s="43">
        <x:f t="shared" si="4"/>
        <x:v>-68.760000000000062</x:v>
      </x:c>
      <x:c r="AD14" s="43">
        <x:f t="shared" si="4"/>
        <x:v>1856016307.0900002</x:v>
      </x:c>
      <x:c r="AE14" s="43">
        <x:f>SUM(AE9:AE13)</x:f>
        <x:v>-6610718374.1099997</x:v>
      </x:c>
      <x:c r="AF14" s="68">
        <x:f t="shared" si="4"/>
        <x:v>50082493606.700005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49004230527.200005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">
      <x:c r="Q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" x14ac:dyDescent="0.3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5" x14ac:dyDescent="0.3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5">
      <x:c r="B25" s="8"/>
      <x:c r="I25" s="2"/>
      <x:c r="J25" s="2"/>
      <x:c r="O25" s="10"/>
      <x:c r="P25" s="2"/>
      <x:c r="Q25" s="4"/>
    </x:row>
    <x:row r="26" spans="1:35" ht="15.5" x14ac:dyDescent="0.3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5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5" thickBot="1" x14ac:dyDescent="0.3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5">
      <x:c r="B30" s="108">
        <x:v>1</x:v>
      </x:c>
      <x:c r="C30" s="109" t="s">
        <x:v>10</x:v>
      </x:c>
      <x:c r="D30" s="110">
        <x:f>REMUNERACION_ENEL!D125</x:f>
        <x:v>83572548.25</x:v>
      </x:c>
      <x:c r="E30" s="111">
        <x:f>REMUNERACION_ENEL!E125</x:f>
        <x:v>0</x:v>
      </x:c>
      <x:c r="G30" s="336">
        <x:f>REMUNERACION_ENEL!G125</x:f>
        <x:v>49580</x:v>
      </x:c>
      <x:c r="H30" s="310">
        <x:f>REMUNERACION_ENEL!H125</x:f>
        <x:v>97091142.519999996</x:v>
      </x:c>
      <x:c r="I30" s="309">
        <x:f>REMUNERACION_ENEL!I125</x:f>
        <x:v>973693.46</x:v>
      </x:c>
      <x:c r="J30" s="309">
        <x:f>REMUNERACION_ENEL!J125</x:f>
        <x:v>-15533961.699999999</x:v>
      </x:c>
      <x:c r="K30" s="309">
        <x:f>REMUNERACION_ENEL!K125</x:f>
        <x:v>0</x:v>
      </x:c>
      <x:c r="L30" s="309">
        <x:f>REMUNERACION_ENEL!L125</x:f>
        <x:v>16889.3</x:v>
      </x:c>
      <x:c r="O30" s="44"/>
      <x:c r="Q30" s="4"/>
    </x:row>
    <x:row r="31" spans="1:35" x14ac:dyDescent="0.25">
      <x:c r="B31" s="16">
        <x:v>2</x:v>
      </x:c>
      <x:c r="C31" s="17" t="s">
        <x:v>11</x:v>
      </x:c>
      <x:c r="D31" s="15">
        <x:f>REMUNERACION_ENEL!D126</x:f>
        <x:v>44281124</x:v>
      </x:c>
      <x:c r="E31" s="74">
        <x:f>REMUNERACION_ENEL!E126</x:f>
        <x:v>0</x:v>
      </x:c>
      <x:c r="G31" s="339">
        <x:f>REMUNERACION_ENEL!G126</x:f>
        <x:v>56078860</x:v>
      </x:c>
      <x:c r="H31" s="340">
        <x:f>REMUNERACION_ENEL!H126</x:f>
        <x:v>55676152.700000003</x:v>
      </x:c>
      <x:c r="I31" s="288">
        <x:f>REMUNERACION_ENEL!I126</x:f>
        <x:v>0</x:v>
      </x:c>
      <x:c r="J31" s="288">
        <x:f>REMUNERACION_ENEL!J126</x:f>
        <x:v>-70779009</x:v>
      </x:c>
      <x:c r="K31" s="288">
        <x:f>REMUNERACION_ENEL!K126</x:f>
        <x:v>5227240</x:v>
      </x:c>
      <x:c r="L31" s="288">
        <x:f>REMUNERACION_ENEL!L126</x:f>
        <x:v>0</x:v>
      </x:c>
      <x:c r="O31" s="44"/>
      <x:c r="Q31" s="4"/>
    </x:row>
    <x:row r="32" spans="1:35" x14ac:dyDescent="0.25">
      <x:c r="B32" s="16">
        <x:v>3</x:v>
      </x:c>
      <x:c r="C32" s="17" t="s">
        <x:v>12</x:v>
      </x:c>
      <x:c r="D32" s="15">
        <x:f>REMUNERACION_ENEL!D127</x:f>
        <x:v>44039530</x:v>
      </x:c>
      <x:c r="E32" s="74">
        <x:f>REMUNERACION_ENEL!E127</x:f>
        <x:v>0</x:v>
      </x:c>
      <x:c r="G32" s="339">
        <x:f>REMUNERACION_ENEL!G127</x:f>
        <x:v>1307680</x:v>
      </x:c>
      <x:c r="H32" s="340">
        <x:f>REMUNERACION_ENEL!H127</x:f>
        <x:v>10055662.040000001</x:v>
      </x:c>
      <x:c r="I32" s="288">
        <x:f>REMUNERACION_ENEL!I127</x:f>
        <x:v>104231.83</x:v>
      </x:c>
      <x:c r="J32" s="288">
        <x:f>REMUNERACION_ENEL!J127</x:f>
        <x:v>-32004320</x:v>
      </x:c>
      <x:c r="K32" s="288">
        <x:f>REMUNERACION_ENEL!K127</x:f>
        <x:v>0</x:v>
      </x:c>
      <x:c r="L32" s="288">
        <x:f>REMUNERACION_ENEL!L127</x:f>
        <x:v>79850</x:v>
      </x:c>
      <x:c r="O32" s="44"/>
      <x:c r="Q32" s="4"/>
    </x:row>
    <x:row r="33" spans="1:20" x14ac:dyDescent="0.25">
      <x:c r="B33" s="16">
        <x:v>4</x:v>
      </x:c>
      <x:c r="C33" s="17" t="s">
        <x:v>13</x:v>
      </x:c>
      <x:c r="D33" s="15">
        <x:f>REMUNERACION_ENEL!D128</x:f>
        <x:v>48826052</x:v>
      </x:c>
      <x:c r="E33" s="74">
        <x:f>REMUNERACION_ENEL!E128</x:f>
        <x:v>0</x:v>
      </x:c>
      <x:c r="G33" s="339">
        <x:f>REMUNERACION_ENEL!G128</x:f>
        <x:v>3610007</x:v>
      </x:c>
      <x:c r="H33" s="340">
        <x:f>REMUNERACION_ENEL!H128</x:f>
        <x:v>60774931.109999992</x:v>
      </x:c>
      <x:c r="I33" s="288">
        <x:f>REMUNERACION_ENEL!I128</x:f>
        <x:v>0</x:v>
      </x:c>
      <x:c r="J33" s="288">
        <x:f>REMUNERACION_ENEL!J128</x:f>
        <x:v>-29768645.890000001</x:v>
      </x:c>
      <x:c r="K33" s="288">
        <x:f>REMUNERACION_ENEL!K128</x:f>
        <x:v>11634964</x:v>
      </x:c>
      <x:c r="L33" s="288">
        <x:f>REMUNERACION_ENEL!L128</x:f>
        <x:v>386384.11</x:v>
      </x:c>
      <x:c r="O33" s="44"/>
      <x:c r="Q33" s="4"/>
    </x:row>
    <x:row r="34" spans="1:20" x14ac:dyDescent="0.25">
      <x:c r="B34" s="133">
        <x:v>5</x:v>
      </x:c>
      <x:c r="C34" s="138" t="s">
        <x:v>14</x:v>
      </x:c>
      <x:c r="D34" s="135">
        <x:f>REMUNERACION_ENEL!D129</x:f>
        <x:v>15997915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23423861.739999998</x:v>
      </x:c>
      <x:c r="I34" s="288">
        <x:f>REMUNERACION_ENEL!I129</x:f>
        <x:v>0</x:v>
      </x:c>
      <x:c r="J34" s="288">
        <x:f>REMUNERACION_ENEL!J129</x:f>
        <x:v>-2065600</x:v>
      </x:c>
      <x:c r="K34" s="288">
        <x:f>REMUNERACION_ENEL!K129</x:f>
        <x:v>0</x:v>
      </x:c>
      <x:c r="L34" s="288">
        <x:f>REMUNERACION_ENEL!L129</x:f>
        <x:v>49280</x:v>
      </x:c>
      <x:c r="O34" s="44"/>
      <x:c r="Q34" s="4"/>
    </x:row>
    <x:row r="35" spans="1:20" ht="12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">
      <x:c r="B36" s="95"/>
      <x:c r="C36" s="106" t="s">
        <x:v>2</x:v>
      </x:c>
      <x:c r="D36" s="107">
        <x:f t="shared" ref="D36" si="5">SUM(D30:D34)</x:f>
        <x:v>236717169.25</x:v>
      </x:c>
      <x:c r="E36" s="107">
        <x:f>REMUNERACION_ENEL!E131</x:f>
        <x:v>0</x:v>
      </x:c>
      <x:c r="F36" s="45"/>
      <x:c r="G36" s="350">
        <x:f t="shared" ref="G36:L36" si="6">SUM(G30:G34)</x:f>
        <x:v>61046127</x:v>
      </x:c>
      <x:c r="H36" s="350">
        <x:f t="shared" si="6"/>
        <x:v>247021750.10999998</x:v>
      </x:c>
      <x:c r="I36" s="350">
        <x:f t="shared" si="6"/>
        <x:v>1077925.29</x:v>
      </x:c>
      <x:c r="J36" s="350">
        <x:f t="shared" si="6"/>
        <x:v>-150151536.59</x:v>
      </x:c>
      <x:c r="K36" s="350">
        <x:f t="shared" si="6"/>
        <x:v>16862204</x:v>
      </x:c>
      <x:c r="L36" s="350">
        <x:f t="shared" si="6"/>
        <x:v>532403.40999999992</x:v>
      </x:c>
      <x:c r="M36" s="45"/>
      <x:c r="N36" s="45"/>
      <x:c r="O36" s="46"/>
      <x:c r="P36" s="2"/>
      <x:c r="Q36" s="4"/>
    </x:row>
    <x:row r="37" spans="1:20" x14ac:dyDescent="0.25">
      <x:c r="B37" s="2"/>
      <x:c r="C37" s="2"/>
      <x:c r="D37" s="24"/>
      <x:c r="Q37" s="4"/>
    </x:row>
    <x:row r="38" spans="1:20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5">
      <x:c r="N42" s="24"/>
      <x:c r="O42" s="24"/>
      <x:c r="Q42" s="24"/>
      <x:c r="T42" s="24"/>
    </x:row>
    <x:row r="43" spans="1:20" x14ac:dyDescent="0.25">
      <x:c r="N43" s="24"/>
      <x:c r="O43" s="24"/>
      <x:c r="Q43" s="24"/>
      <x:c r="T43" s="24"/>
    </x:row>
    <x:row r="44" spans="1:20" x14ac:dyDescent="0.25">
      <x:c r="N44" s="24"/>
      <x:c r="O44" s="24"/>
      <x:c r="Q44" s="24"/>
      <x:c r="T44" s="24"/>
    </x:row>
    <x:row r="45" spans="1:20" x14ac:dyDescent="0.25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5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5">
      <x:c r="N47" s="24"/>
      <x:c r="O47" s="24"/>
      <x:c r="Q47" s="24"/>
      <x:c r="T47" s="24"/>
    </x:row>
    <x:row r="48" spans="1:20" x14ac:dyDescent="0.25">
      <x:c r="N48" s="24"/>
      <x:c r="O48" s="24"/>
      <x:c r="Q48" s="24"/>
      <x:c r="T48" s="24"/>
    </x:row>
    <x:row r="49" spans="14:20" x14ac:dyDescent="0.25">
      <x:c r="N49" s="24"/>
      <x:c r="O49" s="24"/>
      <x:c r="Q49" s="24"/>
      <x:c r="T49" s="24"/>
    </x:row>
    <x:row r="50" spans="14:20" x14ac:dyDescent="0.25">
      <x:c r="N50" s="24"/>
      <x:c r="O50" s="24"/>
      <x:c r="Q50" s="24"/>
      <x:c r="T50" s="24"/>
    </x:row>
    <x:row r="51" spans="14:20" x14ac:dyDescent="0.25">
      <x:c r="Q51" s="24"/>
      <x:c r="T51" s="24"/>
    </x:row>
    <x:row r="52" spans="14:20" x14ac:dyDescent="0.25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95" zoomScaleNormal="100" workbookViewId="0">
      <x:selection activeCell="A95" sqref="A95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9" width="16" style="1" customWidth="1"/>
    <x:col min="10" max="10" width="15.54296875" style="1" customWidth="1"/>
    <x:col min="11" max="11" width="17.54296875" style="1" customWidth="1"/>
    <x:col min="12" max="12" width="19.81640625" style="1" bestFit="1" customWidth="1"/>
    <x:col min="13" max="13" width="21" style="1" bestFit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16384" width="11.453125" style="1"/>
  </x:cols>
  <x:sheetData>
    <x:row r="1" spans="1:35" ht="12" thickBot="1" x14ac:dyDescent="0.3">
      <x:c r="A1" s="241"/>
      <x:c r="Q1" s="4"/>
      <x:c r="AI1" s="4"/>
    </x:row>
    <x:row r="2" spans="1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5" x14ac:dyDescent="0.35">
      <x:c r="B6" s="8"/>
      <x:c r="C6" s="599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" thickBot="1" x14ac:dyDescent="0.3">
      <x:c r="B7" s="8"/>
      <x:c r="C7" s="599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226</x:v>
      </x:c>
      <x:c r="AF8" s="39" t="s">
        <x:v>23</x:v>
      </x:c>
      <x:c r="AG8" s="13"/>
      <x:c r="AI8" s="4"/>
    </x:row>
    <x:row r="9" spans="1:35" s="305" customFormat="1" x14ac:dyDescent="0.25">
      <x:c r="B9" s="303">
        <x:v>1</x:v>
      </x:c>
      <x:c r="C9" s="304" t="s">
        <x:v>10</x:v>
      </x:c>
      <x:c r="D9" s="291">
        <x:f>'Reporte Componentes R1'!F65</x:f>
        <x:v>0</x:v>
      </x:c>
      <x:c r="E9" s="291">
        <x:f>'Reporte Componentes R1'!G65</x:f>
        <x:v>0</x:v>
      </x:c>
      <x:c r="F9" s="291">
        <x:f>'Reporte Componentes R1'!H65</x:f>
        <x:v>0</x:v>
      </x:c>
      <x:c r="G9" s="291">
        <x:f>'Reporte Componentes R1'!I65</x:f>
        <x:v>0</x:v>
      </x:c>
      <x:c r="H9" s="291">
        <x:f>'Reporte Componentes R1'!J65</x:f>
        <x:v>0</x:v>
      </x:c>
      <x:c r="I9" s="291">
        <x:f>'Reporte Componentes R1'!K65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R1'!L65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R1'!M65</x:f>
        <x:v>0</x:v>
      </x:c>
      <x:c r="V9" s="307">
        <x:f>'Reporte Componentes R1'!N65</x:f>
        <x:v>0</x:v>
      </x:c>
      <x:c r="W9" s="307">
        <x:f>'Reporte Componentes R1'!O65</x:f>
        <x:v>0</x:v>
      </x:c>
      <x:c r="X9" s="307">
        <x:f>'Reporte Componentes R1'!P65</x:f>
        <x:v>0</x:v>
      </x:c>
      <x:c r="Y9" s="307">
        <x:f>'Reporte Componentes R1'!Q65</x:f>
        <x:v>0</x:v>
      </x:c>
      <x:c r="Z9" s="319">
        <x:f>L9*-1</x:f>
        <x:v>0</x:v>
      </x:c>
      <x:c r="AA9" s="320">
        <x:f>'Reporte Componentes R1'!R65+'Reporte Componentes R1'!V175+'Reporte Componentes R1'!U65</x:f>
        <x:v>0</x:v>
      </x:c>
      <x:c r="AB9" s="294">
        <x:f>N9</x:f>
        <x:v>0</x:v>
      </x:c>
      <x:c r="AC9" s="320">
        <x:f>'Reporte Componentes R1'!T65+'Reporte Componentes R1'!W65+'Reporte Componentes R1'!X65+'Reporte Componentes R1'!Y65+'Reporte Componentes R1'!Z65+'Reporte Componentes R1'!S65</x:f>
        <x:v>0</x:v>
      </x:c>
      <x:c r="AD9" s="291">
        <x:f>-J9+AE9</x:f>
        <x:v>0</x:v>
      </x:c>
      <x:c r="AE9" s="291">
        <x:f>'Reporte Componentes R1'!F66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5">
      <x:c r="B10" s="314">
        <x:v>2</x:v>
      </x:c>
      <x:c r="C10" s="315" t="s">
        <x:v>11</x:v>
      </x:c>
      <x:c r="D10" s="291">
        <x:f>'Reporte Componentes R1'!F209</x:f>
        <x:v>0</x:v>
      </x:c>
      <x:c r="E10" s="291">
        <x:f>'Reporte Componentes R1'!G209</x:f>
        <x:v>0</x:v>
      </x:c>
      <x:c r="F10" s="291">
        <x:f>'Reporte Componentes R1'!H209</x:f>
        <x:v>0</x:v>
      </x:c>
      <x:c r="G10" s="291">
        <x:f>'Reporte Componentes R1'!I209</x:f>
        <x:v>0</x:v>
      </x:c>
      <x:c r="H10" s="291">
        <x:f>'Reporte Componentes R1'!J209</x:f>
        <x:v>0</x:v>
      </x:c>
      <x:c r="I10" s="291">
        <x:f>'Reporte Componentes R1'!K209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R1'!L209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R1'!M209</x:f>
        <x:v>0</x:v>
      </x:c>
      <x:c r="V10" s="316">
        <x:f>'Reporte Componentes R1'!N209</x:f>
        <x:v>0</x:v>
      </x:c>
      <x:c r="W10" s="316">
        <x:f>'Reporte Componentes R1'!O209</x:f>
        <x:v>0</x:v>
      </x:c>
      <x:c r="X10" s="316">
        <x:f>'Reporte Componentes R1'!P209</x:f>
        <x:v>0</x:v>
      </x:c>
      <x:c r="Y10" s="316">
        <x:f>'Reporte Componentes R1'!Q209</x:f>
        <x:v>0</x:v>
      </x:c>
      <x:c r="Z10" s="319">
        <x:f>L10*-1</x:f>
        <x:v>0</x:v>
      </x:c>
      <x:c r="AA10" s="320">
        <x:f>'Reporte Componentes R1'!R209+'Reporte Componentes R1'!V209+'Reporte Componentes R1'!U209</x:f>
        <x:v>0</x:v>
      </x:c>
      <x:c r="AB10" s="294">
        <x:f>N10</x:f>
        <x:v>0</x:v>
      </x:c>
      <x:c r="AC10" s="320">
        <x:f>'Reporte Componentes R1'!T280+'Reporte Componentes R1'!W280+'Reporte Componentes R1'!X280+'Reporte Componentes R1'!Y280+'Reporte Componentes R1'!Z280+'Reporte Componentes R1'!S280</x:f>
        <x:v>0</x:v>
      </x:c>
      <x:c r="AD10" s="291">
        <x:f t="shared" ref="AD10:AD13" si="2">-J10+AE10</x:f>
        <x:v>0</x:v>
      </x:c>
      <x:c r="AE10" s="291">
        <x:f>'Reporte Componentes R1'!F210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5">
      <x:c r="B11" s="314">
        <x:v>3</x:v>
      </x:c>
      <x:c r="C11" s="315" t="s">
        <x:v>12</x:v>
      </x:c>
      <x:c r="D11" s="291">
        <x:f>'Reporte Componentes R1'!F340</x:f>
        <x:v>0</x:v>
      </x:c>
      <x:c r="E11" s="291">
        <x:f>'Reporte Componentes R1'!G340</x:f>
        <x:v>0</x:v>
      </x:c>
      <x:c r="F11" s="291">
        <x:f>'Reporte Componentes R1'!H340</x:f>
        <x:v>0</x:v>
      </x:c>
      <x:c r="G11" s="291">
        <x:f>'Reporte Componentes R1'!I340</x:f>
        <x:v>0</x:v>
      </x:c>
      <x:c r="H11" s="291">
        <x:f>'Reporte Componentes R1'!J340</x:f>
        <x:v>0</x:v>
      </x:c>
      <x:c r="I11" s="291">
        <x:f>'Reporte Componentes R1'!K340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R1'!L340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R1'!M340</x:f>
        <x:v>0</x:v>
      </x:c>
      <x:c r="V11" s="316">
        <x:f>'Reporte Componentes R1'!N340</x:f>
        <x:v>0</x:v>
      </x:c>
      <x:c r="W11" s="316">
        <x:f>'Reporte Componentes R1'!O340</x:f>
        <x:v>0</x:v>
      </x:c>
      <x:c r="X11" s="316">
        <x:f>'Reporte Componentes R1'!P340</x:f>
        <x:v>0</x:v>
      </x:c>
      <x:c r="Y11" s="316">
        <x:f>'Reporte Componentes R1'!Q340</x:f>
        <x:v>0</x:v>
      </x:c>
      <x:c r="Z11" s="319">
        <x:f>L11*-1</x:f>
        <x:v>0</x:v>
      </x:c>
      <x:c r="AA11" s="320">
        <x:f>'Reporte Componentes R1'!R340+'Reporte Componentes R1'!V340+'Reporte Componentes R1'!U340</x:f>
        <x:v>0</x:v>
      </x:c>
      <x:c r="AB11" s="294">
        <x:f>N11</x:f>
        <x:v>0</x:v>
      </x:c>
      <x:c r="AC11" s="320">
        <x:f>'Reporte Componentes R1'!T340+'Reporte Componentes R1'!W340+'Reporte Componentes R1'!X340+'Reporte Componentes R1'!Y340+'Reporte Componentes R1'!Z340+'Reporte Componentes R1'!S340</x:f>
        <x:v>0</x:v>
      </x:c>
      <x:c r="AD11" s="291">
        <x:f t="shared" si="2"/>
        <x:v>0</x:v>
      </x:c>
      <x:c r="AE11" s="291">
        <x:f>'Reporte Componentes R1'!F341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5">
      <x:c r="B12" s="314">
        <x:v>4</x:v>
      </x:c>
      <x:c r="C12" s="315" t="s">
        <x:v>13</x:v>
      </x:c>
      <x:c r="D12" s="291">
        <x:f>'Reporte Componentes R1'!F471</x:f>
        <x:v>0</x:v>
      </x:c>
      <x:c r="E12" s="291">
        <x:f>'Reporte Componentes R1'!G471</x:f>
        <x:v>0</x:v>
      </x:c>
      <x:c r="F12" s="291">
        <x:f>'Reporte Componentes R1'!H471</x:f>
        <x:v>0</x:v>
      </x:c>
      <x:c r="G12" s="291">
        <x:f>'Reporte Componentes R1'!I471</x:f>
        <x:v>0</x:v>
      </x:c>
      <x:c r="H12" s="291">
        <x:f>'Reporte Componentes R1'!J471</x:f>
        <x:v>0</x:v>
      </x:c>
      <x:c r="I12" s="291">
        <x:f>'Reporte Componentes R1'!K471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R1'!L471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R1'!M471</x:f>
        <x:v>0</x:v>
      </x:c>
      <x:c r="V12" s="316">
        <x:f>'Reporte Componentes R1'!N471</x:f>
        <x:v>0</x:v>
      </x:c>
      <x:c r="W12" s="316">
        <x:f>'Reporte Componentes R1'!O471</x:f>
        <x:v>0</x:v>
      </x:c>
      <x:c r="X12" s="316">
        <x:f>'Reporte Componentes R1'!P471</x:f>
        <x:v>0</x:v>
      </x:c>
      <x:c r="Y12" s="316">
        <x:f>'Reporte Componentes R1'!Q471</x:f>
        <x:v>0</x:v>
      </x:c>
      <x:c r="Z12" s="319">
        <x:f>L12*-1</x:f>
        <x:v>0</x:v>
      </x:c>
      <x:c r="AA12" s="320">
        <x:f>'Reporte Componentes R1'!R471+'Reporte Componentes R1'!V471+'Reporte Componentes R1'!U471</x:f>
        <x:v>0</x:v>
      </x:c>
      <x:c r="AB12" s="294">
        <x:f>N12</x:f>
        <x:v>0</x:v>
      </x:c>
      <x:c r="AC12" s="320">
        <x:f>'Reporte Componentes R1'!T471+'Reporte Componentes R1'!W471+'Reporte Componentes R1'!X471+'Reporte Componentes R1'!Y471+'Reporte Componentes R1'!Z471+'Reporte Componentes R1'!S471</x:f>
        <x:v>0</x:v>
      </x:c>
      <x:c r="AD12" s="291">
        <x:f t="shared" si="2"/>
        <x:v>0</x:v>
      </x:c>
      <x:c r="AE12" s="291">
        <x:f>'Reporte Componentes R1'!F472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" thickBot="1" x14ac:dyDescent="0.3">
      <x:c r="B13" s="324">
        <x:v>5</x:v>
      </x:c>
      <x:c r="C13" s="325" t="s">
        <x:v>14</x:v>
      </x:c>
      <x:c r="D13" s="296">
        <x:f>'Reporte Componentes R1'!F569</x:f>
        <x:v>26864220</x:v>
      </x:c>
      <x:c r="E13" s="296">
        <x:f>'Reporte Componentes R1'!G569</x:f>
        <x:v>1901488.25</x:v>
      </x:c>
      <x:c r="F13" s="296">
        <x:f>'Reporte Componentes R1'!H569</x:f>
        <x:v>1046824.27</x:v>
      </x:c>
      <x:c r="G13" s="296">
        <x:f>'Reporte Componentes R1'!I569</x:f>
        <x:v>567773.57999999996</x:v>
      </x:c>
      <x:c r="H13" s="296">
        <x:f>'Reporte Componentes R1'!J569</x:f>
        <x:v>6845302.7000000002</x:v>
      </x:c>
      <x:c r="I13" s="296">
        <x:f>'Reporte Componentes R1'!K569</x:f>
        <x:v>247794.92</x:v>
      </x:c>
      <x:c r="J13" s="296">
        <x:v>0</x:v>
      </x:c>
      <x:c r="K13" s="295">
        <x:f t="shared" si="0"/>
        <x:v>16255036.280000003</x:v>
      </x:c>
      <x:c r="L13" s="294">
        <x:v>0</x:v>
      </x:c>
      <x:c r="M13" s="298">
        <x:f>K13-L13</x:f>
        <x:v>16255036.280000003</x:v>
      </x:c>
      <x:c r="N13" s="299">
        <x:f>'Reporte Componentes R1'!L569</x:f>
        <x:v>0</x:v>
      </x:c>
      <x:c r="O13" s="298">
        <x:f>M13+N13</x:f>
        <x:v>16255036.280000003</x:v>
      </x:c>
      <x:c r="Q13" s="306"/>
      <x:c r="S13" s="324">
        <x:v>5</x:v>
      </x:c>
      <x:c r="T13" s="325" t="s">
        <x:v>14</x:v>
      </x:c>
      <x:c r="U13" s="296">
        <x:f>'Reporte Componentes R1'!M569</x:f>
        <x:v>2162004.0299999998</x:v>
      </x:c>
      <x:c r="V13" s="296">
        <x:f>'Reporte Componentes R1'!N569</x:f>
        <x:v>2129267.87</x:v>
      </x:c>
      <x:c r="W13" s="296">
        <x:f>'Reporte Componentes R1'!O569</x:f>
        <x:v>11087908.49</x:v>
      </x:c>
      <x:c r="X13" s="296">
        <x:f>'Reporte Componentes R1'!P569</x:f>
        <x:v>5438800.2300000004</x:v>
      </x:c>
      <x:c r="Y13" s="296">
        <x:f>'Reporte Componentes R1'!Q569</x:f>
        <x:v>407765.67</x:v>
      </x:c>
      <x:c r="Z13" s="319">
        <x:f>L13*-1</x:f>
        <x:v>0</x:v>
      </x:c>
      <x:c r="AA13" s="320">
        <x:f>'Reporte Componentes R1'!R569+'Reporte Componentes R1'!V569+'Reporte Componentes R1'!U569</x:f>
        <x:v>87.55</x:v>
      </x:c>
      <x:c r="AB13" s="294">
        <x:f>N13</x:f>
        <x:v>0</x:v>
      </x:c>
      <x:c r="AC13" s="320">
        <x:f>'Reporte Componentes R1'!T569+'Reporte Componentes R1'!W569+'Reporte Componentes R1'!X569+'Reporte Componentes R1'!Y569+'Reporte Componentes R1'!Z569+'Reporte Componentes R1'!S569</x:f>
        <x:v>0</x:v>
      </x:c>
      <x:c r="AD13" s="291">
        <x:f t="shared" si="2"/>
        <x:v>-4970797.5599999996</x:v>
      </x:c>
      <x:c r="AE13" s="291">
        <x:f>'Reporte Componentes R1'!F570</x:f>
        <x:v>-4970797.5599999996</x:v>
      </x:c>
      <x:c r="AF13" s="322">
        <x:f t="shared" si="4"/>
        <x:v>16255036.280000005</x:v>
      </x:c>
      <x:c r="AG13" s="326">
        <x:f>(AF13-O13)</x:f>
        <x:v>1.862645149230957E-9</x:v>
      </x:c>
      <x:c r="AH13" s="1" t="b">
        <x:f t="shared" si="3"/>
        <x:v>1</x:v>
      </x:c>
      <x:c r="AI13" s="306"/>
    </x:row>
    <x:row r="14" spans="1:35" s="305" customFormat="1" ht="13.5" thickBot="1" x14ac:dyDescent="0.35">
      <x:c r="B14" s="327"/>
      <x:c r="C14" s="328" t="s">
        <x:v>2</x:v>
      </x:c>
      <x:c r="D14" s="290">
        <x:f>SUM(D9:D13)</x:f>
        <x:v>26864220</x:v>
      </x:c>
      <x:c r="E14" s="290">
        <x:f t="shared" ref="E14:O14" si="5">SUM(E9:E13)</x:f>
        <x:v>1901488.25</x:v>
      </x:c>
      <x:c r="F14" s="290">
        <x:f t="shared" si="5"/>
        <x:v>1046824.27</x:v>
      </x:c>
      <x:c r="G14" s="290">
        <x:f t="shared" si="5"/>
        <x:v>567773.57999999996</x:v>
      </x:c>
      <x:c r="H14" s="290">
        <x:f t="shared" si="5"/>
        <x:v>6845302.7000000002</x:v>
      </x:c>
      <x:c r="I14" s="290">
        <x:f t="shared" si="5"/>
        <x:v>247794.92</x:v>
      </x:c>
      <x:c r="J14" s="290">
        <x:f t="shared" si="5"/>
        <x:v>0</x:v>
      </x:c>
      <x:c r="K14" s="300">
        <x:f t="shared" si="5"/>
        <x:v>16255036.280000003</x:v>
      </x:c>
      <x:c r="L14" s="301">
        <x:f>SUM(L9:L13)</x:f>
        <x:v>0</x:v>
      </x:c>
      <x:c r="M14" s="302">
        <x:f t="shared" si="5"/>
        <x:v>16255036.280000003</x:v>
      </x:c>
      <x:c r="N14" s="301">
        <x:f t="shared" si="5"/>
        <x:v>0</x:v>
      </x:c>
      <x:c r="O14" s="302">
        <x:f t="shared" si="5"/>
        <x:v>16255036.280000003</x:v>
      </x:c>
      <x:c r="P14" s="329"/>
      <x:c r="Q14" s="306"/>
      <x:c r="S14" s="327"/>
      <x:c r="T14" s="328" t="s">
        <x:v>2</x:v>
      </x:c>
      <x:c r="U14" s="330">
        <x:f>SUM(U9:U13)</x:f>
        <x:v>2162004.0299999998</x:v>
      </x:c>
      <x:c r="V14" s="330">
        <x:f t="shared" ref="V14:AF14" si="6">SUM(V9:V13)</x:f>
        <x:v>2129267.87</x:v>
      </x:c>
      <x:c r="W14" s="330">
        <x:f t="shared" si="6"/>
        <x:v>11087908.49</x:v>
      </x:c>
      <x:c r="X14" s="330">
        <x:f t="shared" si="6"/>
        <x:v>5438800.2300000004</x:v>
      </x:c>
      <x:c r="Y14" s="330">
        <x:f t="shared" si="6"/>
        <x:v>407765.67</x:v>
      </x:c>
      <x:c r="Z14" s="290">
        <x:f t="shared" si="6"/>
        <x:v>0</x:v>
      </x:c>
      <x:c r="AA14" s="290">
        <x:f t="shared" si="6"/>
        <x:v>87.55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-4970797.5599999996</x:v>
      </x:c>
      <x:c r="AE14" s="290">
        <x:f>SUM(AE9:AE13)</x:f>
        <x:v>-4970797.5599999996</x:v>
      </x:c>
      <x:c r="AF14" s="331">
        <x:f t="shared" si="6"/>
        <x:v>16255036.280000005</x:v>
      </x:c>
      <x:c r="AG14" s="332">
        <x:f>SUM(AG9:AG13)</x:f>
        <x:v>1.862645149230957E-9</x:v>
      </x:c>
      <x:c r="AH14" s="1" t="b">
        <x:f t="shared" si="3"/>
        <x:v>1</x:v>
      </x:c>
      <x:c r="AI14" s="306"/>
    </x:row>
    <x:row r="15" spans="1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21225746.290000003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">
      <x:c r="Q20" s="4"/>
      <x:c r="AI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5" x14ac:dyDescent="0.35">
      <x:c r="B25" s="8"/>
      <x:c r="C25" s="599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">
      <x:c r="B26" s="8"/>
      <x:c r="C26" s="599" t="s">
        <x:v>0</x:v>
      </x:c>
      <x:c r="D26" s="241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226</x:v>
      </x:c>
      <x:c r="AF27" s="39" t="s">
        <x:v>23</x:v>
      </x:c>
      <x:c r="AG27" s="13"/>
      <x:c r="AI27" s="4"/>
    </x:row>
    <x:row r="28" spans="1:35" s="305" customFormat="1" x14ac:dyDescent="0.25">
      <x:c r="B28" s="303">
        <x:v>1</x:v>
      </x:c>
      <x:c r="C28" s="304" t="s">
        <x:v>10</x:v>
      </x:c>
      <x:c r="D28" s="291">
        <x:f>'Rem. Anticipos R2'!E52</x:f>
        <x:v>0</x:v>
      </x:c>
      <x:c r="E28" s="291">
        <x:f>'Rem. Anticipos R2'!F52</x:f>
        <x:v>0</x:v>
      </x:c>
      <x:c r="F28" s="291">
        <x:f>'Rem. Anticipos R2'!G52</x:f>
        <x:v>0</x:v>
      </x:c>
      <x:c r="G28" s="291">
        <x:f>'Rem. Anticipos R2'!H52</x:f>
        <x:v>0</x:v>
      </x:c>
      <x:c r="H28" s="291">
        <x:f>'Rem. Anticipos R2'!I52</x:f>
        <x:v>0</x:v>
      </x:c>
      <x:c r="I28" s="291">
        <x:f>'Rem. Anticipos R2'!J52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R2'!L52</x:f>
        <x:v>0</x:v>
      </x:c>
      <x:c r="V28" s="307">
        <x:f>'Rem. Anticipos R2'!M52</x:f>
        <x:v>0</x:v>
      </x:c>
      <x:c r="W28" s="307">
        <x:f>'Rem. Anticipos R2'!N52</x:f>
        <x:v>0</x:v>
      </x:c>
      <x:c r="X28" s="307">
        <x:f>'Rem. Anticipos R2'!O52</x:f>
        <x:v>0</x:v>
      </x:c>
      <x:c r="Y28" s="307">
        <x:f>'Rem. Anticipos R2'!P52</x:f>
        <x:v>0</x:v>
      </x:c>
      <x:c r="Z28" s="310">
        <x:f>L28*-1</x:f>
        <x:v>0</x:v>
      </x:c>
      <x:c r="AA28" s="311">
        <x:f>'Rem. Anticipos R2'!Q52</x:f>
        <x:v>0</x:v>
      </x:c>
      <x:c r="AB28" s="294">
        <x:f>N28</x:f>
        <x:v>0</x:v>
      </x:c>
      <x:c r="AC28" s="311">
        <x:f>'Rem. Anticipos R2'!R52</x:f>
        <x:v>0</x:v>
      </x:c>
      <x:c r="AD28" s="291">
        <x:f>-J28+AE28</x:f>
        <x:v>0</x:v>
      </x:c>
      <x:c r="AE28" s="291">
        <x:f>'Rem. Anticipos R2'!E53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5">
      <x:c r="B29" s="314">
        <x:v>2</x:v>
      </x:c>
      <x:c r="C29" s="315" t="s">
        <x:v>11</x:v>
      </x:c>
      <x:c r="D29" s="291">
        <x:f>'Rem. Anticipos R2'!E148</x:f>
        <x:v>0</x:v>
      </x:c>
      <x:c r="E29" s="292">
        <x:f>'Rem. Anticipos R2'!F148</x:f>
        <x:v>0</x:v>
      </x:c>
      <x:c r="F29" s="292">
        <x:f>'Rem. Anticipos R2'!G148</x:f>
        <x:v>0</x:v>
      </x:c>
      <x:c r="G29" s="292">
        <x:f>'Rem. Anticipos R2'!H148</x:f>
        <x:v>0</x:v>
      </x:c>
      <x:c r="H29" s="292">
        <x:f>'Rem. Anticipos R2'!I148</x:f>
        <x:v>0</x:v>
      </x:c>
      <x:c r="I29" s="292">
        <x:f>'Rem. Anticipos R2'!J148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R2'!K148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R2'!L148</x:f>
        <x:v>0</x:v>
      </x:c>
      <x:c r="V29" s="317">
        <x:f>'Rem. Anticipos R2'!M148</x:f>
        <x:v>0</x:v>
      </x:c>
      <x:c r="W29" s="317">
        <x:f>'Rem. Anticipos R2'!N148</x:f>
        <x:v>0</x:v>
      </x:c>
      <x:c r="X29" s="317">
        <x:f>'Rem. Anticipos R2'!O148</x:f>
        <x:v>0</x:v>
      </x:c>
      <x:c r="Y29" s="318">
        <x:f>'Rem. Anticipos R2'!P148</x:f>
        <x:v>0</x:v>
      </x:c>
      <x:c r="Z29" s="319">
        <x:f>L29*-1</x:f>
        <x:v>0</x:v>
      </x:c>
      <x:c r="AA29" s="320">
        <x:f>'Rem. Anticipos R2'!Q148</x:f>
        <x:v>0</x:v>
      </x:c>
      <x:c r="AB29" s="294">
        <x:f>N29</x:f>
        <x:v>0</x:v>
      </x:c>
      <x:c r="AC29" s="320">
        <x:f>'Rem. Anticipos R2'!R148</x:f>
        <x:v>0</x:v>
      </x:c>
      <x:c r="AD29" s="291">
        <x:f>-J29+AE29</x:f>
        <x:v>0</x:v>
      </x:c>
      <x:c r="AE29" s="291">
        <x:f>'Rem. Anticipos R2'!E149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5">
      <x:c r="B30" s="314">
        <x:v>3</x:v>
      </x:c>
      <x:c r="C30" s="315" t="s">
        <x:v>12</x:v>
      </x:c>
      <x:c r="D30" s="291">
        <x:f>'Rem. Anticipos R2'!E265</x:f>
        <x:v>0</x:v>
      </x:c>
      <x:c r="E30" s="291">
        <x:f>'Rem. Anticipos R2'!F265</x:f>
        <x:v>0</x:v>
      </x:c>
      <x:c r="F30" s="291">
        <x:f>'Rem. Anticipos R2'!G265</x:f>
        <x:v>0</x:v>
      </x:c>
      <x:c r="G30" s="291">
        <x:f>'Rem. Anticipos R2'!H265</x:f>
        <x:v>0</x:v>
      </x:c>
      <x:c r="H30" s="291">
        <x:f>'Rem. Anticipos R2'!I265</x:f>
        <x:v>0</x:v>
      </x:c>
      <x:c r="I30" s="291">
        <x:f>'Rem. Anticipos R2'!J265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R2'!K265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R2'!L265</x:f>
        <x:v>0</x:v>
      </x:c>
      <x:c r="V30" s="316">
        <x:f>'Rem. Anticipos R2'!M265</x:f>
        <x:v>0</x:v>
      </x:c>
      <x:c r="W30" s="316">
        <x:f>'Rem. Anticipos R2'!N265</x:f>
        <x:v>0</x:v>
      </x:c>
      <x:c r="X30" s="316">
        <x:f>'Rem. Anticipos R2'!O265</x:f>
        <x:v>0</x:v>
      </x:c>
      <x:c r="Y30" s="316">
        <x:f>'Rem. Anticipos R2'!P265</x:f>
        <x:v>0</x:v>
      </x:c>
      <x:c r="Z30" s="319">
        <x:f>L30*-1</x:f>
        <x:v>0</x:v>
      </x:c>
      <x:c r="AA30" s="320">
        <x:f>'Rem. Anticipos R2'!Q265</x:f>
        <x:v>0</x:v>
      </x:c>
      <x:c r="AB30" s="294">
        <x:f>N30</x:f>
        <x:v>0</x:v>
      </x:c>
      <x:c r="AC30" s="320">
        <x:f>'Rem. Anticipos R2'!R265</x:f>
        <x:v>0</x:v>
      </x:c>
      <x:c r="AD30" s="291">
        <x:f t="shared" ref="AD30:AD32" si="10">-J30+AE30</x:f>
        <x:v>0</x:v>
      </x:c>
      <x:c r="AE30" s="291">
        <x:f>'Rem. Anticipos R2'!E266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5">
      <x:c r="B31" s="314">
        <x:v>4</x:v>
      </x:c>
      <x:c r="C31" s="315" t="s">
        <x:v>13</x:v>
      </x:c>
      <x:c r="D31" s="291">
        <x:f>'Rem. Anticipos R2'!E367</x:f>
        <x:v>0</x:v>
      </x:c>
      <x:c r="E31" s="291">
        <x:f>'Rem. Anticipos R2'!F367</x:f>
        <x:v>0</x:v>
      </x:c>
      <x:c r="F31" s="291">
        <x:f>'Rem. Anticipos R2'!G367</x:f>
        <x:v>0</x:v>
      </x:c>
      <x:c r="G31" s="291">
        <x:f>'Rem. Anticipos R2'!H367</x:f>
        <x:v>0</x:v>
      </x:c>
      <x:c r="H31" s="291">
        <x:f>'Rem. Anticipos R2'!I367</x:f>
        <x:v>0</x:v>
      </x:c>
      <x:c r="I31" s="291">
        <x:f>'Rem. Anticipos R2'!J367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R2'!K367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R2'!L367</x:f>
        <x:v>0</x:v>
      </x:c>
      <x:c r="V31" s="316">
        <x:f>'Rem. Anticipos R2'!M367</x:f>
        <x:v>0</x:v>
      </x:c>
      <x:c r="W31" s="316">
        <x:f>'Rem. Anticipos R2'!N367</x:f>
        <x:v>0</x:v>
      </x:c>
      <x:c r="X31" s="316">
        <x:f>'Rem. Anticipos R2'!O367</x:f>
        <x:v>0</x:v>
      </x:c>
      <x:c r="Y31" s="316">
        <x:f>'Rem. Anticipos R2'!P367</x:f>
        <x:v>0</x:v>
      </x:c>
      <x:c r="Z31" s="319">
        <x:f>L31*-1</x:f>
        <x:v>0</x:v>
      </x:c>
      <x:c r="AA31" s="320">
        <x:f>'Rem. Anticipos R2'!Q367</x:f>
        <x:v>0</x:v>
      </x:c>
      <x:c r="AB31" s="294">
        <x:f>N31</x:f>
        <x:v>0</x:v>
      </x:c>
      <x:c r="AC31" s="320">
        <x:f>'Rem. Anticipos R2'!R367</x:f>
        <x:v>0</x:v>
      </x:c>
      <x:c r="AD31" s="291">
        <x:f t="shared" si="10"/>
        <x:v>0</x:v>
      </x:c>
      <x:c r="AE31" s="291">
        <x:f>'Rem. Anticipos R2'!E368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" thickBot="1" x14ac:dyDescent="0.3">
      <x:c r="B32" s="324">
        <x:v>5</x:v>
      </x:c>
      <x:c r="C32" s="325" t="s">
        <x:v>14</x:v>
      </x:c>
      <x:c r="D32" s="296">
        <x:f>'Rem. Anticipos R2'!E447</x:f>
        <x:v>6242402.4799999995</x:v>
      </x:c>
      <x:c r="E32" s="296">
        <x:f>'Rem. Anticipos R2'!F447</x:f>
        <x:v>452527.33</x:v>
      </x:c>
      <x:c r="F32" s="296">
        <x:f>'Rem. Anticipos R2'!G447</x:f>
        <x:v>258109.06</x:v>
      </x:c>
      <x:c r="G32" s="296">
        <x:f>'Rem. Anticipos R2'!H447</x:f>
        <x:v>110591.63</x:v>
      </x:c>
      <x:c r="H32" s="296">
        <x:f>'Rem. Anticipos R2'!I447</x:f>
        <x:v>1818962.03</x:v>
      </x:c>
      <x:c r="I32" s="296">
        <x:f>'Rem. Anticipos R2'!J447</x:f>
        <x:v>58814.97</x:v>
      </x:c>
      <x:c r="J32" s="289">
        <x:v>0</x:v>
      </x:c>
      <x:c r="K32" s="295">
        <x:f>D32-E32-F32-G32-H32-I32-J32</x:f>
        <x:v>3543397.4599999995</x:v>
      </x:c>
      <x:c r="L32" s="294">
        <x:v>0</x:v>
      </x:c>
      <x:c r="M32" s="298">
        <x:f>K32-L32</x:f>
        <x:v>3543397.4599999995</x:v>
      </x:c>
      <x:c r="N32" s="299">
        <x:f>'Rem. Anticipos R2'!K447</x:f>
        <x:v>0</x:v>
      </x:c>
      <x:c r="O32" s="298">
        <x:f t="shared" si="7"/>
        <x:v>3543397.4599999995</x:v>
      </x:c>
      <x:c r="Q32" s="306"/>
      <x:c r="S32" s="324">
        <x:v>5</x:v>
      </x:c>
      <x:c r="T32" s="325" t="s">
        <x:v>14</x:v>
      </x:c>
      <x:c r="U32" s="296">
        <x:f>'Rem. Anticipos R2'!L447</x:f>
        <x:v>533561.96</x:v>
      </x:c>
      <x:c r="V32" s="297">
        <x:f>'Rem. Anticipos R2'!M447</x:f>
        <x:v>533532.74</x:v>
      </x:c>
      <x:c r="W32" s="297">
        <x:f>'Rem. Anticipos R2'!N447</x:f>
        <x:v>2380320.94</x:v>
      </x:c>
      <x:c r="X32" s="297">
        <x:f>'Rem. Anticipos R2'!O447</x:f>
        <x:v>1293968.43</x:v>
      </x:c>
      <x:c r="Y32" s="289">
        <x:f>'Rem. Anticipos R2'!P447</x:f>
        <x:v>89200.76</x:v>
      </x:c>
      <x:c r="Z32" s="319">
        <x:f>L32*-1</x:f>
        <x:v>0</x:v>
      </x:c>
      <x:c r="AA32" s="320">
        <x:f>'Rem. Anticipos R2'!Q447</x:f>
        <x:v>-22.21</x:v>
      </x:c>
      <x:c r="AB32" s="294">
        <x:f>N32</x:f>
        <x:v>0</x:v>
      </x:c>
      <x:c r="AC32" s="320">
        <x:f>'Rem. Anticipos R2'!R447</x:f>
        <x:v>0</x:v>
      </x:c>
      <x:c r="AD32" s="291">
        <x:f t="shared" si="10"/>
        <x:v>-1287165.1599999999</x:v>
      </x:c>
      <x:c r="AE32" s="291">
        <x:f>'Rem. Anticipos R2'!E448</x:f>
        <x:v>-1287165.1599999999</x:v>
      </x:c>
      <x:c r="AF32" s="322">
        <x:f>SUM(U32:AD32)</x:f>
        <x:v>3543397.459999999</x:v>
      </x:c>
      <x:c r="AG32" s="326">
        <x:f>(AF32-O32)</x:f>
        <x:v>-4.6566128730773926E-10</x:v>
      </x:c>
      <x:c r="AH32" s="1" t="b">
        <x:f t="shared" si="8"/>
        <x:v>0</x:v>
      </x:c>
      <x:c r="AI32" s="306"/>
    </x:row>
    <x:row r="33" spans="1:35" s="305" customFormat="1" ht="13.5" thickBot="1" x14ac:dyDescent="0.35">
      <x:c r="B33" s="327"/>
      <x:c r="C33" s="328" t="s">
        <x:v>2</x:v>
      </x:c>
      <x:c r="D33" s="290">
        <x:f>SUM(D28:D32)</x:f>
        <x:v>6242402.4799999995</x:v>
      </x:c>
      <x:c r="E33" s="290">
        <x:f>SUM(E28:E32)</x:f>
        <x:v>452527.33</x:v>
      </x:c>
      <x:c r="F33" s="290">
        <x:f t="shared" ref="F33:O33" si="12">SUM(F28:F32)</x:f>
        <x:v>258109.06</x:v>
      </x:c>
      <x:c r="G33" s="290">
        <x:f t="shared" si="12"/>
        <x:v>110591.63</x:v>
      </x:c>
      <x:c r="H33" s="290">
        <x:f t="shared" si="12"/>
        <x:v>1818962.03</x:v>
      </x:c>
      <x:c r="I33" s="290">
        <x:f t="shared" si="12"/>
        <x:v>58814.97</x:v>
      </x:c>
      <x:c r="J33" s="290">
        <x:f t="shared" si="12"/>
        <x:v>0</x:v>
      </x:c>
      <x:c r="K33" s="300">
        <x:f t="shared" si="12"/>
        <x:v>3543397.4599999995</x:v>
      </x:c>
      <x:c r="L33" s="301">
        <x:f t="shared" si="12"/>
        <x:v>0</x:v>
      </x:c>
      <x:c r="M33" s="302">
        <x:f t="shared" si="12"/>
        <x:v>3543397.4599999995</x:v>
      </x:c>
      <x:c r="N33" s="301">
        <x:f t="shared" si="12"/>
        <x:v>0</x:v>
      </x:c>
      <x:c r="O33" s="302">
        <x:f t="shared" si="12"/>
        <x:v>3543397.4599999995</x:v>
      </x:c>
      <x:c r="P33" s="329"/>
      <x:c r="Q33" s="306"/>
      <x:c r="S33" s="327"/>
      <x:c r="T33" s="328" t="s">
        <x:v>2</x:v>
      </x:c>
      <x:c r="U33" s="330">
        <x:f>SUM(U28:U32)</x:f>
        <x:v>533561.96</x:v>
      </x:c>
      <x:c r="V33" s="330">
        <x:f t="shared" ref="V33:AG33" si="13">SUM(V28:V32)</x:f>
        <x:v>533532.74</x:v>
      </x:c>
      <x:c r="W33" s="330">
        <x:f t="shared" si="13"/>
        <x:v>2380320.94</x:v>
      </x:c>
      <x:c r="X33" s="330">
        <x:f t="shared" si="13"/>
        <x:v>1293968.43</x:v>
      </x:c>
      <x:c r="Y33" s="330">
        <x:f t="shared" si="13"/>
        <x:v>89200.76</x:v>
      </x:c>
      <x:c r="Z33" s="290">
        <x:f t="shared" si="13"/>
        <x:v>0</x:v>
      </x:c>
      <x:c r="AA33" s="290">
        <x:f t="shared" si="13"/>
        <x:v>-22.21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-1287165.1599999999</x:v>
      </x:c>
      <x:c r="AE33" s="290">
        <x:f>SUM(AE28:AE32)</x:f>
        <x:v>-1287165.1599999999</x:v>
      </x:c>
      <x:c r="AF33" s="331">
        <x:f t="shared" si="13"/>
        <x:v>3543397.459999999</x:v>
      </x:c>
      <x:c r="AG33" s="332">
        <x:f t="shared" si="13"/>
        <x:v>-4.6566128730773926E-10</x:v>
      </x:c>
      <x:c r="AH33" s="1" t="b">
        <x:f t="shared" si="8"/>
        <x:v>0</x:v>
      </x:c>
      <x:c r="AI33" s="306"/>
    </x:row>
    <x:row r="34" spans="1:35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4830584.8299999991</x:v>
      </x:c>
      <x:c r="AD35" s="1" t="s">
        <x:v>1</x:v>
      </x:c>
      <x:c r="AF35" s="1" t="s">
        <x:v>1</x:v>
      </x:c>
      <x:c r="AI35" s="4"/>
    </x:row>
    <x:row r="36" spans="1:35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">
      <x:c r="Q39" s="4"/>
      <x:c r="AI39" s="4"/>
    </x:row>
    <x:row r="40" spans="1:35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5" x14ac:dyDescent="0.35">
      <x:c r="B44" s="8"/>
      <x:c r="C44" s="599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">
      <x:c r="B45" s="8"/>
      <x:c r="C45" s="599" t="s">
        <x:v>0</x:v>
      </x:c>
      <x:c r="D45" s="241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226</x:v>
      </x:c>
      <x:c r="AF46" s="39" t="s">
        <x:v>23</x:v>
      </x:c>
      <x:c r="AG46" s="13"/>
      <x:c r="AI46" s="4"/>
    </x:row>
    <x:row r="47" spans="1:35" s="305" customFormat="1" x14ac:dyDescent="0.25">
      <x:c r="B47" s="303">
        <x:v>1</x:v>
      </x:c>
      <x:c r="C47" s="304" t="s">
        <x:v>10</x:v>
      </x:c>
      <x:c r="D47" s="291">
        <x:f>'Reporte Componentes R1'!F67</x:f>
        <x:v>0</x:v>
      </x:c>
      <x:c r="E47" s="291">
        <x:f>'Reporte Componentes R1'!G67</x:f>
        <x:v>0</x:v>
      </x:c>
      <x:c r="F47" s="291">
        <x:f>'Reporte Componentes R1'!H67</x:f>
        <x:v>0</x:v>
      </x:c>
      <x:c r="G47" s="291">
        <x:f>'Reporte Componentes R1'!I67</x:f>
        <x:v>0</x:v>
      </x:c>
      <x:c r="H47" s="291">
        <x:f>'Reporte Componentes R1'!J67</x:f>
        <x:v>0</x:v>
      </x:c>
      <x:c r="I47" s="291">
        <x:f>'Reporte Componentes R1'!K67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R1'!L67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R1'!M67</x:f>
        <x:v>0</x:v>
      </x:c>
      <x:c r="V47" s="307">
        <x:f>'Reporte Componentes R1'!N67</x:f>
        <x:v>0</x:v>
      </x:c>
      <x:c r="W47" s="307">
        <x:f>'Reporte Componentes R1'!O67</x:f>
        <x:v>0</x:v>
      </x:c>
      <x:c r="X47" s="307">
        <x:f>'Reporte Componentes R1'!P67</x:f>
        <x:v>0</x:v>
      </x:c>
      <x:c r="Y47" s="307">
        <x:f>'Reporte Componentes R1'!Q67</x:f>
        <x:v>0</x:v>
      </x:c>
      <x:c r="Z47" s="310">
        <x:f>-L47</x:f>
        <x:v>0</x:v>
      </x:c>
      <x:c r="AA47" s="320">
        <x:f>'Reporte Componentes R1'!R67+'Reporte Componentes R1'!V67+'Reporte Componentes R1'!U67</x:f>
        <x:v>0</x:v>
      </x:c>
      <x:c r="AB47" s="294">
        <x:f>N47</x:f>
        <x:v>0</x:v>
      </x:c>
      <x:c r="AC47" s="311">
        <x:f>'Reporte Componentes R1'!T67+'Reporte Componentes R1'!W67+'Reporte Componentes R1'!X67+'Reporte Componentes R1'!Y67+'Reporte Componentes R1'!Z67+'Reporte Componentes R1'!S67</x:f>
        <x:v>0</x:v>
      </x:c>
      <x:c r="AD47" s="291">
        <x:f>-J47+AE47</x:f>
        <x:v>0</x:v>
      </x:c>
      <x:c r="AE47" s="291">
        <x:f>'Reporte Componentes R1'!F68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5">
      <x:c r="B48" s="314">
        <x:v>2</x:v>
      </x:c>
      <x:c r="C48" s="315" t="s">
        <x:v>11</x:v>
      </x:c>
      <x:c r="D48" s="291">
        <x:f>'Reporte Componentes R1'!F211</x:f>
        <x:v>0</x:v>
      </x:c>
      <x:c r="E48" s="291">
        <x:f>'Reporte Componentes R1'!G211</x:f>
        <x:v>0</x:v>
      </x:c>
      <x:c r="F48" s="291">
        <x:f>'Reporte Componentes R1'!H211</x:f>
        <x:v>0</x:v>
      </x:c>
      <x:c r="G48" s="291">
        <x:f>'Reporte Componentes R1'!I211</x:f>
        <x:v>0</x:v>
      </x:c>
      <x:c r="H48" s="291">
        <x:f>'Reporte Componentes R1'!J211</x:f>
        <x:v>0</x:v>
      </x:c>
      <x:c r="I48" s="291">
        <x:f>'Reporte Componentes R1'!K211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R1'!L211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R1'!M211</x:f>
        <x:v>0</x:v>
      </x:c>
      <x:c r="V48" s="316">
        <x:f>'Reporte Componentes R1'!N211</x:f>
        <x:v>0</x:v>
      </x:c>
      <x:c r="W48" s="316">
        <x:f>'Reporte Componentes R1'!O211</x:f>
        <x:v>0</x:v>
      </x:c>
      <x:c r="X48" s="316">
        <x:f>'Reporte Componentes R1'!P211</x:f>
        <x:v>0</x:v>
      </x:c>
      <x:c r="Y48" s="316">
        <x:f>'Reporte Componentes R1'!Q211</x:f>
        <x:v>0</x:v>
      </x:c>
      <x:c r="Z48" s="319">
        <x:f>-L48</x:f>
        <x:v>0</x:v>
      </x:c>
      <x:c r="AA48" s="320">
        <x:f>'Reporte Componentes R1'!R211+'Reporte Componentes R1'!V211+'Reporte Componentes R1'!U211</x:f>
        <x:v>0</x:v>
      </x:c>
      <x:c r="AB48" s="294">
        <x:f>N48</x:f>
        <x:v>0</x:v>
      </x:c>
      <x:c r="AC48" s="320">
        <x:f>'Reporte Componentes R1'!T211+'Reporte Componentes R1'!W211+'Reporte Componentes R1'!X211+'Reporte Componentes R1'!Y211+'Reporte Componentes R1'!Z211+'Reporte Componentes R1'!S211</x:f>
        <x:v>0</x:v>
      </x:c>
      <x:c r="AD48" s="291">
        <x:f t="shared" ref="AD48:AD51" si="16">-J48+AE48</x:f>
        <x:v>0</x:v>
      </x:c>
      <x:c r="AE48" s="291">
        <x:f>'Reporte Componentes R1'!F212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5">
      <x:c r="B49" s="314">
        <x:v>3</x:v>
      </x:c>
      <x:c r="C49" s="315" t="s">
        <x:v>12</x:v>
      </x:c>
      <x:c r="D49" s="291">
        <x:f>'Reporte Componentes R1'!F342</x:f>
        <x:v>0</x:v>
      </x:c>
      <x:c r="E49" s="291">
        <x:f>'Reporte Componentes R1'!G342</x:f>
        <x:v>0</x:v>
      </x:c>
      <x:c r="F49" s="291">
        <x:f>'Reporte Componentes R1'!H342</x:f>
        <x:v>0</x:v>
      </x:c>
      <x:c r="G49" s="291">
        <x:f>'Reporte Componentes R1'!I342</x:f>
        <x:v>0</x:v>
      </x:c>
      <x:c r="H49" s="291">
        <x:f>'Reporte Componentes R1'!J342</x:f>
        <x:v>0</x:v>
      </x:c>
      <x:c r="I49" s="291">
        <x:f>'Reporte Componentes R1'!K342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R1'!L342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R1'!M342</x:f>
        <x:v>0</x:v>
      </x:c>
      <x:c r="V49" s="316">
        <x:f>'Reporte Componentes R1'!N342</x:f>
        <x:v>0</x:v>
      </x:c>
      <x:c r="W49" s="316">
        <x:f>'Reporte Componentes R1'!O342</x:f>
        <x:v>0</x:v>
      </x:c>
      <x:c r="X49" s="316">
        <x:f>'Reporte Componentes R1'!P342</x:f>
        <x:v>0</x:v>
      </x:c>
      <x:c r="Y49" s="316">
        <x:f>'Reporte Componentes R1'!Q342</x:f>
        <x:v>0</x:v>
      </x:c>
      <x:c r="Z49" s="319">
        <x:f>-L49</x:f>
        <x:v>0</x:v>
      </x:c>
      <x:c r="AA49" s="320">
        <x:f>'Reporte Componentes R1'!R342+'Reporte Componentes R1'!V342+'Reporte Componentes R1'!U342</x:f>
        <x:v>0</x:v>
      </x:c>
      <x:c r="AB49" s="294">
        <x:f>N49</x:f>
        <x:v>0</x:v>
      </x:c>
      <x:c r="AC49" s="320">
        <x:f>'Reporte Componentes R1'!T342+'Reporte Componentes R1'!W342+'Reporte Componentes R1'!X342+'Reporte Componentes R1'!Y342+'Reporte Componentes R1'!Z342+'Reporte Componentes R1'!S342</x:f>
        <x:v>0</x:v>
      </x:c>
      <x:c r="AD49" s="291">
        <x:f t="shared" si="16"/>
        <x:v>0</x:v>
      </x:c>
      <x:c r="AE49" s="291">
        <x:f>'Reporte Componentes R1'!F343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5">
      <x:c r="B50" s="314">
        <x:v>4</x:v>
      </x:c>
      <x:c r="C50" s="315" t="s">
        <x:v>13</x:v>
      </x:c>
      <x:c r="D50" s="291">
        <x:f>'Reporte Componentes R1'!F473</x:f>
        <x:v>0</x:v>
      </x:c>
      <x:c r="E50" s="291">
        <x:f>'Reporte Componentes R1'!G473</x:f>
        <x:v>0</x:v>
      </x:c>
      <x:c r="F50" s="291">
        <x:f>'Reporte Componentes R1'!H473</x:f>
        <x:v>0</x:v>
      </x:c>
      <x:c r="G50" s="291">
        <x:f>'Reporte Componentes R1'!I473</x:f>
        <x:v>0</x:v>
      </x:c>
      <x:c r="H50" s="291">
        <x:f>'Reporte Componentes R1'!J473</x:f>
        <x:v>0</x:v>
      </x:c>
      <x:c r="I50" s="291">
        <x:f>'Reporte Componentes R1'!K473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R1'!L473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R1'!M473</x:f>
        <x:v>0</x:v>
      </x:c>
      <x:c r="V50" s="316">
        <x:f>'Reporte Componentes R1'!N473</x:f>
        <x:v>0</x:v>
      </x:c>
      <x:c r="W50" s="316">
        <x:f>'Reporte Componentes R1'!O473</x:f>
        <x:v>0</x:v>
      </x:c>
      <x:c r="X50" s="316">
        <x:f>'Reporte Componentes R1'!P473</x:f>
        <x:v>0</x:v>
      </x:c>
      <x:c r="Y50" s="316">
        <x:f>'Reporte Componentes R1'!Q473</x:f>
        <x:v>0</x:v>
      </x:c>
      <x:c r="Z50" s="319">
        <x:f>-L50</x:f>
        <x:v>0</x:v>
      </x:c>
      <x:c r="AA50" s="320">
        <x:f>'Reporte Componentes R1'!R473+'Reporte Componentes R1'!V473+'Reporte Componentes R1'!U473</x:f>
        <x:v>0</x:v>
      </x:c>
      <x:c r="AB50" s="294">
        <x:f>N50</x:f>
        <x:v>0</x:v>
      </x:c>
      <x:c r="AC50" s="320">
        <x:f>'Reporte Componentes R1'!T473+'Reporte Componentes R1'!W473+'Reporte Componentes R1'!X473+'Reporte Componentes R1'!Y473+'Reporte Componentes R1'!Z473+'Reporte Componentes R1'!S473</x:f>
        <x:v>0</x:v>
      </x:c>
      <x:c r="AD50" s="291">
        <x:f t="shared" si="16"/>
        <x:v>0</x:v>
      </x:c>
      <x:c r="AE50" s="291">
        <x:f>'Reporte Componentes R1'!F474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" thickBot="1" x14ac:dyDescent="0.3">
      <x:c r="B51" s="324">
        <x:v>5</x:v>
      </x:c>
      <x:c r="C51" s="325" t="s">
        <x:v>14</x:v>
      </x:c>
      <x:c r="D51" s="296">
        <x:f>'Reporte Componentes R1'!F571</x:f>
        <x:v>0</x:v>
      </x:c>
      <x:c r="E51" s="296">
        <x:f>'Reporte Componentes R1'!G571</x:f>
        <x:v>0</x:v>
      </x:c>
      <x:c r="F51" s="296">
        <x:f>'Reporte Componentes R1'!H571</x:f>
        <x:v>0</x:v>
      </x:c>
      <x:c r="G51" s="296">
        <x:f>'Reporte Componentes R1'!I571</x:f>
        <x:v>0</x:v>
      </x:c>
      <x:c r="H51" s="296">
        <x:f>'Reporte Componentes R1'!J571</x:f>
        <x:v>0</x:v>
      </x:c>
      <x:c r="I51" s="296">
        <x:f>'Reporte Componentes R1'!K571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R1'!L571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R1'!M571</x:f>
        <x:v>0</x:v>
      </x:c>
      <x:c r="V51" s="296">
        <x:f>'Reporte Componentes R1'!N571</x:f>
        <x:v>0</x:v>
      </x:c>
      <x:c r="W51" s="296">
        <x:f>'Reporte Componentes R1'!O571</x:f>
        <x:v>0</x:v>
      </x:c>
      <x:c r="X51" s="296">
        <x:f>'Reporte Componentes R1'!P571</x:f>
        <x:v>0</x:v>
      </x:c>
      <x:c r="Y51" s="289">
        <x:f>'Reporte Componentes R1'!Q571</x:f>
        <x:v>0</x:v>
      </x:c>
      <x:c r="Z51" s="319">
        <x:f>-L51</x:f>
        <x:v>0</x:v>
      </x:c>
      <x:c r="AA51" s="320">
        <x:f>'Reporte Componentes R1'!R571+'Reporte Componentes R1'!V571+'Reporte Componentes R1'!U571</x:f>
        <x:v>0</x:v>
      </x:c>
      <x:c r="AB51" s="294">
        <x:f>N51</x:f>
        <x:v>0</x:v>
      </x:c>
      <x:c r="AC51" s="320">
        <x:f>'Reporte Componentes R1'!T571+'Reporte Componentes R1'!W571+'Reporte Componentes R1'!X571+'Reporte Componentes R1'!Y571+'Reporte Componentes R1'!Z571+'Reporte Componentes R1'!S571</x:f>
        <x:v>0</x:v>
      </x:c>
      <x:c r="AD51" s="291">
        <x:f t="shared" si="16"/>
        <x:v>0</x:v>
      </x:c>
      <x:c r="AE51" s="291">
        <x:f>'Reporte Componentes R1'!F572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">
      <x:c r="Q58" s="4"/>
      <x:c r="AI58" s="4"/>
    </x:row>
    <x:row r="59" spans="1:35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" x14ac:dyDescent="0.3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5" x14ac:dyDescent="0.3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" x14ac:dyDescent="0.3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5" x14ac:dyDescent="0.35">
      <x:c r="B63" s="8"/>
      <x:c r="C63" s="599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">
      <x:c r="B64" s="8"/>
      <x:c r="C64" s="599" t="s">
        <x:v>0</x:v>
      </x:c>
      <x:c r="D64" s="241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3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226</x:v>
      </x:c>
      <x:c r="AF65" s="39" t="s">
        <x:v>23</x:v>
      </x:c>
      <x:c r="AG65" s="13"/>
      <x:c r="AI65" s="4"/>
    </x:row>
    <x:row r="66" spans="1:35" s="305" customFormat="1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5">
      <x:c r="B67" s="314">
        <x:v>2</x:v>
      </x:c>
      <x:c r="C67" s="315" t="s">
        <x:v>11</x:v>
      </x:c>
      <x:c r="D67" s="291">
        <x:f>'Reversion Pagos R4'!D177</x:f>
        <x:v>0</x:v>
      </x:c>
      <x:c r="E67" s="291">
        <x:f>'Reversion Pagos R4'!E177</x:f>
        <x:v>0</x:v>
      </x:c>
      <x:c r="F67" s="291">
        <x:f>'Reversion Pagos R4'!F177</x:f>
        <x:v>0</x:v>
      </x:c>
      <x:c r="G67" s="291">
        <x:f>'Reversion Pagos R4'!G177</x:f>
        <x:v>0</x:v>
      </x:c>
      <x:c r="H67" s="291">
        <x:f>'Reversion Pagos R4'!H177</x:f>
        <x:v>0</x:v>
      </x:c>
      <x:c r="I67" s="291">
        <x:f>'Reversion Pagos R4'!I177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6">
        <x:f>'Reversion Pagos R4'!K177</x:f>
        <x:v>0</x:v>
      </x:c>
      <x:c r="W67" s="316">
        <x:f>'Reversion Pagos R4'!L177</x:f>
        <x:v>0</x:v>
      </x:c>
      <x:c r="X67" s="316">
        <x:f>'Reversion Pagos R4'!M177</x:f>
        <x:v>0</x:v>
      </x:c>
      <x:c r="Y67" s="316">
        <x:f>'Reversion Pagos R4'!N177</x:f>
        <x:v>0</x:v>
      </x:c>
      <x:c r="Z67" s="319">
        <x:f t="shared" ref="Z67:Z70" si="25">-L67</x:f>
        <x:v>0</x:v>
      </x:c>
      <x:c r="AA67" s="320">
        <x:f>'Reversion Pagos R4'!O177</x:f>
        <x:v>0</x:v>
      </x:c>
      <x:c r="AB67" s="294">
        <x:f t="shared" ref="AB67:AB70" si="26">N67</x:f>
        <x:v>0</x:v>
      </x:c>
      <x:c r="AC67" s="320">
        <x:f>'Reversion Pagos R4'!Q177+'Reversion Pagos R4'!R177</x:f>
        <x:v>0</x:v>
      </x:c>
      <x:c r="AD67" s="291">
        <x:f t="shared" ref="AD67:AD70" si="27">-J67+AE67</x:f>
        <x:v>0</x:v>
      </x:c>
      <x:c r="AE67" s="291">
        <x:f>'Reversion Pagos R4'!D178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5">
      <x:c r="B68" s="314">
        <x:v>3</x:v>
      </x:c>
      <x:c r="C68" s="315" t="s">
        <x:v>12</x:v>
      </x:c>
      <x:c r="D68" s="291">
        <x:f>'Reversion Pagos R4'!D214</x:f>
        <x:v>0</x:v>
      </x:c>
      <x:c r="E68" s="291">
        <x:f>'Reversion Pagos R4'!E214</x:f>
        <x:v>0</x:v>
      </x:c>
      <x:c r="F68" s="291">
        <x:f>'Reversion Pagos R4'!F214</x:f>
        <x:v>0</x:v>
      </x:c>
      <x:c r="G68" s="291">
        <x:f>'Reversion Pagos R4'!G214</x:f>
        <x:v>0</x:v>
      </x:c>
      <x:c r="H68" s="291">
        <x:f>'Reversion Pagos R4'!H214</x:f>
        <x:v>0</x:v>
      </x:c>
      <x:c r="I68" s="291">
        <x:f>'Reversion Pagos R4'!I214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6">
        <x:f>'Reversion Pagos R4'!K214</x:f>
        <x:v>0</x:v>
      </x:c>
      <x:c r="W68" s="316">
        <x:f>'Reversion Pagos R4'!L214</x:f>
        <x:v>0</x:v>
      </x:c>
      <x:c r="X68" s="316">
        <x:f>'Reversion Pagos R4'!M214</x:f>
        <x:v>0</x:v>
      </x:c>
      <x:c r="Y68" s="316">
        <x:f>'Reversion Pagos R4'!N214</x:f>
        <x:v>0</x:v>
      </x:c>
      <x:c r="Z68" s="319">
        <x:f t="shared" si="25"/>
        <x:v>0</x:v>
      </x:c>
      <x:c r="AA68" s="320">
        <x:f>'Reversion Pagos R4'!O214</x:f>
        <x:v>0</x:v>
      </x:c>
      <x:c r="AB68" s="294">
        <x:f t="shared" si="26"/>
        <x:v>0</x:v>
      </x:c>
      <x:c r="AC68" s="320">
        <x:f>'Reversion Pagos R4'!Q214+'Reversion Pagos R4'!R214</x:f>
        <x:v>0</x:v>
      </x:c>
      <x:c r="AD68" s="291">
        <x:f t="shared" si="27"/>
        <x:v>0</x:v>
      </x:c>
      <x:c r="AE68" s="291">
        <x:f>'Reversion Pagos R4'!D215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5">
      <x:c r="B69" s="314">
        <x:v>4</x:v>
      </x:c>
      <x:c r="C69" s="315" t="s">
        <x:v>13</x:v>
      </x:c>
      <x:c r="D69" s="291">
        <x:f>'Reversion Pagos R4'!D329</x:f>
        <x:v>0</x:v>
      </x:c>
      <x:c r="E69" s="291">
        <x:f>'Reversion Pagos R4'!E329</x:f>
        <x:v>0</x:v>
      </x:c>
      <x:c r="F69" s="291">
        <x:f>'Reversion Pagos R4'!F329</x:f>
        <x:v>0</x:v>
      </x:c>
      <x:c r="G69" s="291">
        <x:f>'Reversion Pagos R4'!G329</x:f>
        <x:v>0</x:v>
      </x:c>
      <x:c r="H69" s="291">
        <x:f>'Reversion Pagos R4'!H329</x:f>
        <x:v>0</x:v>
      </x:c>
      <x:c r="I69" s="291">
        <x:f>'Reversion Pagos R4'!I329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6">
        <x:f>'Reversion Pagos R4'!K329</x:f>
        <x:v>0</x:v>
      </x:c>
      <x:c r="W69" s="316">
        <x:f>'Reversion Pagos R4'!L329</x:f>
        <x:v>0</x:v>
      </x:c>
      <x:c r="X69" s="316">
        <x:f>'Reversion Pagos R4'!M329</x:f>
        <x:v>0</x:v>
      </x:c>
      <x:c r="Y69" s="316">
        <x:f>'Reversion Pagos R4'!N329</x:f>
        <x:v>0</x:v>
      </x:c>
      <x:c r="Z69" s="319">
        <x:f t="shared" si="25"/>
        <x:v>0</x:v>
      </x:c>
      <x:c r="AA69" s="320">
        <x:f>'Reversion Pagos R4'!O329</x:f>
        <x:v>0</x:v>
      </x:c>
      <x:c r="AB69" s="294">
        <x:f t="shared" si="26"/>
        <x:v>0</x:v>
      </x:c>
      <x:c r="AC69" s="320">
        <x:f>'Reversion Pagos R4'!Q329+'Reversion Pagos R4'!R329</x:f>
        <x:v>0</x:v>
      </x:c>
      <x:c r="AD69" s="291">
        <x:f t="shared" si="27"/>
        <x:v>0</x:v>
      </x:c>
      <x:c r="AE69" s="291">
        <x:f>'Reversion Pagos R4'!D330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" thickBot="1" x14ac:dyDescent="0.3">
      <x:c r="B70" s="324">
        <x:v>5</x:v>
      </x:c>
      <x:c r="C70" s="325" t="s">
        <x:v>14</x:v>
      </x:c>
      <x:c r="D70" s="296">
        <x:f>'Reversion Pagos R4'!D364</x:f>
        <x:v>0</x:v>
      </x:c>
      <x:c r="E70" s="296">
        <x:f>'Reversion Pagos R4'!E364</x:f>
        <x:v>0</x:v>
      </x:c>
      <x:c r="F70" s="296">
        <x:f>'Reversion Pagos R4'!F364</x:f>
        <x:v>0</x:v>
      </x:c>
      <x:c r="G70" s="296">
        <x:f>'Reversion Pagos R4'!G364</x:f>
        <x:v>0</x:v>
      </x:c>
      <x:c r="H70" s="296">
        <x:f>'Reversion Pagos R4'!H364</x:f>
        <x:v>0</x:v>
      </x:c>
      <x:c r="I70" s="296">
        <x:f>'Reversion Pagos R4'!I364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6">
        <x:f>'Reversion Pagos R4'!K364</x:f>
        <x:v>0</x:v>
      </x:c>
      <x:c r="W70" s="296">
        <x:f>'Reversion Pagos R4'!L364</x:f>
        <x:v>0</x:v>
      </x:c>
      <x:c r="X70" s="296">
        <x:f>'Reversion Pagos R4'!M364</x:f>
        <x:v>0</x:v>
      </x:c>
      <x:c r="Y70" s="296">
        <x:f>'Reversion Pagos R4'!N364</x:f>
        <x:v>0</x:v>
      </x:c>
      <x:c r="Z70" s="319">
        <x:f t="shared" si="25"/>
        <x:v>0</x:v>
      </x:c>
      <x:c r="AA70" s="320">
        <x:f>'Reversion Pagos R4'!O364</x:f>
        <x:v>0</x:v>
      </x:c>
      <x:c r="AB70" s="294">
        <x:f t="shared" si="26"/>
        <x:v>0</x:v>
      </x:c>
      <x:c r="AC70" s="320">
        <x:f>'Reversion Pagos R4'!Q364+'Reversion Pagos R4'!R364</x:f>
        <x:v>0</x:v>
      </x:c>
      <x:c r="AD70" s="291">
        <x:f t="shared" si="27"/>
        <x:v>0</x:v>
      </x:c>
      <x:c r="AE70" s="291">
        <x:f>'Reversion Pagos R4'!D365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3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">
      <x:c r="Q77" s="4"/>
      <x:c r="AI77" s="4"/>
    </x:row>
    <x:row r="78" spans="1:35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" x14ac:dyDescent="0.3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5" x14ac:dyDescent="0.3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" x14ac:dyDescent="0.3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5" x14ac:dyDescent="0.35">
      <x:c r="B82" s="8"/>
      <x:c r="C82" s="599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">
      <x:c r="B83" s="8"/>
      <x:c r="C83" s="599" t="s">
        <x:v>0</x:v>
      </x:c>
      <x:c r="D83" s="241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3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9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">
      <x:c r="Q96" s="4"/>
      <x:c r="AI96" s="4"/>
    </x:row>
    <x:row r="97" spans="2:36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" x14ac:dyDescent="0.3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5" x14ac:dyDescent="0.3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" x14ac:dyDescent="0.3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5" x14ac:dyDescent="0.35">
      <x:c r="B101" s="8"/>
      <x:c r="C101" s="599" t="s">
        <x:v>17</x:v>
      </x:c>
      <x:c r="D101" s="9">
        <x:f>D6</x:f>
        <x:v>46238</x:v>
      </x:c>
      <x:c r="F101" s="58" t="s">
        <x:v>330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5">
      <x:c r="B102" s="8"/>
      <x:c r="C102" s="599" t="s">
        <x:v>0</x:v>
      </x:c>
      <x:c r="D102" s="241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" thickBot="1" x14ac:dyDescent="0.3">
      <x:c r="B108" s="324">
        <x:v>5</x:v>
      </x:c>
      <x:c r="C108" s="325" t="s">
        <x:v>14</x:v>
      </x:c>
      <x:c r="D108" s="296">
        <x:f>D13+D32+D51+D70+D89</x:f>
        <x:v>33106622.48</x:v>
      </x:c>
      <x:c r="E108" s="297">
        <x:f t="shared" si="40"/>
        <x:v>2354015.58</x:v>
      </x:c>
      <x:c r="F108" s="297">
        <x:f t="shared" si="40"/>
        <x:v>1304933.33</x:v>
      </x:c>
      <x:c r="G108" s="297">
        <x:f t="shared" si="40"/>
        <x:v>678365.21</x:v>
      </x:c>
      <x:c r="H108" s="297">
        <x:f t="shared" si="40"/>
        <x:v>8664264.7300000004</x:v>
      </x:c>
      <x:c r="I108" s="297">
        <x:f t="shared" si="40"/>
        <x:v>306609.89</x:v>
      </x:c>
      <x:c r="J108" s="297">
        <x:f t="shared" si="40"/>
        <x:v>0</x:v>
      </x:c>
      <x:c r="K108" s="295">
        <x:f t="shared" si="42"/>
        <x:v>19798433.739999998</x:v>
      </x:c>
      <x:c r="L108" s="294">
        <x:f>L13+L32+L51+L70+L89</x:f>
        <x:v>0</x:v>
      </x:c>
      <x:c r="M108" s="298">
        <x:f>K108-L108</x:f>
        <x:v>19798433.739999998</x:v>
      </x:c>
      <x:c r="N108" s="299">
        <x:f>N13+N32+N51+N70+N89</x:f>
        <x:v>0</x:v>
      </x:c>
      <x:c r="O108" s="298">
        <x:f t="shared" si="43"/>
        <x:v>19798433.739999998</x:v>
      </x:c>
      <x:c r="Q108" s="306"/>
      <x:c r="S108" s="324">
        <x:v>5</x:v>
      </x:c>
      <x:c r="T108" s="325" t="s">
        <x:v>14</x:v>
      </x:c>
      <x:c r="U108" s="296">
        <x:f t="shared" si="41"/>
        <x:v>2695565.9899999998</x:v>
      </x:c>
      <x:c r="V108" s="297">
        <x:f t="shared" si="41"/>
        <x:v>2662800.6100000003</x:v>
      </x:c>
      <x:c r="W108" s="297">
        <x:f t="shared" si="41"/>
        <x:v>13468229.43</x:v>
      </x:c>
      <x:c r="X108" s="297">
        <x:f t="shared" si="41"/>
        <x:v>6732768.6600000001</x:v>
      </x:c>
      <x:c r="Y108" s="289">
        <x:f t="shared" si="41"/>
        <x:v>496966.43</x:v>
      </x:c>
      <x:c r="Z108" s="319">
        <x:f t="shared" si="41"/>
        <x:v>0</x:v>
      </x:c>
      <x:c r="AA108" s="320">
        <x:f t="shared" si="41"/>
        <x:v>65.34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-6257962.7199999997</x:v>
      </x:c>
      <x:c r="AE108" s="291">
        <x:f>AE13+AE32+AE51+AE70+AE89</x:f>
        <x:v>-6257962.7199999997</x:v>
      </x:c>
      <x:c r="AF108" s="322">
        <x:f>SUM(U108:AD108)</x:f>
        <x:v>19798433.740000002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35">
      <x:c r="B109" s="327"/>
      <x:c r="C109" s="328" t="s">
        <x:v>2</x:v>
      </x:c>
      <x:c r="D109" s="290">
        <x:f t="shared" ref="D109:O109" si="46">SUM(D104:D108)</x:f>
        <x:v>33106622.48</x:v>
      </x:c>
      <x:c r="E109" s="290">
        <x:f t="shared" si="46"/>
        <x:v>2354015.58</x:v>
      </x:c>
      <x:c r="F109" s="290">
        <x:f t="shared" si="46"/>
        <x:v>1304933.33</x:v>
      </x:c>
      <x:c r="G109" s="290">
        <x:f t="shared" si="46"/>
        <x:v>678365.21</x:v>
      </x:c>
      <x:c r="H109" s="290">
        <x:f t="shared" si="46"/>
        <x:v>8664264.7300000004</x:v>
      </x:c>
      <x:c r="I109" s="290">
        <x:f t="shared" si="46"/>
        <x:v>306609.89</x:v>
      </x:c>
      <x:c r="J109" s="290">
        <x:f t="shared" si="46"/>
        <x:v>0</x:v>
      </x:c>
      <x:c r="K109" s="300">
        <x:f t="shared" si="46"/>
        <x:v>19798433.739999998</x:v>
      </x:c>
      <x:c r="L109" s="301">
        <x:f t="shared" si="46"/>
        <x:v>0</x:v>
      </x:c>
      <x:c r="M109" s="302">
        <x:f t="shared" si="46"/>
        <x:v>19798433.739999998</x:v>
      </x:c>
      <x:c r="N109" s="301">
        <x:f t="shared" si="46"/>
        <x:v>0</x:v>
      </x:c>
      <x:c r="O109" s="302">
        <x:f t="shared" si="46"/>
        <x:v>19798433.739999998</x:v>
      </x:c>
      <x:c r="P109" s="329"/>
      <x:c r="Q109" s="306"/>
      <x:c r="S109" s="327"/>
      <x:c r="T109" s="328" t="s">
        <x:v>2</x:v>
      </x:c>
      <x:c r="U109" s="330">
        <x:f>SUM(U104:U108)</x:f>
        <x:v>2695565.9899999998</x:v>
      </x:c>
      <x:c r="V109" s="330">
        <x:f t="shared" ref="V109:AF109" si="47">SUM(V104:V108)</x:f>
        <x:v>2662800.6100000003</x:v>
      </x:c>
      <x:c r="W109" s="330">
        <x:f t="shared" si="47"/>
        <x:v>13468229.43</x:v>
      </x:c>
      <x:c r="X109" s="330">
        <x:f t="shared" si="47"/>
        <x:v>6732768.6600000001</x:v>
      </x:c>
      <x:c r="Y109" s="330">
        <x:f t="shared" si="47"/>
        <x:v>496966.43</x:v>
      </x:c>
      <x:c r="Z109" s="290">
        <x:f t="shared" si="47"/>
        <x:v>0</x:v>
      </x:c>
      <x:c r="AA109" s="290">
        <x:f t="shared" si="47"/>
        <x:v>65.34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-6257962.7199999997</x:v>
      </x:c>
      <x:c r="AE109" s="290">
        <x:f>SUM(AE104:AE108)</x:f>
        <x:v>-6257962.7199999997</x:v>
      </x:c>
      <x:c r="AF109" s="331">
        <x:f t="shared" si="47"/>
        <x:v>19798433.740000002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26056331.120000001</x:v>
      </x:c>
      <x:c r="AD111" s="1" t="s">
        <x:v>1</x:v>
      </x:c>
      <x:c r="AF111" s="1" t="s">
        <x:v>1</x:v>
      </x:c>
      <x:c r="AI111" s="4"/>
    </x:row>
    <x:row r="112" spans="2:36" ht="12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">
      <x:c r="Q115" s="4"/>
    </x:row>
    <x:row r="116" spans="1:35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" x14ac:dyDescent="0.3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5" x14ac:dyDescent="0.3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5">
      <x:c r="B120" s="8"/>
      <x:c r="I120" s="2"/>
      <x:c r="J120" s="2"/>
      <x:c r="O120" s="10"/>
      <x:c r="P120" s="2"/>
      <x:c r="Q120" s="4"/>
    </x:row>
    <x:row r="121" spans="1:35" ht="15.5" x14ac:dyDescent="0.3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5" thickBot="1" x14ac:dyDescent="0.3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5">
      <x:c r="B129" s="133">
        <x:v>5</x:v>
      </x:c>
      <x:c r="C129" s="138" t="s">
        <x:v>14</x:v>
      </x:c>
      <x:c r="D129" s="15">
        <x:f>'ANTICIPOS USUARIOS'!L7</x:f>
        <x:v>1781103</x:v>
      </x:c>
      <x:c r="E129" s="139">
        <x:v>0</x:v>
      </x:c>
      <x:c r="G129" s="339">
        <x:f>D51+N51</x:f>
        <x:v>0</x:v>
      </x:c>
      <x:c r="H129" s="340">
        <x:f>D32+N32</x:f>
        <x:v>6242402.4799999995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" thickBot="1" x14ac:dyDescent="0.3">
      <x:c r="B131" s="95"/>
      <x:c r="C131" s="106" t="s">
        <x:v>2</x:v>
      </x:c>
      <x:c r="D131" s="107">
        <x:f>SUM(D125:D130)</x:f>
        <x:v>1781103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6242402.4799999995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5">
      <x:c r="B132" s="2"/>
      <x:c r="C132" s="2"/>
      <x:c r="D132" s="24"/>
      <x:c r="Q132" s="4"/>
    </x:row>
    <x:row r="133" spans="1:18" x14ac:dyDescent="0.25">
      <x:c r="B133" s="2"/>
      <x:c r="C133" s="2"/>
      <x:c r="D133" s="24"/>
      <x:c r="L133" s="1" t="s">
        <x:v>1</x:v>
      </x:c>
      <x:c r="Q133" s="4"/>
    </x:row>
    <x:row r="134" spans="1:18" ht="12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5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" thickBot="1" x14ac:dyDescent="0.3">
      <x:c r="B146" s="133">
        <x:v>5</x:v>
      </x:c>
      <x:c r="C146" s="138" t="s">
        <x:v>14</x:v>
      </x:c>
      <x:c r="D146" s="134">
        <x:f>D108+N108+D129+E129</x:f>
        <x:v>34887725.480000004</x:v>
      </x:c>
      <x:c r="E146" s="18">
        <x:f>'Recaudo ENERBIT'!F25</x:f>
        <x:v>28645323</x:v>
      </x:c>
      <x:c r="F146" s="134">
        <x:f>D32+N32</x:f>
        <x:v>6242402.4799999995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6242402.4799999995</x:v>
      </x:c>
      <x:c r="L146" s="525">
        <x:f>D146-E146-F146-G146-J146-H146-I146</x:f>
        <x:v>4.6566128730773926E-9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" thickBot="1" x14ac:dyDescent="0.3">
      <x:c r="B147" s="21"/>
      <x:c r="C147" s="22" t="s">
        <x:v>2</x:v>
      </x:c>
      <x:c r="D147" s="47">
        <x:f>SUM(D142:D146)</x:f>
        <x:v>34887725.480000004</x:v>
      </x:c>
      <x:c r="E147" s="47">
        <x:f>SUM(E142:E146)</x:f>
        <x:v>28645323</x:v>
      </x:c>
      <x:c r="F147" s="47">
        <x:f t="shared" ref="F147:K147" si="52">SUM(F142:F146)</x:f>
        <x:v>6242402.4799999995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6242402.4799999995</x:v>
      </x:c>
      <x:c r="L147" s="525">
        <x:f>SUM(L142:L146)</x:f>
        <x:v>4.6566128730773926E-9</x:v>
      </x:c>
      <x:c r="M147" s="1" t="b">
        <x:f t="shared" si="51"/>
        <x:v>1</x:v>
      </x:c>
      <x:c r="P147" s="24"/>
      <x:c r="Q147" s="35"/>
      <x:c r="R147" s="24"/>
    </x:row>
    <x:row r="148" spans="1:20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5">
      <x:c r="N152" s="24"/>
      <x:c r="O152" s="24"/>
      <x:c r="Q152" s="24"/>
      <x:c r="T152" s="24"/>
    </x:row>
    <x:row r="153" spans="1:20" x14ac:dyDescent="0.25">
      <x:c r="E153" s="660"/>
      <x:c r="N153" s="24"/>
      <x:c r="O153" s="24"/>
      <x:c r="Q153" s="24"/>
      <x:c r="T153" s="24"/>
    </x:row>
    <x:row r="154" spans="1:20" x14ac:dyDescent="0.25">
      <x:c r="N154" s="24"/>
      <x:c r="O154" s="24"/>
      <x:c r="Q154" s="24"/>
      <x:c r="T154" s="24"/>
    </x:row>
    <x:row r="155" spans="1:20" x14ac:dyDescent="0.25">
      <x:c r="Q155" s="24"/>
      <x:c r="T155" s="24"/>
    </x:row>
    <x:row r="156" spans="1:20" x14ac:dyDescent="0.25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5" x14ac:dyDescent="0.25"/>
  <x:cols>
    <x:col min="1" max="1" width="3" customWidth="1"/>
    <x:col min="2" max="2" width="4.1796875" bestFit="1" customWidth="1"/>
    <x:col min="3" max="3" width="16.81640625" customWidth="1"/>
    <x:col min="4" max="4" width="14.1796875" customWidth="1"/>
    <x:col min="5" max="7" width="17.81640625" customWidth="1"/>
    <x:col min="8" max="8" width="18.1796875" customWidth="1"/>
    <x:col min="9" max="9" width="15.81640625" customWidth="1"/>
    <x:col min="10" max="10" width="16.453125" customWidth="1"/>
    <x:col min="11" max="11" width="15.81640625" customWidth="1"/>
    <x:col min="12" max="13" width="18.1796875" customWidth="1"/>
    <x:col min="14" max="14" width="15.81640625" customWidth="1"/>
    <x:col min="15" max="15" width="14.1796875" customWidth="1"/>
    <x:col min="16" max="16" width="14.453125" customWidth="1"/>
  </x:cols>
  <x:sheetData>
    <x:row r="1" spans="2:16" ht="13" thickBot="1" x14ac:dyDescent="0.3"/>
    <x:row r="2" spans="2:16" ht="35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28645323</x:v>
      </x:c>
      <x:c r="D7" s="292">
        <x:f>REMUNERACION_ENERBIT!G129</x:f>
        <x:v>0</x:v>
      </x:c>
      <x:c r="E7" s="292">
        <x:f>REMUNERACION_ENERBIT!D32+REMUNERACION_ENERBIT!N32</x:f>
        <x:v>6242402.4799999995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34887725.479999997</x:v>
      </x:c>
      <x:c r="I7" s="291">
        <x:f>REMUNERACION_ENERBIT!D108</x:f>
        <x:v>33106622.48</x:v>
      </x:c>
      <x:c r="J7" s="292">
        <x:f>REMUNERACION_ENERBIT!N108</x:f>
        <x:v>0</x:v>
      </x:c>
      <x:c r="K7" s="292">
        <x:f>REMUNERACION_ENERBIT!D129</x:f>
        <x:v>1781103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34887725.480000004</x:v>
      </x:c>
      <x:c r="O7" s="354">
        <x:f>H7-N7</x:f>
        <x:v>0</x:v>
      </x:c>
      <x:c r="P7" s="1" t="b">
        <x:f t="shared" si="2"/>
        <x:v>1</x:v>
      </x:c>
    </x:row>
    <x:row r="8" spans="2:16" s="355" customFormat="1" ht="13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" thickBot="1" x14ac:dyDescent="0.3">
      <x:c r="B9" s="327"/>
      <x:c r="C9" s="290">
        <x:f>SUM(C3:C8)</x:f>
        <x:v>28645323</x:v>
      </x:c>
      <x:c r="D9" s="290">
        <x:f t="shared" ref="D9:M9" si="4">SUM(D3:D8)</x:f>
        <x:v>0</x:v>
      </x:c>
      <x:c r="E9" s="290">
        <x:f t="shared" si="4"/>
        <x:v>6242402.4799999995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34887725.479999997</x:v>
      </x:c>
      <x:c r="I9" s="290">
        <x:f t="shared" si="4"/>
        <x:v>33106622.48</x:v>
      </x:c>
      <x:c r="J9" s="290">
        <x:f t="shared" si="4"/>
        <x:v>0</x:v>
      </x:c>
      <x:c r="K9" s="290">
        <x:f t="shared" si="4"/>
        <x:v>1781103</x:v>
      </x:c>
      <x:c r="L9" s="290">
        <x:f t="shared" si="4"/>
        <x:v>0</x:v>
      </x:c>
      <x:c r="M9" s="290">
        <x:f t="shared" si="4"/>
        <x:v>0</x:v>
      </x:c>
      <x:c r="N9" s="290">
        <x:f>SUM(N3:N8)</x:f>
        <x:v>34887725.480000004</x:v>
      </x:c>
      <x:c r="O9" s="359">
        <x:f>SUM(O3:O8)</x:f>
        <x:v>0</x:v>
      </x:c>
      <x:c r="P9" s="1" t="b">
        <x:f t="shared" si="2"/>
        <x:v>1</x:v>
      </x:c>
    </x:row>
    <x:row r="11" spans="2:16" ht="13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28645323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6.54296875" style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9.453125" style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">
      <x:c r="B7" s="8"/>
      <x:c r="C7" s="599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69.5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5">
      <x:c r="B11" s="16">
        <x:v>3</x:v>
      </x:c>
      <x:c r="C11" s="62" t="s">
        <x:v>12</x:v>
      </x:c>
      <x:c r="D11" s="726">
        <x:f>REMUNERACION_ENERBIT!D106</x:f>
        <x:v>0</x:v>
      </x:c>
      <x:c r="E11" s="726">
        <x:f>REMUNERACION_ENERBIT!E106</x:f>
        <x:v>0</x:v>
      </x:c>
      <x:c r="F11" s="726">
        <x:f>REMUNERACION_ENERBIT!F106</x:f>
        <x:v>0</x:v>
      </x:c>
      <x:c r="G11" s="726">
        <x:f>REMUNERACION_ENERBIT!G106</x:f>
        <x:v>0</x:v>
      </x:c>
      <x:c r="H11" s="726">
        <x:f>REMUNERACION_ENERBIT!H106</x:f>
        <x:v>0</x:v>
      </x:c>
      <x:c r="I11" s="726">
        <x:f>REMUNERACION_ENERBIT!I106</x:f>
        <x:v>0</x:v>
      </x:c>
      <x:c r="J11" s="726">
        <x:f>REMUNERACION_ENERBIT!J106</x:f>
        <x:v>0</x:v>
      </x:c>
      <x:c r="K11" s="727">
        <x:f t="shared" si="0"/>
        <x:v>0</x:v>
      </x:c>
      <x:c r="L11" s="726">
        <x:f>REMUNERACION_ENERBIT!L106</x:f>
        <x:v>0</x:v>
      </x:c>
      <x:c r="M11" s="727">
        <x:f>K11-L11</x:f>
        <x:v>0</x:v>
      </x:c>
      <x:c r="N11" s="726">
        <x:f>REMUNERACION_ENERBIT!N106</x:f>
        <x:v>0</x:v>
      </x:c>
      <x:c r="O11" s="727">
        <x:f t="shared" si="1"/>
        <x:v>0</x:v>
      </x:c>
      <x:c r="Q11" s="4"/>
      <x:c r="S11" s="16">
        <x:v>3</x:v>
      </x:c>
      <x:c r="T11" s="62" t="s">
        <x:v>12</x:v>
      </x:c>
      <x:c r="U11" s="726">
        <x:f>REMUNERACION_ENERBIT!U106</x:f>
        <x:v>0</x:v>
      </x:c>
      <x:c r="V11" s="726">
        <x:f>REMUNERACION_ENERBIT!V106</x:f>
        <x:v>0</x:v>
      </x:c>
      <x:c r="W11" s="726">
        <x:f>REMUNERACION_ENERBIT!W106</x:f>
        <x:v>0</x:v>
      </x:c>
      <x:c r="X11" s="726">
        <x:f>REMUNERACION_ENERBIT!X106</x:f>
        <x:v>0</x:v>
      </x:c>
      <x:c r="Y11" s="726">
        <x:f>REMUNERACION_ENERBIT!Y106</x:f>
        <x:v>0</x:v>
      </x:c>
      <x:c r="Z11" s="726">
        <x:f>REMUNERACION_ENERBIT!Z106</x:f>
        <x:v>0</x:v>
      </x:c>
      <x:c r="AA11" s="726">
        <x:f>REMUNERACION_ENERBIT!AA106</x:f>
        <x:v>0</x:v>
      </x:c>
      <x:c r="AB11" s="726">
        <x:f>REMUNERACION_ENERBIT!AB106</x:f>
        <x:v>0</x:v>
      </x:c>
      <x:c r="AC11" s="726">
        <x:f>REMUNERACION_ENERBIT!AC106</x:f>
        <x:v>0</x:v>
      </x:c>
      <x:c r="AD11" s="726">
        <x:f>REMUNERACION_ENERBIT!AD106</x:f>
        <x:v>0</x:v>
      </x:c>
      <x:c r="AE11" s="726">
        <x:f>REMUNERACION_ENERBIT!AE106</x:f>
        <x:v>0</x:v>
      </x:c>
      <x:c r="AF11" s="725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">
      <x:c r="B13" s="19">
        <x:v>5</x:v>
      </x:c>
      <x:c r="C13" s="63" t="s">
        <x:v>14</x:v>
      </x:c>
      <x:c r="D13" s="66">
        <x:f>REMUNERACION_ENERBIT!D108</x:f>
        <x:v>33106622.48</x:v>
      </x:c>
      <x:c r="E13" s="66">
        <x:f>REMUNERACION_ENERBIT!E108</x:f>
        <x:v>2354015.58</x:v>
      </x:c>
      <x:c r="F13" s="66">
        <x:f>REMUNERACION_ENERBIT!F108</x:f>
        <x:v>1304933.33</x:v>
      </x:c>
      <x:c r="G13" s="66">
        <x:f>REMUNERACION_ENERBIT!G108</x:f>
        <x:v>678365.21</x:v>
      </x:c>
      <x:c r="H13" s="66">
        <x:f>REMUNERACION_ENERBIT!H108</x:f>
        <x:v>8664264.7300000004</x:v>
      </x:c>
      <x:c r="I13" s="66">
        <x:f>REMUNERACION_ENERBIT!I108</x:f>
        <x:v>306609.89</x:v>
      </x:c>
      <x:c r="J13" s="66">
        <x:f>REMUNERACION_ENERBIT!J108</x:f>
        <x:v>0</x:v>
      </x:c>
      <x:c r="K13" s="31">
        <x:f t="shared" si="0"/>
        <x:v>19798433.739999998</x:v>
      </x:c>
      <x:c r="L13" s="66">
        <x:f>REMUNERACION_ENERBIT!L108</x:f>
        <x:v>0</x:v>
      </x:c>
      <x:c r="M13" s="40">
        <x:f>K13-L13</x:f>
        <x:v>19798433.739999998</x:v>
      </x:c>
      <x:c r="N13" s="66">
        <x:f>REMUNERACION_ENERBIT!N108</x:f>
        <x:v>0</x:v>
      </x:c>
      <x:c r="O13" s="40">
        <x:f t="shared" si="1"/>
        <x:v>19798433.739999998</x:v>
      </x:c>
      <x:c r="Q13" s="4"/>
      <x:c r="S13" s="19">
        <x:v>5</x:v>
      </x:c>
      <x:c r="T13" s="63" t="s">
        <x:v>14</x:v>
      </x:c>
      <x:c r="U13" s="66">
        <x:f>REMUNERACION_ENERBIT!U108</x:f>
        <x:v>2695565.9899999998</x:v>
      </x:c>
      <x:c r="V13" s="66">
        <x:f>REMUNERACION_ENERBIT!V108</x:f>
        <x:v>2662800.6100000003</x:v>
      </x:c>
      <x:c r="W13" s="66">
        <x:f>REMUNERACION_ENERBIT!W108</x:f>
        <x:v>13468229.43</x:v>
      </x:c>
      <x:c r="X13" s="66">
        <x:f>REMUNERACION_ENERBIT!X108</x:f>
        <x:v>6732768.6600000001</x:v>
      </x:c>
      <x:c r="Y13" s="66">
        <x:f>REMUNERACION_ENERBIT!Y108</x:f>
        <x:v>496966.43</x:v>
      </x:c>
      <x:c r="Z13" s="66">
        <x:f>REMUNERACION_ENERBIT!Z108</x:f>
        <x:v>0</x:v>
      </x:c>
      <x:c r="AA13" s="66">
        <x:f>REMUNERACION_ENERBIT!AA108</x:f>
        <x:v>65.34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-6257962.7199999997</x:v>
      </x:c>
      <x:c r="AE13" s="66">
        <x:f>REMUNERACION_ENERBIT!AE108</x:f>
        <x:v>-6257962.7199999997</x:v>
      </x:c>
      <x:c r="AF13" s="70">
        <x:f>SUM(U13:AD13)</x:f>
        <x:v>19798433.740000002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35">
      <x:c r="B14" s="21"/>
      <x:c r="C14" s="22" t="s">
        <x:v>2</x:v>
      </x:c>
      <x:c r="D14" s="43">
        <x:f t="shared" ref="D14:O14" si="3">SUM(D9:D13)</x:f>
        <x:v>33106622.48</x:v>
      </x:c>
      <x:c r="E14" s="43">
        <x:f t="shared" si="3"/>
        <x:v>2354015.58</x:v>
      </x:c>
      <x:c r="F14" s="43">
        <x:f t="shared" si="3"/>
        <x:v>1304933.33</x:v>
      </x:c>
      <x:c r="G14" s="43">
        <x:f t="shared" si="3"/>
        <x:v>678365.21</x:v>
      </x:c>
      <x:c r="H14" s="43">
        <x:f t="shared" si="3"/>
        <x:v>8664264.7300000004</x:v>
      </x:c>
      <x:c r="I14" s="43">
        <x:f t="shared" si="3"/>
        <x:v>306609.89</x:v>
      </x:c>
      <x:c r="J14" s="43">
        <x:f t="shared" si="3"/>
        <x:v>0</x:v>
      </x:c>
      <x:c r="K14" s="32">
        <x:f t="shared" si="3"/>
        <x:v>19798433.739999998</x:v>
      </x:c>
      <x:c r="L14" s="23">
        <x:f t="shared" si="3"/>
        <x:v>0</x:v>
      </x:c>
      <x:c r="M14" s="76">
        <x:f t="shared" si="3"/>
        <x:v>19798433.739999998</x:v>
      </x:c>
      <x:c r="N14" s="23">
        <x:f t="shared" si="3"/>
        <x:v>0</x:v>
      </x:c>
      <x:c r="O14" s="76">
        <x:f t="shared" si="3"/>
        <x:v>19798433.739999998</x:v>
      </x:c>
      <x:c r="P14" s="2"/>
      <x:c r="Q14" s="4"/>
      <x:c r="S14" s="21"/>
      <x:c r="T14" s="22" t="s">
        <x:v>2</x:v>
      </x:c>
      <x:c r="U14" s="43">
        <x:f>SUM(U9:U13)</x:f>
        <x:v>2695565.9899999998</x:v>
      </x:c>
      <x:c r="V14" s="43">
        <x:f t="shared" ref="V14:AG14" si="4">SUM(V9:V13)</x:f>
        <x:v>2662800.6100000003</x:v>
      </x:c>
      <x:c r="W14" s="43">
        <x:f t="shared" si="4"/>
        <x:v>13468229.43</x:v>
      </x:c>
      <x:c r="X14" s="43">
        <x:f t="shared" si="4"/>
        <x:v>6732768.6600000001</x:v>
      </x:c>
      <x:c r="Y14" s="43">
        <x:f t="shared" si="4"/>
        <x:v>496966.43</x:v>
      </x:c>
      <x:c r="Z14" s="43">
        <x:f t="shared" si="4"/>
        <x:v>0</x:v>
      </x:c>
      <x:c r="AA14" s="43">
        <x:f t="shared" si="4"/>
        <x:v>65.34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-6257962.7199999997</x:v>
      </x:c>
      <x:c r="AE14" s="43">
        <x:f>SUM(AE9:AE13)</x:f>
        <x:v>-6257962.7199999997</x:v>
      </x:c>
      <x:c r="AF14" s="68">
        <x:f t="shared" si="4"/>
        <x:v>19798433.740000002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26056331.120000001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">
      <x:c r="Q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" x14ac:dyDescent="0.3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5" x14ac:dyDescent="0.3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5">
      <x:c r="B25" s="8"/>
      <x:c r="I25" s="2"/>
      <x:c r="J25" s="2"/>
      <x:c r="O25" s="10"/>
      <x:c r="P25" s="2"/>
      <x:c r="Q25" s="4"/>
    </x:row>
    <x:row r="26" spans="1:35" ht="15.5" x14ac:dyDescent="0.3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5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5" thickBot="1" x14ac:dyDescent="0.3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5">
      <x:c r="B34" s="133">
        <x:v>5</x:v>
      </x:c>
      <x:c r="C34" s="138" t="s">
        <x:v>14</x:v>
      </x:c>
      <x:c r="D34" s="135">
        <x:f>REMUNERACION_ENERBIT!D129</x:f>
        <x:v>1781103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6242402.4799999995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">
      <x:c r="B36" s="95"/>
      <x:c r="C36" s="106" t="s">
        <x:v>2</x:v>
      </x:c>
      <x:c r="D36" s="107">
        <x:f t="shared" ref="D36" si="5">SUM(D30:D34)</x:f>
        <x:v>1781103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6242402.4799999995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5">
      <x:c r="B37" s="2"/>
      <x:c r="C37" s="2"/>
      <x:c r="D37" s="24"/>
      <x:c r="Q37" s="4"/>
    </x:row>
    <x:row r="38" spans="1:20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5">
      <x:c r="N42" s="24"/>
      <x:c r="O42" s="24"/>
      <x:c r="Q42" s="24"/>
      <x:c r="T42" s="24"/>
    </x:row>
    <x:row r="43" spans="1:20" x14ac:dyDescent="0.25">
      <x:c r="N43" s="24"/>
      <x:c r="O43" s="24"/>
      <x:c r="Q43" s="24"/>
      <x:c r="T43" s="24"/>
    </x:row>
    <x:row r="44" spans="1:20" x14ac:dyDescent="0.25">
      <x:c r="N44" s="24"/>
      <x:c r="O44" s="24"/>
      <x:c r="Q44" s="24"/>
      <x:c r="T44" s="24"/>
    </x:row>
    <x:row r="45" spans="1:20" x14ac:dyDescent="0.25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5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5">
      <x:c r="N47" s="24"/>
      <x:c r="O47" s="24"/>
      <x:c r="Q47" s="24"/>
      <x:c r="T47" s="24"/>
    </x:row>
    <x:row r="48" spans="1:20" x14ac:dyDescent="0.25">
      <x:c r="N48" s="24"/>
      <x:c r="O48" s="24"/>
      <x:c r="Q48" s="24"/>
      <x:c r="T48" s="24"/>
    </x:row>
    <x:row r="49" spans="14:20" x14ac:dyDescent="0.25">
      <x:c r="N49" s="24"/>
      <x:c r="O49" s="24"/>
      <x:c r="Q49" s="24"/>
      <x:c r="T49" s="24"/>
    </x:row>
    <x:row r="50" spans="14:20" x14ac:dyDescent="0.25">
      <x:c r="N50" s="24"/>
      <x:c r="O50" s="24"/>
      <x:c r="Q50" s="24"/>
      <x:c r="T50" s="24"/>
    </x:row>
    <x:row r="51" spans="14:20" x14ac:dyDescent="0.25">
      <x:c r="Q51" s="24"/>
      <x:c r="T51" s="24"/>
    </x:row>
    <x:row r="52" spans="14:20" x14ac:dyDescent="0.25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95" zoomScaleNormal="100" workbookViewId="0">
      <x:selection activeCell="A95" sqref="A95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9" width="16" style="1" customWidth="1"/>
    <x:col min="10" max="10" width="15.54296875" style="1" customWidth="1"/>
    <x:col min="11" max="11" width="17.54296875" style="1" customWidth="1"/>
    <x:col min="12" max="12" width="20" style="1" bestFit="1" customWidth="1"/>
    <x:col min="13" max="13" width="21" style="1" bestFit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">
      <x:c r="B7" s="8"/>
      <x:c r="C7" s="599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226</x:v>
      </x:c>
      <x:c r="AF8" s="39" t="s">
        <x:v>23</x:v>
      </x:c>
      <x:c r="AG8" s="13"/>
      <x:c r="AI8" s="4"/>
    </x:row>
    <x:row r="9" spans="2:35" s="305" customFormat="1" x14ac:dyDescent="0.25">
      <x:c r="B9" s="303">
        <x:v>1</x:v>
      </x:c>
      <x:c r="C9" s="304" t="s">
        <x:v>10</x:v>
      </x:c>
      <x:c r="D9" s="291">
        <x:f>'Reporte Componentes R1'!F70</x:f>
        <x:v>779194409.36000013</x:v>
      </x:c>
      <x:c r="E9" s="292">
        <x:f>'Reporte Componentes R1'!G70</x:f>
        <x:v>96578112.579999998</x:v>
      </x:c>
      <x:c r="F9" s="292">
        <x:f>'Reporte Componentes R1'!H70</x:f>
        <x:v>54231897.5</x:v>
      </x:c>
      <x:c r="G9" s="292">
        <x:f>'Reporte Componentes R1'!I70</x:f>
        <x:v>28481235.82</x:v>
      </x:c>
      <x:c r="H9" s="292">
        <x:f>'Reporte Componentes R1'!J70</x:f>
        <x:v>51159574.100000001</x:v>
      </x:c>
      <x:c r="I9" s="292">
        <x:f>'Reporte Componentes R1'!K70</x:f>
        <x:v>1633496.93</x:v>
      </x:c>
      <x:c r="J9" s="288">
        <x:v>0</x:v>
      </x:c>
      <x:c r="K9" s="293">
        <x:f>D9-E9-F9-G9-H9-I9-J9</x:f>
        <x:v>547110092.43000007</x:v>
      </x:c>
      <x:c r="L9" s="294">
        <x:v>0</x:v>
      </x:c>
      <x:c r="M9" s="293">
        <x:f>K9-L9</x:f>
        <x:v>547110092.43000007</x:v>
      </x:c>
      <x:c r="N9" s="294">
        <x:f>'Reporte Componentes R1'!L70</x:f>
        <x:v>8760824.0099999998</x:v>
      </x:c>
      <x:c r="O9" s="293">
        <x:f>M9+N9</x:f>
        <x:v>555870916.44000006</x:v>
      </x:c>
      <x:c r="Q9" s="306"/>
      <x:c r="S9" s="303">
        <x:v>1</x:v>
      </x:c>
      <x:c r="T9" s="304" t="s">
        <x:v>10</x:v>
      </x:c>
      <x:c r="U9" s="307">
        <x:f>'Reporte Componentes R1'!M70</x:f>
        <x:v>14374091.91</x:v>
      </x:c>
      <x:c r="V9" s="308">
        <x:f>'Reporte Componentes R1'!N70</x:f>
        <x:v>17418029.010000002</x:v>
      </x:c>
      <x:c r="W9" s="308">
        <x:f>'Reporte Componentes R1'!O70</x:f>
        <x:v>81009034.189999998</x:v>
      </x:c>
      <x:c r="X9" s="308">
        <x:f>'Reporte Componentes R1'!P70</x:f>
        <x:v>263621283.74000001</x:v>
      </x:c>
      <x:c r="Y9" s="309">
        <x:f>'Reporte Componentes R1'!Q70</x:f>
        <x:v>2666149.21</x:v>
      </x:c>
      <x:c r="Z9" s="310">
        <x:f>L9*-1</x:f>
        <x:v>0</x:v>
      </x:c>
      <x:c r="AA9" s="311">
        <x:f>'Reporte Componentes R1'!R70+'Reporte Componentes R1'!V70+'Reporte Componentes R1'!U70</x:f>
        <x:v>-780.94</x:v>
      </x:c>
      <x:c r="AB9" s="294">
        <x:f>N9</x:f>
        <x:v>8760824.0099999998</x:v>
      </x:c>
      <x:c r="AC9" s="311">
        <x:f>'Reporte Componentes R1'!T70+'Reporte Componentes R1'!W70+'Reporte Componentes R1'!X70+'Reporte Componentes R1'!Y70+'Reporte Componentes R1'!Z70+'Reporte Componentes R1'!S70</x:f>
        <x:v>-2114.38</x:v>
      </x:c>
      <x:c r="AD9" s="291">
        <x:f>-J9+AE9</x:f>
        <x:v>168024399.69</x:v>
      </x:c>
      <x:c r="AE9" s="291">
        <x:f>'Reporte Componentes R1'!F71</x:f>
        <x:v>168024399.69</x:v>
      </x:c>
      <x:c r="AF9" s="313">
        <x:f>SUM(U9:AD9)</x:f>
        <x:v>555870916.44000006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5">
      <x:c r="B10" s="314">
        <x:v>2</x:v>
      </x:c>
      <x:c r="C10" s="315" t="s">
        <x:v>11</x:v>
      </x:c>
      <x:c r="D10" s="291">
        <x:f>'Reporte Componentes R1'!F214</x:f>
        <x:v>1317332077.6099999</x:v>
      </x:c>
      <x:c r="E10" s="292">
        <x:f>'Reporte Componentes R1'!G214</x:f>
        <x:v>174138863.09</x:v>
      </x:c>
      <x:c r="F10" s="292">
        <x:f>'Reporte Componentes R1'!H214</x:f>
        <x:v>97452521.459999993</x:v>
      </x:c>
      <x:c r="G10" s="292">
        <x:f>'Reporte Componentes R1'!I214</x:f>
        <x:v>51434122.149999999</x:v>
      </x:c>
      <x:c r="H10" s="292">
        <x:f>'Reporte Componentes R1'!J214</x:f>
        <x:v>200102039.23000002</x:v>
      </x:c>
      <x:c r="I10" s="292">
        <x:f>'Reporte Componentes R1'!K214</x:f>
        <x:v>5459981.3300000001</x:v>
      </x:c>
      <x:c r="J10" s="288">
        <x:v>0</x:v>
      </x:c>
      <x:c r="K10" s="295">
        <x:f t="shared" ref="K10:K13" si="0">D10-E10-F10-G10-H10-I10-J10</x:f>
        <x:v>788744550.3499999</x:v>
      </x:c>
      <x:c r="L10" s="294">
        <x:v>0</x:v>
      </x:c>
      <x:c r="M10" s="295">
        <x:f>K10-L10</x:f>
        <x:v>788744550.3499999</x:v>
      </x:c>
      <x:c r="N10" s="294">
        <x:f>'Reporte Componentes R1'!L214</x:f>
        <x:v>29180991.390000001</x:v>
      </x:c>
      <x:c r="O10" s="295">
        <x:f t="shared" ref="O10:O12" si="1">M10+N10</x:f>
        <x:v>817925541.73999989</x:v>
      </x:c>
      <x:c r="Q10" s="306"/>
      <x:c r="S10" s="314">
        <x:v>2</x:v>
      </x:c>
      <x:c r="T10" s="315" t="s">
        <x:v>11</x:v>
      </x:c>
      <x:c r="U10" s="316">
        <x:f>'Reporte Componentes R1'!M214</x:f>
        <x:v>47842952.129999995</x:v>
      </x:c>
      <x:c r="V10" s="317">
        <x:f>'Reporte Componentes R1'!N214</x:f>
        <x:v>66078855.299999997</x:v>
      </x:c>
      <x:c r="W10" s="317">
        <x:f>'Reporte Componentes R1'!O214</x:f>
        <x:v>304314267.79000002</x:v>
      </x:c>
      <x:c r="X10" s="317">
        <x:f>'Reporte Componentes R1'!P214</x:f>
        <x:v>346567700.09999996</x:v>
      </x:c>
      <x:c r="Y10" s="318">
        <x:f>'Reporte Componentes R1'!Q214</x:f>
        <x:v>8939603.1600000001</x:v>
      </x:c>
      <x:c r="Z10" s="319">
        <x:f>L10*-1</x:f>
        <x:v>0</x:v>
      </x:c>
      <x:c r="AA10" s="320">
        <x:f>'Reporte Componentes R1'!R214+'Reporte Componentes R1'!V214+'Reporte Componentes R1'!U214</x:f>
        <x:v>-3345.45</x:v>
      </x:c>
      <x:c r="AB10" s="294">
        <x:f>N10</x:f>
        <x:v>29180991.390000001</x:v>
      </x:c>
      <x:c r="AC10" s="320">
        <x:f>'Reporte Componentes R1'!T214+'Reporte Componentes R1'!W214+'Reporte Componentes R1'!X214+'Reporte Componentes R1'!Y214+'Reporte Componentes R1'!Z214+'Reporte Componentes R1'!S214</x:f>
        <x:v>-13.53</x:v>
      </x:c>
      <x:c r="AD10" s="291">
        <x:f t="shared" ref="AD10:AD13" si="2">-J10+AE10</x:f>
        <x:v>15004530.85</x:v>
      </x:c>
      <x:c r="AE10" s="291">
        <x:f>'Reporte Componentes R1'!F215</x:f>
        <x:v>15004530.85</x:v>
      </x:c>
      <x:c r="AF10" s="322">
        <x:f>SUM(U10:AD10)</x:f>
        <x:v>817925541.73999989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5">
      <x:c r="B11" s="314">
        <x:v>3</x:v>
      </x:c>
      <x:c r="C11" s="315" t="s">
        <x:v>12</x:v>
      </x:c>
      <x:c r="D11" s="291">
        <x:f>'Reporte Componentes R1'!F345</x:f>
        <x:v>1229014628.26</x:v>
      </x:c>
      <x:c r="E11" s="292">
        <x:f>'Reporte Componentes R1'!G345</x:f>
        <x:v>167230330.67000002</x:v>
      </x:c>
      <x:c r="F11" s="292">
        <x:f>'Reporte Componentes R1'!H345</x:f>
        <x:v>93972472.179999992</x:v>
      </x:c>
      <x:c r="G11" s="292">
        <x:f>'Reporte Componentes R1'!I345</x:f>
        <x:v>49551756.759999998</x:v>
      </x:c>
      <x:c r="H11" s="292">
        <x:f>'Reporte Componentes R1'!J345</x:f>
        <x:v>36451248.549999997</x:v>
      </x:c>
      <x:c r="I11" s="292">
        <x:f>'Reporte Componentes R1'!K345</x:f>
        <x:v>1126893.08</x:v>
      </x:c>
      <x:c r="J11" s="288">
        <x:v>0</x:v>
      </x:c>
      <x:c r="K11" s="295">
        <x:f t="shared" si="0"/>
        <x:v>880681927.01999998</x:v>
      </x:c>
      <x:c r="L11" s="294">
        <x:v>0</x:v>
      </x:c>
      <x:c r="M11" s="295">
        <x:f>K11-L11</x:f>
        <x:v>880681927.01999998</x:v>
      </x:c>
      <x:c r="N11" s="294">
        <x:f>'Reporte Componentes R1'!L345</x:f>
        <x:v>1311387.82</x:v>
      </x:c>
      <x:c r="O11" s="295">
        <x:f t="shared" si="1"/>
        <x:v>881993314.84000003</x:v>
      </x:c>
      <x:c r="Q11" s="306"/>
      <x:c r="S11" s="314">
        <x:v>3</x:v>
      </x:c>
      <x:c r="T11" s="315" t="s">
        <x:v>12</x:v>
      </x:c>
      <x:c r="U11" s="316">
        <x:f>'Reporte Componentes R1'!M345</x:f>
        <x:v>9857217.8900000006</x:v>
      </x:c>
      <x:c r="V11" s="317">
        <x:f>'Reporte Componentes R1'!N345</x:f>
        <x:v>13264002.32</x:v>
      </x:c>
      <x:c r="W11" s="317">
        <x:f>'Reporte Componentes R1'!O345</x:f>
        <x:v>61942084.880000003</x:v>
      </x:c>
      <x:c r="X11" s="317">
        <x:f>'Reporte Componentes R1'!P345</x:f>
        <x:v>389042295.69999999</x:v>
      </x:c>
      <x:c r="Y11" s="318">
        <x:f>'Reporte Componentes R1'!Q345</x:f>
        <x:v>1840458.24</x:v>
      </x:c>
      <x:c r="Z11" s="319">
        <x:f>L11*-1</x:f>
        <x:v>0</x:v>
      </x:c>
      <x:c r="AA11" s="320">
        <x:f>'Reporte Componentes R1'!R345+'Reporte Componentes R1'!V345+'Reporte Componentes R1'!U345</x:f>
        <x:v>-1003.46</x:v>
      </x:c>
      <x:c r="AB11" s="294">
        <x:f>N11</x:f>
        <x:v>1311387.82</x:v>
      </x:c>
      <x:c r="AC11" s="320">
        <x:f>'Reporte Componentes R1'!T345+'Reporte Componentes R1'!W345+'Reporte Componentes R1'!X345+'Reporte Componentes R1'!Y345+'Reporte Componentes R1'!Z345+'Reporte Componentes R1'!S345</x:f>
        <x:v>-11886.56</x:v>
      </x:c>
      <x:c r="AD11" s="291">
        <x:f t="shared" si="2"/>
        <x:v>404748758.00999999</x:v>
      </x:c>
      <x:c r="AE11" s="291">
        <x:f>'Reporte Componentes R1'!F346</x:f>
        <x:v>404748758.00999999</x:v>
      </x:c>
      <x:c r="AF11" s="322">
        <x:f t="shared" ref="AF11:AF13" si="4">SUM(U11:AD11)</x:f>
        <x:v>881993314.83999991</x:v>
      </x:c>
      <x:c r="AG11" s="323">
        <x:f>(AF11-O11)</x:f>
        <x:v>-1.1920928955078125E-7</x:v>
      </x:c>
      <x:c r="AH11" s="1" t="b">
        <x:f t="shared" si="3"/>
        <x:v>0</x:v>
      </x:c>
      <x:c r="AI11" s="306"/>
    </x:row>
    <x:row r="12" spans="2:35" s="305" customFormat="1" x14ac:dyDescent="0.25">
      <x:c r="B12" s="314">
        <x:v>4</x:v>
      </x:c>
      <x:c r="C12" s="315" t="s">
        <x:v>13</x:v>
      </x:c>
      <x:c r="D12" s="291">
        <x:f>'Reporte Componentes R1'!F476</x:f>
        <x:v>457088264.26000005</x:v>
      </x:c>
      <x:c r="E12" s="292">
        <x:f>'Reporte Componentes R1'!G476</x:f>
        <x:v>51981760.799999997</x:v>
      </x:c>
      <x:c r="F12" s="292">
        <x:f>'Reporte Componentes R1'!H476</x:f>
        <x:v>28598318.150000002</x:v>
      </x:c>
      <x:c r="G12" s="292">
        <x:f>'Reporte Componentes R1'!I476</x:f>
        <x:v>14625062.6</x:v>
      </x:c>
      <x:c r="H12" s="292">
        <x:f>'Reporte Componentes R1'!J476</x:f>
        <x:v>53207476.460000001</x:v>
      </x:c>
      <x:c r="I12" s="292">
        <x:f>'Reporte Componentes R1'!K476</x:f>
        <x:v>1736150.0799999998</x:v>
      </x:c>
      <x:c r="J12" s="288">
        <x:v>0</x:v>
      </x:c>
      <x:c r="K12" s="295">
        <x:f t="shared" si="0"/>
        <x:v>306939496.17000008</x:v>
      </x:c>
      <x:c r="L12" s="294">
        <x:v>0</x:v>
      </x:c>
      <x:c r="M12" s="295">
        <x:f>K12-L12</x:f>
        <x:v>306939496.17000008</x:v>
      </x:c>
      <x:c r="N12" s="294">
        <x:f>'Reporte Componentes R1'!L476</x:f>
        <x:v>14919457.4</x:v>
      </x:c>
      <x:c r="O12" s="295">
        <x:f t="shared" si="1"/>
        <x:v>321858953.57000005</x:v>
      </x:c>
      <x:c r="Q12" s="306"/>
      <x:c r="S12" s="314">
        <x:v>4</x:v>
      </x:c>
      <x:c r="T12" s="315" t="s">
        <x:v>13</x:v>
      </x:c>
      <x:c r="U12" s="316">
        <x:f>'Reporte Componentes R1'!M476</x:f>
        <x:v>16813135.419999998</x:v>
      </x:c>
      <x:c r="V12" s="317">
        <x:f>'Reporte Componentes R1'!N476</x:f>
        <x:v>20989387.699999999</x:v>
      </x:c>
      <x:c r="W12" s="317">
        <x:f>'Reporte Componentes R1'!O476</x:f>
        <x:v>102824114.90000001</x:v>
      </x:c>
      <x:c r="X12" s="317">
        <x:f>'Reporte Componentes R1'!P476</x:f>
        <x:v>137777185.92000002</x:v>
      </x:c>
      <x:c r="Y12" s="318">
        <x:f>'Reporte Componentes R1'!Q476</x:f>
        <x:v>2838005.5900000003</x:v>
      </x:c>
      <x:c r="Z12" s="319">
        <x:f>L12*-1</x:f>
        <x:v>0</x:v>
      </x:c>
      <x:c r="AA12" s="320">
        <x:f>'Reporte Componentes R1'!R476+'Reporte Componentes R1'!V476+'Reporte Componentes R1'!U476</x:f>
        <x:v>576.65</x:v>
      </x:c>
      <x:c r="AB12" s="294">
        <x:f>N12</x:f>
        <x:v>14919457.4</x:v>
      </x:c>
      <x:c r="AC12" s="320">
        <x:f>'Reporte Componentes R1'!T476+'Reporte Componentes R1'!W476+'Reporte Componentes R1'!X476+'Reporte Componentes R1'!Y476+'Reporte Componentes R1'!Z476+'Reporte Componentes R1'!S476</x:f>
        <x:v>-80.570000000000007</x:v>
      </x:c>
      <x:c r="AD12" s="291">
        <x:f t="shared" si="2"/>
        <x:v>25697170.559999999</x:v>
      </x:c>
      <x:c r="AE12" s="291">
        <x:f>'Reporte Componentes R1'!F477</x:f>
        <x:v>25697170.559999999</x:v>
      </x:c>
      <x:c r="AF12" s="322">
        <x:f t="shared" si="4"/>
        <x:v>321858953.56999999</x:v>
      </x:c>
      <x:c r="AG12" s="323">
        <x:f>(AF12-O12)</x:f>
        <x:v>-5.9604644775390625E-8</x:v>
      </x:c>
      <x:c r="AH12" s="1" t="b">
        <x:f t="shared" si="3"/>
        <x:v>0</x:v>
      </x:c>
      <x:c r="AI12" s="306"/>
    </x:row>
    <x:row r="13" spans="2:35" s="305" customFormat="1" ht="12" thickBot="1" x14ac:dyDescent="0.3">
      <x:c r="B13" s="324">
        <x:v>5</x:v>
      </x:c>
      <x:c r="C13" s="325" t="s">
        <x:v>14</x:v>
      </x:c>
      <x:c r="D13" s="296">
        <x:f>'Reporte Componentes R1'!F574</x:f>
        <x:v>304989620.81</x:v>
      </x:c>
      <x:c r="E13" s="297">
        <x:f>'Reporte Componentes R1'!G574</x:f>
        <x:v>30071357.300000001</x:v>
      </x:c>
      <x:c r="F13" s="297">
        <x:f>'Reporte Componentes R1'!H574</x:f>
        <x:v>16806729.760000002</x:v>
      </x:c>
      <x:c r="G13" s="297">
        <x:f>'Reporte Componentes R1'!I574</x:f>
        <x:v>8826816.3499999996</x:v>
      </x:c>
      <x:c r="H13" s="297">
        <x:f>'Reporte Componentes R1'!J574</x:f>
        <x:v>17081891.02</x:v>
      </x:c>
      <x:c r="I13" s="297">
        <x:f>'Reporte Componentes R1'!K574</x:f>
        <x:v>809348.07</x:v>
      </x:c>
      <x:c r="J13" s="289">
        <x:v>0</x:v>
      </x:c>
      <x:c r="K13" s="295">
        <x:f t="shared" si="0"/>
        <x:v>231393478.31</x:v>
      </x:c>
      <x:c r="L13" s="294">
        <x:v>0</x:v>
      </x:c>
      <x:c r="M13" s="298">
        <x:f>K13-L13</x:f>
        <x:v>231393478.31</x:v>
      </x:c>
      <x:c r="N13" s="299">
        <x:f>'Reporte Componentes R1'!L574</x:f>
        <x:v>5904652.2300000004</x:v>
      </x:c>
      <x:c r="O13" s="298">
        <x:f>M13+N13</x:f>
        <x:v>237298130.53999999</x:v>
      </x:c>
      <x:c r="Q13" s="306"/>
      <x:c r="S13" s="324">
        <x:v>5</x:v>
      </x:c>
      <x:c r="T13" s="325" t="s">
        <x:v>14</x:v>
      </x:c>
      <x:c r="U13" s="296">
        <x:f>'Reporte Componentes R1'!M574</x:f>
        <x:v>7092178.5</x:v>
      </x:c>
      <x:c r="V13" s="297">
        <x:f>'Reporte Componentes R1'!N574</x:f>
        <x:v>8479028.6799999997</x:v>
      </x:c>
      <x:c r="W13" s="297">
        <x:f>'Reporte Componentes R1'!O574</x:f>
        <x:v>43405202.43</x:v>
      </x:c>
      <x:c r="X13" s="297">
        <x:f>'Reporte Componentes R1'!P574</x:f>
        <x:v>89395442.060000002</x:v>
      </x:c>
      <x:c r="Y13" s="289">
        <x:f>'Reporte Componentes R1'!Q574</x:f>
        <x:v>1330478.28</x:v>
      </x:c>
      <x:c r="Z13" s="319">
        <x:f>L13*-1</x:f>
        <x:v>0</x:v>
      </x:c>
      <x:c r="AA13" s="320">
        <x:f>'Reporte Componentes R1'!R574+'Reporte Componentes R1'!V574+'Reporte Componentes R1'!U574</x:f>
        <x:v>-673.41</x:v>
      </x:c>
      <x:c r="AB13" s="294">
        <x:f>N13</x:f>
        <x:v>5904652.2300000004</x:v>
      </x:c>
      <x:c r="AC13" s="320">
        <x:f>'Reporte Componentes R1'!T574+'Reporte Componentes R1'!W574+'Reporte Componentes R1'!X574+'Reporte Componentes R1'!Y574+'Reporte Componentes R1'!Z574+'Reporte Componentes R1'!S574</x:f>
        <x:v>0.35000000000000003</x:v>
      </x:c>
      <x:c r="AD13" s="291">
        <x:f t="shared" si="2"/>
        <x:v>81691821.420000002</x:v>
      </x:c>
      <x:c r="AE13" s="291">
        <x:f>'Reporte Componentes R1'!F575</x:f>
        <x:v>81691821.420000002</x:v>
      </x:c>
      <x:c r="AF13" s="322">
        <x:f t="shared" si="4"/>
        <x:v>237298130.54000002</x:v>
      </x:c>
      <x:c r="AG13" s="326">
        <x:f>(AF13-O13)</x:f>
        <x:v>2.9802322387695313E-8</x:v>
      </x:c>
      <x:c r="AH13" s="1" t="b">
        <x:f t="shared" si="3"/>
        <x:v>1</x:v>
      </x:c>
      <x:c r="AI13" s="306"/>
    </x:row>
    <x:row r="14" spans="2:35" s="305" customFormat="1" ht="13.5" thickBot="1" x14ac:dyDescent="0.35">
      <x:c r="B14" s="327"/>
      <x:c r="C14" s="328" t="s">
        <x:v>2</x:v>
      </x:c>
      <x:c r="D14" s="290">
        <x:f>SUM(D9:D13)</x:f>
        <x:v>4087619000.3000002</x:v>
      </x:c>
      <x:c r="E14" s="290">
        <x:f t="shared" ref="E14:O14" si="5">SUM(E9:E13)</x:f>
        <x:v>520000424.44000006</x:v>
      </x:c>
      <x:c r="F14" s="290">
        <x:f t="shared" si="5"/>
        <x:v>291061939.04999995</x:v>
      </x:c>
      <x:c r="G14" s="290">
        <x:f t="shared" si="5"/>
        <x:v>152918993.67999998</x:v>
      </x:c>
      <x:c r="H14" s="290">
        <x:f t="shared" si="5"/>
        <x:v>358002229.35999995</x:v>
      </x:c>
      <x:c r="I14" s="290">
        <x:f t="shared" si="5"/>
        <x:v>10765869.49</x:v>
      </x:c>
      <x:c r="J14" s="290">
        <x:f t="shared" si="5"/>
        <x:v>0</x:v>
      </x:c>
      <x:c r="K14" s="300">
        <x:f t="shared" si="5"/>
        <x:v>2754869544.2800002</x:v>
      </x:c>
      <x:c r="L14" s="301">
        <x:f>SUM(L9:L13)</x:f>
        <x:v>0</x:v>
      </x:c>
      <x:c r="M14" s="302">
        <x:f t="shared" si="5"/>
        <x:v>2754869544.2800002</x:v>
      </x:c>
      <x:c r="N14" s="301">
        <x:f t="shared" si="5"/>
        <x:v>60077312.849999994</x:v>
      </x:c>
      <x:c r="O14" s="302">
        <x:f t="shared" si="5"/>
        <x:v>2814946857.1300001</x:v>
      </x:c>
      <x:c r="P14" s="329"/>
      <x:c r="Q14" s="306"/>
      <x:c r="S14" s="327"/>
      <x:c r="T14" s="328" t="s">
        <x:v>2</x:v>
      </x:c>
      <x:c r="U14" s="330">
        <x:f>SUM(U9:U13)</x:f>
        <x:v>95979575.849999994</x:v>
      </x:c>
      <x:c r="V14" s="330">
        <x:f t="shared" ref="V14:AF14" si="6">SUM(V9:V13)</x:f>
        <x:v>126229303.00999999</x:v>
      </x:c>
      <x:c r="W14" s="330">
        <x:f t="shared" si="6"/>
        <x:v>593494704.18999994</x:v>
      </x:c>
      <x:c r="X14" s="330">
        <x:f t="shared" si="6"/>
        <x:v>1226403907.52</x:v>
      </x:c>
      <x:c r="Y14" s="330">
        <x:f t="shared" si="6"/>
        <x:v>17614694.48</x:v>
      </x:c>
      <x:c r="Z14" s="290">
        <x:f t="shared" si="6"/>
        <x:v>0</x:v>
      </x:c>
      <x:c r="AA14" s="290">
        <x:f t="shared" si="6"/>
        <x:v>-5226.6099999999997</x:v>
      </x:c>
      <x:c r="AB14" s="290">
        <x:f t="shared" si="6"/>
        <x:v>60077312.849999994</x:v>
      </x:c>
      <x:c r="AC14" s="290">
        <x:f t="shared" si="6"/>
        <x:v>-14094.689999999999</x:v>
      </x:c>
      <x:c r="AD14" s="290">
        <x:f>SUM(AD9:AD13)</x:f>
        <x:v>695166680.52999985</x:v>
      </x:c>
      <x:c r="AE14" s="290">
        <x:f>SUM(AE9:AE13)</x:f>
        <x:v>695166680.52999985</x:v>
      </x:c>
      <x:c r="AF14" s="331">
        <x:f t="shared" si="6"/>
        <x:v>2814946857.1299996</x:v>
      </x:c>
      <x:c r="AG14" s="332">
        <x:f>SUM(AG9:AG13)</x:f>
        <x:v>-1.4901161193847656E-7</x:v>
      </x:c>
      <x:c r="AH14" s="1" t="b">
        <x:f t="shared" si="3"/>
        <x:v>0</x:v>
      </x:c>
      <x:c r="AI14" s="306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2059722185.05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">
      <x:c r="Q20" s="4"/>
      <x:c r="AI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5" x14ac:dyDescent="0.35">
      <x:c r="B25" s="8"/>
      <x:c r="C25" s="599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">
      <x:c r="B26" s="8"/>
      <x:c r="C26" s="599" t="s">
        <x:v>0</x:v>
      </x:c>
      <x:c r="D26" s="241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226</x:v>
      </x:c>
      <x:c r="AF27" s="39" t="s">
        <x:v>23</x:v>
      </x:c>
      <x:c r="AG27" s="13"/>
      <x:c r="AI27" s="4"/>
    </x:row>
    <x:row r="28" spans="1:35" s="305" customFormat="1" x14ac:dyDescent="0.25">
      <x:c r="B28" s="303">
        <x:v>1</x:v>
      </x:c>
      <x:c r="C28" s="304" t="s">
        <x:v>10</x:v>
      </x:c>
      <x:c r="D28" s="291">
        <x:f>'Rem. Anticipos R2'!E55</x:f>
        <x:v>28857410.600000001</x:v>
      </x:c>
      <x:c r="E28" s="292">
        <x:f>'Rem. Anticipos R2'!F55</x:f>
        <x:v>2663940.84</x:v>
      </x:c>
      <x:c r="F28" s="292">
        <x:f>'Rem. Anticipos R2'!G55</x:f>
        <x:v>1501142.3</x:v>
      </x:c>
      <x:c r="G28" s="292">
        <x:f>'Rem. Anticipos R2'!H55</x:f>
        <x:v>893398.02</x:v>
      </x:c>
      <x:c r="H28" s="292">
        <x:f>'Rem. Anticipos R2'!I55</x:f>
        <x:v>2727207.12</x:v>
      </x:c>
      <x:c r="I28" s="292">
        <x:f>'Rem. Anticipos R2'!J55</x:f>
        <x:v>79662.820000000007</x:v>
      </x:c>
      <x:c r="J28" s="288">
        <x:v>0</x:v>
      </x:c>
      <x:c r="K28" s="293">
        <x:f>D28-E28-F28-G28-H28-I28-J28</x:f>
        <x:v>20992059.5</x:v>
      </x:c>
      <x:c r="L28" s="294">
        <x:v>0</x:v>
      </x:c>
      <x:c r="M28" s="293">
        <x:f>K28-L28</x:f>
        <x:v>20992059.5</x:v>
      </x:c>
      <x:c r="N28" s="294">
        <x:f>'Rem. Anticipos R2'!K55</x:f>
        <x:v>0</x:v>
      </x:c>
      <x:c r="O28" s="293">
        <x:f>M28+N28</x:f>
        <x:v>20992059.5</x:v>
      </x:c>
      <x:c r="Q28" s="306"/>
      <x:c r="S28" s="303">
        <x:v>1</x:v>
      </x:c>
      <x:c r="T28" s="304" t="s">
        <x:v>10</x:v>
      </x:c>
      <x:c r="U28" s="307">
        <x:f>'Rem. Anticipos R2'!L55</x:f>
        <x:v>757202.08</x:v>
      </x:c>
      <x:c r="V28" s="308">
        <x:f>'Rem. Anticipos R2'!M55</x:f>
        <x:v>985669.78</x:v>
      </x:c>
      <x:c r="W28" s="308">
        <x:f>'Rem. Anticipos R2'!N55</x:f>
        <x:v>4395697.5</x:v>
      </x:c>
      <x:c r="X28" s="308">
        <x:f>'Rem. Anticipos R2'!O55</x:f>
        <x:v>7892918.9900000002</x:v>
      </x:c>
      <x:c r="Y28" s="308">
        <x:f>'Rem. Anticipos R2'!P55</x:f>
        <x:v>124774.46</x:v>
      </x:c>
      <x:c r="Z28" s="310">
        <x:f>L28*-1</x:f>
        <x:v>0</x:v>
      </x:c>
      <x:c r="AA28" s="311">
        <x:f>'Rem. Anticipos R2'!Q55</x:f>
        <x:v>-73.2</x:v>
      </x:c>
      <x:c r="AB28" s="294">
        <x:f>N28</x:f>
        <x:v>0</x:v>
      </x:c>
      <x:c r="AC28" s="311">
        <x:f>'Rem. Anticipos R2'!R55</x:f>
        <x:v>0</x:v>
      </x:c>
      <x:c r="AD28" s="291">
        <x:f>-J28+AE28</x:f>
        <x:v>6835869.8899999997</x:v>
      </x:c>
      <x:c r="AE28" s="291">
        <x:f>'Rem. Anticipos R2'!E56</x:f>
        <x:v>6835869.8899999997</x:v>
      </x:c>
      <x:c r="AF28" s="313">
        <x:f>SUM(U28:AD28)</x:f>
        <x:v>20992059.5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5">
      <x:c r="B29" s="314">
        <x:v>2</x:v>
      </x:c>
      <x:c r="C29" s="315" t="s">
        <x:v>11</x:v>
      </x:c>
      <x:c r="D29" s="291">
        <x:f>'Rem. Anticipos R2'!E151</x:f>
        <x:v>87448610.169999987</x:v>
      </x:c>
      <x:c r="E29" s="292">
        <x:f>'Rem. Anticipos R2'!F151</x:f>
        <x:v>9848126.5199999996</x:v>
      </x:c>
      <x:c r="F29" s="292">
        <x:f>'Rem. Anticipos R2'!G151</x:f>
        <x:v>5509676.3200000003</x:v>
      </x:c>
      <x:c r="G29" s="292">
        <x:f>'Rem. Anticipos R2'!H151</x:f>
        <x:v>2910689.54</x:v>
      </x:c>
      <x:c r="H29" s="292">
        <x:f>'Rem. Anticipos R2'!I151</x:f>
        <x:v>13922812.67</x:v>
      </x:c>
      <x:c r="I29" s="292">
        <x:f>'Rem. Anticipos R2'!J151</x:f>
        <x:v>411257.4</x:v>
      </x:c>
      <x:c r="J29" s="288">
        <x:v>0</x:v>
      </x:c>
      <x:c r="K29" s="295">
        <x:f t="shared" ref="K29:K31" si="7">D29-E29-F29-G29-H29-I29-J29</x:f>
        <x:v>54846047.719999976</x:v>
      </x:c>
      <x:c r="L29" s="294">
        <x:v>0</x:v>
      </x:c>
      <x:c r="M29" s="295">
        <x:f>K29-L29</x:f>
        <x:v>54846047.719999976</x:v>
      </x:c>
      <x:c r="N29" s="294">
        <x:f>'Rem. Anticipos R2'!K151</x:f>
        <x:v>0</x:v>
      </x:c>
      <x:c r="O29" s="295">
        <x:f t="shared" ref="O29:O32" si="8">M29+N29</x:f>
        <x:v>54846047.719999976</x:v>
      </x:c>
      <x:c r="Q29" s="306"/>
      <x:c r="S29" s="314">
        <x:v>2</x:v>
      </x:c>
      <x:c r="T29" s="315" t="s">
        <x:v>11</x:v>
      </x:c>
      <x:c r="U29" s="316">
        <x:f>'Rem. Anticipos R2'!L151</x:f>
        <x:v>3594860.85</x:v>
      </x:c>
      <x:c r="V29" s="317">
        <x:f>'Rem. Anticipos R2'!M151</x:f>
        <x:v>4259384.97</x:v>
      </x:c>
      <x:c r="W29" s="317">
        <x:f>'Rem. Anticipos R2'!N151</x:f>
        <x:v>16704666.720000001</x:v>
      </x:c>
      <x:c r="X29" s="317">
        <x:f>'Rem. Anticipos R2'!O151</x:f>
        <x:v>34691802.689999998</x:v>
      </x:c>
      <x:c r="Y29" s="318">
        <x:f>'Rem. Anticipos R2'!P151</x:f>
        <x:v>531755.86</x:v>
      </x:c>
      <x:c r="Z29" s="319">
        <x:f>L29*-1</x:f>
        <x:v>0</x:v>
      </x:c>
      <x:c r="AA29" s="320">
        <x:f>'Rem. Anticipos R2'!Q151</x:f>
        <x:v>66.31</x:v>
      </x:c>
      <x:c r="AB29" s="294">
        <x:f>N29</x:f>
        <x:v>0</x:v>
      </x:c>
      <x:c r="AC29" s="320">
        <x:f>'Rem. Anticipos R2'!R151</x:f>
        <x:v>0</x:v>
      </x:c>
      <x:c r="AD29" s="291">
        <x:f>-J29+AE29</x:f>
        <x:v>-4936489.68</x:v>
      </x:c>
      <x:c r="AE29" s="291">
        <x:f>'Rem. Anticipos R2'!E152</x:f>
        <x:v>-4936489.68</x:v>
      </x:c>
      <x:c r="AF29" s="322">
        <x:f>SUM(U29:AD29)</x:f>
        <x:v>54846047.719999999</x:v>
      </x:c>
      <x:c r="AG29" s="323">
        <x:f>(AF29-O29)</x:f>
        <x:v>2.2351741790771484E-8</x:v>
      </x:c>
      <x:c r="AH29" s="1" t="b">
        <x:f t="shared" ref="AH29:AH33" si="9">INT(AG29)=0</x:f>
        <x:v>1</x:v>
      </x:c>
      <x:c r="AI29" s="306"/>
    </x:row>
    <x:row r="30" spans="1:35" s="305" customFormat="1" x14ac:dyDescent="0.25">
      <x:c r="B30" s="314">
        <x:v>3</x:v>
      </x:c>
      <x:c r="C30" s="315" t="s">
        <x:v>12</x:v>
      </x:c>
      <x:c r="D30" s="291">
        <x:f>'Rem. Anticipos R2'!E268</x:f>
        <x:v>16553408.619999999</x:v>
      </x:c>
      <x:c r="E30" s="292">
        <x:f>'Rem. Anticipos R2'!F268</x:f>
        <x:v>1967684.86</x:v>
      </x:c>
      <x:c r="F30" s="292">
        <x:f>'Rem. Anticipos R2'!G268</x:f>
        <x:v>712268.5</x:v>
      </x:c>
      <x:c r="G30" s="292">
        <x:f>'Rem. Anticipos R2'!H268</x:f>
        <x:v>565645.02</x:v>
      </x:c>
      <x:c r="H30" s="292">
        <x:f>'Rem. Anticipos R2'!I268</x:f>
        <x:v>1569507.5</x:v>
      </x:c>
      <x:c r="I30" s="292">
        <x:f>'Rem. Anticipos R2'!J268</x:f>
        <x:v>42227.16</x:v>
      </x:c>
      <x:c r="J30" s="288">
        <x:v>0</x:v>
      </x:c>
      <x:c r="K30" s="295">
        <x:f t="shared" si="7"/>
        <x:v>11696075.58</x:v>
      </x:c>
      <x:c r="L30" s="294">
        <x:v>0</x:v>
      </x:c>
      <x:c r="M30" s="295">
        <x:f>K30-L30</x:f>
        <x:v>11696075.58</x:v>
      </x:c>
      <x:c r="N30" s="294">
        <x:f>'Rem. Anticipos R2'!K268</x:f>
        <x:v>0</x:v>
      </x:c>
      <x:c r="O30" s="295">
        <x:f t="shared" si="8"/>
        <x:v>11696075.58</x:v>
      </x:c>
      <x:c r="Q30" s="306"/>
      <x:c r="S30" s="314">
        <x:v>3</x:v>
      </x:c>
      <x:c r="T30" s="315" t="s">
        <x:v>12</x:v>
      </x:c>
      <x:c r="U30" s="316">
        <x:f>'Rem. Anticipos R2'!L268</x:f>
        <x:v>397564.25</x:v>
      </x:c>
      <x:c r="V30" s="317">
        <x:f>'Rem. Anticipos R2'!M268</x:f>
        <x:v>563201.06000000006</x:v>
      </x:c>
      <x:c r="W30" s="317">
        <x:f>'Rem. Anticipos R2'!N268</x:f>
        <x:v>2702825.49</x:v>
      </x:c>
      <x:c r="X30" s="317">
        <x:f>'Rem. Anticipos R2'!O268</x:f>
        <x:v>4820348.95</x:v>
      </x:c>
      <x:c r="Y30" s="318">
        <x:f>'Rem. Anticipos R2'!P268</x:f>
        <x:v>74361.179999999993</x:v>
      </x:c>
      <x:c r="Z30" s="319">
        <x:f>L30*-1</x:f>
        <x:v>0</x:v>
      </x:c>
      <x:c r="AA30" s="320">
        <x:f>'Rem. Anticipos R2'!Q268</x:f>
        <x:v>31.65</x:v>
      </x:c>
      <x:c r="AB30" s="294">
        <x:f>N30</x:f>
        <x:v>0</x:v>
      </x:c>
      <x:c r="AC30" s="320">
        <x:f>'Rem. Anticipos R2'!R268</x:f>
        <x:v>0</x:v>
      </x:c>
      <x:c r="AD30" s="291">
        <x:f t="shared" ref="AD30:AD32" si="10">-J30+AE30</x:f>
        <x:v>3137743</x:v>
      </x:c>
      <x:c r="AE30" s="291">
        <x:f>'Rem. Anticipos R2'!E269</x:f>
        <x:v>3137743</x:v>
      </x:c>
      <x:c r="AF30" s="322">
        <x:f>SUM(U30:AD30)</x:f>
        <x:v>11696075.58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5">
      <x:c r="B31" s="314">
        <x:v>4</x:v>
      </x:c>
      <x:c r="C31" s="315" t="s">
        <x:v>13</x:v>
      </x:c>
      <x:c r="D31" s="291">
        <x:f>'Rem. Anticipos R2'!E370</x:f>
        <x:v>34178649.799999997</x:v>
      </x:c>
      <x:c r="E31" s="292">
        <x:f>'Rem. Anticipos R2'!F370</x:f>
        <x:v>3414288.34</x:v>
      </x:c>
      <x:c r="F31" s="292">
        <x:f>'Rem. Anticipos R2'!G370</x:f>
        <x:v>1854126.13</x:v>
      </x:c>
      <x:c r="G31" s="292">
        <x:f>'Rem. Anticipos R2'!H370</x:f>
        <x:v>919021.33</x:v>
      </x:c>
      <x:c r="H31" s="292">
        <x:f>'Rem. Anticipos R2'!I370</x:f>
        <x:v>5255584.72</x:v>
      </x:c>
      <x:c r="I31" s="292">
        <x:f>'Rem. Anticipos R2'!J370</x:f>
        <x:v>198283.64</x:v>
      </x:c>
      <x:c r="J31" s="288">
        <x:v>0</x:v>
      </x:c>
      <x:c r="K31" s="295">
        <x:f t="shared" si="7"/>
        <x:v>22537345.640000001</x:v>
      </x:c>
      <x:c r="L31" s="294">
        <x:v>0</x:v>
      </x:c>
      <x:c r="M31" s="295">
        <x:f>K31-L31</x:f>
        <x:v>22537345.640000001</x:v>
      </x:c>
      <x:c r="N31" s="294">
        <x:f>'Rem. Anticipos R2'!K370</x:f>
        <x:v>0</x:v>
      </x:c>
      <x:c r="O31" s="295">
        <x:f t="shared" si="8"/>
        <x:v>22537345.640000001</x:v>
      </x:c>
      <x:c r="Q31" s="306"/>
      <x:c r="S31" s="314">
        <x:v>4</x:v>
      </x:c>
      <x:c r="T31" s="315" t="s">
        <x:v>13</x:v>
      </x:c>
      <x:c r="U31" s="316">
        <x:f>'Rem. Anticipos R2'!L370</x:f>
        <x:v>1581078.48</x:v>
      </x:c>
      <x:c r="V31" s="317">
        <x:f>'Rem. Anticipos R2'!M370</x:f>
        <x:v>1755343.15</x:v>
      </x:c>
      <x:c r="W31" s="317">
        <x:f>'Rem. Anticipos R2'!N370</x:f>
        <x:v>9281802.4800000004</x:v>
      </x:c>
      <x:c r="X31" s="317">
        <x:f>'Rem. Anticipos R2'!O370</x:f>
        <x:v>9224428.8599999994</x:v>
      </x:c>
      <x:c r="Y31" s="318">
        <x:f>'Rem. Anticipos R2'!P370</x:f>
        <x:v>314744.57</x:v>
      </x:c>
      <x:c r="Z31" s="319">
        <x:f>L31*-1</x:f>
        <x:v>0</x:v>
      </x:c>
      <x:c r="AA31" s="320">
        <x:f>'Rem. Anticipos R2'!Q370</x:f>
        <x:v>5.27</x:v>
      </x:c>
      <x:c r="AB31" s="294">
        <x:f>N31</x:f>
        <x:v>0</x:v>
      </x:c>
      <x:c r="AC31" s="320">
        <x:f>'Rem. Anticipos R2'!R370</x:f>
        <x:v>0</x:v>
      </x:c>
      <x:c r="AD31" s="291">
        <x:f t="shared" si="10"/>
        <x:v>379942.83</x:v>
      </x:c>
      <x:c r="AE31" s="291">
        <x:f>'Rem. Anticipos R2'!E371</x:f>
        <x:v>379942.83</x:v>
      </x:c>
      <x:c r="AF31" s="322">
        <x:f>SUM(U31:AD31)</x:f>
        <x:v>22537345.639999997</x:v>
      </x:c>
      <x:c r="AG31" s="323">
        <x:f t="shared" si="11"/>
        <x:v>-3.7252902984619141E-9</x:v>
      </x:c>
      <x:c r="AH31" s="1" t="b">
        <x:f t="shared" si="9"/>
        <x:v>0</x:v>
      </x:c>
      <x:c r="AI31" s="306"/>
    </x:row>
    <x:row r="32" spans="1:35" s="305" customFormat="1" ht="12" thickBot="1" x14ac:dyDescent="0.3">
      <x:c r="B32" s="324">
        <x:v>5</x:v>
      </x:c>
      <x:c r="C32" s="325" t="s">
        <x:v>14</x:v>
      </x:c>
      <x:c r="D32" s="296">
        <x:f>'Rem. Anticipos R2'!E450</x:f>
        <x:v>13317238.189999999</x:v>
      </x:c>
      <x:c r="E32" s="297">
        <x:f>'Rem. Anticipos R2'!F450</x:f>
        <x:v>1159470.44</x:v>
      </x:c>
      <x:c r="F32" s="297">
        <x:f>'Rem. Anticipos R2'!G450</x:f>
        <x:v>657305.62</x:v>
      </x:c>
      <x:c r="G32" s="297">
        <x:f>'Rem. Anticipos R2'!H450</x:f>
        <x:v>315836.09999999998</x:v>
      </x:c>
      <x:c r="H32" s="297">
        <x:f>'Rem. Anticipos R2'!I450</x:f>
        <x:v>1350476.33</x:v>
      </x:c>
      <x:c r="I32" s="297">
        <x:f>'Rem. Anticipos R2'!J450</x:f>
        <x:v>40561.129999999997</x:v>
      </x:c>
      <x:c r="J32" s="289">
        <x:v>0</x:v>
      </x:c>
      <x:c r="K32" s="295">
        <x:f>D32-E32-F32-G32-H32-I32-J32</x:f>
        <x:v>9793588.5700000003</x:v>
      </x:c>
      <x:c r="L32" s="294">
        <x:v>0</x:v>
      </x:c>
      <x:c r="M32" s="298">
        <x:f>K32-L32</x:f>
        <x:v>9793588.5700000003</x:v>
      </x:c>
      <x:c r="N32" s="299">
        <x:f>'Rem. Anticipos R2'!K450</x:f>
        <x:v>990006.55</x:v>
      </x:c>
      <x:c r="O32" s="298">
        <x:f t="shared" si="8"/>
        <x:v>10783595.120000001</x:v>
      </x:c>
      <x:c r="Q32" s="306"/>
      <x:c r="S32" s="324">
        <x:v>5</x:v>
      </x:c>
      <x:c r="T32" s="325" t="s">
        <x:v>14</x:v>
      </x:c>
      <x:c r="U32" s="296">
        <x:f>'Rem. Anticipos R2'!L450</x:f>
        <x:v>476777.82</x:v>
      </x:c>
      <x:c r="V32" s="297">
        <x:f>'Rem. Anticipos R2'!M450</x:f>
        <x:v>602817.05000000005</x:v>
      </x:c>
      <x:c r="W32" s="297">
        <x:f>'Rem. Anticipos R2'!N450</x:f>
        <x:v>2563786.98</x:v>
      </x:c>
      <x:c r="X32" s="297">
        <x:f>'Rem. Anticipos R2'!O450</x:f>
        <x:v>3693019.78</x:v>
      </x:c>
      <x:c r="Y32" s="289">
        <x:f>'Rem. Anticipos R2'!P450</x:f>
        <x:v>51007.22</x:v>
      </x:c>
      <x:c r="Z32" s="319">
        <x:f>L32*-1</x:f>
        <x:v>0</x:v>
      </x:c>
      <x:c r="AA32" s="320">
        <x:f>'Rem. Anticipos R2'!Q450</x:f>
        <x:v>-78.19</x:v>
      </x:c>
      <x:c r="AB32" s="294">
        <x:f>N32</x:f>
        <x:v>990006.55</x:v>
      </x:c>
      <x:c r="AC32" s="320">
        <x:f>'Rem. Anticipos R2'!R450</x:f>
        <x:v>0</x:v>
      </x:c>
      <x:c r="AD32" s="291">
        <x:f t="shared" si="10"/>
        <x:v>2406257.91</x:v>
      </x:c>
      <x:c r="AE32" s="291">
        <x:f>'Rem. Anticipos R2'!E451</x:f>
        <x:v>2406257.91</x:v>
      </x:c>
      <x:c r="AF32" s="322">
        <x:f>SUM(U32:AD32)</x:f>
        <x:v>10783595.119999999</x:v>
      </x:c>
      <x:c r="AG32" s="326">
        <x:f>(AF32-O32)</x:f>
        <x:v>-1.862645149230957E-9</x:v>
      </x:c>
      <x:c r="AH32" s="1" t="b">
        <x:f t="shared" si="9"/>
        <x:v>0</x:v>
      </x:c>
      <x:c r="AI32" s="306"/>
    </x:row>
    <x:row r="33" spans="1:35" s="305" customFormat="1" ht="13.5" thickBot="1" x14ac:dyDescent="0.35">
      <x:c r="B33" s="327"/>
      <x:c r="C33" s="328" t="s">
        <x:v>2</x:v>
      </x:c>
      <x:c r="D33" s="290">
        <x:f>SUM(D28:D32)</x:f>
        <x:v>180355317.38</x:v>
      </x:c>
      <x:c r="E33" s="290">
        <x:f>SUM(E28:E32)</x:f>
        <x:v>19053511</x:v>
      </x:c>
      <x:c r="F33" s="290">
        <x:f t="shared" ref="F33:O33" si="12">SUM(F28:F32)</x:f>
        <x:v>10234518.869999999</x:v>
      </x:c>
      <x:c r="G33" s="290">
        <x:f t="shared" si="12"/>
        <x:v>5604590.0099999998</x:v>
      </x:c>
      <x:c r="H33" s="290">
        <x:f t="shared" si="12"/>
        <x:v>24825588.339999996</x:v>
      </x:c>
      <x:c r="I33" s="290">
        <x:f t="shared" si="12"/>
        <x:v>771992.15</x:v>
      </x:c>
      <x:c r="J33" s="290">
        <x:f t="shared" si="12"/>
        <x:v>0</x:v>
      </x:c>
      <x:c r="K33" s="300">
        <x:f t="shared" si="12"/>
        <x:v>119865117.00999996</x:v>
      </x:c>
      <x:c r="L33" s="301">
        <x:f t="shared" si="12"/>
        <x:v>0</x:v>
      </x:c>
      <x:c r="M33" s="302">
        <x:f t="shared" si="12"/>
        <x:v>119865117.00999996</x:v>
      </x:c>
      <x:c r="N33" s="301">
        <x:f t="shared" si="12"/>
        <x:v>990006.55</x:v>
      </x:c>
      <x:c r="O33" s="302">
        <x:f t="shared" si="12"/>
        <x:v>120855123.55999997</x:v>
      </x:c>
      <x:c r="P33" s="329"/>
      <x:c r="Q33" s="306"/>
      <x:c r="S33" s="327"/>
      <x:c r="T33" s="328" t="s">
        <x:v>2</x:v>
      </x:c>
      <x:c r="U33" s="330">
        <x:f>SUM(U28:U32)</x:f>
        <x:v>6807483.4800000004</x:v>
      </x:c>
      <x:c r="V33" s="330">
        <x:f t="shared" ref="V33:AG33" si="13">SUM(V28:V32)</x:f>
        <x:v>8166416.0100000007</x:v>
      </x:c>
      <x:c r="W33" s="330">
        <x:f t="shared" si="13"/>
        <x:v>35648779.170000002</x:v>
      </x:c>
      <x:c r="X33" s="330">
        <x:f t="shared" si="13"/>
        <x:v>60322519.270000003</x:v>
      </x:c>
      <x:c r="Y33" s="330">
        <x:f t="shared" si="13"/>
        <x:v>1096643.29</x:v>
      </x:c>
      <x:c r="Z33" s="290">
        <x:f t="shared" si="13"/>
        <x:v>0</x:v>
      </x:c>
      <x:c r="AA33" s="290">
        <x:f t="shared" si="13"/>
        <x:v>-48.16</x:v>
      </x:c>
      <x:c r="AB33" s="290">
        <x:f t="shared" si="13"/>
        <x:v>990006.55</x:v>
      </x:c>
      <x:c r="AC33" s="290">
        <x:f t="shared" si="13"/>
        <x:v>0</x:v>
      </x:c>
      <x:c r="AD33" s="290">
        <x:f>SUM(AD28:AD32)</x:f>
        <x:v>7823323.9500000002</x:v>
      </x:c>
      <x:c r="AE33" s="290">
        <x:f>SUM(AE28:AE32)</x:f>
        <x:v>7823323.9500000002</x:v>
      </x:c>
      <x:c r="AF33" s="331">
        <x:f t="shared" si="13"/>
        <x:v>120855123.56</x:v>
      </x:c>
      <x:c r="AG33" s="332">
        <x:f t="shared" si="13"/>
        <x:v>1.6763806343078613E-8</x:v>
      </x:c>
      <x:c r="AH33" s="1" t="b">
        <x:f t="shared" si="9"/>
        <x:v>1</x:v>
      </x:c>
      <x:c r="AI33" s="306"/>
    </x:row>
    <x:row r="34" spans="1:35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112041841.22000001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">
      <x:c r="Q39" s="4"/>
      <x:c r="AI39" s="4"/>
    </x:row>
    <x:row r="40" spans="1:35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5" x14ac:dyDescent="0.35">
      <x:c r="B44" s="8"/>
      <x:c r="C44" s="599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">
      <x:c r="B45" s="8"/>
      <x:c r="C45" s="599" t="s">
        <x:v>0</x:v>
      </x:c>
      <x:c r="D45" s="241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226</x:v>
      </x:c>
      <x:c r="AF46" s="39" t="s">
        <x:v>23</x:v>
      </x:c>
      <x:c r="AG46" s="13"/>
      <x:c r="AI46" s="4"/>
    </x:row>
    <x:row r="47" spans="1:35" s="305" customFormat="1" x14ac:dyDescent="0.25">
      <x:c r="B47" s="303">
        <x:v>1</x:v>
      </x:c>
      <x:c r="C47" s="304" t="s">
        <x:v>10</x:v>
      </x:c>
      <x:c r="D47" s="291">
        <x:f>'Reporte Componentes R1'!F72</x:f>
        <x:v>0</x:v>
      </x:c>
      <x:c r="E47" s="292">
        <x:f>'Reporte Componentes R1'!G72</x:f>
        <x:v>0</x:v>
      </x:c>
      <x:c r="F47" s="292">
        <x:f>'Reporte Componentes R1'!H72</x:f>
        <x:v>0</x:v>
      </x:c>
      <x:c r="G47" s="292">
        <x:f>'Reporte Componentes R1'!I72</x:f>
        <x:v>0</x:v>
      </x:c>
      <x:c r="H47" s="292">
        <x:f>'Reporte Componentes R1'!J72</x:f>
        <x:v>0</x:v>
      </x:c>
      <x:c r="I47" s="292">
        <x:f>'Reporte Componentes R1'!K72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R1'!M72</x:f>
        <x:v>0</x:v>
      </x:c>
      <x:c r="V47" s="308">
        <x:f>'Reporte Componentes R1'!N72</x:f>
        <x:v>0</x:v>
      </x:c>
      <x:c r="W47" s="308">
        <x:f>'Reporte Componentes R1'!O72</x:f>
        <x:v>0</x:v>
      </x:c>
      <x:c r="X47" s="308">
        <x:f>'Reporte Componentes R1'!P72</x:f>
        <x:v>0</x:v>
      </x:c>
      <x:c r="Y47" s="309">
        <x:f>'Reporte Componentes R1'!Q72</x:f>
        <x:v>0</x:v>
      </x:c>
      <x:c r="Z47" s="310">
        <x:f>-L47</x:f>
        <x:v>0</x:v>
      </x:c>
      <x:c r="AA47" s="311">
        <x:f>'Reporte Componentes R1'!R72+'Reporte Componentes R1'!V72+'Reporte Componentes R1'!U72</x:f>
        <x:v>0</x:v>
      </x:c>
      <x:c r="AB47" s="294">
        <x:f>N47</x:f>
        <x:v>0</x:v>
      </x:c>
      <x:c r="AC47" s="311">
        <x:f>'Reporte Componentes R1'!T72+'Reporte Componentes R1'!S72+'Reporte Componentes R1'!W72+'Reporte Componentes R1'!X72+'Reporte Componentes R1'!Y72+'Reporte Componentes R1'!Z72</x:f>
        <x:v>0</x:v>
      </x:c>
      <x:c r="AD47" s="291">
        <x:f>-J47+AE47</x:f>
        <x:v>0</x:v>
      </x:c>
      <x:c r="AE47" s="291">
        <x:f>'Reporte Componentes R1'!F73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5">
      <x:c r="B48" s="314">
        <x:v>2</x:v>
      </x:c>
      <x:c r="C48" s="315" t="s">
        <x:v>11</x:v>
      </x:c>
      <x:c r="D48" s="291">
        <x:f>'Reporte Componentes R1'!F216</x:f>
        <x:v>111210</x:v>
      </x:c>
      <x:c r="E48" s="292">
        <x:f>'Reporte Componentes R1'!G216</x:f>
        <x:v>11965.66</x:v>
      </x:c>
      <x:c r="F48" s="292">
        <x:f>'Reporte Componentes R1'!H216</x:f>
        <x:v>6772.46</x:v>
      </x:c>
      <x:c r="G48" s="292">
        <x:f>'Reporte Componentes R1'!I216</x:f>
        <x:v>3619.41</x:v>
      </x:c>
      <x:c r="H48" s="292">
        <x:f>'Reporte Componentes R1'!J216</x:f>
        <x:v>66663.69</x:v>
      </x:c>
      <x:c r="I48" s="292">
        <x:f>'Reporte Componentes R1'!K216</x:f>
        <x:v>1934.64</x:v>
      </x:c>
      <x:c r="J48" s="288">
        <x:v>0</x:v>
      </x:c>
      <x:c r="K48" s="295">
        <x:f t="shared" ref="K48:K51" si="14">D48-E48-F48-G48-H48-I48-J48</x:f>
        <x:v>20254.139999999985</x:v>
      </x:c>
      <x:c r="L48" s="294">
        <x:v>0</x:v>
      </x:c>
      <x:c r="M48" s="295">
        <x:f>K48-L48</x:f>
        <x:v>20254.139999999985</x:v>
      </x:c>
      <x:c r="N48" s="294">
        <x:f>'Reporte Componentes R1'!L216</x:f>
        <x:v>0</x:v>
      </x:c>
      <x:c r="O48" s="295">
        <x:f t="shared" ref="O48:O51" si="15">M48+N48</x:f>
        <x:v>20254.139999999985</x:v>
      </x:c>
      <x:c r="Q48" s="306"/>
      <x:c r="S48" s="314">
        <x:v>2</x:v>
      </x:c>
      <x:c r="T48" s="315" t="s">
        <x:v>11</x:v>
      </x:c>
      <x:c r="U48" s="316">
        <x:f>'Reporte Componentes R1'!M216</x:f>
        <x:v>16970.45</x:v>
      </x:c>
      <x:c r="V48" s="317">
        <x:f>'Reporte Componentes R1'!N216</x:f>
        <x:v>20142.73</x:v>
      </x:c>
      <x:c r="W48" s="317">
        <x:f>'Reporte Componentes R1'!O216</x:f>
        <x:v>93838.89</x:v>
      </x:c>
      <x:c r="X48" s="317">
        <x:f>'Reporte Componentes R1'!P216</x:f>
        <x:v>24111.07</x:v>
      </x:c>
      <x:c r="Y48" s="318">
        <x:f>'Reporte Componentes R1'!Q216</x:f>
        <x:v>3156.5</x:v>
      </x:c>
      <x:c r="Z48" s="319">
        <x:f>-L48</x:f>
        <x:v>0</x:v>
      </x:c>
      <x:c r="AA48" s="320">
        <x:f>'Reporte Componentes R1'!R216+'Reporte Componentes R1'!V216+'Reporte Componentes R1'!U216</x:f>
        <x:v>-3.24</x:v>
      </x:c>
      <x:c r="AB48" s="294">
        <x:f>N48</x:f>
        <x:v>0</x:v>
      </x:c>
      <x:c r="AC48" s="320">
        <x:f>'Reporte Componentes R1'!T216+'Reporte Componentes R1'!S216+'Reporte Componentes R1'!W216+'Reporte Componentes R1'!X216+'Reporte Componentes R1'!Y216+'Reporte Componentes R1'!Z216</x:f>
        <x:v>0</x:v>
      </x:c>
      <x:c r="AD48" s="291">
        <x:f t="shared" ref="AD48:AD51" si="16">-J48+AE48</x:f>
        <x:v>-137962.26</x:v>
      </x:c>
      <x:c r="AE48" s="291">
        <x:f>'Reporte Componentes R1'!F217</x:f>
        <x:v>-137962.26</x:v>
      </x:c>
      <x:c r="AF48" s="322">
        <x:f>SUM(U48:AD48)</x:f>
        <x:v>20254.140000000014</x:v>
      </x:c>
      <x:c r="AG48" s="323">
        <x:f>(AF48-O48)</x:f>
        <x:v>2.9103830456733704E-11</x:v>
      </x:c>
      <x:c r="AH48" s="1" t="b">
        <x:f t="shared" ref="AH48:AH52" si="17">INT(AG48)=0</x:f>
        <x:v>1</x:v>
      </x:c>
      <x:c r="AI48" s="306"/>
    </x:row>
    <x:row r="49" spans="1:35" s="305" customFormat="1" x14ac:dyDescent="0.25">
      <x:c r="B49" s="314">
        <x:v>3</x:v>
      </x:c>
      <x:c r="C49" s="315" t="s">
        <x:v>12</x:v>
      </x:c>
      <x:c r="D49" s="291">
        <x:f>'Reporte Componentes R1'!F347</x:f>
        <x:v>0</x:v>
      </x:c>
      <x:c r="E49" s="292">
        <x:f>'Reporte Componentes R1'!G347</x:f>
        <x:v>0</x:v>
      </x:c>
      <x:c r="F49" s="292">
        <x:f>'Reporte Componentes R1'!H347</x:f>
        <x:v>0</x:v>
      </x:c>
      <x:c r="G49" s="292">
        <x:f>'Reporte Componentes R1'!I347</x:f>
        <x:v>0</x:v>
      </x:c>
      <x:c r="H49" s="292">
        <x:f>'Reporte Componentes R1'!J347</x:f>
        <x:v>0</x:v>
      </x:c>
      <x:c r="I49" s="292">
        <x:f>'Reporte Componentes R1'!K347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R1'!L347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R1'!M347</x:f>
        <x:v>0</x:v>
      </x:c>
      <x:c r="V49" s="317">
        <x:f>'Reporte Componentes R1'!N347</x:f>
        <x:v>0</x:v>
      </x:c>
      <x:c r="W49" s="317">
        <x:f>'Reporte Componentes R1'!O347</x:f>
        <x:v>0</x:v>
      </x:c>
      <x:c r="X49" s="317">
        <x:f>'Reporte Componentes R1'!P347</x:f>
        <x:v>0</x:v>
      </x:c>
      <x:c r="Y49" s="318">
        <x:f>'Reporte Componentes R1'!Q347</x:f>
        <x:v>0</x:v>
      </x:c>
      <x:c r="Z49" s="319">
        <x:f>-L49</x:f>
        <x:v>0</x:v>
      </x:c>
      <x:c r="AA49" s="320">
        <x:f>'Reporte Componentes R1'!R347+'Reporte Componentes R1'!V347+'Reporte Componentes R1'!U347</x:f>
        <x:v>0</x:v>
      </x:c>
      <x:c r="AB49" s="294">
        <x:f>N49</x:f>
        <x:v>0</x:v>
      </x:c>
      <x:c r="AC49" s="320">
        <x:f>'Reporte Componentes R1'!T347+'Reporte Componentes R1'!S347+'Reporte Componentes R1'!W347+'Reporte Componentes R1'!X347+'Reporte Componentes R1'!Y347+'Reporte Componentes R1'!Z347</x:f>
        <x:v>0</x:v>
      </x:c>
      <x:c r="AD49" s="291">
        <x:f t="shared" si="16"/>
        <x:v>0</x:v>
      </x:c>
      <x:c r="AE49" s="291">
        <x:f>'Reporte Componentes R1'!F348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5">
      <x:c r="B50" s="314">
        <x:v>4</x:v>
      </x:c>
      <x:c r="C50" s="315" t="s">
        <x:v>13</x:v>
      </x:c>
      <x:c r="D50" s="291">
        <x:f>'Reporte Componentes R1'!F478</x:f>
        <x:v>691194</x:v>
      </x:c>
      <x:c r="E50" s="292">
        <x:f>'Reporte Componentes R1'!G478</x:f>
        <x:v>51581.84</x:v>
      </x:c>
      <x:c r="F50" s="292">
        <x:f>'Reporte Componentes R1'!H478</x:f>
        <x:v>29163.39</x:v>
      </x:c>
      <x:c r="G50" s="292">
        <x:f>'Reporte Componentes R1'!I478</x:f>
        <x:v>15465.48</x:v>
      </x:c>
      <x:c r="H50" s="292">
        <x:f>'Reporte Componentes R1'!J478</x:f>
        <x:v>165858.38</x:v>
      </x:c>
      <x:c r="I50" s="292">
        <x:f>'Reporte Componentes R1'!K478</x:f>
        <x:v>4892.05</x:v>
      </x:c>
      <x:c r="J50" s="288">
        <x:v>0</x:v>
      </x:c>
      <x:c r="K50" s="295">
        <x:f t="shared" si="14"/>
        <x:v>424232.86000000004</x:v>
      </x:c>
      <x:c r="L50" s="294">
        <x:v>0</x:v>
      </x:c>
      <x:c r="M50" s="295">
        <x:f>K50-L50</x:f>
        <x:v>424232.86000000004</x:v>
      </x:c>
      <x:c r="N50" s="294">
        <x:f>'Reporte Componentes R1'!L478</x:f>
        <x:v>0</x:v>
      </x:c>
      <x:c r="O50" s="295">
        <x:f t="shared" si="15"/>
        <x:v>424232.86000000004</x:v>
      </x:c>
      <x:c r="Q50" s="306"/>
      <x:c r="S50" s="314">
        <x:v>4</x:v>
      </x:c>
      <x:c r="T50" s="315" t="s">
        <x:v>13</x:v>
      </x:c>
      <x:c r="U50" s="316">
        <x:f>'Reporte Componentes R1'!M478</x:f>
        <x:v>46424.71</x:v>
      </x:c>
      <x:c r="V50" s="317">
        <x:f>'Reporte Componentes R1'!N478</x:f>
        <x:v>49446.239999999998</x:v>
      </x:c>
      <x:c r="W50" s="317">
        <x:f>'Reporte Componentes R1'!O478</x:f>
        <x:v>210914.4</x:v>
      </x:c>
      <x:c r="X50" s="317">
        <x:f>'Reporte Componentes R1'!P478</x:f>
        <x:v>140655.57</x:v>
      </x:c>
      <x:c r="Y50" s="318">
        <x:f>'Reporte Componentes R1'!Q478</x:f>
        <x:v>7981.76</x:v>
      </x:c>
      <x:c r="Z50" s="319">
        <x:f>-L50</x:f>
        <x:v>0</x:v>
      </x:c>
      <x:c r="AA50" s="320">
        <x:f>'Reporte Componentes R1'!R478+'Reporte Componentes R1'!V478+'Reporte Componentes R1'!U478</x:f>
        <x:v>6.27</x:v>
      </x:c>
      <x:c r="AB50" s="294">
        <x:f>N50</x:f>
        <x:v>0</x:v>
      </x:c>
      <x:c r="AC50" s="320">
        <x:f>'Reporte Componentes R1'!T478+'Reporte Componentes R1'!S478+'Reporte Componentes R1'!W478+'Reporte Componentes R1'!X478+'Reporte Componentes R1'!Y478+'Reporte Componentes R1'!Z478</x:f>
        <x:v>0</x:v>
      </x:c>
      <x:c r="AD50" s="291">
        <x:f t="shared" si="16"/>
        <x:v>-31196.09</x:v>
      </x:c>
      <x:c r="AE50" s="291">
        <x:f>'Reporte Componentes R1'!F479</x:f>
        <x:v>-31196.09</x:v>
      </x:c>
      <x:c r="AF50" s="322">
        <x:f t="shared" si="18"/>
        <x:v>424232.86</x:v>
      </x:c>
      <x:c r="AG50" s="323">
        <x:f t="shared" si="19"/>
        <x:v>-5.8207660913467407E-11</x:v>
      </x:c>
      <x:c r="AH50" s="1" t="b">
        <x:f t="shared" si="17"/>
        <x:v>0</x:v>
      </x:c>
      <x:c r="AI50" s="306"/>
    </x:row>
    <x:row r="51" spans="1:35" s="305" customFormat="1" ht="12" thickBot="1" x14ac:dyDescent="0.3">
      <x:c r="B51" s="324">
        <x:v>5</x:v>
      </x:c>
      <x:c r="C51" s="325" t="s">
        <x:v>14</x:v>
      </x:c>
      <x:c r="D51" s="296">
        <x:f>'Reporte Componentes R1'!F576</x:f>
        <x:v>441849</x:v>
      </x:c>
      <x:c r="E51" s="297">
        <x:f>'Reporte Componentes R1'!G576</x:f>
        <x:v>26657.43</x:v>
      </x:c>
      <x:c r="F51" s="297">
        <x:f>'Reporte Componentes R1'!H576</x:f>
        <x:v>14138.02</x:v>
      </x:c>
      <x:c r="G51" s="297">
        <x:f>'Reporte Componentes R1'!I576</x:f>
        <x:v>7723.27</x:v>
      </x:c>
      <x:c r="H51" s="297">
        <x:f>'Reporte Componentes R1'!J576</x:f>
        <x:v>93911.73</x:v>
      </x:c>
      <x:c r="I51" s="297">
        <x:f>'Reporte Componentes R1'!K576</x:f>
        <x:v>2290.29</x:v>
      </x:c>
      <x:c r="J51" s="289">
        <x:v>0</x:v>
      </x:c>
      <x:c r="K51" s="295">
        <x:f t="shared" si="14"/>
        <x:v>297128.26</x:v>
      </x:c>
      <x:c r="L51" s="294">
        <x:v>0</x:v>
      </x:c>
      <x:c r="M51" s="298">
        <x:f>K51-L51</x:f>
        <x:v>297128.26</x:v>
      </x:c>
      <x:c r="N51" s="299">
        <x:f>'Reporte Componentes R1'!L576</x:f>
        <x:v>0</x:v>
      </x:c>
      <x:c r="O51" s="298">
        <x:f t="shared" si="15"/>
        <x:v>297128.26</x:v>
      </x:c>
      <x:c r="Q51" s="306"/>
      <x:c r="S51" s="324">
        <x:v>5</x:v>
      </x:c>
      <x:c r="T51" s="325" t="s">
        <x:v>14</x:v>
      </x:c>
      <x:c r="U51" s="296">
        <x:f>'Reporte Componentes R1'!M576</x:f>
        <x:v>20089.34</x:v>
      </x:c>
      <x:c r="V51" s="297">
        <x:f>'Reporte Componentes R1'!N576</x:f>
        <x:v>28092.36</x:v>
      </x:c>
      <x:c r="W51" s="297">
        <x:f>'Reporte Componentes R1'!O576</x:f>
        <x:v>141333</x:v>
      </x:c>
      <x:c r="X51" s="297">
        <x:f>'Reporte Componentes R1'!P576</x:f>
        <x:v>79544.789999999994</x:v>
      </x:c>
      <x:c r="Y51" s="289">
        <x:f>'Reporte Componentes R1'!Q576</x:f>
        <x:v>3736.7</x:v>
      </x:c>
      <x:c r="Z51" s="319">
        <x:f>-L51</x:f>
        <x:v>0</x:v>
      </x:c>
      <x:c r="AA51" s="320">
        <x:f>'Reporte Componentes R1'!R576+'Reporte Componentes R1'!V576+'Reporte Componentes R1'!U576</x:f>
        <x:v>2.69</x:v>
      </x:c>
      <x:c r="AB51" s="294">
        <x:f>N51</x:f>
        <x:v>0</x:v>
      </x:c>
      <x:c r="AC51" s="320">
        <x:f>'Reporte Componentes R1'!T576+'Reporte Componentes R1'!S576+'Reporte Componentes R1'!W576+'Reporte Componentes R1'!X576+'Reporte Componentes R1'!Y576+'Reporte Componentes R1'!Z576</x:f>
        <x:v>0</x:v>
      </x:c>
      <x:c r="AD51" s="291">
        <x:f t="shared" si="16"/>
        <x:v>24329.38</x:v>
      </x:c>
      <x:c r="AE51" s="291">
        <x:f>'Reporte Componentes R1'!F577</x:f>
        <x:v>24329.38</x:v>
      </x:c>
      <x:c r="AF51" s="322">
        <x:f t="shared" si="18"/>
        <x:v>297128.26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35">
      <x:c r="B52" s="327"/>
      <x:c r="C52" s="328" t="s">
        <x:v>2</x:v>
      </x:c>
      <x:c r="D52" s="290">
        <x:f t="shared" ref="D52:O52" si="20">SUM(D47:D51)</x:f>
        <x:v>1244253</x:v>
      </x:c>
      <x:c r="E52" s="290">
        <x:f t="shared" si="20"/>
        <x:v>90204.93</x:v>
      </x:c>
      <x:c r="F52" s="290">
        <x:f t="shared" si="20"/>
        <x:v>50073.869999999995</x:v>
      </x:c>
      <x:c r="G52" s="290">
        <x:f t="shared" ref="G52" si="21">SUM(G47:G51)</x:f>
        <x:v>26808.16</x:v>
      </x:c>
      <x:c r="H52" s="290">
        <x:f t="shared" si="20"/>
        <x:v>326433.8</x:v>
      </x:c>
      <x:c r="I52" s="290">
        <x:f t="shared" si="20"/>
        <x:v>9116.98</x:v>
      </x:c>
      <x:c r="J52" s="290">
        <x:f t="shared" si="20"/>
        <x:v>0</x:v>
      </x:c>
      <x:c r="K52" s="300">
        <x:f t="shared" si="20"/>
        <x:v>741615.26</x:v>
      </x:c>
      <x:c r="L52" s="301">
        <x:f t="shared" si="20"/>
        <x:v>0</x:v>
      </x:c>
      <x:c r="M52" s="302">
        <x:f t="shared" si="20"/>
        <x:v>741615.26</x:v>
      </x:c>
      <x:c r="N52" s="301">
        <x:f t="shared" si="20"/>
        <x:v>0</x:v>
      </x:c>
      <x:c r="O52" s="302">
        <x:f t="shared" si="20"/>
        <x:v>741615.26</x:v>
      </x:c>
      <x:c r="P52" s="329"/>
      <x:c r="Q52" s="306"/>
      <x:c r="S52" s="327"/>
      <x:c r="T52" s="328" t="s">
        <x:v>2</x:v>
      </x:c>
      <x:c r="U52" s="330">
        <x:f>SUM(U47:U51)</x:f>
        <x:v>83484.5</x:v>
      </x:c>
      <x:c r="V52" s="330">
        <x:f t="shared" ref="V52:AG52" si="22">SUM(V47:V51)</x:f>
        <x:v>97681.33</x:v>
      </x:c>
      <x:c r="W52" s="330">
        <x:f t="shared" si="22"/>
        <x:v>446086.29</x:v>
      </x:c>
      <x:c r="X52" s="330">
        <x:f t="shared" si="22"/>
        <x:v>244311.43</x:v>
      </x:c>
      <x:c r="Y52" s="330">
        <x:f t="shared" si="22"/>
        <x:v>14874.96</x:v>
      </x:c>
      <x:c r="Z52" s="290">
        <x:f t="shared" si="22"/>
        <x:v>0</x:v>
      </x:c>
      <x:c r="AA52" s="290">
        <x:f t="shared" si="22"/>
        <x:v>5.7199999999999989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-144828.97</x:v>
      </x:c>
      <x:c r="AE52" s="290">
        <x:f>SUM(AE47:AE51)</x:f>
        <x:v>-144828.97</x:v>
      </x:c>
      <x:c r="AF52" s="331">
        <x:f t="shared" si="22"/>
        <x:v>741615.26</x:v>
      </x:c>
      <x:c r="AG52" s="332">
        <x:f t="shared" si="22"/>
        <x:v>-2.9103830456733704E-11</x:v>
      </x:c>
      <x:c r="AH52" s="1" t="b">
        <x:f t="shared" si="17"/>
        <x:v>0</x:v>
      </x:c>
      <x:c r="AI52" s="306"/>
    </x:row>
    <x:row r="53" spans="1:35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886438.51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">
      <x:c r="Q58" s="4"/>
      <x:c r="AI58" s="4"/>
    </x:row>
    <x:row r="59" spans="1:35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" x14ac:dyDescent="0.3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5" x14ac:dyDescent="0.3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" x14ac:dyDescent="0.3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5" x14ac:dyDescent="0.35">
      <x:c r="B63" s="8"/>
      <x:c r="C63" s="599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">
      <x:c r="B64" s="8"/>
      <x:c r="C64" s="599" t="s">
        <x:v>0</x:v>
      </x:c>
      <x:c r="D64" s="241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3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226</x:v>
      </x:c>
      <x:c r="AF65" s="39" t="s">
        <x:v>23</x:v>
      </x:c>
      <x:c r="AG65" s="13"/>
      <x:c r="AI65" s="4"/>
    </x:row>
    <x:row r="66" spans="1:35" s="305" customFormat="1" x14ac:dyDescent="0.25">
      <x:c r="B66" s="303">
        <x:v>1</x:v>
      </x:c>
      <x:c r="C66" s="304" t="s">
        <x:v>10</x:v>
      </x:c>
      <x:c r="D66" s="291">
        <x:f>'Reversion Pagos R4'!D85</x:f>
        <x:v>-1002751.39</x:v>
      </x:c>
      <x:c r="E66" s="292">
        <x:f>'Reversion Pagos R4'!E85</x:f>
        <x:v>-48320.26</x:v>
      </x:c>
      <x:c r="F66" s="292">
        <x:f>'Reversion Pagos R4'!F85</x:f>
        <x:v>-26461.59</x:v>
      </x:c>
      <x:c r="G66" s="292">
        <x:f>'Reversion Pagos R4'!G85</x:f>
        <x:v>-13894.78</x:v>
      </x:c>
      <x:c r="H66" s="292">
        <x:f>'Reversion Pagos R4'!H85</x:f>
        <x:v>-192321.07</x:v>
      </x:c>
      <x:c r="I66" s="292">
        <x:f>'Reversion Pagos R4'!I85</x:f>
        <x:v>-4769.8999999999996</x:v>
      </x:c>
      <x:c r="J66" s="288">
        <x:v>0</x:v>
      </x:c>
      <x:c r="K66" s="293">
        <x:f>D66-E66-F66-G66-H66-I66-J66</x:f>
        <x:v>-716983.78999999992</x:v>
      </x:c>
      <x:c r="L66" s="294">
        <x:v>0</x:v>
      </x:c>
      <x:c r="M66" s="293">
        <x:f>K66-L66</x:f>
        <x:v>-716983.78999999992</x:v>
      </x:c>
      <x:c r="N66" s="294">
        <x:f>'Reversion Pagos R4'!P85</x:f>
        <x:v>0</x:v>
      </x:c>
      <x:c r="O66" s="293">
        <x:f>M66+N66</x:f>
        <x:v>-716983.78999999992</x:v>
      </x:c>
      <x:c r="Q66" s="306"/>
      <x:c r="S66" s="303">
        <x:v>1</x:v>
      </x:c>
      <x:c r="T66" s="304" t="s">
        <x:v>10</x:v>
      </x:c>
      <x:c r="U66" s="307">
        <x:f>'Reversion Pagos R4'!J85</x:f>
        <x:v>-58128.54</x:v>
      </x:c>
      <x:c r="V66" s="308">
        <x:f>'Reversion Pagos R4'!K85</x:f>
        <x:v>-51931.95</x:v>
      </x:c>
      <x:c r="W66" s="308">
        <x:f>'Reversion Pagos R4'!L85</x:f>
        <x:v>-246615.55</x:v>
      </x:c>
      <x:c r="X66" s="308">
        <x:f>'Reversion Pagos R4'!M85</x:f>
        <x:v>-112108.07</x:v>
      </x:c>
      <x:c r="Y66" s="308">
        <x:f>'Reversion Pagos R4'!N85</x:f>
        <x:v>-7782.32</x:v>
      </x:c>
      <x:c r="Z66" s="310">
        <x:f>-L66</x:f>
        <x:v>0</x:v>
      </x:c>
      <x:c r="AA66" s="320">
        <x:f>'Reversion Pagos R4'!O85</x:f>
        <x:v>-10.3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-240407.06</x:v>
      </x:c>
      <x:c r="AE66" s="291">
        <x:f>'Reversion Pagos R4'!D86</x:f>
        <x:v>-240407.06</x:v>
      </x:c>
      <x:c r="AF66" s="313">
        <x:f>SUM(U66:AD66)</x:f>
        <x:v>-716983.79</x:v>
      </x:c>
      <x:c r="AG66" s="311">
        <x:f>(AF66-O66)</x:f>
        <x:v>-1.1641532182693481E-10</x:v>
      </x:c>
      <x:c r="AH66" s="1" t="b">
        <x:f>INT(AG66)=0</x:f>
        <x:v>0</x:v>
      </x:c>
      <x:c r="AI66" s="306"/>
    </x:row>
    <x:row r="67" spans="1:35" s="305" customFormat="1" x14ac:dyDescent="0.25">
      <x:c r="B67" s="314">
        <x:v>2</x:v>
      </x:c>
      <x:c r="C67" s="315" t="s">
        <x:v>11</x:v>
      </x:c>
      <x:c r="D67" s="291">
        <x:f>'Reversion Pagos R4'!D180</x:f>
        <x:v>-290750</x:v>
      </x:c>
      <x:c r="E67" s="292">
        <x:f>'Reversion Pagos R4'!E180</x:f>
        <x:v>-43743.29</x:v>
      </x:c>
      <x:c r="F67" s="292">
        <x:f>'Reversion Pagos R4'!F180</x:f>
        <x:v>-24370.81</x:v>
      </x:c>
      <x:c r="G67" s="292">
        <x:f>'Reversion Pagos R4'!G180</x:f>
        <x:v>-13155.43</x:v>
      </x:c>
      <x:c r="H67" s="292">
        <x:f>'Reversion Pagos R4'!H180</x:f>
        <x:v>-79698.95</x:v>
      </x:c>
      <x:c r="I67" s="292">
        <x:f>'Reversion Pagos R4'!I180</x:f>
        <x:v>-2346.52</x:v>
      </x:c>
      <x:c r="J67" s="288">
        <x:v>0</x:v>
      </x:c>
      <x:c r="K67" s="295">
        <x:f t="shared" ref="K67:K70" si="24">D67-E67-F67-G67-H67-I67-J67</x:f>
        <x:v>-127435</x:v>
      </x:c>
      <x:c r="L67" s="294">
        <x:v>0</x:v>
      </x:c>
      <x:c r="M67" s="295">
        <x:f>K67-L67</x:f>
        <x:v>-127435</x:v>
      </x:c>
      <x:c r="N67" s="294">
        <x:f>'Reversion Pagos R4'!P180</x:f>
        <x:v>0</x:v>
      </x:c>
      <x:c r="O67" s="295">
        <x:f t="shared" ref="O67:O70" si="25">M67+N67</x:f>
        <x:v>-127435</x:v>
      </x:c>
      <x:c r="Q67" s="306"/>
      <x:c r="S67" s="314">
        <x:v>2</x:v>
      </x:c>
      <x:c r="T67" s="315" t="s">
        <x:v>11</x:v>
      </x:c>
      <x:c r="U67" s="316">
        <x:f>'Reversion Pagos R4'!J180</x:f>
        <x:v>-20583.689999999999</x:v>
      </x:c>
      <x:c r="V67" s="317">
        <x:f>'Reversion Pagos R4'!K180</x:f>
        <x:v>-20985.200000000001</x:v>
      </x:c>
      <x:c r="W67" s="317">
        <x:f>'Reversion Pagos R4'!L180</x:f>
        <x:v>-90885.63</x:v>
      </x:c>
      <x:c r="X67" s="317">
        <x:f>'Reversion Pagos R4'!M180</x:f>
        <x:v>-87049.75</x:v>
      </x:c>
      <x:c r="Y67" s="318">
        <x:f>'Reversion Pagos R4'!N180</x:f>
        <x:v>-3406.74</x:v>
      </x:c>
      <x:c r="Z67" s="319">
        <x:f t="shared" ref="Z67:Z70" si="26">-L67</x:f>
        <x:v>0</x:v>
      </x:c>
      <x:c r="AA67" s="320">
        <x:f>'Reversion Pagos R4'!O180</x:f>
        <x:v>4.55</x:v>
      </x:c>
      <x:c r="AB67" s="294">
        <x:f t="shared" ref="AB67:AB70" si="27">N67</x:f>
        <x:v>0</x:v>
      </x:c>
      <x:c r="AC67" s="320">
        <x:f>+'Reversion Pagos R4'!Q180+'Reversion Pagos R4'!R180</x:f>
        <x:v>0</x:v>
      </x:c>
      <x:c r="AD67" s="291">
        <x:f t="shared" ref="AD67:AD70" si="28">-J67+AE67</x:f>
        <x:v>95471.46</x:v>
      </x:c>
      <x:c r="AE67" s="291">
        <x:f>'Reversion Pagos R4'!D181</x:f>
        <x:v>95471.46</x:v>
      </x:c>
      <x:c r="AF67" s="322">
        <x:f>SUM(U67:AD67)</x:f>
        <x:v>-127435.00000000001</x:v>
      </x:c>
      <x:c r="AG67" s="323">
        <x:f>(AF67-O67)</x:f>
        <x:v>-1.4551915228366852E-11</x:v>
      </x:c>
      <x:c r="AH67" s="1" t="b">
        <x:f t="shared" ref="AH67:AH71" si="29">INT(AG67)=0</x:f>
        <x:v>0</x:v>
      </x:c>
      <x:c r="AI67" s="306"/>
    </x:row>
    <x:row r="68" spans="1:35" s="305" customFormat="1" x14ac:dyDescent="0.25">
      <x:c r="B68" s="314">
        <x:v>3</x:v>
      </x:c>
      <x:c r="C68" s="315" t="s">
        <x:v>12</x:v>
      </x:c>
      <x:c r="D68" s="291">
        <x:f>'Reversion Pagos R4'!D217</x:f>
        <x:v>-306659.8</x:v>
      </x:c>
      <x:c r="E68" s="292">
        <x:f>'Reversion Pagos R4'!E217</x:f>
        <x:v>-18693.55</x:v>
      </x:c>
      <x:c r="F68" s="292">
        <x:f>'Reversion Pagos R4'!F217</x:f>
        <x:v>-10379.85</x:v>
      </x:c>
      <x:c r="G68" s="292">
        <x:f>'Reversion Pagos R4'!G217</x:f>
        <x:v>-4689.01</x:v>
      </x:c>
      <x:c r="H68" s="292">
        <x:f>'Reversion Pagos R4'!H217</x:f>
        <x:v>-109918.57</x:v>
      </x:c>
      <x:c r="I68" s="292">
        <x:f>'Reversion Pagos R4'!I217</x:f>
        <x:v>-3364.6</x:v>
      </x:c>
      <x:c r="J68" s="288">
        <x:v>0</x:v>
      </x:c>
      <x:c r="K68" s="295">
        <x:f t="shared" si="24"/>
        <x:v>-159614.22</x:v>
      </x:c>
      <x:c r="L68" s="294">
        <x:v>0</x:v>
      </x:c>
      <x:c r="M68" s="295">
        <x:f>K68-L68</x:f>
        <x:v>-159614.22</x:v>
      </x:c>
      <x:c r="N68" s="294">
        <x:f>'Reversion Pagos R4'!P217</x:f>
        <x:v>0</x:v>
      </x:c>
      <x:c r="O68" s="295">
        <x:f t="shared" si="25"/>
        <x:v>-159614.22</x:v>
      </x:c>
      <x:c r="Q68" s="306"/>
      <x:c r="S68" s="314">
        <x:v>3</x:v>
      </x:c>
      <x:c r="T68" s="315" t="s">
        <x:v>12</x:v>
      </x:c>
      <x:c r="U68" s="316">
        <x:f>'Reversion Pagos R4'!J217</x:f>
        <x:v>-29514.26</x:v>
      </x:c>
      <x:c r="V68" s="317">
        <x:f>'Reversion Pagos R4'!K217</x:f>
        <x:v>-33174.65</x:v>
      </x:c>
      <x:c r="W68" s="317">
        <x:f>'Reversion Pagos R4'!L217</x:f>
        <x:v>-139418.01</x:v>
      </x:c>
      <x:c r="X68" s="317">
        <x:f>'Reversion Pagos R4'!M217</x:f>
        <x:v>-43609.04</x:v>
      </x:c>
      <x:c r="Y68" s="318">
        <x:f>'Reversion Pagos R4'!N217</x:f>
        <x:v>-5073.46</x:v>
      </x:c>
      <x:c r="Z68" s="319">
        <x:f t="shared" si="26"/>
        <x:v>0</x:v>
      </x:c>
      <x:c r="AA68" s="320">
        <x:f>'Reversion Pagos R4'!O217</x:f>
        <x:v>-0.6</x:v>
      </x:c>
      <x:c r="AB68" s="294">
        <x:f t="shared" si="27"/>
        <x:v>0</x:v>
      </x:c>
      <x:c r="AC68" s="320">
        <x:f>+'Reversion Pagos R4'!Q217+'Reversion Pagos R4'!R217</x:f>
        <x:v>0</x:v>
      </x:c>
      <x:c r="AD68" s="291">
        <x:f t="shared" si="28"/>
        <x:v>91175.8</x:v>
      </x:c>
      <x:c r="AE68" s="291">
        <x:f>'Reversion Pagos R4'!D218</x:f>
        <x:v>91175.8</x:v>
      </x:c>
      <x:c r="AF68" s="322">
        <x:f t="shared" ref="AF68:AF70" si="30">SUM(U68:AD68)</x:f>
        <x:v>-159614.22000000003</x:v>
      </x:c>
      <x:c r="AG68" s="323">
        <x:f t="shared" ref="AG68:AG70" si="31">(AF68-O68)</x:f>
        <x:v>-2.9103830456733704E-11</x:v>
      </x:c>
      <x:c r="AH68" s="1" t="b">
        <x:f t="shared" si="29"/>
        <x:v>0</x:v>
      </x:c>
      <x:c r="AI68" s="306"/>
    </x:row>
    <x:row r="69" spans="1:35" s="305" customFormat="1" x14ac:dyDescent="0.25">
      <x:c r="B69" s="314">
        <x:v>4</x:v>
      </x:c>
      <x:c r="C69" s="315" t="s">
        <x:v>13</x:v>
      </x:c>
      <x:c r="D69" s="291">
        <x:f>'Reversion Pagos R4'!D332</x:f>
        <x:v>-3233428.34</x:v>
      </x:c>
      <x:c r="E69" s="292">
        <x:f>'Reversion Pagos R4'!E332</x:f>
        <x:v>-244475.28</x:v>
      </x:c>
      <x:c r="F69" s="292">
        <x:f>'Reversion Pagos R4'!F332</x:f>
        <x:v>-136481.51999999999</x:v>
      </x:c>
      <x:c r="G69" s="292">
        <x:f>'Reversion Pagos R4'!G332</x:f>
        <x:v>-70069.759999999995</x:v>
      </x:c>
      <x:c r="H69" s="292">
        <x:f>'Reversion Pagos R4'!H332</x:f>
        <x:v>-874916.54</x:v>
      </x:c>
      <x:c r="I69" s="292">
        <x:f>'Reversion Pagos R4'!I332</x:f>
        <x:v>-29547.52</x:v>
      </x:c>
      <x:c r="J69" s="288">
        <x:v>0</x:v>
      </x:c>
      <x:c r="K69" s="295">
        <x:f t="shared" si="24"/>
        <x:v>-1877937.7200000002</x:v>
      </x:c>
      <x:c r="L69" s="294">
        <x:v>0</x:v>
      </x:c>
      <x:c r="M69" s="295">
        <x:f>K69-L69</x:f>
        <x:v>-1877937.7200000002</x:v>
      </x:c>
      <x:c r="N69" s="294">
        <x:f>'Reversion Pagos R4'!P332</x:f>
        <x:v>0</x:v>
      </x:c>
      <x:c r="O69" s="295">
        <x:f t="shared" si="25"/>
        <x:v>-1877937.7200000002</x:v>
      </x:c>
      <x:c r="Q69" s="306"/>
      <x:c r="S69" s="314">
        <x:v>4</x:v>
      </x:c>
      <x:c r="T69" s="315" t="s">
        <x:v>13</x:v>
      </x:c>
      <x:c r="U69" s="316">
        <x:f>'Reversion Pagos R4'!J332</x:f>
        <x:v>-287002.90999999997</x:v>
      </x:c>
      <x:c r="V69" s="317">
        <x:f>'Reversion Pagos R4'!K332</x:f>
        <x:v>-286014.33</x:v>
      </x:c>
      <x:c r="W69" s="317">
        <x:f>'Reversion Pagos R4'!L332</x:f>
        <x:v>-1382695.11</x:v>
      </x:c>
      <x:c r="X69" s="317">
        <x:f>'Reversion Pagos R4'!M332</x:f>
        <x:v>-664042.92000000004</x:v>
      </x:c>
      <x:c r="Y69" s="318">
        <x:f>'Reversion Pagos R4'!N332</x:f>
        <x:v>-49987.93</x:v>
      </x:c>
      <x:c r="Z69" s="319">
        <x:f t="shared" si="26"/>
        <x:v>0</x:v>
      </x:c>
      <x:c r="AA69" s="320">
        <x:f>'Reversion Pagos R4'!O332</x:f>
        <x:v>14.81</x:v>
      </x:c>
      <x:c r="AB69" s="294">
        <x:f t="shared" si="27"/>
        <x:v>0</x:v>
      </x:c>
      <x:c r="AC69" s="320">
        <x:f>+'Reversion Pagos R4'!Q332+'Reversion Pagos R4'!R332</x:f>
        <x:v>0</x:v>
      </x:c>
      <x:c r="AD69" s="291">
        <x:f t="shared" si="28"/>
        <x:v>791790.67</x:v>
      </x:c>
      <x:c r="AE69" s="291">
        <x:f>'Reversion Pagos R4'!D333</x:f>
        <x:v>791790.67</x:v>
      </x:c>
      <x:c r="AF69" s="322">
        <x:f>SUM(U69:AD69)</x:f>
        <x:v>-1877937.7200000002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" thickBot="1" x14ac:dyDescent="0.3">
      <x:c r="B70" s="324">
        <x:v>5</x:v>
      </x:c>
      <x:c r="C70" s="325" t="s">
        <x:v>14</x:v>
      </x:c>
      <x:c r="D70" s="296">
        <x:f>'Reversion Pagos R4'!D367</x:f>
        <x:v>-1026775.53</x:v>
      </x:c>
      <x:c r="E70" s="297">
        <x:f>'Reversion Pagos R4'!E367</x:f>
        <x:v>-73382.63</x:v>
      </x:c>
      <x:c r="F70" s="297">
        <x:f>'Reversion Pagos R4'!F367</x:f>
        <x:v>-40062.910000000003</x:v>
      </x:c>
      <x:c r="G70" s="297">
        <x:f>'Reversion Pagos R4'!G367</x:f>
        <x:v>-21037.22</x:v>
      </x:c>
      <x:c r="H70" s="297">
        <x:f>'Reversion Pagos R4'!H367</x:f>
        <x:v>-237911.25</x:v>
      </x:c>
      <x:c r="I70" s="297">
        <x:f>'Reversion Pagos R4'!I367</x:f>
        <x:v>-6630.82</x:v>
      </x:c>
      <x:c r="J70" s="289">
        <x:v>0</x:v>
      </x:c>
      <x:c r="K70" s="295">
        <x:f t="shared" si="24"/>
        <x:v>-647750.70000000007</x:v>
      </x:c>
      <x:c r="L70" s="294">
        <x:v>0</x:v>
      </x:c>
      <x:c r="M70" s="298">
        <x:f>K70-L70</x:f>
        <x:v>-647750.70000000007</x:v>
      </x:c>
      <x:c r="N70" s="294">
        <x:f>'Reversion Pagos R4'!P367</x:f>
        <x:v>0</x:v>
      </x:c>
      <x:c r="O70" s="298">
        <x:f t="shared" si="25"/>
        <x:v>-647750.70000000007</x:v>
      </x:c>
      <x:c r="Q70" s="306"/>
      <x:c r="S70" s="324">
        <x:v>5</x:v>
      </x:c>
      <x:c r="T70" s="325" t="s">
        <x:v>14</x:v>
      </x:c>
      <x:c r="U70" s="296">
        <x:f>'Reversion Pagos R4'!J367</x:f>
        <x:v>-58163.8</x:v>
      </x:c>
      <x:c r="V70" s="297">
        <x:f>'Reversion Pagos R4'!K367</x:f>
        <x:v>-68993.55</x:v>
      </x:c>
      <x:c r="W70" s="297">
        <x:f>'Reversion Pagos R4'!L367</x:f>
        <x:v>-354139.53</x:v>
      </x:c>
      <x:c r="X70" s="297">
        <x:f>'Reversion Pagos R4'!M367</x:f>
        <x:v>-219912.31</x:v>
      </x:c>
      <x:c r="Y70" s="289">
        <x:f>'Reversion Pagos R4'!N367</x:f>
        <x:v>-10818.54</x:v>
      </x:c>
      <x:c r="Z70" s="319">
        <x:f t="shared" si="26"/>
        <x:v>0</x:v>
      </x:c>
      <x:c r="AA70" s="320">
        <x:f>'Reversion Pagos R4'!O367</x:f>
        <x:v>-11.35</x:v>
      </x:c>
      <x:c r="AB70" s="294">
        <x:f t="shared" si="27"/>
        <x:v>0</x:v>
      </x:c>
      <x:c r="AC70" s="320">
        <x:f>+'Reversion Pagos R4'!Q367+'Reversion Pagos R4'!R367</x:f>
        <x:v>0</x:v>
      </x:c>
      <x:c r="AD70" s="291">
        <x:f t="shared" si="28"/>
        <x:v>64288.38</x:v>
      </x:c>
      <x:c r="AE70" s="291">
        <x:f>'Reversion Pagos R4'!D368</x:f>
        <x:v>64288.38</x:v>
      </x:c>
      <x:c r="AF70" s="322">
        <x:f t="shared" si="30"/>
        <x:v>-647750.69999999995</x:v>
      </x:c>
      <x:c r="AG70" s="326">
        <x:f t="shared" si="31"/>
        <x:v>1.1641532182693481E-10</x:v>
      </x:c>
      <x:c r="AH70" s="1" t="b">
        <x:f t="shared" si="29"/>
        <x:v>1</x:v>
      </x:c>
      <x:c r="AI70" s="306"/>
    </x:row>
    <x:row r="71" spans="1:35" s="305" customFormat="1" ht="13.5" thickBot="1" x14ac:dyDescent="0.35">
      <x:c r="B71" s="327"/>
      <x:c r="C71" s="328" t="s">
        <x:v>2</x:v>
      </x:c>
      <x:c r="D71" s="290">
        <x:f t="shared" ref="D71:O71" si="32">SUM(D66:D70)</x:f>
        <x:v>-5860365.0600000005</x:v>
      </x:c>
      <x:c r="E71" s="290">
        <x:f t="shared" si="32"/>
        <x:v>-428615.01</x:v>
      </x:c>
      <x:c r="F71" s="290">
        <x:f t="shared" si="32"/>
        <x:v>-237756.68</x:v>
      </x:c>
      <x:c r="G71" s="290">
        <x:f t="shared" si="32"/>
        <x:v>-122846.2</x:v>
      </x:c>
      <x:c r="H71" s="290">
        <x:f t="shared" si="32"/>
        <x:v>-1494766.3800000001</x:v>
      </x:c>
      <x:c r="I71" s="290">
        <x:f t="shared" si="32"/>
        <x:v>-46659.360000000001</x:v>
      </x:c>
      <x:c r="J71" s="290">
        <x:f t="shared" si="32"/>
        <x:v>0</x:v>
      </x:c>
      <x:c r="K71" s="300">
        <x:f t="shared" si="32"/>
        <x:v>-3529721.43</x:v>
      </x:c>
      <x:c r="L71" s="301">
        <x:f t="shared" si="32"/>
        <x:v>0</x:v>
      </x:c>
      <x:c r="M71" s="302">
        <x:f t="shared" si="32"/>
        <x:v>-3529721.43</x:v>
      </x:c>
      <x:c r="N71" s="301">
        <x:f t="shared" si="32"/>
        <x:v>0</x:v>
      </x:c>
      <x:c r="O71" s="302">
        <x:f t="shared" si="32"/>
        <x:v>-3529721.43</x:v>
      </x:c>
      <x:c r="P71" s="329"/>
      <x:c r="Q71" s="306"/>
      <x:c r="S71" s="327"/>
      <x:c r="T71" s="328" t="s">
        <x:v>2</x:v>
      </x:c>
      <x:c r="U71" s="330">
        <x:f>SUM(U66:U70)</x:f>
        <x:v>-453393.19999999995</x:v>
      </x:c>
      <x:c r="V71" s="330">
        <x:f t="shared" ref="V71:AG71" si="33">SUM(V66:V70)</x:f>
        <x:v>-461099.68</x:v>
      </x:c>
      <x:c r="W71" s="330">
        <x:f t="shared" si="33"/>
        <x:v>-2213753.83</x:v>
      </x:c>
      <x:c r="X71" s="330">
        <x:f t="shared" si="33"/>
        <x:v>-1126722.0900000001</x:v>
      </x:c>
      <x:c r="Y71" s="330">
        <x:f t="shared" si="33"/>
        <x:v>-77068.989999999991</x:v>
      </x:c>
      <x:c r="Z71" s="290">
        <x:f t="shared" si="33"/>
        <x:v>0</x:v>
      </x:c>
      <x:c r="AA71" s="290">
        <x:f>SUM(AA66:AA70)</x:f>
        <x:v>-2.8899999999999988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802319.25000000012</x:v>
      </x:c>
      <x:c r="AE71" s="290">
        <x:f>SUM(AE66:AE70)</x:f>
        <x:v>802319.25000000012</x:v>
      </x:c>
      <x:c r="AF71" s="331">
        <x:f t="shared" si="33"/>
        <x:v>-3529721.4300000006</x:v>
      </x:c>
      <x:c r="AG71" s="332">
        <x:f t="shared" si="33"/>
        <x:v>-4.3655745685100555E-11</x:v>
      </x:c>
      <x:c r="AH71" s="1" t="b">
        <x:f t="shared" si="29"/>
        <x:v>0</x:v>
      </x:c>
      <x:c r="AI71" s="306"/>
    </x:row>
    <x:row r="72" spans="1:35" ht="12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-4332037.79</x:v>
      </x:c>
      <x:c r="AF73" s="1" t="s">
        <x:v>1</x:v>
      </x:c>
      <x:c r="AI73" s="4"/>
    </x:row>
    <x:row r="74" spans="1:35" ht="12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">
      <x:c r="Q77" s="4"/>
      <x:c r="AI77" s="4"/>
    </x:row>
    <x:row r="78" spans="1:35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" x14ac:dyDescent="0.3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5" x14ac:dyDescent="0.3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" x14ac:dyDescent="0.3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5" x14ac:dyDescent="0.35">
      <x:c r="B82" s="8"/>
      <x:c r="C82" s="599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">
      <x:c r="B83" s="8"/>
      <x:c r="C83" s="599" t="s">
        <x:v>0</x:v>
      </x:c>
      <x:c r="D83" s="241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3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3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">
      <x:c r="Q96" s="4"/>
      <x:c r="AI96" s="4"/>
    </x:row>
    <x:row r="97" spans="2:36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" x14ac:dyDescent="0.3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5" x14ac:dyDescent="0.3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" x14ac:dyDescent="0.3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5" x14ac:dyDescent="0.35">
      <x:c r="B101" s="8"/>
      <x:c r="C101" s="599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219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5">
      <x:c r="B102" s="8"/>
      <x:c r="C102" s="599" t="s">
        <x:v>0</x:v>
      </x:c>
      <x:c r="D102" s="241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5">
      <x:c r="B104" s="303">
        <x:v>1</x:v>
      </x:c>
      <x:c r="C104" s="304" t="s">
        <x:v>10</x:v>
      </x:c>
      <x:c r="D104" s="291">
        <x:f t="shared" ref="D104:J108" si="40">D9+D28+D47+D66+D85</x:f>
        <x:v>807049068.57000017</x:v>
      </x:c>
      <x:c r="E104" s="292">
        <x:f t="shared" si="40"/>
        <x:v>99193733.159999996</x:v>
      </x:c>
      <x:c r="F104" s="292">
        <x:f t="shared" si="40"/>
        <x:v>55706578.209999993</x:v>
      </x:c>
      <x:c r="G104" s="292">
        <x:f t="shared" si="40"/>
        <x:v>29360739.059999999</x:v>
      </x:c>
      <x:c r="H104" s="292">
        <x:f t="shared" si="40"/>
        <x:v>53694460.149999999</x:v>
      </x:c>
      <x:c r="I104" s="292">
        <x:f t="shared" si="40"/>
        <x:v>1708389.85</x:v>
      </x:c>
      <x:c r="J104" s="288">
        <x:f t="shared" si="40"/>
        <x:v>0</x:v>
      </x:c>
      <x:c r="K104" s="293">
        <x:f>D104-E104-F104-G104-H104-I104-J104</x:f>
        <x:v>567385168.14000022</x:v>
      </x:c>
      <x:c r="L104" s="294">
        <x:f>L9+L28+L47+L66+L85</x:f>
        <x:v>0</x:v>
      </x:c>
      <x:c r="M104" s="293">
        <x:f>K104-L104</x:f>
        <x:v>567385168.14000022</x:v>
      </x:c>
      <x:c r="N104" s="294">
        <x:f>N9+N28+N47+N66+N85</x:f>
        <x:v>8760824.0099999998</x:v>
      </x:c>
      <x:c r="O104" s="293">
        <x:f>M104+N104</x:f>
        <x:v>576145992.15000021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15073165.450000001</x:v>
      </x:c>
      <x:c r="V104" s="308">
        <x:f t="shared" si="41"/>
        <x:v>18351766.840000004</x:v>
      </x:c>
      <x:c r="W104" s="308">
        <x:f t="shared" si="41"/>
        <x:v>85158116.140000001</x:v>
      </x:c>
      <x:c r="X104" s="308">
        <x:f t="shared" si="41"/>
        <x:v>271402094.66000003</x:v>
      </x:c>
      <x:c r="Y104" s="309">
        <x:f t="shared" si="41"/>
        <x:v>2783141.35</x:v>
      </x:c>
      <x:c r="Z104" s="310">
        <x:f t="shared" si="41"/>
        <x:v>0</x:v>
      </x:c>
      <x:c r="AA104" s="311">
        <x:f t="shared" si="41"/>
        <x:v>-864.44</x:v>
      </x:c>
      <x:c r="AB104" s="294">
        <x:f t="shared" si="41"/>
        <x:v>8760824.0099999998</x:v>
      </x:c>
      <x:c r="AC104" s="312">
        <x:f t="shared" ref="AC104" si="42">AC9+AC28+AC47+AC66+AC85</x:f>
        <x:v>-2114.38</x:v>
      </x:c>
      <x:c r="AD104" s="291">
        <x:f>-J104+AE104</x:f>
        <x:v>174619862.51999998</x:v>
      </x:c>
      <x:c r="AE104" s="291">
        <x:f>AE9+AE28+AE47+AE66+AE85</x:f>
        <x:v>174619862.51999998</x:v>
      </x:c>
      <x:c r="AF104" s="313">
        <x:f>SUM(U104:AD104)</x:f>
        <x:v>576145992.1500001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5">
      <x:c r="B105" s="314">
        <x:v>2</x:v>
      </x:c>
      <x:c r="C105" s="315" t="s">
        <x:v>11</x:v>
      </x:c>
      <x:c r="D105" s="291">
        <x:f t="shared" si="40"/>
        <x:v>1404601147.78</x:v>
      </x:c>
      <x:c r="E105" s="292">
        <x:f t="shared" si="40"/>
        <x:v>183955211.98000002</x:v>
      </x:c>
      <x:c r="F105" s="292">
        <x:f t="shared" si="40"/>
        <x:v>102944599.42999999</x:v>
      </x:c>
      <x:c r="G105" s="292">
        <x:f t="shared" si="40"/>
        <x:v>54335275.669999994</x:v>
      </x:c>
      <x:c r="H105" s="292">
        <x:f t="shared" si="40"/>
        <x:v>214011816.64000002</x:v>
      </x:c>
      <x:c r="I105" s="292">
        <x:f t="shared" si="40"/>
        <x:v>5870826.8500000006</x:v>
      </x:c>
      <x:c r="J105" s="288">
        <x:f t="shared" si="40"/>
        <x:v>0</x:v>
      </x:c>
      <x:c r="K105" s="295">
        <x:f t="shared" ref="K105:K108" si="43">D105-E105-F105-G105-H105-I105-J105</x:f>
        <x:v>843483417.20999992</x:v>
      </x:c>
      <x:c r="L105" s="294">
        <x:f>L10+L29+L48+L67+L86</x:f>
        <x:v>0</x:v>
      </x:c>
      <x:c r="M105" s="295">
        <x:f>K105-L105</x:f>
        <x:v>843483417.20999992</x:v>
      </x:c>
      <x:c r="N105" s="294">
        <x:f>N10+N29+N48+N67+N86</x:f>
        <x:v>29180991.390000001</x:v>
      </x:c>
      <x:c r="O105" s="295">
        <x:f t="shared" ref="O105:O108" si="44">M105+N105</x:f>
        <x:v>872664408.5999999</x:v>
      </x:c>
      <x:c r="Q105" s="306"/>
      <x:c r="S105" s="314">
        <x:v>2</x:v>
      </x:c>
      <x:c r="T105" s="315" t="s">
        <x:v>11</x:v>
      </x:c>
      <x:c r="U105" s="316">
        <x:f t="shared" si="41"/>
        <x:v>51434199.740000002</x:v>
      </x:c>
      <x:c r="V105" s="317">
        <x:f t="shared" si="41"/>
        <x:v>70337397.799999997</x:v>
      </x:c>
      <x:c r="W105" s="317">
        <x:f t="shared" si="41"/>
        <x:v>321021887.77000004</x:v>
      </x:c>
      <x:c r="X105" s="317">
        <x:f t="shared" si="41"/>
        <x:v>381196564.10999995</x:v>
      </x:c>
      <x:c r="Y105" s="318">
        <x:f t="shared" si="41"/>
        <x:v>9471108.7799999993</x:v>
      </x:c>
      <x:c r="Z105" s="319">
        <x:f t="shared" si="41"/>
        <x:v>0</x:v>
      </x:c>
      <x:c r="AA105" s="320">
        <x:f t="shared" si="41"/>
        <x:v>-3277.8299999999995</x:v>
      </x:c>
      <x:c r="AB105" s="294">
        <x:f t="shared" si="41"/>
        <x:v>29180991.390000001</x:v>
      </x:c>
      <x:c r="AC105" s="321">
        <x:f t="shared" ref="AC105" si="45">AC10+AC29+AC48+AC67+AC86</x:f>
        <x:v>-13.53</x:v>
      </x:c>
      <x:c r="AD105" s="291">
        <x:f t="shared" ref="AD105:AD107" si="46">-J105+AE105</x:f>
        <x:v>10025550.370000001</x:v>
      </x:c>
      <x:c r="AE105" s="291">
        <x:f>AE10+AE29+AE48+AE67+AE86</x:f>
        <x:v>10025550.370000001</x:v>
      </x:c>
      <x:c r="AF105" s="322">
        <x:f>SUM(U105:AD105)</x:f>
        <x:v>872664408.60000002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5">
      <x:c r="B106" s="314">
        <x:v>3</x:v>
      </x:c>
      <x:c r="C106" s="315" t="s">
        <x:v>12</x:v>
      </x:c>
      <x:c r="D106" s="291">
        <x:f t="shared" si="40"/>
        <x:v>1245261377.0799999</x:v>
      </x:c>
      <x:c r="E106" s="292">
        <x:f t="shared" si="40"/>
        <x:v>169179321.98000002</x:v>
      </x:c>
      <x:c r="F106" s="292">
        <x:f t="shared" si="40"/>
        <x:v>94674360.829999998</x:v>
      </x:c>
      <x:c r="G106" s="292">
        <x:f t="shared" si="40"/>
        <x:v>50112712.770000003</x:v>
      </x:c>
      <x:c r="H106" s="292">
        <x:f t="shared" si="40"/>
        <x:v>37910837.479999997</x:v>
      </x:c>
      <x:c r="I106" s="292">
        <x:f t="shared" si="40"/>
        <x:v>1165755.6399999999</x:v>
      </x:c>
      <x:c r="J106" s="288">
        <x:f t="shared" si="40"/>
        <x:v>0</x:v>
      </x:c>
      <x:c r="K106" s="295">
        <x:f t="shared" si="43"/>
        <x:v>892218388.37999988</x:v>
      </x:c>
      <x:c r="L106" s="294">
        <x:f>L11+L30+L49+L68+L87</x:f>
        <x:v>0</x:v>
      </x:c>
      <x:c r="M106" s="295">
        <x:f>K106-L106</x:f>
        <x:v>892218388.37999988</x:v>
      </x:c>
      <x:c r="N106" s="294">
        <x:f>N11+N30+N49+N68+N87</x:f>
        <x:v>1311387.82</x:v>
      </x:c>
      <x:c r="O106" s="295">
        <x:f t="shared" si="44"/>
        <x:v>893529776.19999993</x:v>
      </x:c>
      <x:c r="Q106" s="306"/>
      <x:c r="S106" s="314">
        <x:v>3</x:v>
      </x:c>
      <x:c r="T106" s="315" t="s">
        <x:v>12</x:v>
      </x:c>
      <x:c r="U106" s="316">
        <x:f t="shared" si="41"/>
        <x:v>10225267.880000001</x:v>
      </x:c>
      <x:c r="V106" s="317">
        <x:f t="shared" si="41"/>
        <x:v>13794028.73</x:v>
      </x:c>
      <x:c r="W106" s="317">
        <x:f t="shared" si="41"/>
        <x:v>64505492.360000007</x:v>
      </x:c>
      <x:c r="X106" s="317">
        <x:f t="shared" si="41"/>
        <x:v>393819035.60999995</x:v>
      </x:c>
      <x:c r="Y106" s="318">
        <x:f t="shared" si="41"/>
        <x:v>1909745.96</x:v>
      </x:c>
      <x:c r="Z106" s="319">
        <x:f t="shared" si="41"/>
        <x:v>0</x:v>
      </x:c>
      <x:c r="AA106" s="320">
        <x:f t="shared" si="41"/>
        <x:v>-972.41000000000008</x:v>
      </x:c>
      <x:c r="AB106" s="294">
        <x:f t="shared" si="41"/>
        <x:v>1311387.82</x:v>
      </x:c>
      <x:c r="AC106" s="321">
        <x:f t="shared" ref="AC106" si="48">AC11+AC30+AC49+AC68+AC87</x:f>
        <x:v>-11886.56</x:v>
      </x:c>
      <x:c r="AD106" s="291">
        <x:f t="shared" si="46"/>
        <x:v>407977676.81</x:v>
      </x:c>
      <x:c r="AE106" s="291">
        <x:f>AE11+AE30+AE49+AE68+AE87</x:f>
        <x:v>407977676.81</x:v>
      </x:c>
      <x:c r="AF106" s="322">
        <x:f>SUM(U106:AD106)</x:f>
        <x:v>893529776.19999981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5">
      <x:c r="B107" s="314">
        <x:v>4</x:v>
      </x:c>
      <x:c r="C107" s="315" t="s">
        <x:v>13</x:v>
      </x:c>
      <x:c r="D107" s="291">
        <x:f t="shared" si="40"/>
        <x:v>488724679.72000009</x:v>
      </x:c>
      <x:c r="E107" s="292">
        <x:f t="shared" si="40"/>
        <x:v>55203155.700000003</x:v>
      </x:c>
      <x:c r="F107" s="292">
        <x:f t="shared" si="40"/>
        <x:v>30345126.150000002</x:v>
      </x:c>
      <x:c r="G107" s="292">
        <x:f t="shared" si="40"/>
        <x:v>15489479.65</x:v>
      </x:c>
      <x:c r="H107" s="292">
        <x:f t="shared" si="40"/>
        <x:v>57754003.020000003</x:v>
      </x:c>
      <x:c r="I107" s="292">
        <x:f t="shared" si="40"/>
        <x:v>1909778.2499999998</x:v>
      </x:c>
      <x:c r="J107" s="288">
        <x:f t="shared" si="40"/>
        <x:v>0</x:v>
      </x:c>
      <x:c r="K107" s="295">
        <x:f t="shared" si="43"/>
        <x:v>328023136.95000017</x:v>
      </x:c>
      <x:c r="L107" s="294">
        <x:f>L12+L31+L50+L69+L88</x:f>
        <x:v>0</x:v>
      </x:c>
      <x:c r="M107" s="295">
        <x:f>K107-L107</x:f>
        <x:v>328023136.95000017</x:v>
      </x:c>
      <x:c r="N107" s="294">
        <x:f>N12+N31+N50+N69+N88</x:f>
        <x:v>14919457.4</x:v>
      </x:c>
      <x:c r="O107" s="295">
        <x:f t="shared" si="44"/>
        <x:v>342942594.35000014</x:v>
      </x:c>
      <x:c r="Q107" s="306"/>
      <x:c r="S107" s="314">
        <x:v>4</x:v>
      </x:c>
      <x:c r="T107" s="315" t="s">
        <x:v>13</x:v>
      </x:c>
      <x:c r="U107" s="316">
        <x:f t="shared" si="41"/>
        <x:v>18153635.699999999</x:v>
      </x:c>
      <x:c r="V107" s="317">
        <x:f t="shared" si="41"/>
        <x:v>22508162.759999998</x:v>
      </x:c>
      <x:c r="W107" s="317">
        <x:f t="shared" si="41"/>
        <x:v>110934136.67000002</x:v>
      </x:c>
      <x:c r="X107" s="317">
        <x:f t="shared" si="41"/>
        <x:v>146478227.43000004</x:v>
      </x:c>
      <x:c r="Y107" s="318">
        <x:f t="shared" si="41"/>
        <x:v>3110743.9899999998</x:v>
      </x:c>
      <x:c r="Z107" s="319">
        <x:f t="shared" si="41"/>
        <x:v>0</x:v>
      </x:c>
      <x:c r="AA107" s="320">
        <x:f t="shared" si="41"/>
        <x:v>602.99999999999989</x:v>
      </x:c>
      <x:c r="AB107" s="294">
        <x:f t="shared" si="41"/>
        <x:v>14919457.4</x:v>
      </x:c>
      <x:c r="AC107" s="321">
        <x:f t="shared" ref="AC107" si="49">AC12+AC31+AC50+AC69+AC88</x:f>
        <x:v>-80.570000000000007</x:v>
      </x:c>
      <x:c r="AD107" s="291">
        <x:f t="shared" si="46"/>
        <x:v>26837707.969999999</x:v>
      </x:c>
      <x:c r="AE107" s="291">
        <x:f>AE12+AE31+AE50+AE69+AE88</x:f>
        <x:v>26837707.969999999</x:v>
      </x:c>
      <x:c r="AF107" s="322">
        <x:f>SUM(U107:AD107)</x:f>
        <x:v>342942594.35000002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" thickBot="1" x14ac:dyDescent="0.3">
      <x:c r="B108" s="324">
        <x:v>5</x:v>
      </x:c>
      <x:c r="C108" s="325" t="s">
        <x:v>14</x:v>
      </x:c>
      <x:c r="D108" s="296">
        <x:f>D13+D32+D51+D70+D89</x:f>
        <x:v>317721932.47000003</x:v>
      </x:c>
      <x:c r="E108" s="297">
        <x:f t="shared" si="40"/>
        <x:v>31184102.540000003</x:v>
      </x:c>
      <x:c r="F108" s="297">
        <x:f t="shared" si="40"/>
        <x:v>17438110.490000002</x:v>
      </x:c>
      <x:c r="G108" s="297">
        <x:f t="shared" si="40"/>
        <x:v>9129338.4999999981</x:v>
      </x:c>
      <x:c r="H108" s="297">
        <x:f t="shared" si="40"/>
        <x:v>18288367.830000002</x:v>
      </x:c>
      <x:c r="I108" s="297">
        <x:f t="shared" si="40"/>
        <x:v>845568.67</x:v>
      </x:c>
      <x:c r="J108" s="289">
        <x:f t="shared" si="40"/>
        <x:v>0</x:v>
      </x:c>
      <x:c r="K108" s="295">
        <x:f t="shared" si="43"/>
        <x:v>240836444.44</x:v>
      </x:c>
      <x:c r="L108" s="294">
        <x:f>L13+L32+L51+L70+L89</x:f>
        <x:v>0</x:v>
      </x:c>
      <x:c r="M108" s="298">
        <x:f>K108-L108</x:f>
        <x:v>240836444.44</x:v>
      </x:c>
      <x:c r="N108" s="299">
        <x:f>N13+N32+N51+N70+N89</x:f>
        <x:v>6894658.7800000003</x:v>
      </x:c>
      <x:c r="O108" s="298">
        <x:f t="shared" si="44"/>
        <x:v>247731103.22</x:v>
      </x:c>
      <x:c r="Q108" s="306"/>
      <x:c r="S108" s="324">
        <x:v>5</x:v>
      </x:c>
      <x:c r="T108" s="325" t="s">
        <x:v>14</x:v>
      </x:c>
      <x:c r="U108" s="296">
        <x:f t="shared" si="41"/>
        <x:v>7530881.8600000003</x:v>
      </x:c>
      <x:c r="V108" s="297">
        <x:f t="shared" si="41"/>
        <x:v>9040944.5399999991</x:v>
      </x:c>
      <x:c r="W108" s="297">
        <x:f t="shared" si="41"/>
        <x:v>45756182.879999995</x:v>
      </x:c>
      <x:c r="X108" s="297">
        <x:f t="shared" si="41"/>
        <x:v>92948094.320000008</x:v>
      </x:c>
      <x:c r="Y108" s="289">
        <x:f t="shared" si="41"/>
        <x:v>1374403.66</x:v>
      </x:c>
      <x:c r="Z108" s="319">
        <x:f t="shared" si="41"/>
        <x:v>0</x:v>
      </x:c>
      <x:c r="AA108" s="320">
        <x:f t="shared" si="41"/>
        <x:v>-760.25999999999988</x:v>
      </x:c>
      <x:c r="AB108" s="294">
        <x:f t="shared" si="41"/>
        <x:v>6894658.7800000003</x:v>
      </x:c>
      <x:c r="AC108" s="321">
        <x:f t="shared" ref="AC108" si="50">AC13+AC32+AC51+AC70+AC89</x:f>
        <x:v>0.35000000000000003</x:v>
      </x:c>
      <x:c r="AD108" s="291">
        <x:f>-J108+AE108</x:f>
        <x:v>84186697.089999989</x:v>
      </x:c>
      <x:c r="AE108" s="291">
        <x:f>AE13+AE32+AE51+AE70+AE89</x:f>
        <x:v>84186697.089999989</x:v>
      </x:c>
      <x:c r="AF108" s="322">
        <x:f>SUM(U108:AD108)</x:f>
        <x:v>247731103.21999997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35">
      <x:c r="B109" s="327"/>
      <x:c r="C109" s="328" t="s">
        <x:v>2</x:v>
      </x:c>
      <x:c r="D109" s="290">
        <x:f t="shared" ref="D109:O109" si="51">SUM(D104:D108)</x:f>
        <x:v>4263358205.6200008</x:v>
      </x:c>
      <x:c r="E109" s="290">
        <x:f t="shared" si="51"/>
        <x:v>538715525.36000001</x:v>
      </x:c>
      <x:c r="F109" s="290">
        <x:f t="shared" si="51"/>
        <x:v>301108775.10999995</x:v>
      </x:c>
      <x:c r="G109" s="290">
        <x:f t="shared" si="51"/>
        <x:v>158427545.65000001</x:v>
      </x:c>
      <x:c r="H109" s="290">
        <x:f t="shared" si="51"/>
        <x:v>381659485.12</x:v>
      </x:c>
      <x:c r="I109" s="290">
        <x:f t="shared" si="51"/>
        <x:v>11500319.260000002</x:v>
      </x:c>
      <x:c r="J109" s="290">
        <x:f t="shared" si="51"/>
        <x:v>0</x:v>
      </x:c>
      <x:c r="K109" s="300">
        <x:f t="shared" si="51"/>
        <x:v>2871946555.1200004</x:v>
      </x:c>
      <x:c r="L109" s="301">
        <x:f t="shared" si="51"/>
        <x:v>0</x:v>
      </x:c>
      <x:c r="M109" s="302">
        <x:f t="shared" si="51"/>
        <x:v>2871946555.1200004</x:v>
      </x:c>
      <x:c r="N109" s="301">
        <x:f t="shared" si="51"/>
        <x:v>61067319.399999999</x:v>
      </x:c>
      <x:c r="O109" s="302">
        <x:f t="shared" si="51"/>
        <x:v>2933013874.52</x:v>
      </x:c>
      <x:c r="P109" s="329"/>
      <x:c r="Q109" s="306"/>
      <x:c r="S109" s="327"/>
      <x:c r="T109" s="328" t="s">
        <x:v>2</x:v>
      </x:c>
      <x:c r="U109" s="330">
        <x:f>SUM(U104:U108)</x:f>
        <x:v>102417150.63000001</x:v>
      </x:c>
      <x:c r="V109" s="330">
        <x:f t="shared" ref="V109:AF109" si="52">SUM(V104:V108)</x:f>
        <x:v>134032300.66999999</x:v>
      </x:c>
      <x:c r="W109" s="330">
        <x:f t="shared" si="52"/>
        <x:v>627375815.82000005</x:v>
      </x:c>
      <x:c r="X109" s="330">
        <x:f t="shared" si="52"/>
        <x:v>1285844016.1299999</x:v>
      </x:c>
      <x:c r="Y109" s="330">
        <x:f t="shared" si="52"/>
        <x:v>18649143.739999998</x:v>
      </x:c>
      <x:c r="Z109" s="290">
        <x:f t="shared" si="52"/>
        <x:v>0</x:v>
      </x:c>
      <x:c r="AA109" s="290">
        <x:f t="shared" si="52"/>
        <x:v>-5271.94</x:v>
      </x:c>
      <x:c r="AB109" s="470">
        <x:f t="shared" si="52"/>
        <x:v>61067319.399999999</x:v>
      </x:c>
      <x:c r="AC109" s="290">
        <x:f t="shared" ref="AC109" si="53">SUM(AC104:AC108)</x:f>
        <x:v>-14094.689999999999</x:v>
      </x:c>
      <x:c r="AD109" s="290">
        <x:f t="shared" si="52"/>
        <x:v>703647494.76000011</x:v>
      </x:c>
      <x:c r="AE109" s="290">
        <x:f>SUM(AE104:AE108)</x:f>
        <x:v>703647494.76000011</x:v>
      </x:c>
      <x:c r="AF109" s="331">
        <x:f t="shared" si="52"/>
        <x:v>2933013874.5199995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2168318426.9899998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">
      <x:c r="Q115" s="4"/>
    </x:row>
    <x:row r="116" spans="1:35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" x14ac:dyDescent="0.3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5" x14ac:dyDescent="0.3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5">
      <x:c r="B120" s="8"/>
      <x:c r="I120" s="2"/>
      <x:c r="J120" s="2"/>
      <x:c r="O120" s="10"/>
      <x:c r="P120" s="2"/>
      <x:c r="Q120" s="4"/>
    </x:row>
    <x:row r="121" spans="1:35" ht="15.5" x14ac:dyDescent="0.3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5" thickBot="1" x14ac:dyDescent="0.3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5">
      <x:c r="B125" s="334">
        <x:v>1</x:v>
      </x:c>
      <x:c r="C125" s="335" t="s">
        <x:v>10</x:v>
      </x:c>
      <x:c r="D125" s="308">
        <x:f>'ANTICIPOS USUARIOS'!O3</x:f>
        <x:v>17358483.629999999</x:v>
      </x:c>
      <x:c r="E125" s="309">
        <x:v>0</x:v>
      </x:c>
      <x:c r="G125" s="336">
        <x:f>D47+N47</x:f>
        <x:v>0</x:v>
      </x:c>
      <x:c r="H125" s="310">
        <x:f>D28+N28</x:f>
        <x:v>28857410.600000001</x:v>
      </x:c>
      <x:c r="I125" s="309">
        <x:f>D85+N85</x:f>
        <x:v>0</x:v>
      </x:c>
      <x:c r="J125" s="309">
        <x:f>D66+N66</x:f>
        <x:v>-1002751.39</x:v>
      </x:c>
      <x:c r="K125" s="309">
        <x:f>'ANTICIPOS USUARIOS'!O12</x:f>
        <x:v>82340</x:v>
      </x:c>
      <x:c r="L125" s="309">
        <x:f>-'ANTICIPOS USUARIOS'!O21</x:f>
        <x:v>165648.60999999999</x:v>
      </x:c>
      <x:c r="O125" s="337"/>
      <x:c r="Q125" s="306"/>
    </x:row>
    <x:row r="126" spans="1:35" s="305" customFormat="1" x14ac:dyDescent="0.25">
      <x:c r="B126" s="314">
        <x:v>2</x:v>
      </x:c>
      <x:c r="C126" s="338" t="s">
        <x:v>11</x:v>
      </x:c>
      <x:c r="D126" s="292">
        <x:f>'ANTICIPOS USUARIOS'!O4</x:f>
        <x:v>79433109</x:v>
      </x:c>
      <x:c r="E126" s="288">
        <x:v>0</x:v>
      </x:c>
      <x:c r="G126" s="339">
        <x:f>D48+N48</x:f>
        <x:v>111210</x:v>
      </x:c>
      <x:c r="H126" s="340">
        <x:f>D29+N29</x:f>
        <x:v>87448610.169999987</x:v>
      </x:c>
      <x:c r="I126" s="288">
        <x:f>D86+N86</x:f>
        <x:v>0</x:v>
      </x:c>
      <x:c r="J126" s="288">
        <x:f t="shared" ref="J126:J129" si="54">D67+N67</x:f>
        <x:v>-290750</x:v>
      </x:c>
      <x:c r="K126" s="288">
        <x:f>'ANTICIPOS USUARIOS'!O13</x:f>
        <x:v>1370</x:v>
      </x:c>
      <x:c r="L126" s="288">
        <x:f>-'ANTICIPOS USUARIOS'!O22</x:f>
        <x:v>0</x:v>
      </x:c>
      <x:c r="O126" s="337"/>
      <x:c r="Q126" s="306"/>
    </x:row>
    <x:row r="127" spans="1:35" s="305" customFormat="1" x14ac:dyDescent="0.25">
      <x:c r="B127" s="314">
        <x:v>3</x:v>
      </x:c>
      <x:c r="C127" s="338" t="s">
        <x:v>12</x:v>
      </x:c>
      <x:c r="D127" s="292">
        <x:f>'ANTICIPOS USUARIOS'!O5</x:f>
        <x:v>14844502.92</x:v>
      </x:c>
      <x:c r="E127" s="288">
        <x:v>0</x:v>
      </x:c>
      <x:c r="G127" s="339">
        <x:f>D49+N49</x:f>
        <x:v>0</x:v>
      </x:c>
      <x:c r="H127" s="340">
        <x:f>D30+N30</x:f>
        <x:v>16553408.619999999</x:v>
      </x:c>
      <x:c r="I127" s="288">
        <x:f>D87+N87</x:f>
        <x:v>0</x:v>
      </x:c>
      <x:c r="J127" s="288">
        <x:f t="shared" si="54"/>
        <x:v>-306659.8</x:v>
      </x:c>
      <x:c r="K127" s="288">
        <x:f>'ANTICIPOS USUARIOS'!O14</x:f>
        <x:v>0</x:v>
      </x:c>
      <x:c r="L127" s="288">
        <x:f>-'ANTICIPOS USUARIOS'!O23</x:f>
        <x:v>2343750.2000000002</x:v>
      </x:c>
      <x:c r="O127" s="337"/>
      <x:c r="Q127" s="306"/>
    </x:row>
    <x:row r="128" spans="1:35" s="305" customFormat="1" x14ac:dyDescent="0.25">
      <x:c r="B128" s="314">
        <x:v>4</x:v>
      </x:c>
      <x:c r="C128" s="338" t="s">
        <x:v>13</x:v>
      </x:c>
      <x:c r="D128" s="292">
        <x:f>'ANTICIPOS USUARIOS'!O6</x:f>
        <x:v>14631795.34</x:v>
      </x:c>
      <x:c r="E128" s="288">
        <x:v>0</x:v>
      </x:c>
      <x:c r="G128" s="339">
        <x:f>D50+N50</x:f>
        <x:v>691194</x:v>
      </x:c>
      <x:c r="H128" s="340">
        <x:f>D31+N31</x:f>
        <x:v>34178649.799999997</x:v>
      </x:c>
      <x:c r="I128" s="288">
        <x:f>D88+N88</x:f>
        <x:v>0</x:v>
      </x:c>
      <x:c r="J128" s="288">
        <x:f t="shared" si="54"/>
        <x:v>-3233428.34</x:v>
      </x:c>
      <x:c r="K128" s="288">
        <x:f>'ANTICIPOS USUARIOS'!O15</x:f>
        <x:v>2209000</x:v>
      </x:c>
      <x:c r="L128" s="288">
        <x:f>-'ANTICIPOS USUARIOS'!O24</x:f>
        <x:v>14593375.66</x:v>
      </x:c>
      <x:c r="O128" s="337"/>
      <x:c r="Q128" s="306"/>
    </x:row>
    <x:row r="129" spans="1:18" s="305" customFormat="1" x14ac:dyDescent="0.25">
      <x:c r="B129" s="341">
        <x:v>5</x:v>
      </x:c>
      <x:c r="C129" s="342" t="s">
        <x:v>14</x:v>
      </x:c>
      <x:c r="D129" s="292">
        <x:f>'ANTICIPOS USUARIOS'!O7</x:f>
        <x:v>10604847.960000001</x:v>
      </x:c>
      <x:c r="E129" s="344">
        <x:v>0</x:v>
      </x:c>
      <x:c r="G129" s="339">
        <x:f>D51+N51</x:f>
        <x:v>441849</x:v>
      </x:c>
      <x:c r="H129" s="340">
        <x:f>D32+N32</x:f>
        <x:v>14307244.74</x:v>
      </x:c>
      <x:c r="I129" s="288">
        <x:f>D89+N89</x:f>
        <x:v>0</x:v>
      </x:c>
      <x:c r="J129" s="288">
        <x:f t="shared" si="54"/>
        <x:v>-1026775.53</x:v>
      </x:c>
      <x:c r="K129" s="288">
        <x:f>'ANTICIPOS USUARIOS'!O16</x:f>
        <x:v>87550</x:v>
      </x:c>
      <x:c r="L129" s="288">
        <x:f>-'ANTICIPOS USUARIOS'!O25</x:f>
        <x:v>165773.47</x:v>
      </x:c>
      <x:c r="O129" s="337"/>
      <x:c r="Q129" s="306"/>
    </x:row>
    <x:row r="130" spans="1:18" s="305" customFormat="1" ht="12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" thickBot="1" x14ac:dyDescent="0.3">
      <x:c r="B131" s="348"/>
      <x:c r="C131" s="349" t="s">
        <x:v>2</x:v>
      </x:c>
      <x:c r="D131" s="350">
        <x:f>SUM(D125:D130)</x:f>
        <x:v>136872738.84999999</x:v>
      </x:c>
      <x:c r="E131" s="350">
        <x:f>SUM(E125:E130)</x:f>
        <x:v>0</x:v>
      </x:c>
      <x:c r="F131" s="351"/>
      <x:c r="G131" s="350">
        <x:f t="shared" ref="G131" si="55">SUM(G125:G129)</x:f>
        <x:v>1244253</x:v>
      </x:c>
      <x:c r="H131" s="350">
        <x:f>SUM(H125:H130)</x:f>
        <x:v>181345323.93000001</x:v>
      </x:c>
      <x:c r="I131" s="350">
        <x:f>SUM(I125:I130)</x:f>
        <x:v>0</x:v>
      </x:c>
      <x:c r="J131" s="350">
        <x:f>SUM(J125:J130)</x:f>
        <x:v>-5860365.0600000005</x:v>
      </x:c>
      <x:c r="K131" s="350">
        <x:f>SUM(K125:K130)</x:f>
        <x:v>2380260</x:v>
      </x:c>
      <x:c r="L131" s="350">
        <x:f>SUM(L125:L130)</x:f>
        <x:v>17268547.939999998</x:v>
      </x:c>
      <x:c r="M131" s="351"/>
      <x:c r="N131" s="351"/>
      <x:c r="O131" s="352"/>
      <x:c r="P131" s="329"/>
      <x:c r="Q131" s="306"/>
    </x:row>
    <x:row r="132" spans="1:18" x14ac:dyDescent="0.25">
      <x:c r="B132" s="2"/>
      <x:c r="C132" s="2"/>
      <x:c r="D132" s="24"/>
      <x:c r="Q132" s="4"/>
    </x:row>
    <x:row r="133" spans="1:18" x14ac:dyDescent="0.25">
      <x:c r="B133" s="2"/>
      <x:c r="C133" s="2"/>
      <x:c r="D133" s="24"/>
      <x:c r="L133" s="1" t="s">
        <x:v>1</x:v>
      </x:c>
      <x:c r="Q133" s="4"/>
    </x:row>
    <x:row r="134" spans="1:18" ht="12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6.5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5">
      <x:c r="B142" s="108">
        <x:v>1</x:v>
      </x:c>
      <x:c r="C142" s="109" t="s">
        <x:v>10</x:v>
      </x:c>
      <x:c r="D142" s="110">
        <x:f>D104+N104+D125+E125</x:f>
        <x:v>833168376.21000016</x:v>
      </x:c>
      <x:c r="E142" s="110">
        <x:f>'Recaudo Directa Occidente'!F21</x:f>
        <x:v>805313717</x:v>
      </x:c>
      <x:c r="F142" s="110">
        <x:f>D28+N28</x:f>
        <x:v>28857410.600000001</x:v>
      </x:c>
      <x:c r="G142" s="110">
        <x:f>D66+N66</x:f>
        <x:v>-1002751.39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28857410.600000001</x:v>
      </x:c>
      <x:c r="L142" s="525">
        <x:f>D142-E142-F142-G142-J142-H142-I142</x:f>
        <x:v>1.5588011592626572E-7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5">
      <x:c r="B143" s="16">
        <x:v>2</x:v>
      </x:c>
      <x:c r="C143" s="17" t="s">
        <x:v>11</x:v>
      </x:c>
      <x:c r="D143" s="18">
        <x:f>D105+N105+D126+E126</x:f>
        <x:v>1513215248.1700001</x:v>
      </x:c>
      <x:c r="E143" s="18">
        <x:f>'Recaudo Directa Occidente'!F22</x:f>
        <x:v>1425946178</x:v>
      </x:c>
      <x:c r="F143" s="18">
        <x:f>D29+N29</x:f>
        <x:v>87448610.169999987</x:v>
      </x:c>
      <x:c r="G143" s="18">
        <x:f>D67+N67</x:f>
        <x:v>-290750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111210</x:v>
      </x:c>
      <x:c r="K143" s="83">
        <x:f t="shared" si="56"/>
        <x:v>87448610.169999987</x:v>
      </x:c>
      <x:c r="L143" s="525">
        <x:f>D143-E143-F143-G143-J143-H143-I143</x:f>
        <x:v>8.9406967163085938E-8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5">
      <x:c r="B144" s="16">
        <x:v>3</x:v>
      </x:c>
      <x:c r="C144" s="17" t="s">
        <x:v>12</x:v>
      </x:c>
      <x:c r="D144" s="18">
        <x:f>D106+N106+D127+E127</x:f>
        <x:v>1261417267.8199999</x:v>
      </x:c>
      <x:c r="E144" s="18">
        <x:f>'Recaudo Directa Occidente'!F23</x:f>
        <x:v>1245170519</x:v>
      </x:c>
      <x:c r="F144" s="18">
        <x:f>D30+N30</x:f>
        <x:v>16553408.619999999</x:v>
      </x:c>
      <x:c r="G144" s="18">
        <x:f>D68+N68</x:f>
        <x:v>-306659.8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16553408.619999999</x:v>
      </x:c>
      <x:c r="L144" s="525">
        <x:f>D144-E144-F144-G144-J144-H144-I144</x:f>
        <x:v>-6.5949279814958572E-8</x:v>
      </x:c>
      <x:c r="M144" s="1" t="b">
        <x:f t="shared" si="57"/>
        <x:v>0</x:v>
      </x:c>
      <x:c r="O144" s="55"/>
      <x:c r="P144" s="24"/>
      <x:c r="Q144" s="35"/>
      <x:c r="R144" s="24"/>
    </x:row>
    <x:row r="145" spans="1:20" x14ac:dyDescent="0.25">
      <x:c r="B145" s="16">
        <x:v>4</x:v>
      </x:c>
      <x:c r="C145" s="17" t="s">
        <x:v>13</x:v>
      </x:c>
      <x:c r="D145" s="18">
        <x:f>D107+N107+D128+E128</x:f>
        <x:v>518275932.46000004</x:v>
      </x:c>
      <x:c r="E145" s="18">
        <x:f>'Recaudo Directa Occidente'!F24</x:f>
        <x:v>486639517</x:v>
      </x:c>
      <x:c r="F145" s="18">
        <x:f>D31+N31</x:f>
        <x:v>34178649.799999997</x:v>
      </x:c>
      <x:c r="G145" s="18">
        <x:f>D69+N69</x:f>
        <x:v>-3233428.34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691194</x:v>
      </x:c>
      <x:c r="K145" s="83">
        <x:f t="shared" si="56"/>
        <x:v>34178649.799999997</x:v>
      </x:c>
      <x:c r="L145" s="525">
        <x:f>D145-E145-F145-G145-J145-H145-I145</x:f>
        <x:v>4.0978193283081055E-8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" thickBot="1" x14ac:dyDescent="0.3">
      <x:c r="B146" s="133">
        <x:v>5</x:v>
      </x:c>
      <x:c r="C146" s="138" t="s">
        <x:v>14</x:v>
      </x:c>
      <x:c r="D146" s="134">
        <x:f>D108+N108+D129+E129</x:f>
        <x:v>335221439.20999998</x:v>
      </x:c>
      <x:c r="E146" s="18">
        <x:f>'Recaudo Directa Occidente'!F25</x:f>
        <x:v>321499121</x:v>
      </x:c>
      <x:c r="F146" s="134">
        <x:f>D32+N32</x:f>
        <x:v>14307244.74</x:v>
      </x:c>
      <x:c r="G146" s="134">
        <x:f>D70+N70</x:f>
        <x:v>-1026775.53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441849</x:v>
      </x:c>
      <x:c r="K146" s="136">
        <x:f t="shared" si="56"/>
        <x:v>14307244.74</x:v>
      </x:c>
      <x:c r="L146" s="525">
        <x:f>D146-E146-F146-G146-J146-H146-I146</x:f>
        <x:v>-2.1653249859809875E-8</x:v>
      </x:c>
      <x:c r="M146" s="1" t="b">
        <x:f t="shared" si="57"/>
        <x:v>0</x:v>
      </x:c>
      <x:c r="O146" s="55"/>
      <x:c r="P146" s="24"/>
      <x:c r="Q146" s="35"/>
      <x:c r="R146" s="24"/>
    </x:row>
    <x:row r="147" spans="1:20" ht="12" thickBot="1" x14ac:dyDescent="0.3">
      <x:c r="B147" s="21"/>
      <x:c r="C147" s="22" t="s">
        <x:v>2</x:v>
      </x:c>
      <x:c r="D147" s="47">
        <x:f>SUM(D142:D146)</x:f>
        <x:v>4461298263.8699999</x:v>
      </x:c>
      <x:c r="E147" s="47">
        <x:f>SUM(E142:E146)</x:f>
        <x:v>4284569052</x:v>
      </x:c>
      <x:c r="F147" s="47">
        <x:f t="shared" ref="F147:K147" si="58">SUM(F142:F146)</x:f>
        <x:v>181345323.93000001</x:v>
      </x:c>
      <x:c r="G147" s="47">
        <x:f t="shared" si="58"/>
        <x:v>-5860365.0600000005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1244253</x:v>
      </x:c>
      <x:c r="K147" s="47">
        <x:f t="shared" si="58"/>
        <x:v>181345323.93000001</x:v>
      </x:c>
      <x:c r="L147" s="525">
        <x:f>SUM(L142:L146)</x:f>
        <x:v>1.9866274669766426E-7</x:v>
      </x:c>
      <x:c r="M147" s="1" t="b">
        <x:f t="shared" si="57"/>
        <x:v>1</x:v>
      </x:c>
      <x:c r="P147" s="24"/>
      <x:c r="Q147" s="35"/>
      <x:c r="R147" s="24"/>
    </x:row>
    <x:row r="148" spans="1:20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5">
      <x:c r="N152" s="24"/>
      <x:c r="O152" s="24"/>
      <x:c r="Q152" s="24"/>
      <x:c r="T152" s="24"/>
    </x:row>
    <x:row r="153" spans="1:20" x14ac:dyDescent="0.25">
      <x:c r="N153" s="24"/>
      <x:c r="O153" s="24"/>
      <x:c r="Q153" s="24"/>
      <x:c r="T153" s="24"/>
    </x:row>
    <x:row r="154" spans="1:20" x14ac:dyDescent="0.25">
      <x:c r="E154" s="305"/>
      <x:c r="N154" s="24"/>
      <x:c r="O154" s="24"/>
      <x:c r="Q154" s="24"/>
      <x:c r="T154" s="24"/>
    </x:row>
    <x:row r="155" spans="1:20" x14ac:dyDescent="0.25">
      <x:c r="E155" s="305"/>
      <x:c r="N155" s="24"/>
      <x:c r="O155" s="24"/>
      <x:c r="Q155" s="24"/>
      <x:c r="T155" s="24"/>
    </x:row>
    <x:row r="156" spans="1:20" x14ac:dyDescent="0.25">
      <x:c r="E156" s="305"/>
      <x:c r="N156" s="24"/>
      <x:c r="O156" s="24"/>
      <x:c r="Q156" s="24"/>
      <x:c r="T156" s="24"/>
    </x:row>
    <x:row r="157" spans="1:20" x14ac:dyDescent="0.25">
      <x:c r="E157" s="55"/>
      <x:c r="N157" s="24"/>
      <x:c r="O157" s="24"/>
      <x:c r="Q157" s="24"/>
      <x:c r="T157" s="24"/>
    </x:row>
    <x:row r="158" spans="1:20" x14ac:dyDescent="0.25">
      <x:c r="N158" s="24"/>
      <x:c r="O158" s="24"/>
      <x:c r="Q158" s="24"/>
      <x:c r="T158" s="24"/>
    </x:row>
    <x:row r="159" spans="1:20" x14ac:dyDescent="0.25">
      <x:c r="N159" s="24"/>
      <x:c r="O159" s="24"/>
      <x:c r="Q159" s="24"/>
      <x:c r="T159" s="24"/>
    </x:row>
    <x:row r="160" spans="1:20" x14ac:dyDescent="0.25">
      <x:c r="N160" s="24"/>
      <x:c r="O160" s="24"/>
      <x:c r="Q160" s="24"/>
      <x:c r="T160" s="24"/>
    </x:row>
    <x:row r="161" spans="14:20" x14ac:dyDescent="0.25">
      <x:c r="N161" s="24"/>
      <x:c r="O161" s="24"/>
      <x:c r="Q161" s="24"/>
      <x:c r="T161" s="24"/>
    </x:row>
    <x:row r="162" spans="14:20" x14ac:dyDescent="0.25">
      <x:c r="N162" s="24"/>
      <x:c r="O162" s="24"/>
      <x:c r="Q162" s="24"/>
      <x:c r="T162" s="24"/>
    </x:row>
    <x:row r="163" spans="14:20" x14ac:dyDescent="0.25">
      <x:c r="N163" s="24"/>
      <x:c r="O163" s="24"/>
      <x:c r="Q163" s="24"/>
      <x:c r="T163" s="24"/>
    </x:row>
    <x:row r="164" spans="14:20" x14ac:dyDescent="0.25">
      <x:c r="Q164" s="24"/>
      <x:c r="T164" s="24"/>
    </x:row>
    <x:row r="165" spans="14:20" x14ac:dyDescent="0.25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8" sqref="D8"/>
    </x:sheetView>
  </x:sheetViews>
  <x:sheetFormatPr baseColWidth="10" defaultRowHeight="12.5" x14ac:dyDescent="0.25"/>
  <x:cols>
    <x:col min="1" max="1" width="3" customWidth="1"/>
    <x:col min="2" max="2" width="4.1796875" bestFit="1" customWidth="1"/>
    <x:col min="3" max="3" width="16.81640625" customWidth="1"/>
    <x:col min="4" max="4" width="14.1796875" customWidth="1"/>
    <x:col min="5" max="7" width="17.81640625" customWidth="1"/>
    <x:col min="8" max="8" width="18.1796875" customWidth="1"/>
    <x:col min="9" max="9" width="15.81640625" customWidth="1"/>
    <x:col min="10" max="10" width="16.453125" customWidth="1"/>
    <x:col min="11" max="11" width="15.81640625" customWidth="1"/>
    <x:col min="12" max="13" width="18.1796875" customWidth="1"/>
    <x:col min="14" max="14" width="15.81640625" customWidth="1"/>
    <x:col min="15" max="15" width="14.1796875" customWidth="1"/>
    <x:col min="16" max="16" width="14.453125" customWidth="1"/>
  </x:cols>
  <x:sheetData>
    <x:row r="1" spans="2:16" ht="13" thickBot="1" x14ac:dyDescent="0.3"/>
    <x:row r="2" spans="2:16" ht="35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805313717</x:v>
      </x:c>
      <x:c r="D3" s="292">
        <x:f>'REMUNERACION_OCCIDENTE_ Directa'!G125</x:f>
        <x:v>0</x:v>
      </x:c>
      <x:c r="E3" s="292">
        <x:f>'REMUNERACION_OCCIDENTE_ Directa'!D28+'REMUNERACION_OCCIDENTE_ Directa'!N28</x:f>
        <x:v>28857410.600000001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834171127.60000002</x:v>
      </x:c>
      <x:c r="I3" s="291">
        <x:f>'REMUNERACION_OCCIDENTE_ Directa'!D104</x:f>
        <x:v>807049068.57000017</x:v>
      </x:c>
      <x:c r="J3" s="292">
        <x:f>'REMUNERACION_OCCIDENTE_ Directa'!N104</x:f>
        <x:v>8760824.0099999998</x:v>
      </x:c>
      <x:c r="K3" s="292">
        <x:f>'REMUNERACION_OCCIDENTE_ Directa'!D125</x:f>
        <x:v>17358483.629999999</x:v>
      </x:c>
      <x:c r="L3" s="353">
        <x:f>'REMUNERACION_OCCIDENTE_ Directa'!E125</x:f>
        <x:v>0</x:v>
      </x:c>
      <x:c r="M3" s="292">
        <x:f>-'REMUNERACION_OCCIDENTE_ Directa'!D66-'REMUNERACION_OCCIDENTE_ Directa'!N66</x:f>
        <x:v>1002751.39</x:v>
      </x:c>
      <x:c r="N3" s="288">
        <x:f>SUM(I3:M3)</x:f>
        <x:v>834171127.60000014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1425946178</x:v>
      </x:c>
      <x:c r="D4" s="292">
        <x:f>'REMUNERACION_OCCIDENTE_ Directa'!G126</x:f>
        <x:v>111210</x:v>
      </x:c>
      <x:c r="E4" s="292">
        <x:f>'REMUNERACION_OCCIDENTE_ Directa'!D29+'REMUNERACION_OCCIDENTE_ Directa'!N29</x:f>
        <x:v>87448610.169999987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1513505998.1700001</x:v>
      </x:c>
      <x:c r="I4" s="291">
        <x:f>'REMUNERACION_OCCIDENTE_ Directa'!D105</x:f>
        <x:v>1404601147.78</x:v>
      </x:c>
      <x:c r="J4" s="292">
        <x:f>'REMUNERACION_OCCIDENTE_ Directa'!N105</x:f>
        <x:v>29180991.390000001</x:v>
      </x:c>
      <x:c r="K4" s="292">
        <x:f>'REMUNERACION_OCCIDENTE_ Directa'!D126</x:f>
        <x:v>79433109</x:v>
      </x:c>
      <x:c r="L4" s="353">
        <x:f>'REMUNERACION_OCCIDENTE_ Directa'!E126</x:f>
        <x:v>0</x:v>
      </x:c>
      <x:c r="M4" s="292">
        <x:f>-'REMUNERACION_OCCIDENTE_ Directa'!D67-'REMUNERACION_OCCIDENTE_ Directa'!N67</x:f>
        <x:v>290750</x:v>
      </x:c>
      <x:c r="N4" s="318">
        <x:f>SUM(I4:M4)</x:f>
        <x:v>1513505998.1700001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1245170519</x:v>
      </x:c>
      <x:c r="D5" s="292">
        <x:f>'REMUNERACION_OCCIDENTE_ Directa'!G127</x:f>
        <x:v>0</x:v>
      </x:c>
      <x:c r="E5" s="292">
        <x:f>'REMUNERACION_OCCIDENTE_ Directa'!D30+'REMUNERACION_OCCIDENTE_ Directa'!N30</x:f>
        <x:v>16553408.619999999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1261723927.6199999</x:v>
      </x:c>
      <x:c r="I5" s="291">
        <x:f>'REMUNERACION_OCCIDENTE_ Directa'!D106</x:f>
        <x:v>1245261377.0799999</x:v>
      </x:c>
      <x:c r="J5" s="292">
        <x:f>'REMUNERACION_OCCIDENTE_ Directa'!N106</x:f>
        <x:v>1311387.82</x:v>
      </x:c>
      <x:c r="K5" s="292">
        <x:f>'REMUNERACION_OCCIDENTE_ Directa'!D127</x:f>
        <x:v>14844502.92</x:v>
      </x:c>
      <x:c r="L5" s="353">
        <x:f>'REMUNERACION_OCCIDENTE_ Directa'!E127</x:f>
        <x:v>0</x:v>
      </x:c>
      <x:c r="M5" s="292">
        <x:f>-'REMUNERACION_OCCIDENTE_ Directa'!D68-'REMUNERACION_OCCIDENTE_ Directa'!N68</x:f>
        <x:v>306659.8</x:v>
      </x:c>
      <x:c r="N5" s="318">
        <x:f>SUM(I5:M5)</x:f>
        <x:v>1261723927.6199999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486639517</x:v>
      </x:c>
      <x:c r="D6" s="292">
        <x:f>'REMUNERACION_OCCIDENTE_ Directa'!G128</x:f>
        <x:v>691194</x:v>
      </x:c>
      <x:c r="E6" s="292">
        <x:f>'REMUNERACION_OCCIDENTE_ Directa'!D31+'REMUNERACION_OCCIDENTE_ Directa'!N31</x:f>
        <x:v>34178649.799999997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521509360.80000001</x:v>
      </x:c>
      <x:c r="I6" s="291">
        <x:f>'REMUNERACION_OCCIDENTE_ Directa'!D107</x:f>
        <x:v>488724679.72000009</x:v>
      </x:c>
      <x:c r="J6" s="292">
        <x:f>'REMUNERACION_OCCIDENTE_ Directa'!N107</x:f>
        <x:v>14919457.4</x:v>
      </x:c>
      <x:c r="K6" s="292">
        <x:f>'REMUNERACION_OCCIDENTE_ Directa'!D128</x:f>
        <x:v>14631795.34</x:v>
      </x:c>
      <x:c r="L6" s="353">
        <x:f>'REMUNERACION_OCCIDENTE_ Directa'!E128</x:f>
        <x:v>0</x:v>
      </x:c>
      <x:c r="M6" s="292">
        <x:f>-'REMUNERACION_OCCIDENTE_ Directa'!D69-'REMUNERACION_OCCIDENTE_ Directa'!N69</x:f>
        <x:v>3233428.34</x:v>
      </x:c>
      <x:c r="N6" s="318">
        <x:f t="shared" ref="N6:N7" si="3">SUM(I6:M6)</x:f>
        <x:v>521509360.80000001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321499121</x:v>
      </x:c>
      <x:c r="D7" s="292">
        <x:f>'REMUNERACION_OCCIDENTE_ Directa'!G129</x:f>
        <x:v>441849</x:v>
      </x:c>
      <x:c r="E7" s="292">
        <x:f>'REMUNERACION_OCCIDENTE_ Directa'!D32+'REMUNERACION_OCCIDENTE_ Directa'!N32</x:f>
        <x:v>14307244.74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336248214.74000001</x:v>
      </x:c>
      <x:c r="I7" s="291">
        <x:f>'REMUNERACION_OCCIDENTE_ Directa'!D108</x:f>
        <x:v>317721932.47000003</x:v>
      </x:c>
      <x:c r="J7" s="292">
        <x:f>'REMUNERACION_OCCIDENTE_ Directa'!N108</x:f>
        <x:v>6894658.7800000003</x:v>
      </x:c>
      <x:c r="K7" s="292">
        <x:f>'REMUNERACION_OCCIDENTE_ Directa'!D129</x:f>
        <x:v>10604847.960000001</x:v>
      </x:c>
      <x:c r="L7" s="353">
        <x:f>'REMUNERACION_OCCIDENTE_ Directa'!E129</x:f>
        <x:v>0</x:v>
      </x:c>
      <x:c r="M7" s="292">
        <x:f>-'REMUNERACION_OCCIDENTE_ Directa'!D70-'REMUNERACION_OCCIDENTE_ Directa'!N70</x:f>
        <x:v>1026775.53</x:v>
      </x:c>
      <x:c r="N7" s="318">
        <x:f t="shared" si="3"/>
        <x:v>336248214.73999995</x:v>
      </x:c>
      <x:c r="O7" s="354">
        <x:f>H7-N7</x:f>
        <x:v>0</x:v>
      </x:c>
      <x:c r="P7" s="1" t="b">
        <x:f t="shared" si="2"/>
        <x:v>1</x:v>
      </x:c>
    </x:row>
    <x:row r="8" spans="2:16" s="355" customFormat="1" ht="13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" thickBot="1" x14ac:dyDescent="0.3">
      <x:c r="B9" s="327"/>
      <x:c r="C9" s="290">
        <x:f>SUM(C3:C8)</x:f>
        <x:v>4284569052</x:v>
      </x:c>
      <x:c r="D9" s="290">
        <x:f t="shared" ref="D9:M9" si="4">SUM(D3:D8)</x:f>
        <x:v>1244253</x:v>
      </x:c>
      <x:c r="E9" s="290">
        <x:f>SUM(E3:E8)</x:f>
        <x:v>181345323.93000001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4467158628.9300003</x:v>
      </x:c>
      <x:c r="I9" s="290">
        <x:f t="shared" si="4"/>
        <x:v>4263358205.6200008</x:v>
      </x:c>
      <x:c r="J9" s="290">
        <x:f t="shared" si="4"/>
        <x:v>61067319.399999999</x:v>
      </x:c>
      <x:c r="K9" s="290">
        <x:f t="shared" si="4"/>
        <x:v>136872738.84999999</x:v>
      </x:c>
      <x:c r="L9" s="290">
        <x:f t="shared" si="4"/>
        <x:v>0</x:v>
      </x:c>
      <x:c r="M9" s="290">
        <x:f t="shared" si="4"/>
        <x:v>5860365.0600000005</x:v>
      </x:c>
      <x:c r="N9" s="290">
        <x:f>SUM(N3:N8)</x:f>
        <x:v>4467158628.9300003</x:v>
      </x:c>
      <x:c r="O9" s="359">
        <x:f>SUM(O3:O8)</x:f>
        <x:v>0</x:v>
      </x:c>
      <x:c r="P9" s="1" t="b">
        <x:f t="shared" si="2"/>
        <x:v>1</x:v>
      </x:c>
    </x:row>
    <x:row r="11" spans="2:16" ht="13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4284569052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topLeftCell="A3" zoomScaleNormal="100" workbookViewId="0"/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6.54296875" style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9.453125" style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">
      <x:c r="B7" s="8"/>
      <x:c r="C7" s="599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69.5" thickBot="1" x14ac:dyDescent="0.3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5">
      <x:c r="B9" s="14">
        <x:v>1</x:v>
      </x:c>
      <x:c r="C9" s="61" t="s">
        <x:v>10</x:v>
      </x:c>
      <x:c r="D9" s="66">
        <x:f>'REMUNERACION_OCCIDENTE_ Directa'!D104</x:f>
        <x:v>807049068.57000017</x:v>
      </x:c>
      <x:c r="E9" s="66">
        <x:f>'REMUNERACION_OCCIDENTE_ Directa'!E104</x:f>
        <x:v>99193733.159999996</x:v>
      </x:c>
      <x:c r="F9" s="66">
        <x:f>'REMUNERACION_OCCIDENTE_ Directa'!F104</x:f>
        <x:v>55706578.209999993</x:v>
      </x:c>
      <x:c r="G9" s="66">
        <x:f>'REMUNERACION_OCCIDENTE_ Directa'!G104</x:f>
        <x:v>29360739.059999999</x:v>
      </x:c>
      <x:c r="H9" s="66">
        <x:f>'REMUNERACION_OCCIDENTE_ Directa'!H104</x:f>
        <x:v>53694460.149999999</x:v>
      </x:c>
      <x:c r="I9" s="66">
        <x:f>'REMUNERACION_OCCIDENTE_ Directa'!I104</x:f>
        <x:v>1708389.85</x:v>
      </x:c>
      <x:c r="J9" s="66">
        <x:f>'REMUNERACION_OCCIDENTE_ Directa'!J104</x:f>
        <x:v>0</x:v>
      </x:c>
      <x:c r="K9" s="30">
        <x:f>D9-E9-F9-G9-H9-I9-J9</x:f>
        <x:v>567385168.14000022</x:v>
      </x:c>
      <x:c r="L9" s="66">
        <x:f>'REMUNERACION_OCCIDENTE_ Directa'!L104</x:f>
        <x:v>0</x:v>
      </x:c>
      <x:c r="M9" s="30">
        <x:f>K9-L9</x:f>
        <x:v>567385168.14000022</x:v>
      </x:c>
      <x:c r="N9" s="66">
        <x:f>'REMUNERACION_OCCIDENTE_ Directa'!N104</x:f>
        <x:v>8760824.0099999998</x:v>
      </x:c>
      <x:c r="O9" s="30">
        <x:f>M9+N9</x:f>
        <x:v>576145992.15000021</x:v>
      </x:c>
      <x:c r="Q9" s="4"/>
      <x:c r="S9" s="14">
        <x:v>1</x:v>
      </x:c>
      <x:c r="T9" s="61" t="s">
        <x:v>10</x:v>
      </x:c>
      <x:c r="U9" s="66">
        <x:f>'REMUNERACION_OCCIDENTE_ Directa'!U104</x:f>
        <x:v>15073165.450000001</x:v>
      </x:c>
      <x:c r="V9" s="66">
        <x:f>'REMUNERACION_OCCIDENTE_ Directa'!V104</x:f>
        <x:v>18351766.840000004</x:v>
      </x:c>
      <x:c r="W9" s="66">
        <x:f>'REMUNERACION_OCCIDENTE_ Directa'!W104</x:f>
        <x:v>85158116.140000001</x:v>
      </x:c>
      <x:c r="X9" s="66">
        <x:f>'REMUNERACION_OCCIDENTE_ Directa'!X104</x:f>
        <x:v>271402094.66000003</x:v>
      </x:c>
      <x:c r="Y9" s="66">
        <x:f>'REMUNERACION_OCCIDENTE_ Directa'!Y104</x:f>
        <x:v>2783141.35</x:v>
      </x:c>
      <x:c r="Z9" s="66">
        <x:f>'REMUNERACION_OCCIDENTE_ Directa'!Z104</x:f>
        <x:v>0</x:v>
      </x:c>
      <x:c r="AA9" s="66">
        <x:f>'REMUNERACION_OCCIDENTE_ Directa'!AA104</x:f>
        <x:v>-864.44</x:v>
      </x:c>
      <x:c r="AB9" s="66">
        <x:f>'REMUNERACION_OCCIDENTE_ Directa'!AB104</x:f>
        <x:v>8760824.0099999998</x:v>
      </x:c>
      <x:c r="AC9" s="66">
        <x:f>'REMUNERACION_OCCIDENTE_ Directa'!AC104</x:f>
        <x:v>-2114.38</x:v>
      </x:c>
      <x:c r="AD9" s="66">
        <x:f>'REMUNERACION_OCCIDENTE_ Directa'!AD104</x:f>
        <x:v>174619862.51999998</x:v>
      </x:c>
      <x:c r="AE9" s="66">
        <x:f>'REMUNERACION_OCCIDENTE_ Directa'!AE104</x:f>
        <x:v>174619862.51999998</x:v>
      </x:c>
      <x:c r="AF9" s="69">
        <x:f>SUM(U9:AD9)</x:f>
        <x:v>576145992.1500001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5">
      <x:c r="B10" s="16">
        <x:v>2</x:v>
      </x:c>
      <x:c r="C10" s="62" t="s">
        <x:v>11</x:v>
      </x:c>
      <x:c r="D10" s="66">
        <x:f>'REMUNERACION_OCCIDENTE_ Directa'!D105</x:f>
        <x:v>1404601147.78</x:v>
      </x:c>
      <x:c r="E10" s="66">
        <x:f>'REMUNERACION_OCCIDENTE_ Directa'!E105</x:f>
        <x:v>183955211.98000002</x:v>
      </x:c>
      <x:c r="F10" s="66">
        <x:f>'REMUNERACION_OCCIDENTE_ Directa'!F105</x:f>
        <x:v>102944599.42999999</x:v>
      </x:c>
      <x:c r="G10" s="66">
        <x:f>'REMUNERACION_OCCIDENTE_ Directa'!G105</x:f>
        <x:v>54335275.669999994</x:v>
      </x:c>
      <x:c r="H10" s="66">
        <x:f>'REMUNERACION_OCCIDENTE_ Directa'!H105</x:f>
        <x:v>214011816.64000002</x:v>
      </x:c>
      <x:c r="I10" s="66">
        <x:f>'REMUNERACION_OCCIDENTE_ Directa'!I105</x:f>
        <x:v>5870826.8500000006</x:v>
      </x:c>
      <x:c r="J10" s="66">
        <x:f>'REMUNERACION_OCCIDENTE_ Directa'!J105</x:f>
        <x:v>0</x:v>
      </x:c>
      <x:c r="K10" s="31">
        <x:f t="shared" ref="K10:K13" si="0">D10-E10-F10-G10-H10-I10-J10</x:f>
        <x:v>843483417.20999992</x:v>
      </x:c>
      <x:c r="L10" s="66">
        <x:f>'REMUNERACION_OCCIDENTE_ Directa'!L105</x:f>
        <x:v>0</x:v>
      </x:c>
      <x:c r="M10" s="31">
        <x:f>K10-L10</x:f>
        <x:v>843483417.20999992</x:v>
      </x:c>
      <x:c r="N10" s="66">
        <x:f>'REMUNERACION_OCCIDENTE_ Directa'!N105</x:f>
        <x:v>29180991.390000001</x:v>
      </x:c>
      <x:c r="O10" s="31">
        <x:f t="shared" ref="O10:O13" si="1">M10+N10</x:f>
        <x:v>872664408.5999999</x:v>
      </x:c>
      <x:c r="Q10" s="4"/>
      <x:c r="S10" s="16">
        <x:v>2</x:v>
      </x:c>
      <x:c r="T10" s="62" t="s">
        <x:v>11</x:v>
      </x:c>
      <x:c r="U10" s="66">
        <x:f>'REMUNERACION_OCCIDENTE_ Directa'!U105</x:f>
        <x:v>51434199.740000002</x:v>
      </x:c>
      <x:c r="V10" s="66">
        <x:f>'REMUNERACION_OCCIDENTE_ Directa'!V105</x:f>
        <x:v>70337397.799999997</x:v>
      </x:c>
      <x:c r="W10" s="66">
        <x:f>'REMUNERACION_OCCIDENTE_ Directa'!W105</x:f>
        <x:v>321021887.77000004</x:v>
      </x:c>
      <x:c r="X10" s="66">
        <x:f>'REMUNERACION_OCCIDENTE_ Directa'!X105</x:f>
        <x:v>381196564.10999995</x:v>
      </x:c>
      <x:c r="Y10" s="66">
        <x:f>'REMUNERACION_OCCIDENTE_ Directa'!Y105</x:f>
        <x:v>9471108.7799999993</x:v>
      </x:c>
      <x:c r="Z10" s="66">
        <x:f>'REMUNERACION_OCCIDENTE_ Directa'!Z105</x:f>
        <x:v>0</x:v>
      </x:c>
      <x:c r="AA10" s="66">
        <x:f>'REMUNERACION_OCCIDENTE_ Directa'!AA105</x:f>
        <x:v>-3277.8299999999995</x:v>
      </x:c>
      <x:c r="AB10" s="66">
        <x:f>'REMUNERACION_OCCIDENTE_ Directa'!AB105</x:f>
        <x:v>29180991.390000001</x:v>
      </x:c>
      <x:c r="AC10" s="66">
        <x:f>'REMUNERACION_OCCIDENTE_ Directa'!AC105</x:f>
        <x:v>-13.53</x:v>
      </x:c>
      <x:c r="AD10" s="66">
        <x:f>'REMUNERACION_OCCIDENTE_ Directa'!AD105</x:f>
        <x:v>10025550.370000001</x:v>
      </x:c>
      <x:c r="AE10" s="66">
        <x:f>'REMUNERACION_OCCIDENTE_ Directa'!AE105</x:f>
        <x:v>10025550.370000001</x:v>
      </x:c>
      <x:c r="AF10" s="70">
        <x:f>SUM(U10:AD10)</x:f>
        <x:v>872664408.60000002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5">
      <x:c r="B11" s="16">
        <x:v>3</x:v>
      </x:c>
      <x:c r="C11" s="62" t="s">
        <x:v>12</x:v>
      </x:c>
      <x:c r="D11" s="66">
        <x:f>'REMUNERACION_OCCIDENTE_ Directa'!D106</x:f>
        <x:v>1245261377.0799999</x:v>
      </x:c>
      <x:c r="E11" s="66">
        <x:f>'REMUNERACION_OCCIDENTE_ Directa'!E106</x:f>
        <x:v>169179321.98000002</x:v>
      </x:c>
      <x:c r="F11" s="66">
        <x:f>'REMUNERACION_OCCIDENTE_ Directa'!F106</x:f>
        <x:v>94674360.829999998</x:v>
      </x:c>
      <x:c r="G11" s="66">
        <x:f>'REMUNERACION_OCCIDENTE_ Directa'!G106</x:f>
        <x:v>50112712.770000003</x:v>
      </x:c>
      <x:c r="H11" s="66">
        <x:f>'REMUNERACION_OCCIDENTE_ Directa'!H106</x:f>
        <x:v>37910837.479999997</x:v>
      </x:c>
      <x:c r="I11" s="66">
        <x:f>'REMUNERACION_OCCIDENTE_ Directa'!I106</x:f>
        <x:v>1165755.6399999999</x:v>
      </x:c>
      <x:c r="J11" s="66">
        <x:f>'REMUNERACION_OCCIDENTE_ Directa'!J106</x:f>
        <x:v>0</x:v>
      </x:c>
      <x:c r="K11" s="31">
        <x:f t="shared" si="0"/>
        <x:v>892218388.37999988</x:v>
      </x:c>
      <x:c r="L11" s="66">
        <x:f>'REMUNERACION_OCCIDENTE_ Directa'!L106</x:f>
        <x:v>0</x:v>
      </x:c>
      <x:c r="M11" s="31">
        <x:f>K11-L11</x:f>
        <x:v>892218388.37999988</x:v>
      </x:c>
      <x:c r="N11" s="66">
        <x:f>'REMUNERACION_OCCIDENTE_ Directa'!N106</x:f>
        <x:v>1311387.82</x:v>
      </x:c>
      <x:c r="O11" s="31">
        <x:f t="shared" si="1"/>
        <x:v>893529776.19999993</x:v>
      </x:c>
      <x:c r="Q11" s="4"/>
      <x:c r="S11" s="16">
        <x:v>3</x:v>
      </x:c>
      <x:c r="T11" s="62" t="s">
        <x:v>12</x:v>
      </x:c>
      <x:c r="U11" s="66">
        <x:f>'REMUNERACION_OCCIDENTE_ Directa'!U106</x:f>
        <x:v>10225267.880000001</x:v>
      </x:c>
      <x:c r="V11" s="66">
        <x:f>'REMUNERACION_OCCIDENTE_ Directa'!V106</x:f>
        <x:v>13794028.73</x:v>
      </x:c>
      <x:c r="W11" s="66">
        <x:f>'REMUNERACION_OCCIDENTE_ Directa'!W106</x:f>
        <x:v>64505492.360000007</x:v>
      </x:c>
      <x:c r="X11" s="66">
        <x:f>'REMUNERACION_OCCIDENTE_ Directa'!X106</x:f>
        <x:v>393819035.60999995</x:v>
      </x:c>
      <x:c r="Y11" s="66">
        <x:f>'REMUNERACION_OCCIDENTE_ Directa'!Y106</x:f>
        <x:v>1909745.96</x:v>
      </x:c>
      <x:c r="Z11" s="66">
        <x:f>'REMUNERACION_OCCIDENTE_ Directa'!Z106</x:f>
        <x:v>0</x:v>
      </x:c>
      <x:c r="AA11" s="66">
        <x:f>'REMUNERACION_OCCIDENTE_ Directa'!AA106</x:f>
        <x:v>-972.41000000000008</x:v>
      </x:c>
      <x:c r="AB11" s="66">
        <x:f>'REMUNERACION_OCCIDENTE_ Directa'!AB106</x:f>
        <x:v>1311387.82</x:v>
      </x:c>
      <x:c r="AC11" s="66">
        <x:f>'REMUNERACION_OCCIDENTE_ Directa'!AC106</x:f>
        <x:v>-11886.56</x:v>
      </x:c>
      <x:c r="AD11" s="66">
        <x:f>'REMUNERACION_OCCIDENTE_ Directa'!AD106</x:f>
        <x:v>407977676.81</x:v>
      </x:c>
      <x:c r="AE11" s="66">
        <x:f>'REMUNERACION_OCCIDENTE_ Directa'!AE106</x:f>
        <x:v>407977676.81</x:v>
      </x:c>
      <x:c r="AF11" s="70">
        <x:f>SUM(U11:AD11)</x:f>
        <x:v>893529776.19999981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5">
      <x:c r="B12" s="16">
        <x:v>4</x:v>
      </x:c>
      <x:c r="C12" s="62" t="s">
        <x:v>13</x:v>
      </x:c>
      <x:c r="D12" s="66">
        <x:f>'REMUNERACION_OCCIDENTE_ Directa'!D107</x:f>
        <x:v>488724679.72000009</x:v>
      </x:c>
      <x:c r="E12" s="66">
        <x:f>'REMUNERACION_OCCIDENTE_ Directa'!E107</x:f>
        <x:v>55203155.700000003</x:v>
      </x:c>
      <x:c r="F12" s="66">
        <x:f>'REMUNERACION_OCCIDENTE_ Directa'!F107</x:f>
        <x:v>30345126.150000002</x:v>
      </x:c>
      <x:c r="G12" s="66">
        <x:f>'REMUNERACION_OCCIDENTE_ Directa'!G107</x:f>
        <x:v>15489479.65</x:v>
      </x:c>
      <x:c r="H12" s="66">
        <x:f>'REMUNERACION_OCCIDENTE_ Directa'!H107</x:f>
        <x:v>57754003.020000003</x:v>
      </x:c>
      <x:c r="I12" s="66">
        <x:f>'REMUNERACION_OCCIDENTE_ Directa'!I107</x:f>
        <x:v>1909778.2499999998</x:v>
      </x:c>
      <x:c r="J12" s="66">
        <x:f>'REMUNERACION_OCCIDENTE_ Directa'!J107</x:f>
        <x:v>0</x:v>
      </x:c>
      <x:c r="K12" s="31">
        <x:f t="shared" si="0"/>
        <x:v>328023136.95000017</x:v>
      </x:c>
      <x:c r="L12" s="66">
        <x:f>'REMUNERACION_OCCIDENTE_ Directa'!L107</x:f>
        <x:v>0</x:v>
      </x:c>
      <x:c r="M12" s="31">
        <x:f>K12-L12</x:f>
        <x:v>328023136.95000017</x:v>
      </x:c>
      <x:c r="N12" s="66">
        <x:f>'REMUNERACION_OCCIDENTE_ Directa'!N107</x:f>
        <x:v>14919457.4</x:v>
      </x:c>
      <x:c r="O12" s="31">
        <x:f t="shared" si="1"/>
        <x:v>342942594.35000014</x:v>
      </x:c>
      <x:c r="Q12" s="4"/>
      <x:c r="S12" s="16">
        <x:v>4</x:v>
      </x:c>
      <x:c r="T12" s="62" t="s">
        <x:v>13</x:v>
      </x:c>
      <x:c r="U12" s="66">
        <x:f>'REMUNERACION_OCCIDENTE_ Directa'!U107</x:f>
        <x:v>18153635.699999999</x:v>
      </x:c>
      <x:c r="V12" s="66">
        <x:f>'REMUNERACION_OCCIDENTE_ Directa'!V107</x:f>
        <x:v>22508162.759999998</x:v>
      </x:c>
      <x:c r="W12" s="66">
        <x:f>'REMUNERACION_OCCIDENTE_ Directa'!W107</x:f>
        <x:v>110934136.67000002</x:v>
      </x:c>
      <x:c r="X12" s="66">
        <x:f>'REMUNERACION_OCCIDENTE_ Directa'!X107</x:f>
        <x:v>146478227.43000004</x:v>
      </x:c>
      <x:c r="Y12" s="66">
        <x:f>'REMUNERACION_OCCIDENTE_ Directa'!Y107</x:f>
        <x:v>3110743.9899999998</x:v>
      </x:c>
      <x:c r="Z12" s="66">
        <x:f>'REMUNERACION_OCCIDENTE_ Directa'!Z107</x:f>
        <x:v>0</x:v>
      </x:c>
      <x:c r="AA12" s="66">
        <x:f>'REMUNERACION_OCCIDENTE_ Directa'!AA107</x:f>
        <x:v>602.99999999999989</x:v>
      </x:c>
      <x:c r="AB12" s="66">
        <x:f>'REMUNERACION_OCCIDENTE_ Directa'!AB107</x:f>
        <x:v>14919457.4</x:v>
      </x:c>
      <x:c r="AC12" s="66">
        <x:f>'REMUNERACION_OCCIDENTE_ Directa'!AC107</x:f>
        <x:v>-80.570000000000007</x:v>
      </x:c>
      <x:c r="AD12" s="66">
        <x:f>'REMUNERACION_OCCIDENTE_ Directa'!AD107</x:f>
        <x:v>26837707.969999999</x:v>
      </x:c>
      <x:c r="AE12" s="66">
        <x:f>'REMUNERACION_OCCIDENTE_ Directa'!AE107</x:f>
        <x:v>26837707.969999999</x:v>
      </x:c>
      <x:c r="AF12" s="70">
        <x:f>SUM(U12:AD12)</x:f>
        <x:v>342942594.35000002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" thickBot="1" x14ac:dyDescent="0.3">
      <x:c r="B13" s="19">
        <x:v>5</x:v>
      </x:c>
      <x:c r="C13" s="63" t="s">
        <x:v>14</x:v>
      </x:c>
      <x:c r="D13" s="66">
        <x:f>'REMUNERACION_OCCIDENTE_ Directa'!D108</x:f>
        <x:v>317721932.47000003</x:v>
      </x:c>
      <x:c r="E13" s="66">
        <x:f>'REMUNERACION_OCCIDENTE_ Directa'!E108</x:f>
        <x:v>31184102.540000003</x:v>
      </x:c>
      <x:c r="F13" s="66">
        <x:f>'REMUNERACION_OCCIDENTE_ Directa'!F108</x:f>
        <x:v>17438110.490000002</x:v>
      </x:c>
      <x:c r="G13" s="66">
        <x:f>'REMUNERACION_OCCIDENTE_ Directa'!G108</x:f>
        <x:v>9129338.4999999981</x:v>
      </x:c>
      <x:c r="H13" s="66">
        <x:f>'REMUNERACION_OCCIDENTE_ Directa'!H108</x:f>
        <x:v>18288367.830000002</x:v>
      </x:c>
      <x:c r="I13" s="66">
        <x:f>'REMUNERACION_OCCIDENTE_ Directa'!I108</x:f>
        <x:v>845568.67</x:v>
      </x:c>
      <x:c r="J13" s="66">
        <x:f>'REMUNERACION_OCCIDENTE_ Directa'!J108</x:f>
        <x:v>0</x:v>
      </x:c>
      <x:c r="K13" s="31">
        <x:f t="shared" si="0"/>
        <x:v>240836444.44</x:v>
      </x:c>
      <x:c r="L13" s="66">
        <x:f>'REMUNERACION_OCCIDENTE_ Directa'!L108</x:f>
        <x:v>0</x:v>
      </x:c>
      <x:c r="M13" s="40">
        <x:f>K13-L13</x:f>
        <x:v>240836444.44</x:v>
      </x:c>
      <x:c r="N13" s="66">
        <x:f>'REMUNERACION_OCCIDENTE_ Directa'!N108</x:f>
        <x:v>6894658.7800000003</x:v>
      </x:c>
      <x:c r="O13" s="40">
        <x:f t="shared" si="1"/>
        <x:v>247731103.22</x:v>
      </x:c>
      <x:c r="Q13" s="4"/>
      <x:c r="S13" s="19">
        <x:v>5</x:v>
      </x:c>
      <x:c r="T13" s="63" t="s">
        <x:v>14</x:v>
      </x:c>
      <x:c r="U13" s="66">
        <x:f>'REMUNERACION_OCCIDENTE_ Directa'!U108</x:f>
        <x:v>7530881.8600000003</x:v>
      </x:c>
      <x:c r="V13" s="66">
        <x:f>'REMUNERACION_OCCIDENTE_ Directa'!V108</x:f>
        <x:v>9040944.5399999991</x:v>
      </x:c>
      <x:c r="W13" s="66">
        <x:f>'REMUNERACION_OCCIDENTE_ Directa'!W108</x:f>
        <x:v>45756182.879999995</x:v>
      </x:c>
      <x:c r="X13" s="66">
        <x:f>'REMUNERACION_OCCIDENTE_ Directa'!X108</x:f>
        <x:v>92948094.320000008</x:v>
      </x:c>
      <x:c r="Y13" s="66">
        <x:f>'REMUNERACION_OCCIDENTE_ Directa'!Y108</x:f>
        <x:v>1374403.66</x:v>
      </x:c>
      <x:c r="Z13" s="66">
        <x:f>'REMUNERACION_OCCIDENTE_ Directa'!Z108</x:f>
        <x:v>0</x:v>
      </x:c>
      <x:c r="AA13" s="66">
        <x:f>'REMUNERACION_OCCIDENTE_ Directa'!AA108</x:f>
        <x:v>-760.25999999999988</x:v>
      </x:c>
      <x:c r="AB13" s="66">
        <x:f>'REMUNERACION_OCCIDENTE_ Directa'!AB108</x:f>
        <x:v>6894658.7800000003</x:v>
      </x:c>
      <x:c r="AC13" s="66">
        <x:f>'REMUNERACION_OCCIDENTE_ Directa'!AC108</x:f>
        <x:v>0.35000000000000003</x:v>
      </x:c>
      <x:c r="AD13" s="66">
        <x:f>'REMUNERACION_OCCIDENTE_ Directa'!AD108</x:f>
        <x:v>84186697.089999989</x:v>
      </x:c>
      <x:c r="AE13" s="66">
        <x:f>'REMUNERACION_OCCIDENTE_ Directa'!AE108</x:f>
        <x:v>84186697.089999989</x:v>
      </x:c>
      <x:c r="AF13" s="70">
        <x:f>SUM(U13:AD13)</x:f>
        <x:v>247731103.21999997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35">
      <x:c r="B14" s="21"/>
      <x:c r="C14" s="22" t="s">
        <x:v>119</x:v>
      </x:c>
      <x:c r="D14" s="43">
        <x:f t="shared" ref="D14:O14" si="3">SUM(D9:D13)</x:f>
        <x:v>4263358205.6200008</x:v>
      </x:c>
      <x:c r="E14" s="43">
        <x:f t="shared" si="3"/>
        <x:v>538715525.36000001</x:v>
      </x:c>
      <x:c r="F14" s="43">
        <x:f t="shared" si="3"/>
        <x:v>301108775.10999995</x:v>
      </x:c>
      <x:c r="G14" s="43">
        <x:f t="shared" si="3"/>
        <x:v>158427545.65000001</x:v>
      </x:c>
      <x:c r="H14" s="43">
        <x:f t="shared" si="3"/>
        <x:v>381659485.12</x:v>
      </x:c>
      <x:c r="I14" s="43">
        <x:f t="shared" si="3"/>
        <x:v>11500319.260000002</x:v>
      </x:c>
      <x:c r="J14" s="43">
        <x:f t="shared" si="3"/>
        <x:v>0</x:v>
      </x:c>
      <x:c r="K14" s="32">
        <x:f t="shared" si="3"/>
        <x:v>2871946555.1200004</x:v>
      </x:c>
      <x:c r="L14" s="23">
        <x:f t="shared" si="3"/>
        <x:v>0</x:v>
      </x:c>
      <x:c r="M14" s="76">
        <x:f t="shared" si="3"/>
        <x:v>2871946555.1200004</x:v>
      </x:c>
      <x:c r="N14" s="23">
        <x:f t="shared" si="3"/>
        <x:v>61067319.399999999</x:v>
      </x:c>
      <x:c r="O14" s="76">
        <x:f t="shared" si="3"/>
        <x:v>2933013874.52</x:v>
      </x:c>
      <x:c r="P14" s="2"/>
      <x:c r="Q14" s="4"/>
      <x:c r="S14" s="21"/>
      <x:c r="T14" s="22" t="s">
        <x:v>119</x:v>
      </x:c>
      <x:c r="U14" s="43">
        <x:f>SUM(U9:U13)</x:f>
        <x:v>102417150.63000001</x:v>
      </x:c>
      <x:c r="V14" s="43">
        <x:f t="shared" ref="V14:AG14" si="4">SUM(V9:V13)</x:f>
        <x:v>134032300.66999999</x:v>
      </x:c>
      <x:c r="W14" s="43">
        <x:f t="shared" si="4"/>
        <x:v>627375815.82000005</x:v>
      </x:c>
      <x:c r="X14" s="43">
        <x:f t="shared" si="4"/>
        <x:v>1285844016.1299999</x:v>
      </x:c>
      <x:c r="Y14" s="43">
        <x:f t="shared" si="4"/>
        <x:v>18649143.739999998</x:v>
      </x:c>
      <x:c r="Z14" s="43">
        <x:f t="shared" si="4"/>
        <x:v>0</x:v>
      </x:c>
      <x:c r="AA14" s="43">
        <x:f t="shared" si="4"/>
        <x:v>-5271.94</x:v>
      </x:c>
      <x:c r="AB14" s="43">
        <x:f t="shared" si="4"/>
        <x:v>61067319.399999999</x:v>
      </x:c>
      <x:c r="AC14" s="43">
        <x:f t="shared" si="4"/>
        <x:v>-14094.689999999999</x:v>
      </x:c>
      <x:c r="AD14" s="43">
        <x:f t="shared" si="4"/>
        <x:v>703647494.76000011</x:v>
      </x:c>
      <x:c r="AE14" s="43">
        <x:f>SUM(AE9:AE13)</x:f>
        <x:v>703647494.76000011</x:v>
      </x:c>
      <x:c r="AF14" s="68">
        <x:f t="shared" si="4"/>
        <x:v>2933013874.5199995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2168318426.9899998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">
      <x:c r="Q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" x14ac:dyDescent="0.3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5" x14ac:dyDescent="0.3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5">
      <x:c r="B25" s="8"/>
      <x:c r="I25" s="2"/>
      <x:c r="J25" s="2"/>
      <x:c r="O25" s="10"/>
      <x:c r="P25" s="2"/>
      <x:c r="Q25" s="4"/>
    </x:row>
    <x:row r="26" spans="1:35" ht="15.5" x14ac:dyDescent="0.3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5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5" thickBot="1" x14ac:dyDescent="0.3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5">
      <x:c r="B30" s="108">
        <x:v>1</x:v>
      </x:c>
      <x:c r="C30" s="109" t="s">
        <x:v>10</x:v>
      </x:c>
      <x:c r="D30" s="110">
        <x:f>'REMUNERACION_OCCIDENTE_ Directa'!D125</x:f>
        <x:v>17358483.629999999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28857410.600000001</x:v>
      </x:c>
      <x:c r="I30" s="309">
        <x:f>'REMUNERACION_OCCIDENTE_ Directa'!I125</x:f>
        <x:v>0</x:v>
      </x:c>
      <x:c r="J30" s="309">
        <x:f>'REMUNERACION_OCCIDENTE_ Directa'!J125</x:f>
        <x:v>-1002751.39</x:v>
      </x:c>
      <x:c r="K30" s="309">
        <x:f>'REMUNERACION_OCCIDENTE_ Directa'!K125</x:f>
        <x:v>82340</x:v>
      </x:c>
      <x:c r="L30" s="309">
        <x:f>'REMUNERACION_OCCIDENTE_ Directa'!L125</x:f>
        <x:v>165648.60999999999</x:v>
      </x:c>
      <x:c r="O30" s="44"/>
      <x:c r="Q30" s="4"/>
    </x:row>
    <x:row r="31" spans="1:35" x14ac:dyDescent="0.25">
      <x:c r="B31" s="16">
        <x:v>2</x:v>
      </x:c>
      <x:c r="C31" s="17" t="s">
        <x:v>11</x:v>
      </x:c>
      <x:c r="D31" s="15">
        <x:f>'REMUNERACION_OCCIDENTE_ Directa'!D126</x:f>
        <x:v>79433109</x:v>
      </x:c>
      <x:c r="E31" s="74">
        <x:f>'REMUNERACION_OCCIDENTE_ Directa'!E126</x:f>
        <x:v>0</x:v>
      </x:c>
      <x:c r="G31" s="339">
        <x:f>'REMUNERACION_OCCIDENTE_ Directa'!G126</x:f>
        <x:v>111210</x:v>
      </x:c>
      <x:c r="H31" s="340">
        <x:f>'REMUNERACION_OCCIDENTE_ Directa'!H126</x:f>
        <x:v>87448610.169999987</x:v>
      </x:c>
      <x:c r="I31" s="288">
        <x:f>'REMUNERACION_OCCIDENTE_ Directa'!I126</x:f>
        <x:v>0</x:v>
      </x:c>
      <x:c r="J31" s="288">
        <x:f>'REMUNERACION_OCCIDENTE_ Directa'!J126</x:f>
        <x:v>-290750</x:v>
      </x:c>
      <x:c r="K31" s="288">
        <x:f>'REMUNERACION_OCCIDENTE_ Directa'!K126</x:f>
        <x:v>1370</x:v>
      </x:c>
      <x:c r="L31" s="288">
        <x:f>'REMUNERACION_OCCIDENTE_ Directa'!L126</x:f>
        <x:v>0</x:v>
      </x:c>
      <x:c r="O31" s="44"/>
      <x:c r="Q31" s="4"/>
    </x:row>
    <x:row r="32" spans="1:35" x14ac:dyDescent="0.25">
      <x:c r="B32" s="16">
        <x:v>3</x:v>
      </x:c>
      <x:c r="C32" s="17" t="s">
        <x:v>12</x:v>
      </x:c>
      <x:c r="D32" s="15">
        <x:f>'REMUNERACION_OCCIDENTE_ Directa'!D127</x:f>
        <x:v>14844502.92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16553408.619999999</x:v>
      </x:c>
      <x:c r="I32" s="288">
        <x:f>'REMUNERACION_OCCIDENTE_ Directa'!I127</x:f>
        <x:v>0</x:v>
      </x:c>
      <x:c r="J32" s="288">
        <x:f>'REMUNERACION_OCCIDENTE_ Directa'!J127</x:f>
        <x:v>-306659.8</x:v>
      </x:c>
      <x:c r="K32" s="288">
        <x:f>'REMUNERACION_OCCIDENTE_ Directa'!K127</x:f>
        <x:v>0</x:v>
      </x:c>
      <x:c r="L32" s="288">
        <x:f>'REMUNERACION_OCCIDENTE_ Directa'!L127</x:f>
        <x:v>2343750.2000000002</x:v>
      </x:c>
      <x:c r="O32" s="44"/>
      <x:c r="Q32" s="4"/>
    </x:row>
    <x:row r="33" spans="1:20" x14ac:dyDescent="0.25">
      <x:c r="B33" s="16">
        <x:v>4</x:v>
      </x:c>
      <x:c r="C33" s="17" t="s">
        <x:v>13</x:v>
      </x:c>
      <x:c r="D33" s="15">
        <x:f>'REMUNERACION_OCCIDENTE_ Directa'!D128</x:f>
        <x:v>14631795.34</x:v>
      </x:c>
      <x:c r="E33" s="74">
        <x:f>'REMUNERACION_OCCIDENTE_ Directa'!E128</x:f>
        <x:v>0</x:v>
      </x:c>
      <x:c r="G33" s="339">
        <x:f>'REMUNERACION_OCCIDENTE_ Directa'!G128</x:f>
        <x:v>691194</x:v>
      </x:c>
      <x:c r="H33" s="340">
        <x:f>'REMUNERACION_OCCIDENTE_ Directa'!H128</x:f>
        <x:v>34178649.799999997</x:v>
      </x:c>
      <x:c r="I33" s="288">
        <x:f>'REMUNERACION_OCCIDENTE_ Directa'!I128</x:f>
        <x:v>0</x:v>
      </x:c>
      <x:c r="J33" s="288">
        <x:f>'REMUNERACION_OCCIDENTE_ Directa'!J128</x:f>
        <x:v>-3233428.34</x:v>
      </x:c>
      <x:c r="K33" s="288">
        <x:f>'REMUNERACION_OCCIDENTE_ Directa'!K128</x:f>
        <x:v>2209000</x:v>
      </x:c>
      <x:c r="L33" s="288">
        <x:f>'REMUNERACION_OCCIDENTE_ Directa'!L128</x:f>
        <x:v>14593375.66</x:v>
      </x:c>
      <x:c r="O33" s="44"/>
      <x:c r="Q33" s="4"/>
    </x:row>
    <x:row r="34" spans="1:20" x14ac:dyDescent="0.25">
      <x:c r="B34" s="133">
        <x:v>5</x:v>
      </x:c>
      <x:c r="C34" s="138" t="s">
        <x:v>14</x:v>
      </x:c>
      <x:c r="D34" s="135">
        <x:f>'REMUNERACION_OCCIDENTE_ Directa'!D129</x:f>
        <x:v>10604847.960000001</x:v>
      </x:c>
      <x:c r="E34" s="139">
        <x:f>'REMUNERACION_OCCIDENTE_ Directa'!E129</x:f>
        <x:v>0</x:v>
      </x:c>
      <x:c r="G34" s="339">
        <x:f>'REMUNERACION_OCCIDENTE_ Directa'!G129</x:f>
        <x:v>441849</x:v>
      </x:c>
      <x:c r="H34" s="340">
        <x:f>'REMUNERACION_OCCIDENTE_ Directa'!H129</x:f>
        <x:v>14307244.74</x:v>
      </x:c>
      <x:c r="I34" s="288">
        <x:f>'REMUNERACION_OCCIDENTE_ Directa'!I129</x:f>
        <x:v>0</x:v>
      </x:c>
      <x:c r="J34" s="288">
        <x:f>'REMUNERACION_OCCIDENTE_ Directa'!J129</x:f>
        <x:v>-1026775.53</x:v>
      </x:c>
      <x:c r="K34" s="288">
        <x:f>'REMUNERACION_OCCIDENTE_ Directa'!K129</x:f>
        <x:v>87550</x:v>
      </x:c>
      <x:c r="L34" s="288">
        <x:f>'REMUNERACION_OCCIDENTE_ Directa'!L129</x:f>
        <x:v>165773.47</x:v>
      </x:c>
      <x:c r="O34" s="44"/>
      <x:c r="Q34" s="4"/>
    </x:row>
    <x:row r="35" spans="1:20" ht="12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" thickBot="1" x14ac:dyDescent="0.3">
      <x:c r="B36" s="95"/>
      <x:c r="C36" s="106" t="s">
        <x:v>119</x:v>
      </x:c>
      <x:c r="D36" s="107">
        <x:f t="shared" ref="D36" si="5">SUM(D30:D34)</x:f>
        <x:v>136872738.84999999</x:v>
      </x:c>
      <x:c r="E36" s="107">
        <x:f>'REMUNERACION_OCCIDENTE_ Directa'!E131</x:f>
        <x:v>0</x:v>
      </x:c>
      <x:c r="F36" s="45"/>
      <x:c r="G36" s="350">
        <x:f t="shared" ref="G36:L36" si="6">SUM(G30:G34)</x:f>
        <x:v>1244253</x:v>
      </x:c>
      <x:c r="H36" s="350">
        <x:f t="shared" si="6"/>
        <x:v>181345323.93000001</x:v>
      </x:c>
      <x:c r="I36" s="350">
        <x:f t="shared" si="6"/>
        <x:v>0</x:v>
      </x:c>
      <x:c r="J36" s="350">
        <x:f t="shared" si="6"/>
        <x:v>-5860365.0600000005</x:v>
      </x:c>
      <x:c r="K36" s="350">
        <x:f t="shared" si="6"/>
        <x:v>2380260</x:v>
      </x:c>
      <x:c r="L36" s="350">
        <x:f t="shared" si="6"/>
        <x:v>17268547.939999998</x:v>
      </x:c>
      <x:c r="M36" s="45"/>
      <x:c r="N36" s="45"/>
      <x:c r="O36" s="46"/>
      <x:c r="P36" s="2"/>
      <x:c r="Q36" s="4"/>
    </x:row>
    <x:row r="37" spans="1:20" x14ac:dyDescent="0.25">
      <x:c r="B37" s="2"/>
      <x:c r="C37" s="2"/>
      <x:c r="D37" s="24"/>
      <x:c r="Q37" s="4"/>
    </x:row>
    <x:row r="38" spans="1:20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5">
      <x:c r="N42" s="24"/>
      <x:c r="O42" s="24"/>
      <x:c r="Q42" s="24"/>
      <x:c r="T42" s="24"/>
    </x:row>
    <x:row r="43" spans="1:20" x14ac:dyDescent="0.25">
      <x:c r="N43" s="24"/>
      <x:c r="O43" s="24"/>
      <x:c r="Q43" s="24"/>
      <x:c r="T43" s="24"/>
    </x:row>
    <x:row r="44" spans="1:20" x14ac:dyDescent="0.25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5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5">
      <x:c r="N46" s="24"/>
      <x:c r="O46" s="24"/>
      <x:c r="Q46" s="24"/>
      <x:c r="T46" s="24"/>
    </x:row>
    <x:row r="47" spans="1:20" x14ac:dyDescent="0.25">
      <x:c r="N47" s="24"/>
      <x:c r="O47" s="24"/>
      <x:c r="Q47" s="24"/>
      <x:c r="T47" s="24"/>
    </x:row>
    <x:row r="48" spans="1:20" x14ac:dyDescent="0.25">
      <x:c r="N48" s="24"/>
      <x:c r="O48" s="24"/>
      <x:c r="Q48" s="24"/>
      <x:c r="T48" s="24"/>
    </x:row>
    <x:row r="49" spans="14:20" x14ac:dyDescent="0.25">
      <x:c r="N49" s="24"/>
      <x:c r="O49" s="24"/>
      <x:c r="Q49" s="24"/>
      <x:c r="T49" s="24"/>
    </x:row>
    <x:row r="50" spans="14:20" x14ac:dyDescent="0.25">
      <x:c r="N50" s="24"/>
      <x:c r="O50" s="24"/>
      <x:c r="Q50" s="24"/>
      <x:c r="T50" s="24"/>
    </x:row>
    <x:row r="51" spans="14:20" x14ac:dyDescent="0.25">
      <x:c r="Q51" s="24"/>
      <x:c r="T51" s="24"/>
    </x:row>
    <x:row r="52" spans="14:20" x14ac:dyDescent="0.25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6" zoomScaleNormal="100" workbookViewId="0"/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9" width="16" style="1" customWidth="1"/>
    <x:col min="10" max="10" width="15.54296875" style="1" customWidth="1"/>
    <x:col min="11" max="11" width="17.54296875" style="1" customWidth="1"/>
    <x:col min="12" max="12" width="20" style="1" bestFit="1" customWidth="1"/>
    <x:col min="13" max="13" width="21" style="1" bestFit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" thickBot="1" x14ac:dyDescent="0.3">
      <x:c r="B7" s="8"/>
      <x:c r="C7" s="599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5">
      <x:c r="B9" s="303">
        <x:v>1</x:v>
      </x:c>
      <x:c r="C9" s="304" t="s">
        <x:v>10</x:v>
      </x:c>
      <x:c r="D9" s="291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R1'!L75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0</x:v>
      </x:c>
      <x:c r="AA9" s="311">
        <x:f>'Reporte Componentes R1'!R75+'Reporte Componentes R1'!S75</x:f>
        <x:v>0</x:v>
      </x:c>
      <x:c r="AB9" s="294">
        <x:f>N9</x:f>
        <x:v>0</x:v>
      </x:c>
      <x:c r="AC9" s="311">
        <x:f>'Reporte Componentes R1'!Z75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5">
      <x:c r="B10" s="314">
        <x:v>2</x:v>
      </x:c>
      <x:c r="C10" s="315" t="s">
        <x:v>11</x:v>
      </x:c>
      <x:c r="D10" s="291">
        <x:f>'Reporte Componentes R1'!F219</x:f>
        <x:v>0</x:v>
      </x:c>
      <x:c r="E10" s="292">
        <x:f>'Reporte Componentes R1'!G219</x:f>
        <x:v>0</x:v>
      </x:c>
      <x:c r="F10" s="292">
        <x:f>'Reporte Componentes R1'!H219</x:f>
        <x:v>0</x:v>
      </x:c>
      <x:c r="G10" s="292">
        <x:f>'Reporte Componentes R1'!I219</x:f>
        <x:v>0</x:v>
      </x:c>
      <x:c r="H10" s="292">
        <x:f>'Reporte Componentes R1'!J219</x:f>
        <x:v>0</x:v>
      </x:c>
      <x:c r="I10" s="292">
        <x:f>'Reporte Componentes R1'!K219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R1'!L219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R1'!M219</x:f>
        <x:v>0</x:v>
      </x:c>
      <x:c r="V10" s="317">
        <x:f>'Reporte Componentes R1'!N219</x:f>
        <x:v>0</x:v>
      </x:c>
      <x:c r="W10" s="317">
        <x:f>'Reporte Componentes R1'!O219</x:f>
        <x:v>0</x:v>
      </x:c>
      <x:c r="X10" s="317">
        <x:f>'Reporte Componentes R1'!P219</x:f>
        <x:v>0</x:v>
      </x:c>
      <x:c r="Y10" s="318">
        <x:f>'Reporte Componentes R1'!Q219</x:f>
        <x:v>0</x:v>
      </x:c>
      <x:c r="Z10" s="319">
        <x:f>L10*-1</x:f>
        <x:v>0</x:v>
      </x:c>
      <x:c r="AA10" s="320">
        <x:f>'Reporte Componentes R1'!R219+'Reporte Componentes R1'!S219+'Reporte Componentes R1'!T219</x:f>
        <x:v>0</x:v>
      </x:c>
      <x:c r="AB10" s="294">
        <x:f>N10</x:f>
        <x:v>0</x:v>
      </x:c>
      <x:c r="AC10" s="320">
        <x:f>'Reporte Componentes R1'!Z219</x:f>
        <x:v>0</x:v>
      </x:c>
      <x:c r="AD10" s="291">
        <x:f t="shared" ref="AD10:AD13" si="2">-J10+AE10</x:f>
        <x:v>0</x:v>
      </x:c>
      <x:c r="AE10" s="291">
        <x:f>'Reporte Componentes R1'!F220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5">
      <x:c r="B11" s="314">
        <x:v>3</x:v>
      </x:c>
      <x:c r="C11" s="315" t="s">
        <x:v>12</x:v>
      </x:c>
      <x:c r="D11" s="291">
        <x:f>'Reporte Componentes R1'!F350</x:f>
        <x:v>0</x:v>
      </x:c>
      <x:c r="E11" s="292">
        <x:f>'Reporte Componentes R1'!G350</x:f>
        <x:v>0</x:v>
      </x:c>
      <x:c r="F11" s="292">
        <x:f>'Reporte Componentes R1'!H350</x:f>
        <x:v>0</x:v>
      </x:c>
      <x:c r="G11" s="292">
        <x:f>'Reporte Componentes R1'!I350</x:f>
        <x:v>0</x:v>
      </x:c>
      <x:c r="H11" s="292">
        <x:f>'Reporte Componentes R1'!J350</x:f>
        <x:v>0</x:v>
      </x:c>
      <x:c r="I11" s="292">
        <x:f>'Reporte Componentes R1'!K350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R1'!L350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R1'!M350</x:f>
        <x:v>0</x:v>
      </x:c>
      <x:c r="V11" s="317">
        <x:f>'Reporte Componentes R1'!N350</x:f>
        <x:v>0</x:v>
      </x:c>
      <x:c r="W11" s="317">
        <x:f>'Reporte Componentes R1'!O350</x:f>
        <x:v>0</x:v>
      </x:c>
      <x:c r="X11" s="317">
        <x:f>'Reporte Componentes R1'!P350</x:f>
        <x:v>0</x:v>
      </x:c>
      <x:c r="Y11" s="318">
        <x:f>'Reporte Componentes R1'!Q350</x:f>
        <x:v>0</x:v>
      </x:c>
      <x:c r="Z11" s="319">
        <x:f>L11*-1</x:f>
        <x:v>0</x:v>
      </x:c>
      <x:c r="AA11" s="320">
        <x:f>'Reporte Componentes R1'!R350+'Reporte Componentes R1'!S350+'Reporte Componentes R1'!T350</x:f>
        <x:v>0</x:v>
      </x:c>
      <x:c r="AB11" s="294">
        <x:f>N11</x:f>
        <x:v>0</x:v>
      </x:c>
      <x:c r="AC11" s="320">
        <x:f>'Reporte Componentes R1'!X350</x:f>
        <x:v>0</x:v>
      </x:c>
      <x:c r="AD11" s="291">
        <x:f t="shared" si="2"/>
        <x:v>0</x:v>
      </x:c>
      <x:c r="AE11" s="291">
        <x:f>'Reporte Componentes R1'!F351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5">
      <x:c r="B12" s="314">
        <x:v>4</x:v>
      </x:c>
      <x:c r="C12" s="315" t="s">
        <x:v>13</x:v>
      </x:c>
      <x:c r="D12" s="291">
        <x:f>'Reporte Componentes R1'!F481</x:f>
        <x:v>0</x:v>
      </x:c>
      <x:c r="E12" s="292">
        <x:f>'Reporte Componentes R1'!G481</x:f>
        <x:v>0</x:v>
      </x:c>
      <x:c r="F12" s="292">
        <x:f>'Reporte Componentes R1'!H481</x:f>
        <x:v>0</x:v>
      </x:c>
      <x:c r="G12" s="292">
        <x:f>'Reporte Componentes R1'!I481</x:f>
        <x:v>0</x:v>
      </x:c>
      <x:c r="H12" s="292">
        <x:f>'Reporte Componentes R1'!J481</x:f>
        <x:v>0</x:v>
      </x:c>
      <x:c r="I12" s="292">
        <x:f>'Reporte Componentes R1'!K481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R1'!L481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R1'!M481</x:f>
        <x:v>0</x:v>
      </x:c>
      <x:c r="V12" s="317">
        <x:f>'Reporte Componentes R1'!N481</x:f>
        <x:v>0</x:v>
      </x:c>
      <x:c r="W12" s="317">
        <x:f>'Reporte Componentes R1'!O481</x:f>
        <x:v>0</x:v>
      </x:c>
      <x:c r="X12" s="317">
        <x:f>'Reporte Componentes R1'!P481</x:f>
        <x:v>0</x:v>
      </x:c>
      <x:c r="Y12" s="318">
        <x:f>'Reporte Componentes R1'!Q481</x:f>
        <x:v>0</x:v>
      </x:c>
      <x:c r="Z12" s="319">
        <x:f>L12*-1</x:f>
        <x:v>0</x:v>
      </x:c>
      <x:c r="AA12" s="320">
        <x:f>'Reporte Componentes R1'!R481+'Reporte Componentes R1'!S481</x:f>
        <x:v>0</x:v>
      </x:c>
      <x:c r="AB12" s="294">
        <x:f>N12</x:f>
        <x:v>0</x:v>
      </x:c>
      <x:c r="AC12" s="320">
        <x:f>'Reporte Componentes R1'!X481</x:f>
        <x:v>0</x:v>
      </x:c>
      <x:c r="AD12" s="291">
        <x:f t="shared" si="2"/>
        <x:v>0</x:v>
      </x:c>
      <x:c r="AE12" s="291">
        <x:f>'Reporte Componentes R1'!F482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" thickBot="1" x14ac:dyDescent="0.3">
      <x:c r="B13" s="324">
        <x:v>5</x:v>
      </x:c>
      <x:c r="C13" s="325" t="s">
        <x:v>14</x:v>
      </x:c>
      <x:c r="D13" s="296">
        <x:f>'Reporte Componentes R1'!F579</x:f>
        <x:v>0</x:v>
      </x:c>
      <x:c r="E13" s="297">
        <x:f>'Reporte Componentes R1'!G579</x:f>
        <x:v>0</x:v>
      </x:c>
      <x:c r="F13" s="297">
        <x:f>'Reporte Componentes R1'!H579</x:f>
        <x:v>0</x:v>
      </x:c>
      <x:c r="G13" s="297">
        <x:f>'Reporte Componentes R1'!I579</x:f>
        <x:v>0</x:v>
      </x:c>
      <x:c r="H13" s="297">
        <x:f>'Reporte Componentes R1'!J579</x:f>
        <x:v>0</x:v>
      </x:c>
      <x:c r="I13" s="297">
        <x:f>'Reporte Componentes R1'!K579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R1'!L579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R1'!M579</x:f>
        <x:v>0</x:v>
      </x:c>
      <x:c r="V13" s="297">
        <x:f>'Reporte Componentes R1'!N579</x:f>
        <x:v>0</x:v>
      </x:c>
      <x:c r="W13" s="297">
        <x:f>'Reporte Componentes R1'!O579</x:f>
        <x:v>0</x:v>
      </x:c>
      <x:c r="X13" s="297">
        <x:f>'Reporte Componentes R1'!P579</x:f>
        <x:v>0</x:v>
      </x:c>
      <x:c r="Y13" s="289">
        <x:f>'Reporte Componentes R1'!Q579</x:f>
        <x:v>0</x:v>
      </x:c>
      <x:c r="Z13" s="319">
        <x:f>L13*-1</x:f>
        <x:v>0</x:v>
      </x:c>
      <x:c r="AA13" s="320">
        <x:f>'Reporte Componentes R1'!R579+'Reporte Componentes R1'!S579+'Reporte Componentes R1'!T579</x:f>
        <x:v>0</x:v>
      </x:c>
      <x:c r="AB13" s="294">
        <x:f>N13</x:f>
        <x:v>0</x:v>
      </x:c>
      <x:c r="AC13" s="320">
        <x:f>'Reporte Componentes R1'!X579</x:f>
        <x:v>0</x:v>
      </x:c>
      <x:c r="AD13" s="291">
        <x:f t="shared" si="2"/>
        <x:v>0</x:v>
      </x:c>
      <x:c r="AE13" s="291">
        <x:f>'Reporte Componentes R1'!F580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3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3">
      <x:c r="Q20" s="4"/>
      <x:c r="AI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4" x14ac:dyDescent="0.3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5" x14ac:dyDescent="0.3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4" x14ac:dyDescent="0.3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5" x14ac:dyDescent="0.35">
      <x:c r="B25" s="8"/>
      <x:c r="C25" s="599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" thickBot="1" x14ac:dyDescent="0.3">
      <x:c r="B26" s="8"/>
      <x:c r="C26" s="599" t="s">
        <x:v>0</x:v>
      </x:c>
      <x:c r="D26" s="241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3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5">
      <x:c r="B28" s="303">
        <x:v>1</x:v>
      </x:c>
      <x:c r="C28" s="304" t="s">
        <x:v>10</x:v>
      </x:c>
      <x:c r="D28" s="291">
        <x:f>'Rem. Anticipos R2'!E58</x:f>
        <x:v>0</x:v>
      </x:c>
      <x:c r="E28" s="292">
        <x:f>'Rem. Anticipos R2'!F58</x:f>
        <x:v>0</x:v>
      </x:c>
      <x:c r="F28" s="292">
        <x:f>'Rem. Anticipos R2'!G58</x:f>
        <x:v>0</x:v>
      </x:c>
      <x:c r="G28" s="292">
        <x:f>'Rem. Anticipos R2'!H58</x:f>
        <x:v>0</x:v>
      </x:c>
      <x:c r="H28" s="292">
        <x:f>'Rem. Anticipos R2'!I58</x:f>
        <x:v>0</x:v>
      </x:c>
      <x:c r="I28" s="292">
        <x:f>'Rem. Anticipos R2'!J58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R2'!K58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R2'!L58</x:f>
        <x:v>0</x:v>
      </x:c>
      <x:c r="V28" s="308">
        <x:f>'Rem. Anticipos R2'!M58</x:f>
        <x:v>0</x:v>
      </x:c>
      <x:c r="W28" s="308">
        <x:f>'Rem. Anticipos R2'!N58</x:f>
        <x:v>0</x:v>
      </x:c>
      <x:c r="X28" s="308">
        <x:f>'Rem. Anticipos R2'!O58</x:f>
        <x:v>0</x:v>
      </x:c>
      <x:c r="Y28" s="308">
        <x:f>'Rem. Anticipos R2'!P58</x:f>
        <x:v>0</x:v>
      </x:c>
      <x:c r="Z28" s="310">
        <x:f>L28*-1</x:f>
        <x:v>0</x:v>
      </x:c>
      <x:c r="AA28" s="311">
        <x:f>'Rem. Anticipos R2'!Q58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R2'!E59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5">
      <x:c r="B29" s="314">
        <x:v>2</x:v>
      </x:c>
      <x:c r="C29" s="315" t="s">
        <x:v>11</x:v>
      </x:c>
      <x:c r="D29" s="291">
        <x:f>'Rem. Anticipos R2'!E154</x:f>
        <x:v>0</x:v>
      </x:c>
      <x:c r="E29" s="292">
        <x:f>'Rem. Anticipos R2'!F154</x:f>
        <x:v>0</x:v>
      </x:c>
      <x:c r="F29" s="292">
        <x:f>'Rem. Anticipos R2'!G154</x:f>
        <x:v>0</x:v>
      </x:c>
      <x:c r="G29" s="292">
        <x:f>'Rem. Anticipos R2'!H154</x:f>
        <x:v>0</x:v>
      </x:c>
      <x:c r="H29" s="292">
        <x:f>'Rem. Anticipos R2'!I154</x:f>
        <x:v>0</x:v>
      </x:c>
      <x:c r="I29" s="292">
        <x:f>'Rem. Anticipos R2'!J154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R2'!L154</x:f>
        <x:v>0</x:v>
      </x:c>
      <x:c r="V29" s="317">
        <x:f>'Rem. Anticipos R2'!M154</x:f>
        <x:v>0</x:v>
      </x:c>
      <x:c r="W29" s="317">
        <x:f>'Rem. Anticipos R2'!N154</x:f>
        <x:v>0</x:v>
      </x:c>
      <x:c r="X29" s="317">
        <x:f>'Rem. Anticipos R2'!O154</x:f>
        <x:v>0</x:v>
      </x:c>
      <x:c r="Y29" s="318">
        <x:f>'Rem. Anticipos R2'!P154</x:f>
        <x:v>0</x:v>
      </x:c>
      <x:c r="Z29" s="319">
        <x:f>L29*-1</x:f>
        <x:v>0</x:v>
      </x:c>
      <x:c r="AA29" s="320">
        <x:f>'Rem. Anticipos R2'!Q154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R2'!E155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5">
      <x:c r="B30" s="314">
        <x:v>3</x:v>
      </x:c>
      <x:c r="C30" s="315" t="s">
        <x:v>12</x:v>
      </x:c>
      <x:c r="D30" s="291">
        <x:f>'Rem. Anticipos R2'!E271</x:f>
        <x:v>0</x:v>
      </x:c>
      <x:c r="E30" s="292">
        <x:f>'Rem. Anticipos R2'!F271</x:f>
        <x:v>0</x:v>
      </x:c>
      <x:c r="F30" s="292">
        <x:f>'Rem. Anticipos R2'!G271</x:f>
        <x:v>0</x:v>
      </x:c>
      <x:c r="G30" s="292">
        <x:f>'Rem. Anticipos R2'!H271</x:f>
        <x:v>0</x:v>
      </x:c>
      <x:c r="H30" s="292">
        <x:f>'Rem. Anticipos R2'!I271</x:f>
        <x:v>0</x:v>
      </x:c>
      <x:c r="I30" s="292">
        <x:f>'Rem. Anticipos R2'!J271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R2'!L271</x:f>
        <x:v>0</x:v>
      </x:c>
      <x:c r="V30" s="317">
        <x:f>'Rem. Anticipos R2'!M271</x:f>
        <x:v>0</x:v>
      </x:c>
      <x:c r="W30" s="317">
        <x:f>'Rem. Anticipos R2'!N271</x:f>
        <x:v>0</x:v>
      </x:c>
      <x:c r="X30" s="317">
        <x:f>'Rem. Anticipos R2'!O271</x:f>
        <x:v>0</x:v>
      </x:c>
      <x:c r="Y30" s="318">
        <x:f>'Rem. Anticipos R2'!P271</x:f>
        <x:v>0</x:v>
      </x:c>
      <x:c r="Z30" s="319">
        <x:f>L30*-1</x:f>
        <x:v>0</x:v>
      </x:c>
      <x:c r="AA30" s="320">
        <x:f>'Rem. Anticipos R2'!Q271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R2'!E272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5">
      <x:c r="B31" s="314">
        <x:v>4</x:v>
      </x:c>
      <x:c r="C31" s="315" t="s">
        <x:v>13</x:v>
      </x:c>
      <x:c r="D31" s="291">
        <x:f>'Rem. Anticipos R2'!E373</x:f>
        <x:v>0</x:v>
      </x:c>
      <x:c r="E31" s="292">
        <x:f>'Rem. Anticipos R2'!F373</x:f>
        <x:v>0</x:v>
      </x:c>
      <x:c r="F31" s="292">
        <x:f>'Rem. Anticipos R2'!G373</x:f>
        <x:v>0</x:v>
      </x:c>
      <x:c r="G31" s="292">
        <x:f>'Rem. Anticipos R2'!H373</x:f>
        <x:v>0</x:v>
      </x:c>
      <x:c r="H31" s="292">
        <x:f>'Rem. Anticipos R2'!I373</x:f>
        <x:v>0</x:v>
      </x:c>
      <x:c r="I31" s="292">
        <x:f>'Rem. Anticipos R2'!J373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R2'!K373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R2'!L373</x:f>
        <x:v>0</x:v>
      </x:c>
      <x:c r="V31" s="317">
        <x:f>'Rem. Anticipos R2'!M373</x:f>
        <x:v>0</x:v>
      </x:c>
      <x:c r="W31" s="317">
        <x:f>'Rem. Anticipos R2'!N373</x:f>
        <x:v>0</x:v>
      </x:c>
      <x:c r="X31" s="317">
        <x:f>'Rem. Anticipos R2'!O373</x:f>
        <x:v>0</x:v>
      </x:c>
      <x:c r="Y31" s="318">
        <x:f>'Rem. Anticipos R2'!P373</x:f>
        <x:v>0</x:v>
      </x:c>
      <x:c r="Z31" s="319">
        <x:f>L31*-1</x:f>
        <x:v>0</x:v>
      </x:c>
      <x:c r="AA31" s="320">
        <x:f>'Rem. Anticipos R2'!Q373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R2'!E374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" thickBot="1" x14ac:dyDescent="0.3">
      <x:c r="B32" s="324">
        <x:v>5</x:v>
      </x:c>
      <x:c r="C32" s="325" t="s">
        <x:v>14</x:v>
      </x:c>
      <x:c r="D32" s="296">
        <x:f>'Rem. Anticipos R2'!E453</x:f>
        <x:v>0</x:v>
      </x:c>
      <x:c r="E32" s="297">
        <x:f>'Rem. Anticipos R2'!F453</x:f>
        <x:v>0</x:v>
      </x:c>
      <x:c r="F32" s="297">
        <x:f>'Rem. Anticipos R2'!G453</x:f>
        <x:v>0</x:v>
      </x:c>
      <x:c r="G32" s="297">
        <x:f>'Rem. Anticipos R2'!H453</x:f>
        <x:v>0</x:v>
      </x:c>
      <x:c r="H32" s="297">
        <x:f>'Rem. Anticipos R2'!I453</x:f>
        <x:v>0</x:v>
      </x:c>
      <x:c r="I32" s="297">
        <x:f>'Rem. Anticipos R2'!J453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R2'!K453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R2'!L453</x:f>
        <x:v>0</x:v>
      </x:c>
      <x:c r="V32" s="297">
        <x:f>'Rem. Anticipos R2'!M453</x:f>
        <x:v>0</x:v>
      </x:c>
      <x:c r="W32" s="297">
        <x:f>'Rem. Anticipos R2'!N453</x:f>
        <x:v>0</x:v>
      </x:c>
      <x:c r="X32" s="297">
        <x:f>'Rem. Anticipos R2'!O453</x:f>
        <x:v>0</x:v>
      </x:c>
      <x:c r="Y32" s="289">
        <x:f>'Rem. Anticipos R2'!P453</x:f>
        <x:v>0</x:v>
      </x:c>
      <x:c r="Z32" s="319">
        <x:f>L32*-1</x:f>
        <x:v>0</x:v>
      </x:c>
      <x:c r="AA32" s="320">
        <x:f>'Rem. Anticipos R2'!Q453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R2'!E454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3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3">
      <x:c r="Q39" s="4"/>
      <x:c r="AI39" s="4"/>
    </x:row>
    <x:row r="40" spans="1:35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4" x14ac:dyDescent="0.3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5" x14ac:dyDescent="0.3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4" x14ac:dyDescent="0.3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5" x14ac:dyDescent="0.35">
      <x:c r="B44" s="8"/>
      <x:c r="C44" s="599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" thickBot="1" x14ac:dyDescent="0.3">
      <x:c r="B45" s="8"/>
      <x:c r="C45" s="599" t="s">
        <x:v>0</x:v>
      </x:c>
      <x:c r="D45" s="241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3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5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11">
        <x:f>'Reporte Componentes R1'!R77+'Reporte Componentes R1'!S77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5">
      <x:c r="B48" s="314">
        <x:v>2</x:v>
      </x:c>
      <x:c r="C48" s="315" t="s">
        <x:v>11</x:v>
      </x:c>
      <x:c r="D48" s="291">
        <x:f>'Reporte Componentes R1'!F221</x:f>
        <x:v>0</x:v>
      </x:c>
      <x:c r="E48" s="292">
        <x:f>'Reporte Componentes R1'!G221</x:f>
        <x:v>0</x:v>
      </x:c>
      <x:c r="F48" s="292">
        <x:f>'Reporte Componentes R1'!H221</x:f>
        <x:v>0</x:v>
      </x:c>
      <x:c r="G48" s="292">
        <x:f>'Reporte Componentes R1'!I221</x:f>
        <x:v>0</x:v>
      </x:c>
      <x:c r="H48" s="292">
        <x:f>'Reporte Componentes R1'!J221</x:f>
        <x:v>0</x:v>
      </x:c>
      <x:c r="I48" s="292">
        <x:f>'Reporte Componentes R1'!K221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R1'!L221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R1'!M221</x:f>
        <x:v>0</x:v>
      </x:c>
      <x:c r="V48" s="317">
        <x:f>'Reporte Componentes R1'!N221</x:f>
        <x:v>0</x:v>
      </x:c>
      <x:c r="W48" s="317">
        <x:f>'Reporte Componentes R1'!O221</x:f>
        <x:v>0</x:v>
      </x:c>
      <x:c r="X48" s="317">
        <x:f>'Reporte Componentes R1'!P221</x:f>
        <x:v>0</x:v>
      </x:c>
      <x:c r="Y48" s="318">
        <x:f>'Reporte Componentes R1'!Q221</x:f>
        <x:v>0</x:v>
      </x:c>
      <x:c r="Z48" s="319">
        <x:f>-L48</x:f>
        <x:v>0</x:v>
      </x:c>
      <x:c r="AA48" s="320">
        <x:f>'Reporte Componentes R1'!R221+'Reporte Componentes R1'!S221+'Reporte Componentes R1'!T221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R1'!F222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5">
      <x:c r="B49" s="314">
        <x:v>3</x:v>
      </x:c>
      <x:c r="C49" s="315" t="s">
        <x:v>12</x:v>
      </x:c>
      <x:c r="D49" s="291">
        <x:f>'Reporte Componentes R1'!F352</x:f>
        <x:v>0</x:v>
      </x:c>
      <x:c r="E49" s="292">
        <x:f>'Reporte Componentes R1'!G352</x:f>
        <x:v>0</x:v>
      </x:c>
      <x:c r="F49" s="292">
        <x:f>'Reporte Componentes R1'!H352</x:f>
        <x:v>0</x:v>
      </x:c>
      <x:c r="G49" s="292">
        <x:f>'Reporte Componentes R1'!I352</x:f>
        <x:v>0</x:v>
      </x:c>
      <x:c r="H49" s="292">
        <x:f>'Reporte Componentes R1'!J352</x:f>
        <x:v>0</x:v>
      </x:c>
      <x:c r="I49" s="292">
        <x:f>'Reporte Componentes R1'!K352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R1'!L352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R1'!M352</x:f>
        <x:v>0</x:v>
      </x:c>
      <x:c r="V49" s="317">
        <x:f>'Reporte Componentes R1'!N352</x:f>
        <x:v>0</x:v>
      </x:c>
      <x:c r="W49" s="317">
        <x:f>'Reporte Componentes R1'!O352</x:f>
        <x:v>0</x:v>
      </x:c>
      <x:c r="X49" s="317">
        <x:f>'Reporte Componentes R1'!P352</x:f>
        <x:v>0</x:v>
      </x:c>
      <x:c r="Y49" s="318">
        <x:f>'Reporte Componentes R1'!Q352</x:f>
        <x:v>0</x:v>
      </x:c>
      <x:c r="Z49" s="319">
        <x:f>-L49</x:f>
        <x:v>0</x:v>
      </x:c>
      <x:c r="AA49" s="320">
        <x:f>'Reporte Componentes R1'!R352+'Reporte Componentes R1'!S352+'Reporte Componentes R1'!T352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R1'!F353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5">
      <x:c r="B50" s="314">
        <x:v>4</x:v>
      </x:c>
      <x:c r="C50" s="315" t="s">
        <x:v>13</x:v>
      </x:c>
      <x:c r="D50" s="291">
        <x:f>'Reporte Componentes R1'!F483</x:f>
        <x:v>0</x:v>
      </x:c>
      <x:c r="E50" s="292">
        <x:f>'Reporte Componentes R1'!G483</x:f>
        <x:v>0</x:v>
      </x:c>
      <x:c r="F50" s="292">
        <x:f>'Reporte Componentes R1'!H483</x:f>
        <x:v>0</x:v>
      </x:c>
      <x:c r="G50" s="292">
        <x:f>'Reporte Componentes R1'!I483</x:f>
        <x:v>0</x:v>
      </x:c>
      <x:c r="H50" s="292">
        <x:f>'Reporte Componentes R1'!J483</x:f>
        <x:v>0</x:v>
      </x:c>
      <x:c r="I50" s="292">
        <x:f>'Reporte Componentes R1'!K483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R1'!L483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R1'!M483</x:f>
        <x:v>0</x:v>
      </x:c>
      <x:c r="V50" s="317">
        <x:f>'Reporte Componentes R1'!N483</x:f>
        <x:v>0</x:v>
      </x:c>
      <x:c r="W50" s="317">
        <x:f>'Reporte Componentes R1'!O483</x:f>
        <x:v>0</x:v>
      </x:c>
      <x:c r="X50" s="317">
        <x:f>'Reporte Componentes R1'!P483</x:f>
        <x:v>0</x:v>
      </x:c>
      <x:c r="Y50" s="318">
        <x:f>'Reporte Componentes R1'!Q483</x:f>
        <x:v>0</x:v>
      </x:c>
      <x:c r="Z50" s="319">
        <x:f>-L50</x:f>
        <x:v>0</x:v>
      </x:c>
      <x:c r="AA50" s="320">
        <x:f>'Reporte Componentes R1'!R483+'Reporte Componentes R1'!S483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R1'!F484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" thickBot="1" x14ac:dyDescent="0.3">
      <x:c r="B51" s="324">
        <x:v>5</x:v>
      </x:c>
      <x:c r="C51" s="325" t="s">
        <x:v>14</x:v>
      </x:c>
      <x:c r="D51" s="296">
        <x:f>'Reporte Componentes R1'!F581</x:f>
        <x:v>0</x:v>
      </x:c>
      <x:c r="E51" s="297">
        <x:f>'Reporte Componentes R1'!G581</x:f>
        <x:v>0</x:v>
      </x:c>
      <x:c r="F51" s="297">
        <x:f>'Reporte Componentes R1'!H581</x:f>
        <x:v>0</x:v>
      </x:c>
      <x:c r="G51" s="297">
        <x:f>'Reporte Componentes R1'!I581</x:f>
        <x:v>0</x:v>
      </x:c>
      <x:c r="H51" s="297">
        <x:f>'Reporte Componentes R1'!J581</x:f>
        <x:v>0</x:v>
      </x:c>
      <x:c r="I51" s="297">
        <x:f>'Reporte Componentes R1'!K581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R1'!L581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R1'!M581</x:f>
        <x:v>0</x:v>
      </x:c>
      <x:c r="V51" s="297">
        <x:f>'Reporte Componentes R1'!N581</x:f>
        <x:v>0</x:v>
      </x:c>
      <x:c r="W51" s="297">
        <x:f>'Reporte Componentes R1'!O581</x:f>
        <x:v>0</x:v>
      </x:c>
      <x:c r="X51" s="297">
        <x:f>'Reporte Componentes R1'!P581</x:f>
        <x:v>0</x:v>
      </x:c>
      <x:c r="Y51" s="289">
        <x:f>'Reporte Componentes R1'!Q581</x:f>
        <x:v>0</x:v>
      </x:c>
      <x:c r="Z51" s="319">
        <x:f>-L51</x:f>
        <x:v>0</x:v>
      </x:c>
      <x:c r="AA51" s="320">
        <x:f>'Reporte Componentes R1'!R581+'Reporte Componentes R1'!S581+'Reporte Componentes R1'!T581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R1'!F582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3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3">
      <x:c r="Q58" s="4"/>
      <x:c r="AI58" s="4"/>
    </x:row>
    <x:row r="59" spans="1:35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4" x14ac:dyDescent="0.3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5" x14ac:dyDescent="0.3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4" x14ac:dyDescent="0.3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5" x14ac:dyDescent="0.35">
      <x:c r="B63" s="8"/>
      <x:c r="C63" s="599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" thickBot="1" x14ac:dyDescent="0.3">
      <x:c r="B64" s="8"/>
      <x:c r="C64" s="599" t="s">
        <x:v>0</x:v>
      </x:c>
      <x:c r="D64" s="241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3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6">-L67</x:f>
        <x:v>0</x:v>
      </x:c>
      <x:c r="AA67" s="320">
        <x:f>'Reversion Pagos R4'!O183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6"/>
        <x:v>0</x:v>
      </x:c>
      <x:c r="AA68" s="320">
        <x:f>'Reversion Pagos R4'!O220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6"/>
        <x:v>0</x:v>
      </x:c>
      <x:c r="AA69" s="320">
        <x:f>'Reversion Pagos R4'!O335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" thickBot="1" x14ac:dyDescent="0.3">
      <x:c r="B70" s="324">
        <x:v>5</x:v>
      </x:c>
      <x:c r="C70" s="325" t="s">
        <x:v>14</x:v>
      </x:c>
      <x:c r="D70" s="296">
        <x:f>'Reversion Pagos R4'!D370</x:f>
        <x:v>0</x:v>
      </x:c>
      <x:c r="E70" s="297">
        <x:f>'Reversion Pagos R4'!E370</x:f>
        <x:v>0</x:v>
      </x:c>
      <x:c r="F70" s="297">
        <x:f>'Reversion Pagos R4'!F370</x:f>
        <x:v>0</x:v>
      </x:c>
      <x:c r="G70" s="297">
        <x:f>'Reversion Pagos R4'!G370</x:f>
        <x:v>0</x:v>
      </x:c>
      <x:c r="H70" s="297">
        <x:f>'Reversion Pagos R4'!H370</x:f>
        <x:v>0</x:v>
      </x:c>
      <x:c r="I70" s="297">
        <x:f>'Reversion Pagos R4'!I370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7">
        <x:f>'Reversion Pagos R4'!K370</x:f>
        <x:v>0</x:v>
      </x:c>
      <x:c r="W70" s="297">
        <x:f>'Reversion Pagos R4'!L370</x:f>
        <x:v>0</x:v>
      </x:c>
      <x:c r="X70" s="297">
        <x:f>'Reversion Pagos R4'!M370</x:f>
        <x:v>0</x:v>
      </x:c>
      <x:c r="Y70" s="289">
        <x:f>'Reversion Pagos R4'!N370</x:f>
        <x:v>0</x:v>
      </x:c>
      <x:c r="Z70" s="319">
        <x:f t="shared" si="26"/>
        <x:v>0</x:v>
      </x:c>
      <x:c r="AA70" s="320">
        <x:f>'Reversion Pagos R4'!O370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R4'!D371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3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3">
      <x:c r="Q77" s="4"/>
      <x:c r="AI77" s="4"/>
    </x:row>
    <x:row r="78" spans="1:35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4" x14ac:dyDescent="0.3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5" x14ac:dyDescent="0.3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4" x14ac:dyDescent="0.3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5" x14ac:dyDescent="0.35">
      <x:c r="B82" s="8"/>
      <x:c r="C82" s="599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" thickBot="1" x14ac:dyDescent="0.3">
      <x:c r="B83" s="8"/>
      <x:c r="C83" s="599" t="s">
        <x:v>0</x:v>
      </x:c>
      <x:c r="D83" s="241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3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3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3">
      <x:c r="Q96" s="4"/>
      <x:c r="AI96" s="4"/>
    </x:row>
    <x:row r="97" spans="2:36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4" x14ac:dyDescent="0.3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5" x14ac:dyDescent="0.3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4" x14ac:dyDescent="0.3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5" x14ac:dyDescent="0.35">
      <x:c r="B101" s="8"/>
      <x:c r="C101" s="599" t="s">
        <x:v>17</x:v>
      </x:c>
      <x:c r="D101" s="9">
        <x:f>D6</x:f>
        <x:v>46238</x:v>
      </x:c>
      <x:c r="F101" s="58" t="s">
        <x:v>221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222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5">
      <x:c r="B102" s="8"/>
      <x:c r="C102" s="599" t="s">
        <x:v>0</x:v>
      </x:c>
      <x:c r="D102" s="241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3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3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3">
      <x:c r="Q115" s="4"/>
    </x:row>
    <x:row r="116" spans="1:35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4" x14ac:dyDescent="0.3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5" x14ac:dyDescent="0.3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5">
      <x:c r="B120" s="8"/>
      <x:c r="I120" s="2"/>
      <x:c r="J120" s="2"/>
      <x:c r="O120" s="10"/>
      <x:c r="P120" s="2"/>
      <x:c r="Q120" s="4"/>
    </x:row>
    <x:row r="121" spans="1:35" ht="15.5" x14ac:dyDescent="0.3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5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6.5" thickBot="1" x14ac:dyDescent="0.3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5">
      <x:c r="B132" s="2"/>
      <x:c r="C132" s="2"/>
      <x:c r="D132" s="24"/>
      <x:c r="Q132" s="4"/>
    </x:row>
    <x:row r="133" spans="1:19" x14ac:dyDescent="0.25">
      <x:c r="B133" s="2"/>
      <x:c r="C133" s="2"/>
      <x:c r="D133" s="24"/>
      <x:c r="L133" s="1" t="s">
        <x:v>1</x:v>
      </x:c>
      <x:c r="Q133" s="4"/>
    </x:row>
    <x:row r="134" spans="1:19" ht="12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6.5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5">
      <x:c r="N152" s="24"/>
      <x:c r="O152" s="24"/>
      <x:c r="Q152" s="24"/>
      <x:c r="T152" s="24"/>
    </x:row>
    <x:row r="153" spans="1:20" x14ac:dyDescent="0.25">
      <x:c r="N153" s="24"/>
      <x:c r="O153" s="24"/>
      <x:c r="Q153" s="24"/>
      <x:c r="T153" s="24"/>
    </x:row>
    <x:row r="154" spans="1:20" x14ac:dyDescent="0.25">
      <x:c r="N154" s="24"/>
      <x:c r="O154" s="24"/>
      <x:c r="Q154" s="24"/>
      <x:c r="T154" s="24"/>
    </x:row>
    <x:row r="155" spans="1:20" x14ac:dyDescent="0.25">
      <x:c r="N155" s="24"/>
      <x:c r="O155" s="24"/>
      <x:c r="Q155" s="24"/>
      <x:c r="T155" s="24"/>
    </x:row>
    <x:row r="156" spans="1:20" x14ac:dyDescent="0.25">
      <x:c r="N156" s="24"/>
      <x:c r="O156" s="24"/>
      <x:c r="Q156" s="24"/>
      <x:c r="T156" s="24"/>
    </x:row>
    <x:row r="157" spans="1:20" x14ac:dyDescent="0.25">
      <x:c r="N157" s="24"/>
      <x:c r="O157" s="24"/>
      <x:c r="Q157" s="24"/>
      <x:c r="T157" s="24"/>
    </x:row>
    <x:row r="158" spans="1:20" x14ac:dyDescent="0.25">
      <x:c r="N158" s="24"/>
      <x:c r="O158" s="24"/>
      <x:c r="Q158" s="24"/>
      <x:c r="T158" s="24"/>
    </x:row>
    <x:row r="159" spans="1:20" x14ac:dyDescent="0.25">
      <x:c r="N159" s="24"/>
      <x:c r="O159" s="24"/>
      <x:c r="Q159" s="24"/>
      <x:c r="T159" s="24"/>
    </x:row>
    <x:row r="160" spans="1:20" x14ac:dyDescent="0.25">
      <x:c r="N160" s="24"/>
      <x:c r="O160" s="24"/>
      <x:c r="Q160" s="24"/>
      <x:c r="T160" s="24"/>
    </x:row>
    <x:row r="161" spans="14:20" x14ac:dyDescent="0.25">
      <x:c r="N161" s="24"/>
      <x:c r="O161" s="24"/>
      <x:c r="Q161" s="24"/>
      <x:c r="T161" s="24"/>
    </x:row>
    <x:row r="162" spans="14:20" x14ac:dyDescent="0.25">
      <x:c r="N162" s="24"/>
      <x:c r="O162" s="24"/>
      <x:c r="Q162" s="24"/>
      <x:c r="T162" s="24"/>
    </x:row>
    <x:row r="163" spans="14:20" x14ac:dyDescent="0.25">
      <x:c r="N163" s="24"/>
      <x:c r="O163" s="24"/>
      <x:c r="Q163" s="24"/>
      <x:c r="T163" s="24"/>
    </x:row>
    <x:row r="164" spans="14:20" x14ac:dyDescent="0.25">
      <x:c r="N164" s="24"/>
      <x:c r="O164" s="24"/>
      <x:c r="Q164" s="24"/>
      <x:c r="T164" s="24"/>
    </x:row>
    <x:row r="165" spans="14:20" x14ac:dyDescent="0.25">
      <x:c r="N165" s="24"/>
      <x:c r="O165" s="24"/>
      <x:c r="Q165" s="24"/>
      <x:c r="T165" s="24"/>
    </x:row>
    <x:row r="166" spans="14:20" x14ac:dyDescent="0.25">
      <x:c r="Q166" s="24"/>
      <x:c r="T166" s="24"/>
    </x:row>
    <x:row r="167" spans="14:20" x14ac:dyDescent="0.25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5" x14ac:dyDescent="0.25"/>
  <x:cols>
    <x:col min="1" max="1" width="3" customWidth="1"/>
    <x:col min="2" max="2" width="4.1796875" bestFit="1" customWidth="1"/>
    <x:col min="3" max="3" width="16.81640625" customWidth="1"/>
    <x:col min="4" max="4" width="14.1796875" customWidth="1"/>
    <x:col min="5" max="7" width="17.81640625" customWidth="1"/>
    <x:col min="8" max="8" width="18.1796875" customWidth="1"/>
    <x:col min="9" max="9" width="15.81640625" customWidth="1"/>
    <x:col min="10" max="10" width="16.453125" customWidth="1"/>
    <x:col min="11" max="11" width="15.81640625" customWidth="1"/>
    <x:col min="12" max="13" width="18.1796875" customWidth="1"/>
    <x:col min="14" max="14" width="15.81640625" customWidth="1"/>
    <x:col min="15" max="15" width="14.1796875" customWidth="1"/>
    <x:col min="16" max="16" width="14.453125" customWidth="1"/>
  </x:cols>
  <x:sheetData>
    <x:row r="1" spans="2:16" ht="13" thickBot="1" x14ac:dyDescent="0.3"/>
    <x:row r="2" spans="2:16" ht="35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ht="13" x14ac:dyDescent="0.3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5.1796875" style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6.54296875" style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9.453125" style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16384" width="11.453125" style="1"/>
  </x:cols>
  <x:sheetData>
    <x:row r="1" spans="2:35" ht="12" thickBot="1" x14ac:dyDescent="0.3">
      <x:c r="Q1" s="4"/>
      <x:c r="AI1" s="4"/>
    </x:row>
    <x:row r="2" spans="2:3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4" x14ac:dyDescent="0.3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5" x14ac:dyDescent="0.35">
      <x:c r="B6" s="8"/>
      <x:c r="C6" s="599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69.5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3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3">
      <x:c r="Q20" s="4"/>
    </x:row>
    <x:row r="21" spans="1:35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4" x14ac:dyDescent="0.3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5" x14ac:dyDescent="0.3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5">
      <x:c r="B25" s="8"/>
      <x:c r="I25" s="2"/>
      <x:c r="J25" s="2"/>
      <x:c r="O25" s="10"/>
      <x:c r="P25" s="2"/>
      <x:c r="Q25" s="4"/>
    </x:row>
    <x:row r="26" spans="1:35" ht="15.5" x14ac:dyDescent="0.3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5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6.5" thickBot="1" x14ac:dyDescent="0.3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5">
      <x:c r="B37" s="2"/>
      <x:c r="C37" s="2"/>
      <x:c r="D37" s="24"/>
      <x:c r="Q37" s="4"/>
      <x:c r="AI37" s="305"/>
    </x:row>
    <x:row r="38" spans="1:35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5">
      <x:c r="N42" s="24"/>
      <x:c r="O42" s="24"/>
      <x:c r="Q42" s="24"/>
      <x:c r="T42" s="24"/>
    </x:row>
    <x:row r="43" spans="1:35" x14ac:dyDescent="0.25">
      <x:c r="N43" s="24"/>
      <x:c r="O43" s="24"/>
      <x:c r="Q43" s="24"/>
      <x:c r="T43" s="24"/>
    </x:row>
    <x:row r="44" spans="1:35" x14ac:dyDescent="0.25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5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5">
      <x:c r="N46" s="24"/>
      <x:c r="O46" s="24"/>
      <x:c r="Q46" s="24"/>
      <x:c r="T46" s="24"/>
    </x:row>
    <x:row r="47" spans="1:35" x14ac:dyDescent="0.25">
      <x:c r="N47" s="24"/>
      <x:c r="O47" s="24"/>
      <x:c r="Q47" s="24"/>
      <x:c r="T47" s="24"/>
    </x:row>
    <x:row r="48" spans="1:35" x14ac:dyDescent="0.25">
      <x:c r="N48" s="24"/>
      <x:c r="O48" s="24"/>
      <x:c r="Q48" s="24"/>
      <x:c r="T48" s="24"/>
    </x:row>
    <x:row r="49" spans="14:20" x14ac:dyDescent="0.25">
      <x:c r="N49" s="24"/>
      <x:c r="O49" s="24"/>
      <x:c r="Q49" s="24"/>
      <x:c r="T49" s="24"/>
    </x:row>
    <x:row r="50" spans="14:20" x14ac:dyDescent="0.25">
      <x:c r="N50" s="24"/>
      <x:c r="O50" s="24"/>
      <x:c r="Q50" s="24"/>
      <x:c r="T50" s="24"/>
    </x:row>
    <x:row r="51" spans="14:20" x14ac:dyDescent="0.25">
      <x:c r="Q51" s="24"/>
      <x:c r="T51" s="24"/>
    </x:row>
    <x:row r="52" spans="14:20" x14ac:dyDescent="0.25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A15" workbookViewId="0">
      <x:selection activeCell="A39" sqref="A39"/>
    </x:sheetView>
  </x:sheetViews>
  <x:sheetFormatPr baseColWidth="10" defaultColWidth="11.453125" defaultRowHeight="14.5" x14ac:dyDescent="0.35"/>
  <x:cols>
    <x:col min="1" max="1" width="2.81640625" style="610" customWidth="1"/>
    <x:col min="2" max="2" width="7.1796875" style="610" customWidth="1"/>
    <x:col min="3" max="3" width="42.81640625" style="610" customWidth="1"/>
    <x:col min="4" max="15" width="28.54296875" style="610" customWidth="1"/>
    <x:col min="16" max="16384" width="11.453125" style="610"/>
  </x:cols>
  <x:sheetData>
    <x:row r="1" spans="2:20" customFormat="1" ht="12.5" x14ac:dyDescent="0.25"/>
    <x:row r="2" spans="2:20" customFormat="1" ht="12.5" x14ac:dyDescent="0.25">
      <x:c r="T2" s="142" t="s">
        <x:v>331</x:v>
      </x:c>
    </x:row>
    <x:row r="3" spans="2:20" customFormat="1" x14ac:dyDescent="0.25">
      <x:c r="F3" s="661" t="s">
        <x:v>8</x:v>
      </x:c>
      <x:c r="H3" s="661" t="s">
        <x:v>16</x:v>
      </x:c>
      <x:c r="L3" s="661" t="s">
        <x:v>229</x:v>
      </x:c>
      <x:c r="M3" s="661" t="s">
        <x:v>343</x:v>
      </x:c>
      <x:c r="T3" s="142"/>
    </x:row>
    <x:row r="4" spans="2:20" customFormat="1" x14ac:dyDescent="0.25">
      <x:c r="F4" s="661" t="s">
        <x:v>29</x:v>
      </x:c>
    </x:row>
    <x:row r="5" spans="2:20" customFormat="1" x14ac:dyDescent="0.25">
      <x:c r="F5" s="661" t="s">
        <x:v>230</x:v>
      </x:c>
    </x:row>
    <x:row r="6" spans="2:20" customFormat="1" x14ac:dyDescent="0.25">
      <x:c r="C6" s="661" t="s">
        <x:v>231</x:v>
      </x:c>
      <x:c r="D6" s="661" t="s">
        <x:v>344</x:v>
      </x:c>
      <x:c r="F6" s="661" t="s">
        <x:v>232</x:v>
      </x:c>
    </x:row>
    <x:row r="7" spans="2:20" customFormat="1" x14ac:dyDescent="0.25">
      <x:c r="C7" s="661" t="s">
        <x:v>233</x:v>
      </x:c>
      <x:c r="D7" s="661" t="s">
        <x:v>345</x:v>
      </x:c>
      <x:c r="F7" s="661" t="s">
        <x:v>27</x:v>
      </x:c>
      <x:c r="G7" s="661" t="s">
        <x:v>346</x:v>
      </x:c>
      <x:c r="I7" s="661" t="s">
        <x:v>234</x:v>
      </x:c>
      <x:c r="J7" s="661" t="s">
        <x:v>347</x:v>
      </x:c>
    </x:row>
    <x:row r="8" spans="2:20" customFormat="1" ht="43.5" x14ac:dyDescent="0.25">
      <x:c r="B8" s="662" t="s">
        <x:v>3</x:v>
      </x:c>
      <x:c r="C8" s="662" t="s">
        <x:v>235</x:v>
      </x:c>
      <x:c r="D8" s="662" t="s">
        <x:v>236</x:v>
      </x:c>
      <x:c r="E8" s="662" t="s">
        <x:v>237</x:v>
      </x:c>
      <x:c r="F8" s="662" t="s">
        <x:v>238</x:v>
      </x:c>
      <x:c r="G8" s="662" t="s">
        <x:v>239</x:v>
      </x:c>
      <x:c r="H8" s="662" t="s">
        <x:v>240</x:v>
      </x:c>
      <x:c r="I8" s="662" t="s">
        <x:v>241</x:v>
      </x:c>
      <x:c r="J8" s="662" t="s">
        <x:v>242</x:v>
      </x:c>
      <x:c r="K8" s="662" t="s">
        <x:v>243</x:v>
      </x:c>
      <x:c r="L8" s="662" t="s">
        <x:v>244</x:v>
      </x:c>
      <x:c r="M8" s="662" t="s">
        <x:v>245</x:v>
      </x:c>
      <x:c r="N8" s="662" t="s">
        <x:v>246</x:v>
      </x:c>
      <x:c r="O8" s="662" t="s">
        <x:v>247</x:v>
      </x:c>
    </x:row>
    <x:row r="9" spans="2:20" customFormat="1" ht="12.5" x14ac:dyDescent="0.25">
      <x:c r="B9" s="642" t="s">
        <x:v>115</x:v>
      </x:c>
      <x:c r="C9" s="642" t="s">
        <x:v>10</x:v>
      </x:c>
      <x:c r="D9" s="643" t="n">
        <x:v>18378829331</x:v>
      </x:c>
      <x:c r="E9" s="643">
        <x:v>907089032</x:v>
      </x:c>
      <x:c r="F9" s="643">
        <x:v>511619082</x:v>
      </x:c>
      <x:c r="G9" s="643">
        <x:v>268690519</x:v>
      </x:c>
      <x:c r="H9" s="643">
        <x:v>3815252257</x:v>
      </x:c>
      <x:c r="I9" s="643">
        <x:v>134368143</x:v>
      </x:c>
      <x:c r="J9" s="643">
        <x:v>-3589454666</x:v>
      </x:c>
      <x:c r="K9" s="643">
        <x:v>15402664306</x:v>
      </x:c>
      <x:c r="L9" s="643">
        <x:v>189185988</x:v>
      </x:c>
      <x:c r="M9" s="643">
        <x:v>15213478318</x:v>
      </x:c>
      <x:c r="N9" s="643">
        <x:v>25277316</x:v>
      </x:c>
      <x:c r="O9" s="643">
        <x:v>15238755634</x:v>
      </x:c>
    </x:row>
    <x:row r="10" spans="2:20" customFormat="1" ht="12.5" x14ac:dyDescent="0.25">
      <x:c r="B10" s="642" t="s">
        <x:v>116</x:v>
      </x:c>
      <x:c r="C10" s="642" t="s">
        <x:v>11</x:v>
      </x:c>
      <x:c r="D10" s="643" t="n">
        <x:v>21599709648</x:v>
      </x:c>
      <x:c r="E10" s="643">
        <x:v>1584179838</x:v>
      </x:c>
      <x:c r="F10" s="643">
        <x:v>890098163</x:v>
      </x:c>
      <x:c r="G10" s="643">
        <x:v>466611469</x:v>
      </x:c>
      <x:c r="H10" s="643">
        <x:v>5815089520</x:v>
      </x:c>
      <x:c r="I10" s="643">
        <x:v>222428730</x:v>
      </x:c>
      <x:c r="J10" s="643">
        <x:v>-3241193714</x:v>
      </x:c>
      <x:c r="K10" s="643">
        <x:v>14778929964</x:v>
      </x:c>
      <x:c r="L10" s="643">
        <x:v>266580256</x:v>
      </x:c>
      <x:c r="M10" s="643">
        <x:v>14512349708</x:v>
      </x:c>
      <x:c r="N10" s="643">
        <x:v>53454221</x:v>
      </x:c>
      <x:c r="O10" s="643">
        <x:v>14565803930</x:v>
      </x:c>
    </x:row>
    <x:row r="11" spans="2:20" customFormat="1" ht="12.5" x14ac:dyDescent="0.25">
      <x:c r="B11" s="642" t="s">
        <x:v>117</x:v>
      </x:c>
      <x:c r="C11" s="642" t="s">
        <x:v>248</x:v>
      </x:c>
      <x:c r="D11" s="643" t="n">
        <x:v>16369059896</x:v>
      </x:c>
      <x:c r="E11" s="643">
        <x:v>1154816918</x:v>
      </x:c>
      <x:c r="F11" s="643">
        <x:v>650648257</x:v>
      </x:c>
      <x:c r="G11" s="643">
        <x:v>342168927</x:v>
      </x:c>
      <x:c r="H11" s="643">
        <x:v>3419471287</x:v>
      </x:c>
      <x:c r="I11" s="643">
        <x:v>125690283</x:v>
      </x:c>
      <x:c r="J11" s="643">
        <x:v>-853244565</x:v>
      </x:c>
      <x:c r="K11" s="643">
        <x:v>10382345360</x:v>
      </x:c>
      <x:c r="L11" s="643">
        <x:v>154788536</x:v>
      </x:c>
      <x:c r="M11" s="643">
        <x:v>10227556824</x:v>
      </x:c>
      <x:c r="N11" s="643">
        <x:v>14341963</x:v>
      </x:c>
      <x:c r="O11" s="643">
        <x:v>10241898788</x:v>
      </x:c>
    </x:row>
    <x:row r="12" spans="2:20" customFormat="1" ht="12.5" x14ac:dyDescent="0.25">
      <x:c r="B12" s="642" t="s">
        <x:v>249</x:v>
      </x:c>
      <x:c r="C12" s="642" t="s">
        <x:v>13</x:v>
      </x:c>
      <x:c r="D12" s="643" t="n">
        <x:v>8372092112</x:v>
      </x:c>
      <x:c r="E12" s="643">
        <x:v>473606043</x:v>
      </x:c>
      <x:c r="F12" s="643">
        <x:v>264596658</x:v>
      </x:c>
      <x:c r="G12" s="643">
        <x:v>136481575</x:v>
      </x:c>
      <x:c r="H12" s="643">
        <x:v>1605437094</x:v>
      </x:c>
      <x:c r="I12" s="643">
        <x:v>62582402</x:v>
      </x:c>
      <x:c r="J12" s="643">
        <x:v>-699882713</x:v>
      </x:c>
      <x:c r="K12" s="643">
        <x:v>5336774337</x:v>
      </x:c>
      <x:c r="L12" s="643">
        <x:v>120391083</x:v>
      </x:c>
      <x:c r="M12" s="643">
        <x:v>5216383254</x:v>
      </x:c>
      <x:c r="N12" s="643">
        <x:v>34128345</x:v>
      </x:c>
      <x:c r="O12" s="643">
        <x:v>5250511599</x:v>
      </x:c>
    </x:row>
    <x:row r="13" spans="2:20" customFormat="1" ht="12.5" x14ac:dyDescent="0.25">
      <x:c r="B13" s="642" t="s">
        <x:v>118</x:v>
      </x:c>
      <x:c r="C13" s="642" t="s">
        <x:v>14</x:v>
      </x:c>
      <x:c r="D13" s="643" t="n">
        <x:v>12137660178</x:v>
      </x:c>
      <x:c r="E13" s="643">
        <x:v>731686442</x:v>
      </x:c>
      <x:c r="F13" s="643">
        <x:v>412480816</x:v>
      </x:c>
      <x:c r="G13" s="643">
        <x:v>216220999</x:v>
      </x:c>
      <x:c r="H13" s="643">
        <x:v>2771170797</x:v>
      </x:c>
      <x:c r="I13" s="643">
        <x:v>105860252</x:v>
      </x:c>
      <x:c r="J13" s="643">
        <x:v>-82959024</x:v>
      </x:c>
      <x:c r="K13" s="643">
        <x:v>7918884379</x:v>
      </x:c>
      <x:c r="L13" s="643">
        <x:v>128990446</x:v>
      </x:c>
      <x:c r="M13" s="643">
        <x:v>7789893933</x:v>
      </x:c>
      <x:c r="N13" s="643">
        <x:v>15891736</x:v>
      </x:c>
      <x:c r="O13" s="643">
        <x:v>7805785669</x:v>
      </x:c>
    </x:row>
    <x:row r="14" spans="2:20" customFormat="1" ht="12.5" x14ac:dyDescent="0.25">
      <x:c r="B14" s="642" t="s">
        <x:v>250</x:v>
      </x:c>
      <x:c r="C14" s="642" t="s">
        <x:v>70</x:v>
      </x:c>
      <x:c r="D14" s="643" t="n">
        <x:v>76857351165</x:v>
      </x:c>
      <x:c r="E14" s="643">
        <x:v>4851378273</x:v>
      </x:c>
      <x:c r="F14" s="643">
        <x:v>2729442976</x:v>
      </x:c>
      <x:c r="G14" s="643">
        <x:v>1430173489</x:v>
      </x:c>
      <x:c r="H14" s="643">
        <x:v>17426420955</x:v>
      </x:c>
      <x:c r="I14" s="643">
        <x:v>650929810</x:v>
      </x:c>
      <x:c r="J14" s="643">
        <x:v>-8466734682</x:v>
      </x:c>
      <x:c r="K14" s="643">
        <x:v>53819598346</x:v>
      </x:c>
      <x:c r="L14" s="643">
        <x:v>859936309</x:v>
      </x:c>
      <x:c r="M14" s="643">
        <x:v>52959662037</x:v>
      </x:c>
      <x:c r="N14" s="643">
        <x:v>143093581</x:v>
      </x:c>
      <x:c r="O14" s="643">
        <x:v>53102755620</x:v>
      </x:c>
    </x:row>
    <x:row r="15" spans="2:20" customFormat="1" ht="12.5" x14ac:dyDescent="0.25"/>
    <x:row r="16" spans="2:20" customFormat="1" ht="12.5" x14ac:dyDescent="0.25">
      <x:c r="C16" s="663" t="s">
        <x:v>325</x:v>
      </x:c>
    </x:row>
    <x:row r="18" spans="2:15" x14ac:dyDescent="0.35">
      <x:c r="E18" s="612" t="s">
        <x:v>251</x:v>
      </x:c>
    </x:row>
    <x:row r="19" spans="2:15" x14ac:dyDescent="0.35">
      <x:c r="F19" s="612" t="s">
        <x:v>25</x:v>
      </x:c>
    </x:row>
    <x:row r="22" spans="2:15" ht="34.5" x14ac:dyDescent="0.35">
      <x:c r="C22" s="647" t="s">
        <x:v>9</x:v>
      </x:c>
      <x:c r="D22" s="647" t="s">
        <x:v>4</x:v>
      </x:c>
      <x:c r="E22" s="647" t="s">
        <x:v>5</x:v>
      </x:c>
      <x:c r="F22" s="647" t="s">
        <x:v>6</x:v>
      </x:c>
      <x:c r="G22" s="647" t="s">
        <x:v>159</x:v>
      </x:c>
      <x:c r="H22" s="647" t="s">
        <x:v>18</x:v>
      </x:c>
      <x:c r="I22" s="647" t="s">
        <x:v>24</x:v>
      </x:c>
      <x:c r="J22" s="647" t="s">
        <x:v>19</x:v>
      </x:c>
      <x:c r="K22" s="648" t="s">
        <x:v>20</x:v>
      </x:c>
      <x:c r="L22" s="647" t="s">
        <x:v>21</x:v>
      </x:c>
      <x:c r="M22" s="648" t="s">
        <x:v>22</x:v>
      </x:c>
      <x:c r="N22" s="647" t="s">
        <x:v>7</x:v>
      </x:c>
      <x:c r="O22" s="648" t="s">
        <x:v>23</x:v>
      </x:c>
    </x:row>
    <x:row r="23" spans="2:15" x14ac:dyDescent="0.35">
      <x:c r="B23" s="611" t="s">
        <x:v>115</x:v>
      </x:c>
      <x:c r="C23" s="611" t="s">
        <x:v>10</x:v>
      </x:c>
      <x:c r="D23" s="649">
        <x:f>D9-'CONSOLIDADO_TOTAL RECAUDO'!D104</x:f>
        <x:v>-0.34999847412109375</x:v>
      </x:c>
      <x:c r="E23" s="649">
        <x:f>E9-'CONSOLIDADO_TOTAL RECAUDO'!E104</x:f>
        <x:v>-0.16000008583068848</x:v>
      </x:c>
      <x:c r="F23" s="649">
        <x:f>F9-'CONSOLIDADO_TOTAL RECAUDO'!F104</x:f>
        <x:v>0.27999997138977051</x:v>
      </x:c>
      <x:c r="G23" s="649">
        <x:f>G9-'CONSOLIDADO_TOTAL RECAUDO'!G104</x:f>
        <x:v>6.0000002384185791E-2</x:v>
      </x:c>
      <x:c r="H23" s="649">
        <x:f>H9-'CONSOLIDADO_TOTAL RECAUDO'!H104</x:f>
        <x:v>9.9999904632568359E-2</x:v>
      </x:c>
      <x:c r="I23" s="649">
        <x:f>I9-'CONSOLIDADO_TOTAL RECAUDO'!I104</x:f>
        <x:v>-0.4699999988079071</x:v>
      </x:c>
      <x:c r="J23" s="649">
        <x:f>J9-'CONSOLIDADO_TOTAL RECAUDO'!J104</x:f>
        <x:v>-0.45000028610229492</x:v>
      </x:c>
      <x:c r="K23" s="649">
        <x:f>K9-'CONSOLIDADO_TOTAL RECAUDO'!K104</x:f>
        <x:v>0.29000091552734375</x:v>
      </x:c>
      <x:c r="L23" s="649">
        <x:f>L9-'CONSOLIDADO_TOTAL RECAUDO'!L104</x:f>
        <x:v>0</x:v>
      </x:c>
      <x:c r="M23" s="649">
        <x:f>M9-'CONSOLIDADO_TOTAL RECAUDO'!M104</x:f>
        <x:v>0.29000091552734375</x:v>
      </x:c>
      <x:c r="N23" s="649">
        <x:f>N9-'CONSOLIDADO_TOTAL RECAUDO'!N104</x:f>
        <x:v>-0.26000000163912773</x:v>
      </x:c>
      <x:c r="O23" s="649">
        <x:f>O9-'CONSOLIDADO_TOTAL RECAUDO'!O104</x:f>
        <x:v>3.0000686645507813E-2</x:v>
      </x:c>
    </x:row>
    <x:row r="24" spans="2:15" x14ac:dyDescent="0.35">
      <x:c r="B24" s="611" t="s">
        <x:v>116</x:v>
      </x:c>
      <x:c r="C24" s="611" t="s">
        <x:v>11</x:v>
      </x:c>
      <x:c r="D24" s="649">
        <x:f>D10-'CONSOLIDADO_TOTAL RECAUDO'!D105</x:f>
        <x:v>0.34999847412109375</x:v>
      </x:c>
      <x:c r="E24" s="649">
        <x:f>E10-'CONSOLIDADO_TOTAL RECAUDO'!E105</x:f>
        <x:v>0.17000007629394531</x:v>
      </x:c>
      <x:c r="F24" s="649">
        <x:f>F10-'CONSOLIDADO_TOTAL RECAUDO'!F105</x:f>
        <x:v>0.38000011444091797</x:v>
      </x:c>
      <x:c r="G24" s="649">
        <x:f>G10-'CONSOLIDADO_TOTAL RECAUDO'!G105</x:f>
        <x:v>-0.23999994993209839</x:v>
      </x:c>
      <x:c r="H24" s="649">
        <x:f>H10-'CONSOLIDADO_TOTAL RECAUDO'!H105</x:f>
        <x:v>0.41999912261962891</x:v>
      </x:c>
      <x:c r="I24" s="649">
        <x:f>I10-'CONSOLIDADO_TOTAL RECAUDO'!I105</x:f>
        <x:v>-0.15999999642372131</x:v>
      </x:c>
      <x:c r="J24" s="649">
        <x:f>J10-'CONSOLIDADO_TOTAL RECAUDO'!J105</x:f>
        <x:v>0.1100001335144043</x:v>
      </x:c>
      <x:c r="K24" s="649">
        <x:f>K10-'CONSOLIDADO_TOTAL RECAUDO'!K105</x:f>
        <x:v>-0.32999801635742188</x:v>
      </x:c>
      <x:c r="L24" s="649">
        <x:f>L10-'CONSOLIDADO_TOTAL RECAUDO'!L105</x:f>
        <x:v>0</x:v>
      </x:c>
      <x:c r="M24" s="649">
        <x:f>M10-'CONSOLIDADO_TOTAL RECAUDO'!M105</x:f>
        <x:v>-0.32999801635742188</x:v>
      </x:c>
      <x:c r="N24" s="649">
        <x:f>N10-'CONSOLIDADO_TOTAL RECAUDO'!N105</x:f>
        <x:v>-0.2800000011920929</x:v>
      </x:c>
      <x:c r="O24" s="649">
        <x:f>O10-'CONSOLIDADO_TOTAL RECAUDO'!O105</x:f>
        <x:v>0.39000129699707031</x:v>
      </x:c>
    </x:row>
    <x:row r="25" spans="2:15" x14ac:dyDescent="0.35">
      <x:c r="B25" s="611" t="s">
        <x:v>117</x:v>
      </x:c>
      <x:c r="C25" s="611" t="s">
        <x:v>248</x:v>
      </x:c>
      <x:c r="D25" s="649">
        <x:f>D11-'CONSOLIDADO_TOTAL RECAUDO'!D106</x:f>
        <x:v>-0.45000267028808594</x:v>
      </x:c>
      <x:c r="E25" s="649">
        <x:f>E11-'CONSOLIDADO_TOTAL RECAUDO'!E106</x:f>
        <x:v>-4.0000200271606445E-2</x:v>
      </x:c>
      <x:c r="F25" s="649">
        <x:f>F11-'CONSOLIDADO_TOTAL RECAUDO'!F106</x:f>
        <x:v>0.21999990940093994</x:v>
      </x:c>
      <x:c r="G25" s="649">
        <x:f>G11-'CONSOLIDADO_TOTAL RECAUDO'!G106</x:f>
        <x:v>-0.41999995708465576</x:v>
      </x:c>
      <x:c r="H25" s="649">
        <x:f>H11-'CONSOLIDADO_TOTAL RECAUDO'!H106</x:f>
        <x:v>0.42000007629394531</x:v>
      </x:c>
      <x:c r="I25" s="649">
        <x:f>I11-'CONSOLIDADO_TOTAL RECAUDO'!I106</x:f>
        <x:v>4.0000006556510925E-2</x:v>
      </x:c>
      <x:c r="J25" s="649">
        <x:f>J11-'CONSOLIDADO_TOTAL RECAUDO'!J106</x:f>
        <x:v>-0.49000000953674316</x:v>
      </x:c>
      <x:c r="K25" s="649">
        <x:f>K11-'CONSOLIDADO_TOTAL RECAUDO'!K106</x:f>
        <x:v>-0.18000221252441406</x:v>
      </x:c>
      <x:c r="L25" s="649">
        <x:f>L11-'CONSOLIDADO_TOTAL RECAUDO'!L106</x:f>
        <x:v>0</x:v>
      </x:c>
      <x:c r="M25" s="649">
        <x:f>M11-'CONSOLIDADO_TOTAL RECAUDO'!M106</x:f>
        <x:v>-0.18000221252441406</x:v>
      </x:c>
      <x:c r="N25" s="649">
        <x:f>N11-'CONSOLIDADO_TOTAL RECAUDO'!N106</x:f>
        <x:v>-0.31999999843537807</x:v>
      </x:c>
      <x:c r="O25" s="649">
        <x:f>O11-'CONSOLIDADO_TOTAL RECAUDO'!O106</x:f>
        <x:v>0.49999809265136719</x:v>
      </x:c>
    </x:row>
    <x:row r="26" spans="2:15" x14ac:dyDescent="0.35">
      <x:c r="B26" s="611" t="s">
        <x:v>249</x:v>
      </x:c>
      <x:c r="C26" s="611" t="s">
        <x:v>13</x:v>
      </x:c>
      <x:c r="D26" s="649">
        <x:f>D12-'CONSOLIDADO_TOTAL RECAUDO'!D107</x:f>
        <x:v>0.33000087738037109</x:v>
      </x:c>
      <x:c r="E26" s="649">
        <x:f>E12-'CONSOLIDADO_TOTAL RECAUDO'!E107</x:f>
        <x:v>-0.33000004291534424</x:v>
      </x:c>
      <x:c r="F26" s="649">
        <x:f>F12-'CONSOLIDADO_TOTAL RECAUDO'!F107</x:f>
        <x:v>0.29999998211860657</x:v>
      </x:c>
      <x:c r="G26" s="649">
        <x:f>G12-'CONSOLIDADO_TOTAL RECAUDO'!G107</x:f>
        <x:v>-0.35000002384185791</x:v>
      </x:c>
      <x:c r="H26" s="649">
        <x:f>H12-'CONSOLIDADO_TOTAL RECAUDO'!H107</x:f>
        <x:v>0.24000000953674316</x:v>
      </x:c>
      <x:c r="I26" s="649">
        <x:f>I12-'CONSOLIDADO_TOTAL RECAUDO'!I107</x:f>
        <x:v>0.48000000417232513</x:v>
      </x:c>
      <x:c r="J26" s="649">
        <x:f>J12-'CONSOLIDADO_TOTAL RECAUDO'!J107</x:f>
        <x:v>0.37000012397766113</x:v>
      </x:c>
      <x:c r="K26" s="649">
        <x:f>K12-'CONSOLIDADO_TOTAL RECAUDO'!K107</x:f>
        <x:v>-0.37999820709228516</x:v>
      </x:c>
      <x:c r="L26" s="649">
        <x:f>L12-'CONSOLIDADO_TOTAL RECAUDO'!L107</x:f>
        <x:v>0</x:v>
      </x:c>
      <x:c r="M26" s="649">
        <x:f>M12-'CONSOLIDADO_TOTAL RECAUDO'!M107</x:f>
        <x:v>-0.37999820709228516</x:v>
      </x:c>
      <x:c r="N26" s="649">
        <x:f>N12-'CONSOLIDADO_TOTAL RECAUDO'!N107</x:f>
        <x:v>7.0000000298023224E-2</x:v>
      </x:c>
      <x:c r="O26" s="649">
        <x:f>O12-'CONSOLIDADO_TOTAL RECAUDO'!O107</x:f>
        <x:v>-0.30999851226806641</x:v>
      </x:c>
    </x:row>
    <x:row r="27" spans="2:15" x14ac:dyDescent="0.35">
      <x:c r="B27" s="611" t="s">
        <x:v>118</x:v>
      </x:c>
      <x:c r="C27" s="611" t="s">
        <x:v>14</x:v>
      </x:c>
      <x:c r="D27" s="649">
        <x:f>D13-'CONSOLIDADO_TOTAL RECAUDO'!D108</x:f>
        <x:v>0.40999984741210938</x:v>
      </x:c>
      <x:c r="E27" s="649">
        <x:f>E13-'CONSOLIDADO_TOTAL RECAUDO'!E108</x:f>
        <x:v>0.37999999523162842</x:v>
      </x:c>
      <x:c r="F27" s="649">
        <x:f>F13-'CONSOLIDADO_TOTAL RECAUDO'!F108</x:f>
        <x:v>-0.28999990224838257</x:v>
      </x:c>
      <x:c r="G27" s="649">
        <x:f>G13-'CONSOLIDADO_TOTAL RECAUDO'!G108</x:f>
        <x:v>-0.25</x:v>
      </x:c>
      <x:c r="H27" s="649">
        <x:f>H13-'CONSOLIDADO_TOTAL RECAUDO'!H108</x:f>
        <x:v>0.22000026702880859</x:v>
      </x:c>
      <x:c r="I27" s="649">
        <x:f>I13-'CONSOLIDADO_TOTAL RECAUDO'!I108</x:f>
        <x:v>-0.4699999988079071</x:v>
      </x:c>
      <x:c r="J27" s="649">
        <x:f>J13-'CONSOLIDADO_TOTAL RECAUDO'!J108</x:f>
        <x:v>-0.33999991416931152</x:v>
      </x:c>
      <x:c r="K27" s="649">
        <x:f>K13-'CONSOLIDADO_TOTAL RECAUDO'!K108</x:f>
        <x:v>0.15999984741210938</x:v>
      </x:c>
      <x:c r="L27" s="649">
        <x:f>L13-'CONSOLIDADO_TOTAL RECAUDO'!L108</x:f>
        <x:v>0</x:v>
      </x:c>
      <x:c r="M27" s="649">
        <x:f>M13-'CONSOLIDADO_TOTAL RECAUDO'!M108</x:f>
        <x:v>0.15999984741210938</x:v>
      </x:c>
      <x:c r="N27" s="649">
        <x:f>N13-'CONSOLIDADO_TOTAL RECAUDO'!N108</x:f>
        <x:v>0.11999999918043613</x:v>
      </x:c>
      <x:c r="O27" s="649">
        <x:f>O13-'CONSOLIDADO_TOTAL RECAUDO'!O108</x:f>
        <x:v>0.27999973297119141</x:v>
      </x:c>
    </x:row>
    <x:row r="28" spans="2:15" x14ac:dyDescent="0.35">
      <x:c r="B28" s="611" t="s">
        <x:v>250</x:v>
      </x:c>
      <x:c r="C28" s="611" t="s">
        <x:v>70</x:v>
      </x:c>
      <x:c r="D28" s="649">
        <x:f>D14-'CONSOLIDADO_TOTAL RECAUDO'!D109</x:f>
        <x:v>0.2899932861328125</x:v>
      </x:c>
      <x:c r="E28" s="649">
        <x:f>E14-'CONSOLIDADO_TOTAL RECAUDO'!E109</x:f>
        <x:v>2.0000457763671875E-2</x:v>
      </x:c>
      <x:c r="F28" s="649">
        <x:f>F14-'CONSOLIDADO_TOTAL RECAUDO'!F109</x:f>
        <x:v>0.89000034332275391</x:v>
      </x:c>
      <x:c r="G28" s="649">
        <x:f>G14-'CONSOLIDADO_TOTAL RECAUDO'!G109</x:f>
        <x:v>-1.1999998092651367</x:v>
      </x:c>
      <x:c r="H28" s="649">
        <x:f>H14-'CONSOLIDADO_TOTAL RECAUDO'!H109</x:f>
        <x:v>1.3999977111816406</x:v>
      </x:c>
      <x:c r="I28" s="649">
        <x:f>I14-'CONSOLIDADO_TOTAL RECAUDO'!I109</x:f>
        <x:v>-0.58000004291534424</x:v>
      </x:c>
      <x:c r="J28" s="649">
        <x:f>J14-'CONSOLIDADO_TOTAL RECAUDO'!J109</x:f>
        <x:v>-0.80000019073486328</x:v>
      </x:c>
      <x:c r="K28" s="649">
        <x:f>K14-'CONSOLIDADO_TOTAL RECAUDO'!K109</x:f>
        <x:v>-0.44000244140625</x:v>
      </x:c>
      <x:c r="L28" s="649">
        <x:f>L14-'CONSOLIDADO_TOTAL RECAUDO'!L109</x:f>
        <x:v>0</x:v>
      </x:c>
      <x:c r="M28" s="649">
        <x:f>M14-'CONSOLIDADO_TOTAL RECAUDO'!M109</x:f>
        <x:v>-0.44000244140625</x:v>
      </x:c>
      <x:c r="N28" s="649">
        <x:f>N14-'CONSOLIDADO_TOTAL RECAUDO'!N109</x:f>
        <x:v>-0.66999998688697815</x:v>
      </x:c>
      <x:c r="O28" s="649">
        <x:f>O14-'CONSOLIDADO_TOTAL RECAUDO'!O109</x:f>
        <x:v>0.8899993896484375</x:v>
      </x:c>
    </x:row>
    <x:row r="31" spans="2:15" ht="34.5" x14ac:dyDescent="0.35">
      <x:c r="C31" s="647" t="s">
        <x:v>9</x:v>
      </x:c>
      <x:c r="D31" s="647" t="s">
        <x:v>4</x:v>
      </x:c>
      <x:c r="E31" s="647" t="s">
        <x:v>5</x:v>
      </x:c>
      <x:c r="F31" s="647" t="s">
        <x:v>6</x:v>
      </x:c>
      <x:c r="G31" s="647" t="s">
        <x:v>159</x:v>
      </x:c>
      <x:c r="H31" s="647" t="s">
        <x:v>18</x:v>
      </x:c>
      <x:c r="I31" s="647" t="s">
        <x:v>24</x:v>
      </x:c>
      <x:c r="J31" s="710" t="s">
        <x:v>19</x:v>
      </x:c>
      <x:c r="K31" s="648" t="s">
        <x:v>20</x:v>
      </x:c>
      <x:c r="L31" s="710" t="s">
        <x:v>21</x:v>
      </x:c>
      <x:c r="M31" s="648" t="s">
        <x:v>22</x:v>
      </x:c>
      <x:c r="N31" s="647" t="s">
        <x:v>7</x:v>
      </x:c>
      <x:c r="O31" s="648" t="s">
        <x:v>23</x:v>
      </x:c>
    </x:row>
    <x:row r="32" spans="2:15" x14ac:dyDescent="0.35">
      <x:c r="B32" s="611" t="s">
        <x:v>115</x:v>
      </x:c>
      <x:c r="C32" s="338" t="s">
        <x:v>10</x:v>
      </x:c>
      <x:c r="D32" s="652" t="b">
        <x:f>+D23+'Reporte Componentes R1'!F50+'Rem. Anticipos R2'!E43+'Reversion Pagos R4'!D73+'Reporte Componentes R1'!F52+'AJUSTES - SF-T'!D47=D9</x:f>
        <x:v>1</x:v>
      </x:c>
      <x:c r="E32" s="652" t="b">
        <x:f>+E23+'Reporte Componentes R1'!G50+'Rem. Anticipos R2'!F43+'Reversion Pagos R4'!E73+'Reporte Componentes R1'!G52+'AJUSTES - SF-T'!E47=E9</x:f>
        <x:v>1</x:v>
      </x:c>
      <x:c r="F32" s="652" t="b">
        <x:f>+F23+'Reporte Componentes R1'!H50+'Rem. Anticipos R2'!G43+'Reversion Pagos R4'!F73+'Reporte Componentes R1'!H52+'AJUSTES - SF-T'!F47=F9</x:f>
        <x:v>1</x:v>
      </x:c>
      <x:c r="G32" s="652" t="b">
        <x:f>+G23+'Reporte Componentes R1'!I50+'Rem. Anticipos R2'!H43+'Reversion Pagos R4'!G73+'Reporte Componentes R1'!I52+'AJUSTES - SF-T'!G47=G9</x:f>
        <x:v>1</x:v>
      </x:c>
      <x:c r="H32" s="652" t="b">
        <x:f>+H23+'Reporte Componentes R1'!J50+'Rem. Anticipos R2'!I43+'Reversion Pagos R4'!H73+'Reporte Componentes R1'!J52+'AJUSTES - SF-T'!H47=H9</x:f>
        <x:v>1</x:v>
      </x:c>
      <x:c r="I32" s="652" t="b">
        <x:f>+I23+'Reporte Componentes R1'!K50+'Rem. Anticipos R2'!J43+'Reversion Pagos R4'!I73+'Reporte Componentes R1'!K52+'AJUSTES - SF-T'!I47=I9</x:f>
        <x:v>1</x:v>
      </x:c>
      <x:c r="J32" s="652" t="b">
        <x:f>+'BCE SC POR FACT.'!F3+J23=J9</x:f>
        <x:v>1</x:v>
      </x:c>
      <x:c r="K32" s="652" t="b">
        <x:f>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FACT.'!F3)+K23)+'AJUSTES - SF-T'!K47=K9</x:f>
        <x:v>1</x:v>
      </x:c>
      <x:c r="L32" s="699" t="b">
        <x:f>INTERVENTORIA!F15+L23=L9</x:f>
        <x:v>1</x:v>
      </x:c>
      <x:c r="M32" s="649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FACT.'!F3))-INTERVENTORIA!F15)+M23)+'AJUSTES - SF-T'!M47=M9</x:f>
        <x:v>1</x:v>
      </x:c>
      <x:c r="N32" s="649" t="b">
        <x:f>'Reporte Componentes R1'!L50+'Rem. Anticipos R2'!K43+'Reversion Pagos R4'!P73+'Reporte Componentes R1'!L52+N23=N9</x:f>
        <x:v>1</x:v>
      </x:c>
      <x:c r="O32" s="649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FACT.'!F3))-INTERVENTORIA!F15))+'Reporte Componentes R1'!L50+'Rem. Anticipos R2'!K43+'Reversion Pagos R4'!P73+'Reporte Componentes R1'!L52+O23+'AJUSTES - SF-T'!O47=O9</x:f>
        <x:v>1</x:v>
      </x:c>
    </x:row>
    <x:row r="33" spans="2:15" x14ac:dyDescent="0.35">
      <x:c r="B33" s="611" t="s">
        <x:v>116</x:v>
      </x:c>
      <x:c r="C33" s="338" t="s">
        <x:v>11</x:v>
      </x:c>
      <x:c r="D33" s="652" t="b">
        <x:f>+D24+'Reporte Componentes R1'!F194+'Rem. Anticipos R2'!E139+'Reversion Pagos R4'!D168+'Reporte Componentes R1'!F196+'AJUSTES - SF-T'!D48=D10</x:f>
        <x:v>1</x:v>
      </x:c>
      <x:c r="E33" s="652" t="b">
        <x:f>+E24+'Reporte Componentes R1'!G194+'Rem. Anticipos R2'!F139+'Reversion Pagos R4'!E168+'Reporte Componentes R1'!G196+'AJUSTES - SF-T'!E48=E10</x:f>
        <x:v>1</x:v>
      </x:c>
      <x:c r="F33" s="652" t="b">
        <x:f>+F24+'Reporte Componentes R1'!H194+'Rem. Anticipos R2'!G139+'Reversion Pagos R4'!F168+'Reporte Componentes R1'!H196+'AJUSTES - SF-T'!F48=F10</x:f>
        <x:v>1</x:v>
      </x:c>
      <x:c r="G33" s="652" t="b">
        <x:f>+G24+'Reporte Componentes R1'!I194+'Rem. Anticipos R2'!H139+'Reversion Pagos R4'!G168+'Reporte Componentes R1'!I196+'AJUSTES - SF-T'!G48=G10</x:f>
        <x:v>1</x:v>
      </x:c>
      <x:c r="H33" s="652" t="b">
        <x:f>+H24+'Reporte Componentes R1'!J194+'Rem. Anticipos R2'!I139+'Reversion Pagos R4'!H168+'Reporte Componentes R1'!J196+'AJUSTES - SF-T'!H48=H10</x:f>
        <x:v>1</x:v>
      </x:c>
      <x:c r="I33" s="652" t="b">
        <x:f>+I24+'Reporte Componentes R1'!K194+'Rem. Anticipos R2'!J139+'Reversion Pagos R4'!I168+'Reporte Componentes R1'!K196+'AJUSTES - SF-T'!I48=I10</x:f>
        <x:v>1</x:v>
      </x:c>
      <x:c r="J33" s="652" t="b">
        <x:f>+'BCE SC POR FACT.'!F4+J24=J10</x:f>
        <x:v>1</x:v>
      </x:c>
      <x:c r="K33" s="649" t="b">
        <x:f>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FACT.'!F4)+K24)+'AJUSTES - SF-T'!K48=K10</x:f>
        <x:v>1</x:v>
      </x:c>
      <x:c r="L33" s="699" t="b">
        <x:f>INTERVENTORIA!F16+L24=L10</x:f>
        <x:v>1</x:v>
      </x:c>
      <x:c r="M33" s="649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FACT.'!F4))+M24)-INTERVENTORIA!F16)+'AJUSTES - SF-T'!M48=M10</x:f>
        <x:v>1</x:v>
      </x:c>
      <x:c r="N33" s="649" t="b">
        <x:f>+'Reporte Componentes R1'!L194+'Rem. Anticipos R2'!K139+'Reversion Pagos R4'!P168+'Reporte Componentes R1'!L196+N24=N10</x:f>
        <x:v>1</x:v>
      </x:c>
      <x:c r="O33" s="649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FACT.'!F4)))-INTERVENTORIA!F16)+O24+'Reporte Componentes R1'!L194+'Rem. Anticipos R2'!K139+'Reversion Pagos R4'!P168+'Reporte Componentes R1'!L196+'AJUSTES - SF-T'!O48=O10</x:f>
        <x:v>1</x:v>
      </x:c>
    </x:row>
    <x:row r="34" spans="2:15" x14ac:dyDescent="0.35">
      <x:c r="B34" s="611" t="s">
        <x:v>117</x:v>
      </x:c>
      <x:c r="C34" s="338" t="s">
        <x:v>12</x:v>
      </x:c>
      <x:c r="D34" s="652" t="b">
        <x:f>+'Reporte Componentes R1'!F325+'Reporte Componentes R1'!F327+'Rem. Anticipos R2'!E256+'Reversion Pagos R4'!D205+D25+'AJUSTES - SF-T'!D49=D11</x:f>
        <x:v>1</x:v>
      </x:c>
      <x:c r="E34" s="652" t="b">
        <x:f>+'Reporte Componentes R1'!G325+'Reporte Componentes R1'!G327+'Rem. Anticipos R2'!F256+'Reversion Pagos R4'!E205+E25+'AJUSTES - SF-T'!E49=E11</x:f>
        <x:v>1</x:v>
      </x:c>
      <x:c r="F34" s="652" t="b">
        <x:f>+'Reporte Componentes R1'!H325+'Reporte Componentes R1'!H327+'Rem. Anticipos R2'!G256+'Reversion Pagos R4'!F205+F25+'AJUSTES - SF-T'!F49=F11</x:f>
        <x:v>1</x:v>
      </x:c>
      <x:c r="G34" s="652" t="b">
        <x:f>+'Reporte Componentes R1'!I325+'Reporte Componentes R1'!I327+'Rem. Anticipos R2'!H256+'Reversion Pagos R4'!G205+G25+'AJUSTES - SF-T'!G49=G11</x:f>
        <x:v>1</x:v>
      </x:c>
      <x:c r="H34" s="652" t="b">
        <x:f>+'Reporte Componentes R1'!J325+'Reporte Componentes R1'!J327+'Rem. Anticipos R2'!I256+'Reversion Pagos R4'!H205+H25+'AJUSTES - SF-T'!H49=H11</x:f>
        <x:v>1</x:v>
      </x:c>
      <x:c r="I34" s="652" t="b">
        <x:f>+'Reporte Componentes R1'!K325+'Reporte Componentes R1'!K327+'Rem. Anticipos R2'!J256+'Reversion Pagos R4'!I205+I25+'AJUSTES - SF-T'!I49=I11</x:f>
        <x:v>1</x:v>
      </x:c>
      <x:c r="J34" s="652" t="b">
        <x:f>+'BCE SC POR FACT.'!F5+J25=J11</x:f>
        <x:v>1</x:v>
      </x:c>
      <x:c r="K34" s="649" t="b">
        <x:f>+'Reporte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FACT.'!F5)+K25+'AJUSTES - SF-T'!K49=K11</x:f>
        <x:v>1</x:v>
      </x:c>
      <x:c r="L34" s="699" t="b">
        <x:f>INTERVENTORIA!F17+L25=L11</x:f>
        <x:v>1</x:v>
      </x:c>
      <x:c r="M34" s="649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FACT.'!F5))+M25)-INTERVENTORIA!F17)+'AJUSTES - SF-T'!M49=M11</x:f>
        <x:v>1</x:v>
      </x:c>
      <x:c r="N34" s="649" t="b">
        <x:f>+'Reporte Componentes R1'!L325+'Reporte Componentes R1'!L327+'Rem. Anticipos R2'!K256+'Reversion Pagos R4'!P205+N25=N11</x:f>
        <x:v>1</x:v>
      </x:c>
      <x:c r="O34" s="649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FACT.'!F5)))-INTERVENTORIA!F17)++'Reporte Componentes R1'!L325+'Reporte Componentes R1'!L327+'Rem. Anticipos R2'!K256+'Reversion Pagos R4'!P205+O25+'AJUSTES - SF-T'!O49=O11</x:f>
        <x:v>1</x:v>
      </x:c>
    </x:row>
    <x:row r="35" spans="2:15" x14ac:dyDescent="0.35">
      <x:c r="B35" s="611" t="s">
        <x:v>249</x:v>
      </x:c>
      <x:c r="C35" s="338" t="s">
        <x:v>13</x:v>
      </x:c>
      <x:c r="D35" s="652" t="b">
        <x:f>+'Reporte Componentes R1'!F456+'Reporte Componentes R1'!F458+'Rem. Anticipos R2'!E358+'Reversion Pagos R4'!D320+D26+'AJUSTES - SF-T'!D50=D12</x:f>
        <x:v>1</x:v>
      </x:c>
      <x:c r="E35" s="652" t="b">
        <x:f>+'Reporte Componentes R1'!G456+'Reporte Componentes R1'!G458+'Rem. Anticipos R2'!F358+'Reversion Pagos R4'!E320+E26+'AJUSTES - SF-T'!E50=E12</x:f>
        <x:v>1</x:v>
      </x:c>
      <x:c r="F35" s="652" t="b">
        <x:f>+'Reporte Componentes R1'!H456+'Reporte Componentes R1'!H458+'Rem. Anticipos R2'!G358+'Reversion Pagos R4'!F320+F26+'AJUSTES - SF-T'!F50=F12</x:f>
        <x:v>1</x:v>
      </x:c>
      <x:c r="G35" s="652" t="b">
        <x:f>+'Reporte Componentes R1'!I456+'Reporte Componentes R1'!I458+'Rem. Anticipos R2'!H358+'Reversion Pagos R4'!G320+G26+'AJUSTES - SF-T'!G50=G12</x:f>
        <x:v>1</x:v>
      </x:c>
      <x:c r="H35" s="652" t="b">
        <x:f>+'Reporte Componentes R1'!J456+'Reporte Componentes R1'!J458+'Rem. Anticipos R2'!I358+'Reversion Pagos R4'!H320+H26+'AJUSTES - SF-T'!H50=H12</x:f>
        <x:v>1</x:v>
      </x:c>
      <x:c r="I35" s="652" t="b">
        <x:f>+'Reporte Componentes R1'!K456+'Reporte Componentes R1'!K458+'Rem. Anticipos R2'!J358+'Reversion Pagos R4'!I320+I26+'AJUSTES - SF-T'!I50=I12</x:f>
        <x:v>1</x:v>
      </x:c>
      <x:c r="J35" s="652" t="b">
        <x:f>+J26+'BCE SC POR FACT.'!F6=J12</x:f>
        <x:v>1</x:v>
      </x:c>
      <x:c r="K35" s="649" t="b">
        <x:f>+'Reporte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FACT.'!F6)+K26+'AJUSTES - SF-T'!K50=K12</x:f>
        <x:v>1</x:v>
      </x:c>
      <x:c r="L35" s="699" t="b">
        <x:f>INTERVENTORIA!F18+L26=L12</x:f>
        <x:v>1</x:v>
      </x:c>
      <x:c r="M35" s="649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FACT.'!F6))+M26)-INTERVENTORIA!F18)+'AJUSTES - SF-T'!M50=M12</x:f>
        <x:v>1</x:v>
      </x:c>
      <x:c r="N35" s="649" t="b">
        <x:f>+'Reporte Componentes R1'!L456+'Reporte Componentes R1'!L458+'Rem. Anticipos R2'!K358+'Reversion Pagos R4'!P320+N26=N12</x:f>
        <x:v>1</x:v>
      </x:c>
      <x:c r="O35" s="649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FACT.'!F6)))-INTERVENTORIA!F18)+'Reporte Componentes R1'!L456+'Reporte Componentes R1'!L458+'Rem. Anticipos R2'!K358+'Reversion Pagos R4'!P320+O26+'AJUSTES - SF-T'!O50=O12</x:f>
        <x:v>1</x:v>
      </x:c>
    </x:row>
    <x:row r="36" spans="2:15" x14ac:dyDescent="0.35">
      <x:c r="B36" s="611" t="s">
        <x:v>118</x:v>
      </x:c>
      <x:c r="C36" s="338" t="s">
        <x:v>14</x:v>
      </x:c>
      <x:c r="D36" s="652" t="b">
        <x:f>+D27+'Reporte Componentes R1'!F554+'Reporte Componentes R1'!F556+'Rem. Anticipos R2'!E438+'Reversion Pagos R4'!D355+'AJUSTES - SF-T'!D51=D13</x:f>
        <x:v>1</x:v>
      </x:c>
      <x:c r="E36" s="652" t="b">
        <x:f>+E27+'Reporte Componentes R1'!G554+'Reporte Componentes R1'!G556+'Rem. Anticipos R2'!F438+'Reversion Pagos R4'!E355+'AJUSTES - SF-T'!E51=E13</x:f>
        <x:v>1</x:v>
      </x:c>
      <x:c r="F36" s="652" t="b">
        <x:f>+F27+'Reporte Componentes R1'!H554+'Reporte Componentes R1'!H556+'Rem. Anticipos R2'!G438+'Reversion Pagos R4'!F355+'AJUSTES - SF-T'!F51=F13</x:f>
        <x:v>1</x:v>
      </x:c>
      <x:c r="G36" s="652" t="b">
        <x:f>+G27+'Reporte Componentes R1'!I554+'Reporte Componentes R1'!I556+'Rem. Anticipos R2'!H438+'Reversion Pagos R4'!G355+'AJUSTES - SF-T'!G51=G13</x:f>
        <x:v>1</x:v>
      </x:c>
      <x:c r="H36" s="652" t="b">
        <x:f>+H27+'Reporte Componentes R1'!J554+'Reporte Componentes R1'!J556+'Rem. Anticipos R2'!I438+'Reversion Pagos R4'!H355+'AJUSTES - SF-T'!H51=H13</x:f>
        <x:v>1</x:v>
      </x:c>
      <x:c r="I36" s="652" t="b">
        <x:f>+I27+'Reporte Componentes R1'!K554+'Reporte Componentes R1'!K556+'Rem. Anticipos R2'!J438+'Reversion Pagos R4'!I355+'AJUSTES - SF-T'!I51=I13</x:f>
        <x:v>1</x:v>
      </x:c>
      <x:c r="J36" s="652" t="b">
        <x:f>+'BCE SC POR FACT.'!F7+J27=J13</x:f>
        <x:v>1</x:v>
      </x:c>
      <x:c r="K36" s="649" t="b">
        <x:f>+'Reporte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FACT.'!F7)+K27+'AJUSTES - SF-T'!K51=K13</x:f>
        <x:v>1</x:v>
      </x:c>
      <x:c r="L36" s="699" t="b">
        <x:f>INTERVENTORIA!F19+L27=L13</x:f>
        <x:v>1</x:v>
      </x:c>
      <x:c r="M36" s="649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FACT.'!F7))+M27)-INTERVENTORIA!F19)+'AJUSTES - SF-T'!M51=M13</x:f>
        <x:v>1</x:v>
      </x:c>
      <x:c r="N36" s="649" t="b">
        <x:f>+'Reporte Componentes R1'!L554+'Reporte Componentes R1'!L556+'Rem. Anticipos R2'!K438+'Reversion Pagos R4'!P355+N27=N13</x:f>
        <x:v>1</x:v>
      </x:c>
      <x:c r="O36" s="649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FACT.'!F7)))-INTERVENTORIA!F19)+'Reporte Componentes R1'!L554+'Reporte Componentes R1'!L556+'Rem. Anticipos R2'!K438+'Reversion Pagos R4'!P355+O27+'AJUSTES - SF-T'!O51=O13</x:f>
        <x:v>1</x:v>
      </x:c>
    </x:row>
    <x:row r="38" spans="2:15" x14ac:dyDescent="0.35">
      <x:c r="N38" s="653"/>
    </x:row>
    <x:row r="39" spans="2:15" x14ac:dyDescent="0.35">
      <x:c r="D39" s="653"/>
      <x:c r="L39" s="698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8" workbookViewId="0">
      <x:selection activeCell="A43" sqref="A43"/>
    </x:sheetView>
  </x:sheetViews>
  <x:sheetFormatPr baseColWidth="10" defaultColWidth="11.453125" defaultRowHeight="14.5" x14ac:dyDescent="0.35"/>
  <x:cols>
    <x:col min="1" max="1" width="2.81640625" style="610" customWidth="1"/>
    <x:col min="2" max="2" width="7.1796875" style="610" customWidth="1"/>
    <x:col min="3" max="3" width="42.81640625" style="610" customWidth="1"/>
    <x:col min="4" max="15" width="28.54296875" style="610" customWidth="1"/>
    <x:col min="16" max="16384" width="11.453125" style="610"/>
  </x:cols>
  <x:sheetData>
    <x:row r="1" spans="2:15" customFormat="1" ht="12.5" x14ac:dyDescent="0.25"/>
    <x:row r="2" spans="2:15" customFormat="1" ht="12.5" x14ac:dyDescent="0.25"/>
    <x:row r="3" spans="2:15" customFormat="1" x14ac:dyDescent="0.25">
      <x:c r="F3" s="661" t="s">
        <x:v>8</x:v>
      </x:c>
      <x:c r="H3" s="661" t="s">
        <x:v>16</x:v>
      </x:c>
      <x:c r="J3" s="661" t="s">
        <x:v>229</x:v>
      </x:c>
      <x:c r="K3" s="661" t="s">
        <x:v>343</x:v>
      </x:c>
    </x:row>
    <x:row r="4" spans="2:15" customFormat="1" x14ac:dyDescent="0.25">
      <x:c r="F4" s="661" t="s">
        <x:v>29</x:v>
      </x:c>
    </x:row>
    <x:row r="5" spans="2:15" customFormat="1" x14ac:dyDescent="0.25">
      <x:c r="F5" s="661" t="s">
        <x:v>230</x:v>
      </x:c>
    </x:row>
    <x:row r="6" spans="2:15" customFormat="1" x14ac:dyDescent="0.25">
      <x:c r="C6" s="661" t="s">
        <x:v>231</x:v>
      </x:c>
      <x:c r="D6" s="661" t="s">
        <x:v>344</x:v>
      </x:c>
      <x:c r="F6" s="661" t="s">
        <x:v>232</x:v>
      </x:c>
    </x:row>
    <x:row r="7" spans="2:15" customFormat="1" x14ac:dyDescent="0.25">
      <x:c r="C7" s="661" t="s">
        <x:v>233</x:v>
      </x:c>
      <x:c r="D7" s="661" t="s">
        <x:v>345</x:v>
      </x:c>
      <x:c r="F7" s="661" t="s">
        <x:v>27</x:v>
      </x:c>
      <x:c r="G7" s="661" t="s">
        <x:v>346</x:v>
      </x:c>
      <x:c r="I7" s="661" t="s">
        <x:v>234</x:v>
      </x:c>
      <x:c r="J7" s="661" t="s">
        <x:v>347</x:v>
      </x:c>
    </x:row>
    <x:row r="8" spans="2:15" customFormat="1" ht="43.5" x14ac:dyDescent="0.25">
      <x:c r="B8" s="662" t="s">
        <x:v>3</x:v>
      </x:c>
      <x:c r="C8" s="662" t="s">
        <x:v>235</x:v>
      </x:c>
      <x:c r="D8" s="662" t="s">
        <x:v>252</x:v>
      </x:c>
      <x:c r="E8" s="662" t="s">
        <x:v>253</x:v>
      </x:c>
      <x:c r="F8" s="662" t="s">
        <x:v>254</x:v>
      </x:c>
      <x:c r="G8" s="662" t="s">
        <x:v>255</x:v>
      </x:c>
      <x:c r="H8" s="662" t="s">
        <x:v>256</x:v>
      </x:c>
      <x:c r="I8" s="662" t="s">
        <x:v>257</x:v>
      </x:c>
      <x:c r="J8" s="662" t="s">
        <x:v>258</x:v>
      </x:c>
      <x:c r="K8" s="662" t="s">
        <x:v>246</x:v>
      </x:c>
      <x:c r="L8" s="662" t="s">
        <x:v>259</x:v>
      </x:c>
      <x:c r="M8" s="662" t="s">
        <x:v>260</x:v>
      </x:c>
      <x:c r="N8" s="662" t="s">
        <x:v>247</x:v>
      </x:c>
      <x:c r="O8" s="662" t="s">
        <x:v>261</x:v>
      </x:c>
    </x:row>
    <x:row r="9" spans="2:15" customFormat="1" ht="12.5" x14ac:dyDescent="0.25">
      <x:c r="B9" s="642" t="s">
        <x:v>115</x:v>
      </x:c>
      <x:c r="C9" s="642" t="s">
        <x:v>10</x:v>
      </x:c>
      <x:c r="D9" s="643">
        <x:v>1182502863</x:v>
      </x:c>
      <x:c r="E9" s="643">
        <x:v>1138203111</x:v>
      </x:c>
      <x:c r="F9" s="643">
        <x:v>5384239175</x:v>
      </x:c>
      <x:c r="G9" s="643">
        <x:v>2460648865</x:v>
      </x:c>
      <x:c r="H9" s="643">
        <x:v>219070049</x:v>
      </x:c>
      <x:c r="I9" s="643">
        <x:v>-189185988</x:v>
      </x:c>
      <x:c r="J9" s="643">
        <x:v>-19113</x:v>
      </x:c>
      <x:c r="K9" s="643">
        <x:v>25277316</x:v>
      </x:c>
      <x:c r="L9" s="643">
        <x:v>1428564690</x:v>
      </x:c>
      <x:c r="M9" s="643">
        <x:v>5018019355</x:v>
      </x:c>
      <x:c r="N9" s="643">
        <x:v>15238755634</x:v>
      </x:c>
      <x:c r="O9" s="643">
        <x:v>0</x:v>
      </x:c>
    </x:row>
    <x:row r="10" spans="2:15" customFormat="1" ht="12.5" x14ac:dyDescent="0.25">
      <x:c r="B10" s="642" t="s">
        <x:v>116</x:v>
      </x:c>
      <x:c r="C10" s="642" t="s">
        <x:v>11</x:v>
      </x:c>
      <x:c r="D10" s="643">
        <x:v>1949886300</x:v>
      </x:c>
      <x:c r="E10" s="643">
        <x:v>1945637037</x:v>
      </x:c>
      <x:c r="F10" s="643">
        <x:v>9155886148</x:v>
      </x:c>
      <x:c r="G10" s="643">
        <x:v>3142209362</x:v>
      </x:c>
      <x:c r="H10" s="643">
        <x:v>363003578</x:v>
      </x:c>
      <x:c r="I10" s="643">
        <x:v>-266580256</x:v>
      </x:c>
      <x:c r="J10" s="643">
        <x:v>86777</x:v>
      </x:c>
      <x:c r="K10" s="643">
        <x:v>53454221</x:v>
      </x:c>
      <x:c r="L10" s="643">
        <x:v>-5018972953</x:v>
      </x:c>
      <x:c r="M10" s="643">
        <x:v>-1777779239</x:v>
      </x:c>
      <x:c r="N10" s="643">
        <x:v>14565803930</x:v>
      </x:c>
      <x:c r="O10" s="643">
        <x:v>0</x:v>
      </x:c>
    </x:row>
    <x:row r="11" spans="2:15" customFormat="1" ht="12.5" x14ac:dyDescent="0.25">
      <x:c r="B11" s="642" t="s">
        <x:v>117</x:v>
      </x:c>
      <x:c r="C11" s="642" t="s">
        <x:v>248</x:v>
      </x:c>
      <x:c r="D11" s="643">
        <x:v>1102335590</x:v>
      </x:c>
      <x:c r="E11" s="643">
        <x:v>1086464208</x:v>
      </x:c>
      <x:c r="F11" s="643">
        <x:v>5141961248</x:v>
      </x:c>
      <x:c r="G11" s="643">
        <x:v>2685857517</x:v>
      </x:c>
      <x:c r="H11" s="643">
        <x:v>205160229</x:v>
      </x:c>
      <x:c r="I11" s="643">
        <x:v>-154788536</x:v>
      </x:c>
      <x:c r="J11" s="643">
        <x:v>234519</x:v>
      </x:c>
      <x:c r="K11" s="643">
        <x:v>14341963</x:v>
      </x:c>
      <x:c r="L11" s="643">
        <x:v>-692912516</x:v>
      </x:c>
      <x:c r="M11" s="643">
        <x:v>160332049</x:v>
      </x:c>
      <x:c r="N11" s="643">
        <x:v>10241898788</x:v>
      </x:c>
      <x:c r="O11" s="643">
        <x:v>0</x:v>
      </x:c>
    </x:row>
    <x:row r="12" spans="2:15" customFormat="1" ht="12.5" x14ac:dyDescent="0.25">
      <x:c r="B12" s="642" t="s">
        <x:v>249</x:v>
      </x:c>
      <x:c r="C12" s="642" t="s">
        <x:v>13</x:v>
      </x:c>
      <x:c r="D12" s="643">
        <x:v>549450408</x:v>
      </x:c>
      <x:c r="E12" s="643">
        <x:v>548186870</x:v>
      </x:c>
      <x:c r="F12" s="643">
        <x:v>2799232757</x:v>
      </x:c>
      <x:c r="G12" s="643">
        <x:v>1254527099</x:v>
      </x:c>
      <x:c r="H12" s="643">
        <x:v>102249901</x:v>
      </x:c>
      <x:c r="I12" s="643">
        <x:v>-120391083</x:v>
      </x:c>
      <x:c r="J12" s="643">
        <x:v>-16792</x:v>
      </x:c>
      <x:c r="K12" s="643">
        <x:v>34128345</x:v>
      </x:c>
      <x:c r="L12" s="643">
        <x:v>-616738621</x:v>
      </x:c>
      <x:c r="M12" s="643">
        <x:v>83144093</x:v>
      </x:c>
      <x:c r="N12" s="643">
        <x:v>5250511599</x:v>
      </x:c>
      <x:c r="O12" s="643">
        <x:v>0</x:v>
      </x:c>
    </x:row>
    <x:row r="13" spans="2:15" customFormat="1" ht="12.5" x14ac:dyDescent="0.25">
      <x:c r="B13" s="642" t="s">
        <x:v>118</x:v>
      </x:c>
      <x:c r="C13" s="642" t="s">
        <x:v>14</x:v>
      </x:c>
      <x:c r="D13" s="643">
        <x:v>928205240</x:v>
      </x:c>
      <x:c r="E13" s="643">
        <x:v>911180502</x:v>
      </x:c>
      <x:c r="F13" s="643">
        <x:v>4681131561</x:v>
      </x:c>
      <x:c r="G13" s="643">
        <x:v>2173851295</x:v>
      </x:c>
      <x:c r="H13" s="643">
        <x:v>172729907</x:v>
      </x:c>
      <x:c r="I13" s="643">
        <x:v>-128990446</x:v>
      </x:c>
      <x:c r="J13" s="643">
        <x:v>-147778</x:v>
      </x:c>
      <x:c r="K13" s="643">
        <x:v>15891736</x:v>
      </x:c>
      <x:c r="L13" s="643">
        <x:v>-1031025373</x:v>
      </x:c>
      <x:c r="M13" s="643">
        <x:v>-948066349</x:v>
      </x:c>
      <x:c r="N13" s="643">
        <x:v>7805785669</x:v>
      </x:c>
      <x:c r="O13" s="643">
        <x:v>0</x:v>
      </x:c>
    </x:row>
    <x:row r="14" spans="2:15" customFormat="1" ht="12.5" x14ac:dyDescent="0.25">
      <x:c r="B14" s="642" t="s">
        <x:v>250</x:v>
      </x:c>
      <x:c r="C14" s="642" t="s">
        <x:v>70</x:v>
      </x:c>
      <x:c r="D14" s="643">
        <x:v>5712380401</x:v>
      </x:c>
      <x:c r="E14" s="643">
        <x:v>5629671728</x:v>
      </x:c>
      <x:c r="F14" s="643">
        <x:v>27162450889</x:v>
      </x:c>
      <x:c r="G14" s="643">
        <x:v>11717094138</x:v>
      </x:c>
      <x:c r="H14" s="643">
        <x:v>1062213664</x:v>
      </x:c>
      <x:c r="I14" s="643">
        <x:v>-859936309</x:v>
      </x:c>
      <x:c r="J14" s="643">
        <x:v>137613</x:v>
      </x:c>
      <x:c r="K14" s="643">
        <x:v>143093581</x:v>
      </x:c>
      <x:c r="L14" s="643">
        <x:v>-5931084773</x:v>
      </x:c>
      <x:c r="M14" s="643">
        <x:v>2535649909</x:v>
      </x:c>
      <x:c r="N14" s="643">
        <x:v>53102755620</x:v>
      </x:c>
      <x:c r="O14" s="643">
        <x:v>0</x:v>
      </x:c>
    </x:row>
    <x:row r="16" spans="2:15" x14ac:dyDescent="0.35">
      <x:c r="B16" s="611" t="s">
        <x:v>115</x:v>
      </x:c>
      <x:c r="C16" s="611" t="s">
        <x:v>10</x:v>
      </x:c>
      <x:c r="D16" s="649">
        <x:f>D9-'CONSOLIDADO_TOTAL RECAUDO'!U104</x:f>
        <x:v>-0.38000011444091797</x:v>
      </x:c>
      <x:c r="E16" s="649">
        <x:f>E9-'CONSOLIDADO_TOTAL RECAUDO'!V104</x:f>
        <x:v>-2.9999732971191406E-2</x:v>
      </x:c>
      <x:c r="F16" s="649">
        <x:f>F9-'CONSOLIDADO_TOTAL RECAUDO'!W104</x:f>
        <x:v>-0.34999942779541016</x:v>
      </x:c>
      <x:c r="G16" s="649">
        <x:f>G9-'CONSOLIDADO_TOTAL RECAUDO'!X104</x:f>
        <x:v>-0.28999996185302734</x:v>
      </x:c>
      <x:c r="H16" s="649">
        <x:f>H9-'CONSOLIDADO_TOTAL RECAUDO'!Y104</x:f>
        <x:v>9.9999904632568359E-3</x:v>
      </x:c>
      <x:c r="I16" s="649">
        <x:f>I9-'CONSOLIDADO_TOTAL RECAUDO'!Z104</x:f>
        <x:v>0</x:v>
      </x:c>
      <x:c r="J16" s="649">
        <x:f>J9-'CONSOLIDADO_TOTAL RECAUDO'!AA104-'CONSOLIDADO_TOTAL RECAUDO'!AC104</x:f>
        <x:v>0.42999999999960892</x:v>
      </x:c>
      <x:c r="K16" s="649">
        <x:f>K9-'CONSOLIDADO_TOTAL RECAUDO'!AB104</x:f>
        <x:v>-0.26000000163912773</x:v>
      </x:c>
      <x:c r="L16" s="649">
        <x:f>L9-'CONSOLIDADO_TOTAL RECAUDO'!AE104</x:f>
        <x:v>0.45000004768371582</x:v>
      </x:c>
      <x:c r="M16" s="649">
        <x:f>M9-'CONSOLIDADO_TOTAL RECAUDO'!AD104</x:f>
        <x:v>-9.9999427795410156E-2</x:v>
      </x:c>
      <x:c r="N16" s="649">
        <x:f>N9-'CONSOLIDADO_TOTAL RECAUDO'!AF104</x:f>
        <x:v>3.0002593994140625E-2</x:v>
      </x:c>
      <x:c r="O16" s="649">
        <x:f>O9-'CONSOLIDADO_TOTAL RECAUDO'!AG104</x:f>
        <x:v>0</x:v>
      </x:c>
    </x:row>
    <x:row r="17" spans="2:16" x14ac:dyDescent="0.35">
      <x:c r="B17" s="611" t="s">
        <x:v>116</x:v>
      </x:c>
      <x:c r="C17" s="611" t="s">
        <x:v>11</x:v>
      </x:c>
      <x:c r="D17" s="649">
        <x:f>D10-'CONSOLIDADO_TOTAL RECAUDO'!U105</x:f>
        <x:v>-0.44000005722045898</x:v>
      </x:c>
      <x:c r="E17" s="649">
        <x:f>E10-'CONSOLIDADO_TOTAL RECAUDO'!V105</x:f>
        <x:v>9.0000391006469727E-2</x:v>
      </x:c>
      <x:c r="F17" s="649">
        <x:f>F10-'CONSOLIDADO_TOTAL RECAUDO'!W105</x:f>
        <x:v>-0.160003662109375</x:v>
      </x:c>
      <x:c r="G17" s="649">
        <x:f>G10-'CONSOLIDADO_TOTAL RECAUDO'!X105</x:f>
        <x:v>-0.44000005722045898</x:v>
      </x:c>
      <x:c r="H17" s="649">
        <x:f>H10-'CONSOLIDADO_TOTAL RECAUDO'!Y105</x:f>
        <x:v>-0.24000000953674316</x:v>
      </x:c>
      <x:c r="I17" s="649">
        <x:f>I10-'CONSOLIDADO_TOTAL RECAUDO'!Z105</x:f>
        <x:v>0</x:v>
      </x:c>
      <x:c r="J17" s="649">
        <x:f>J10-'CONSOLIDADO_TOTAL RECAUDO'!AA105-'CONSOLIDADO_TOTAL RECAUDO'!AC105</x:f>
        <x:v>5.0000000011053203E-2</x:v>
      </x:c>
      <x:c r="K17" s="649">
        <x:f>K10-'CONSOLIDADO_TOTAL RECAUDO'!AB105</x:f>
        <x:v>-0.2800000011920929</x:v>
      </x:c>
      <x:c r="L17" s="649">
        <x:f>L10-'CONSOLIDADO_TOTAL RECAUDO'!AE105</x:f>
        <x:v>-7.9999923706054688E-2</x:v>
      </x:c>
      <x:c r="M17" s="649">
        <x:f>M10-'CONSOLIDADO_TOTAL RECAUDO'!AD105</x:f>
        <x:v>-0.19000005722045898</x:v>
      </x:c>
      <x:c r="N17" s="649">
        <x:f>N10-'CONSOLIDADO_TOTAL RECAUDO'!AF105</x:f>
        <x:v>0.38999557495117188</x:v>
      </x:c>
      <x:c r="O17" s="649">
        <x:f>O10-'CONSOLIDADO_TOTAL RECAUDO'!AG105</x:f>
        <x:v>0</x:v>
      </x:c>
    </x:row>
    <x:row r="18" spans="2:16" x14ac:dyDescent="0.35">
      <x:c r="B18" s="611" t="s">
        <x:v>117</x:v>
      </x:c>
      <x:c r="C18" s="611" t="s">
        <x:v>248</x:v>
      </x:c>
      <x:c r="D18" s="649">
        <x:f>D11-'CONSOLIDADO_TOTAL RECAUDO'!U106</x:f>
        <x:v>-0.32999992370605469</x:v>
      </x:c>
      <x:c r="E18" s="649">
        <x:f>E11-'CONSOLIDADO_TOTAL RECAUDO'!V106</x:f>
        <x:v>-0.23000001907348633</x:v>
      </x:c>
      <x:c r="F18" s="649">
        <x:f>F11-'CONSOLIDADO_TOTAL RECAUDO'!W106</x:f>
        <x:v>9.9999427795410156E-2</x:v>
      </x:c>
      <x:c r="G18" s="649">
        <x:f>G11-'CONSOLIDADO_TOTAL RECAUDO'!X106</x:f>
        <x:v>0.33999967575073242</x:v>
      </x:c>
      <x:c r="H18" s="649">
        <x:f>H11-'CONSOLIDADO_TOTAL RECAUDO'!Y106</x:f>
        <x:v>-0.32000002264976501</x:v>
      </x:c>
      <x:c r="I18" s="649">
        <x:f>I11-'CONSOLIDADO_TOTAL RECAUDO'!Z106</x:f>
        <x:v>0</x:v>
      </x:c>
      <x:c r="J18" s="649">
        <x:f>J11-'CONSOLIDADO_TOTAL RECAUDO'!AA106-'CONSOLIDADO_TOTAL RECAUDO'!AC106</x:f>
        <x:v>4.0000000011787051E-2</x:v>
      </x:c>
      <x:c r="K18" s="649">
        <x:f>K11-'CONSOLIDADO_TOTAL RECAUDO'!AB106</x:f>
        <x:v>-0.31999999843537807</x:v>
      </x:c>
      <x:c r="L18" s="649">
        <x:f>L11-'CONSOLIDADO_TOTAL RECAUDO'!AE106</x:f>
        <x:v>-0.27000010013580322</x:v>
      </x:c>
      <x:c r="M18" s="649">
        <x:f>M11-'CONSOLIDADO_TOTAL RECAUDO'!AD106</x:f>
        <x:v>0.21999990940093994</x:v>
      </x:c>
      <x:c r="N18" s="649">
        <x:f>N11-'CONSOLIDADO_TOTAL RECAUDO'!AF106</x:f>
        <x:v>0.5</x:v>
      </x:c>
      <x:c r="O18" s="649">
        <x:f>O11-'CONSOLIDADO_TOTAL RECAUDO'!AG106</x:f>
        <x:v>0</x:v>
      </x:c>
    </x:row>
    <x:row r="19" spans="2:16" x14ac:dyDescent="0.35">
      <x:c r="B19" s="611" t="s">
        <x:v>249</x:v>
      </x:c>
      <x:c r="C19" s="611" t="s">
        <x:v>13</x:v>
      </x:c>
      <x:c r="D19" s="649">
        <x:f>D12-'CONSOLIDADO_TOTAL RECAUDO'!U107</x:f>
        <x:v>-0.40999996662139893</x:v>
      </x:c>
      <x:c r="E19" s="649">
        <x:f>E12-'CONSOLIDADO_TOTAL RECAUDO'!V107</x:f>
        <x:v>-0.46999990940093994</x:v>
      </x:c>
      <x:c r="F19" s="649">
        <x:f>F12-'CONSOLIDADO_TOTAL RECAUDO'!W107</x:f>
        <x:v>-0.40999984741210938</x:v>
      </x:c>
      <x:c r="G19" s="649">
        <x:f>G12-'CONSOLIDADO_TOTAL RECAUDO'!X107</x:f>
        <x:v>-0.45000028610229492</x:v>
      </x:c>
      <x:c r="H19" s="649">
        <x:f>H12-'CONSOLIDADO_TOTAL RECAUDO'!Y107</x:f>
        <x:v>-0.39999999105930328</x:v>
      </x:c>
      <x:c r="I19" s="649">
        <x:f>I12-'CONSOLIDADO_TOTAL RECAUDO'!Z107</x:f>
        <x:v>0</x:v>
      </x:c>
      <x:c r="J19" s="649">
        <x:f>J12-'CONSOLIDADO_TOTAL RECAUDO'!AA107-'CONSOLIDADO_TOTAL RECAUDO'!AC107</x:f>
        <x:v>0.29000000000041837</x:v>
      </x:c>
      <x:c r="K19" s="649">
        <x:f>K12-'CONSOLIDADO_TOTAL RECAUDO'!AB107</x:f>
        <x:v>7.0000000298023224E-2</x:v>
      </x:c>
      <x:c r="L19" s="649">
        <x:f>L12-'CONSOLIDADO_TOTAL RECAUDO'!AE107</x:f>
        <x:v>-0.16000008583068848</x:v>
      </x:c>
      <x:c r="M19" s="649">
        <x:f>M12-'CONSOLIDADO_TOTAL RECAUDO'!AD107</x:f>
        <x:v>0.46999979019165039</x:v>
      </x:c>
      <x:c r="N19" s="649">
        <x:f>N12-'CONSOLIDADO_TOTAL RECAUDO'!AF107</x:f>
        <x:v>-0.30999946594238281</x:v>
      </x:c>
      <x:c r="O19" s="649">
        <x:f>O12-'CONSOLIDADO_TOTAL RECAUDO'!AG107</x:f>
        <x:v>0</x:v>
      </x:c>
    </x:row>
    <x:row r="20" spans="2:16" x14ac:dyDescent="0.35">
      <x:c r="B20" s="611" t="s">
        <x:v>118</x:v>
      </x:c>
      <x:c r="C20" s="611" t="s">
        <x:v>14</x:v>
      </x:c>
      <x:c r="D20" s="649">
        <x:f>D13-'CONSOLIDADO_TOTAL RECAUDO'!U108</x:f>
        <x:v>-0.15000009536743164</x:v>
      </x:c>
      <x:c r="E20" s="649">
        <x:f>E13-'CONSOLIDADO_TOTAL RECAUDO'!V108</x:f>
        <x:v>-0.11000001430511475</x:v>
      </x:c>
      <x:c r="F20" s="649">
        <x:f>F13-'CONSOLIDADO_TOTAL RECAUDO'!W108</x:f>
        <x:v>-0.22000026702880859</x:v>
      </x:c>
      <x:c r="G20" s="649">
        <x:f>G13-'CONSOLIDADO_TOTAL RECAUDO'!X108</x:f>
        <x:v>-0.33000040054321289</x:v>
      </x:c>
      <x:c r="H20" s="649">
        <x:f>H13-'CONSOLIDADO_TOTAL RECAUDO'!Y108</x:f>
        <x:v>0.46000000834465027</x:v>
      </x:c>
      <x:c r="I20" s="649">
        <x:f>I13-'CONSOLIDADO_TOTAL RECAUDO'!Z108</x:f>
        <x:v>0</x:v>
      </x:c>
      <x:c r="J20" s="649">
        <x:f>J13-'CONSOLIDADO_TOTAL RECAUDO'!AA108-'CONSOLIDADO_TOTAL RECAUDO'!AC108</x:f>
        <x:v>-0.45000000002212204</x:v>
      </x:c>
      <x:c r="K20" s="649">
        <x:f>K13-'CONSOLIDADO_TOTAL RECAUDO'!AB108</x:f>
        <x:v>0.11999999918043613</x:v>
      </x:c>
      <x:c r="L20" s="649">
        <x:f>L13-'CONSOLIDADO_TOTAL RECAUDO'!AE108</x:f>
        <x:v>-0.37999999523162842</x:v>
      </x:c>
      <x:c r="M20" s="649">
        <x:f>M13-'CONSOLIDADO_TOTAL RECAUDO'!AD108</x:f>
        <x:v>-4.0000081062316895E-2</x:v>
      </x:c>
      <x:c r="N20" s="649">
        <x:f>N13-'CONSOLIDADO_TOTAL RECAUDO'!AF108</x:f>
        <x:v>0.27999782562255859</x:v>
      </x:c>
      <x:c r="O20" s="649">
        <x:f>O13-'CONSOLIDADO_TOTAL RECAUDO'!AG108</x:f>
        <x:v>0</x:v>
      </x:c>
    </x:row>
    <x:row r="21" spans="2:16" x14ac:dyDescent="0.35">
      <x:c r="B21" s="611" t="s">
        <x:v>250</x:v>
      </x:c>
      <x:c r="C21" s="611" t="s">
        <x:v>70</x:v>
      </x:c>
      <x:c r="D21" s="649">
        <x:f>D14-'CONSOLIDADO_TOTAL RECAUDO'!U109</x:f>
        <x:v>-1.7100009918212891</x:v>
      </x:c>
      <x:c r="E21" s="649">
        <x:f>E14-'CONSOLIDADO_TOTAL RECAUDO'!V109</x:f>
        <x:v>-0.74999904632568359</x:v>
      </x:c>
      <x:c r="F21" s="649">
        <x:f>F14-'CONSOLIDADO_TOTAL RECAUDO'!W109</x:f>
        <x:v>-1.0400047302246094</x:v>
      </x:c>
      <x:c r="G21" s="649">
        <x:f>G14-'CONSOLIDADO_TOTAL RECAUDO'!X109</x:f>
        <x:v>-1.1700000762939453</x:v>
      </x:c>
      <x:c r="H21" s="649">
        <x:f>H14-'CONSOLIDADO_TOTAL RECAUDO'!Y109</x:f>
        <x:v>-0.49000000953674316</x:v>
      </x:c>
      <x:c r="I21" s="649">
        <x:f>I14-'CONSOLIDADO_TOTAL RECAUDO'!Z109</x:f>
        <x:v>0</x:v>
      </x:c>
      <x:c r="J21" s="649">
        <x:f>J14-'CONSOLIDADO_TOTAL RECAUDO'!AA109-'CONSOLIDADO_TOTAL RECAUDO'!AC109</x:f>
        <x:v>0.35999999999512511</x:v>
      </x:c>
      <x:c r="K21" s="649">
        <x:f>K14-'CONSOLIDADO_TOTAL RECAUDO'!AB109</x:f>
        <x:v>-0.66999998688697815</x:v>
      </x:c>
      <x:c r="L21" s="649">
        <x:f>L14-'CONSOLIDADO_TOTAL RECAUDO'!AE109</x:f>
        <x:v>-0.44000053405761719</x:v>
      </x:c>
      <x:c r="M21" s="649">
        <x:f>M14-'CONSOLIDADO_TOTAL RECAUDO'!AD109</x:f>
        <x:v>0.3600001335144043</x:v>
      </x:c>
      <x:c r="N21" s="649">
        <x:f>N14-'CONSOLIDADO_TOTAL RECAUDO'!AF109</x:f>
        <x:v>0.8899993896484375</x:v>
      </x:c>
      <x:c r="O21" s="649">
        <x:f>O14-'CONSOLIDADO_TOTAL RECAUDO'!AG109</x:f>
        <x:v>0</x:v>
      </x:c>
    </x:row>
    <x:row r="22" spans="2:16" ht="15" thickBot="1" x14ac:dyDescent="0.4">
      <x:c r="M22" s="653"/>
    </x:row>
    <x:row r="23" spans="2:16" ht="35" thickBot="1" x14ac:dyDescent="0.4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5">
      <x:c r="B24" s="611" t="s">
        <x:v>115</x:v>
      </x:c>
      <x:c r="C24" s="338" t="s">
        <x:v>10</x:v>
      </x:c>
      <x:c r="D24" s="664" t="b">
        <x:f>+'Reporte Componentes R1'!M50+'Reporte Componentes R1'!M52+'Rem. Anticipos R2'!L43+'Reversion Pagos R4'!J73+D16+'AJUSTES - SF-T'!U47=D9</x:f>
        <x:v>1</x:v>
      </x:c>
      <x:c r="E24" s="649" t="b">
        <x:f>+'Reporte Componentes R1'!N50+'Reporte Componentes R1'!N52+'Rem. Anticipos R2'!M43+'Reversion Pagos R4'!K73+E16+'AJUSTES - SF-T'!V47=E9</x:f>
        <x:v>1</x:v>
      </x:c>
      <x:c r="F24" s="649" t="b">
        <x:f>+'Reporte Componentes R1'!O50+'Reporte Componentes R1'!O52+'Rem. Anticipos R2'!N43+'Reversion Pagos R4'!L73+F16+'AJUSTES - SF-T'!W47=F9</x:f>
        <x:v>1</x:v>
      </x:c>
      <x:c r="G24" s="649" t="b">
        <x:f>+'Reporte Componentes R1'!P50+'Reporte Componentes R1'!P52+'Rem. Anticipos R2'!O43+'Reversion Pagos R4'!M73+G16+'AJUSTES - SF-T'!X47=G9</x:f>
        <x:v>1</x:v>
      </x:c>
      <x:c r="H24" s="649" t="b">
        <x:f>+'Reporte Componentes R1'!Q50+'Reporte Componentes R1'!Q52+'Rem. Anticipos R2'!P43+'Reversion Pagos R4'!N73+H16+'AJUSTES - SF-T'!Y47=H9</x:f>
        <x:v>1</x:v>
      </x:c>
      <x:c r="I24" s="699" t="b">
        <x:f>-INTERVENTORIA!F15+I16=I9</x:f>
        <x:v>1</x:v>
      </x:c>
      <x:c r="J24" s="649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SF-T'!AA47+J16=J9</x:f>
        <x:v>1</x:v>
      </x:c>
      <x:c r="K24" s="649" t="b">
        <x:f>+DetRetri2026072!N32</x:f>
        <x:v>1</x:v>
      </x:c>
      <x:c r="L24" s="649" t="b">
        <x:f>'Reporte Componentes R1'!F51+'Rem. Anticipos R2'!E44+'Reporte Componentes R1'!F53+'Reversion Pagos R4'!D74+'AJUSTES - SF-T'!AD47+L16=L9</x:f>
        <x:v>1</x:v>
      </x:c>
      <x:c r="M24" s="649" t="b">
        <x:f>-'BCE SC POR FACT.'!F3+'Reporte Componentes R1'!F51+'Rem. Anticipos R2'!E44+'Reporte Componentes R1'!F53+'Reversion Pagos R4'!D74+'AJUSTES - SF-T'!AD47+M16=M9</x:f>
        <x:v>1</x:v>
      </x:c>
      <x:c r="N24" s="649" t="b">
        <x:f>'Reporte Componentes R1'!F51+'Rem. Anticipos R2'!E44+'Reporte Componentes R1'!F53+'Reversion Pagos R4'!D74+'AJUSTES - SF-T'!AD47+L16=L9</x:f>
        <x:v>1</x:v>
      </x:c>
      <x:c r="O24" s="649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R4'!N73-INTERVENTORIA!J4+'Reporte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SF-T'!AD47+N16=N9</x:f>
        <x:v>0</x:v>
      </x:c>
    </x:row>
    <x:row r="25" spans="2:16" x14ac:dyDescent="0.35">
      <x:c r="B25" s="611" t="s">
        <x:v>116</x:v>
      </x:c>
      <x:c r="C25" s="338" t="s">
        <x:v>11</x:v>
      </x:c>
      <x:c r="D25" s="655" t="b">
        <x:f>+'Reporte Componentes R1'!M194+'Rem. Anticipos R2'!L139+'Reversion Pagos R4'!J168+'Reporte Componentes R1'!M196+D17+'AJUSTES - SF-T'!U48=D10</x:f>
        <x:v>1</x:v>
      </x:c>
      <x:c r="E25" s="655" t="b">
        <x:f>+'Reporte Componentes R1'!N194+'Rem. Anticipos R2'!M139+'Reversion Pagos R4'!K168+'Reporte Componentes R1'!N196+E17+'AJUSTES - SF-T'!V48=E10</x:f>
        <x:v>1</x:v>
      </x:c>
      <x:c r="F25" s="655" t="b">
        <x:f>+'Reporte Componentes R1'!O194+'Rem. Anticipos R2'!N139+'Reversion Pagos R4'!L168+'Reporte Componentes R1'!O196+F17+'AJUSTES - SF-T'!W48=F10</x:f>
        <x:v>1</x:v>
      </x:c>
      <x:c r="G25" s="655" t="b">
        <x:f>+'Reporte Componentes R1'!P194+'Rem. Anticipos R2'!O139+'Reversion Pagos R4'!M168+'Reporte Componentes R1'!P196+G17+'AJUSTES - SF-T'!X48=G10</x:f>
        <x:v>1</x:v>
      </x:c>
      <x:c r="H25" s="655" t="b">
        <x:f>+'Reporte Componentes R1'!Q194+'Rem. Anticipos R2'!P139+'Reversion Pagos R4'!N168+'Reporte Componentes R1'!Q196+H17+'AJUSTES - SF-T'!Y48=H10</x:f>
        <x:v>1</x:v>
      </x:c>
      <x:c r="I25" s="699" t="b">
        <x:f>-INTERVENTORIA!F16+I17=I10</x:f>
        <x:v>1</x:v>
      </x:c>
      <x:c r="J25" s="655" t="b">
        <x:f>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SF-T'!AA48+J17=J10</x:f>
        <x:v>1</x:v>
      </x:c>
      <x:c r="K25" s="655" t="b">
        <x:f>+DetRetri2026072!N33</x:f>
        <x:v>1</x:v>
      </x:c>
      <x:c r="L25" s="649" t="b">
        <x:f>+'Reporte Componentes R1'!F195+'Rem. Anticipos R2'!E140+'Reporte Componentes R1'!F197+'Reversion Pagos R4'!D169+'AJUSTES - SF-T'!AD48+L17=L10</x:f>
        <x:v>1</x:v>
      </x:c>
      <x:c r="M25" s="716">
        <x:f>-'BCE SC POR FACT.'!F4+'Reporte Componentes R1'!F195+'Rem. Anticipos R2'!E140+'Reporte Componentes R1'!F197+'Reversion Pagos R4'!D169+'AJUSTES - SF-T'!AD48+M17-M10</x:f>
        <x:v>0</x:v>
      </x:c>
      <x:c r="N25" s="649" t="b">
        <x:f>'Reporte Componentes R1'!F195+'Rem. Anticipos R2'!E140+'Reporte Componentes R1'!F197+'Reversion Pagos R4'!D169+'AJUSTES - SF-T'!AD48+L17=L10</x:f>
        <x:v>1</x:v>
      </x:c>
      <x:c r="O25" s="649" t="b">
        <x:f>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R1'!Q196-INTERVENTORIA!I5+'Reporte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SF-T'!AD48+N17=N10</x:f>
        <x:v>0</x:v>
      </x:c>
      <x:c r="P25" s="654"/>
    </x:row>
    <x:row r="26" spans="2:16" x14ac:dyDescent="0.35">
      <x:c r="B26" s="611" t="s">
        <x:v>117</x:v>
      </x:c>
      <x:c r="C26" s="338" t="s">
        <x:v>12</x:v>
      </x:c>
      <x:c r="D26" s="649" t="b">
        <x:f>+'Reporte Componentes R1'!M325+'Reporte Componentes R1'!M327+'Rem. Anticipos R2'!L256+'Reversion Pagos R4'!J205+D18+'AJUSTES - SF-T'!U49=D11</x:f>
        <x:v>1</x:v>
      </x:c>
      <x:c r="E26" s="649" t="b">
        <x:f>+'Reporte Componentes R1'!N325+'Reporte Componentes R1'!N327+'Rem. Anticipos R2'!M256+'Reversion Pagos R4'!K205+E18+'AJUSTES - SF-T'!V49=E11</x:f>
        <x:v>1</x:v>
      </x:c>
      <x:c r="F26" s="649" t="b">
        <x:f>+'Reporte Componentes R1'!O325+'Reporte Componentes R1'!O327+'Rem. Anticipos R2'!N256+'Reversion Pagos R4'!L205+F18+'AJUSTES - SF-T'!W49=F11</x:f>
        <x:v>1</x:v>
      </x:c>
      <x:c r="G26" s="649" t="b">
        <x:f>+'Reporte Componentes R1'!P325+'Reporte Componentes R1'!P327+'Rem. Anticipos R2'!O256+'Reversion Pagos R4'!M205+G18+'AJUSTES - SF-T'!X49=G11</x:f>
        <x:v>1</x:v>
      </x:c>
      <x:c r="H26" s="649" t="b">
        <x:f>+'Reporte Componentes R1'!Q325+'Reporte Componentes R1'!Q327+'Rem. Anticipos R2'!P256+'Reversion Pagos R4'!N205+H18+'AJUSTES - SF-T'!Y49=H11</x:f>
        <x:v>1</x:v>
      </x:c>
      <x:c r="I26" s="699" t="b">
        <x:f>-INTERVENTORIA!F17+I18=I11</x:f>
        <x:v>1</x:v>
      </x:c>
      <x:c r="J26" s="649" t="b">
        <x:f>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SF-T'!AA49+J18=J11</x:f>
        <x:v>1</x:v>
      </x:c>
      <x:c r="K26" s="649" t="b">
        <x:f>+DetRetri2026072!N34</x:f>
        <x:v>1</x:v>
      </x:c>
      <x:c r="L26" s="649" t="b">
        <x:f>+'Reporte Componentes R1'!F326+'Rem. Anticipos R2'!E257+'Reporte Componentes R1'!F328+'Reversion Pagos R4'!D206+'AJUSTES - SF-T'!AD49+L18=L11</x:f>
        <x:v>1</x:v>
      </x:c>
      <x:c r="M26" s="716">
        <x:f>-'BCE SC POR FACT.'!F5+'Reporte Componentes R1'!F326+'Rem. Anticipos R2'!E257+'Reporte Componentes R1'!F328+'Reversion Pagos R4'!D206+'AJUSTES - SF-T'!AD49+M18-M11</x:f>
        <x:v>0</x:v>
      </x:c>
      <x:c r="N26" s="649" t="b">
        <x:f>'Reporte Componentes R1'!F326+'Rem. Anticipos R2'!E257+'Reporte Componentes R1'!F328+'Reversion Pagos R4'!D206+'AJUSTES - SF-T'!AD49+L18=L11</x:f>
        <x:v>1</x:v>
      </x:c>
      <x:c r="O26" s="713" t="b">
        <x:f>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R4'!N205-INTERVENTORIA!I6+'Reporte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SF-T'!AD49+N18=N11</x:f>
        <x:v>0</x:v>
      </x:c>
    </x:row>
    <x:row r="27" spans="2:16" x14ac:dyDescent="0.35">
      <x:c r="B27" s="611" t="s">
        <x:v>249</x:v>
      </x:c>
      <x:c r="C27" s="338" t="s">
        <x:v>13</x:v>
      </x:c>
      <x:c r="D27" s="649" t="b">
        <x:f>+'Reporte Componentes R1'!M456+'Reporte Componentes R1'!M458+'Rem. Anticipos R2'!L358+'Reversion Pagos R4'!J320+D19+'AJUSTES - SF-T'!U50=D12</x:f>
        <x:v>1</x:v>
      </x:c>
      <x:c r="E27" s="649" t="b">
        <x:f>+'Reporte Componentes R1'!N456+'Reporte Componentes R1'!N458+'Rem. Anticipos R2'!M358+'Reversion Pagos R4'!K320+E19+'AJUSTES - SF-T'!V50=E12</x:f>
        <x:v>1</x:v>
      </x:c>
      <x:c r="F27" s="649" t="b">
        <x:f>+'Reporte Componentes R1'!O456+'Reporte Componentes R1'!O458+'Rem. Anticipos R2'!N358+'Reversion Pagos R4'!L320+F19+'AJUSTES - SF-T'!W50=F12</x:f>
        <x:v>1</x:v>
      </x:c>
      <x:c r="G27" s="649" t="b">
        <x:f>+'Reporte Componentes R1'!P456+'Reporte Componentes R1'!P458+'Rem. Anticipos R2'!O358+'Reversion Pagos R4'!M320+G19+'AJUSTES - SF-T'!X50=G12</x:f>
        <x:v>1</x:v>
      </x:c>
      <x:c r="H27" s="649" t="b">
        <x:f>+'Reporte Componentes R1'!Q456+'Reporte Componentes R1'!Q458+'Rem. Anticipos R2'!P358+'Reversion Pagos R4'!N320+H19+'AJUSTES - SF-T'!Y50=H12</x:f>
        <x:v>1</x:v>
      </x:c>
      <x:c r="I27" s="699" t="b">
        <x:f>-INTERVENTORIA!F18+I19=I12</x:f>
        <x:v>1</x:v>
      </x:c>
      <x:c r="J27" s="649" t="b">
        <x:f>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SF-T'!AA49+J19=J12</x:f>
        <x:v>1</x:v>
      </x:c>
      <x:c r="K27" s="649" t="b">
        <x:f>+DetRetri2026072!N35</x:f>
        <x:v>1</x:v>
      </x:c>
      <x:c r="L27" s="649" t="b">
        <x:f>+'Reporte Componentes R1'!F457+'Rem. Anticipos R2'!E359+'Reporte Componentes R1'!F459+'Reversion Pagos R4'!D321+'AJUSTES - SF-T'!AD50+L19=L12</x:f>
        <x:v>1</x:v>
      </x:c>
      <x:c r="M27" s="716">
        <x:f>-'BCE SC POR FACT.'!F6+'Reporte Componentes R1'!F457+'Rem. Anticipos R2'!E359+'Reporte Componentes R1'!F459+'Reversion Pagos R4'!D321+'AJUSTES - SF-T'!AD50+M19-M12</x:f>
        <x:v>0</x:v>
      </x:c>
      <x:c r="N27" s="649" t="b">
        <x:f>'Reporte Componentes R1'!F457+'Rem. Anticipos R2'!E359+'Reporte Componentes R1'!F459+'Reversion Pagos R4'!D321+'AJUSTES - SF-T'!AD50+L19=L12</x:f>
        <x:v>1</x:v>
      </x:c>
      <x:c r="O27" s="713" t="b">
        <x:f>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R4'!N320-INTERVENTORIA!I7+'Reporte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SF-T'!AD50+N19=N12</x:f>
        <x:v>0</x:v>
      </x:c>
    </x:row>
    <x:row r="28" spans="2:16" x14ac:dyDescent="0.35">
      <x:c r="B28" s="611" t="s">
        <x:v>118</x:v>
      </x:c>
      <x:c r="C28" s="338" t="s">
        <x:v>14</x:v>
      </x:c>
      <x:c r="D28" s="649" t="b">
        <x:f>+'Reporte Componentes R1'!M554+'Reporte Componentes R1'!M556+'Rem. Anticipos R2'!L438+'Reversion Pagos R4'!J355+D20+'AJUSTES - SF-T'!U51=D13</x:f>
        <x:v>1</x:v>
      </x:c>
      <x:c r="E28" s="649" t="b">
        <x:f>+'Reporte Componentes R1'!N554+'Reporte Componentes R1'!N556+'Rem. Anticipos R2'!M438+'Reversion Pagos R4'!K355+E20+'AJUSTES - SF-T'!V51=E13</x:f>
        <x:v>1</x:v>
      </x:c>
      <x:c r="F28" s="649" t="b">
        <x:f>+'Reporte Componentes R1'!O554+'Reporte Componentes R1'!O556+'Rem. Anticipos R2'!N438+'Reversion Pagos R4'!L355+F20+'AJUSTES - SF-T'!W51=F13</x:f>
        <x:v>1</x:v>
      </x:c>
      <x:c r="G28" s="649" t="b">
        <x:f>+'Reporte Componentes R1'!P554+'Reporte Componentes R1'!P556+'Rem. Anticipos R2'!O438+'Reversion Pagos R4'!M355+G20+'AJUSTES - SF-T'!X51=G13</x:f>
        <x:v>1</x:v>
      </x:c>
      <x:c r="H28" s="649" t="b">
        <x:f>+'Reporte Componentes R1'!Q554+'Reporte Componentes R1'!Q556+'Rem. Anticipos R2'!P438+'Reversion Pagos R4'!N355+H20+'AJUSTES - SF-T'!Y51=H13</x:f>
        <x:v>1</x:v>
      </x:c>
      <x:c r="I28" s="699" t="b">
        <x:f>-INTERVENTORIA!F19+I20=I13</x:f>
        <x:v>1</x:v>
      </x:c>
      <x:c r="J28" s="651" t="b">
        <x:f>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SF-T'!AA50+J20=J13</x:f>
        <x:v>1</x:v>
      </x:c>
      <x:c r="K28" s="649" t="b">
        <x:f>+DetRetri2026072!N36</x:f>
        <x:v>1</x:v>
      </x:c>
      <x:c r="L28" s="649" t="b">
        <x:f>+'Reporte Componentes R1'!F555+'Rem. Anticipos R2'!E439+'Reporte Componentes R1'!F557+'Reversion Pagos R4'!D356+'AJUSTES - SF-T'!AD51+L20=L13</x:f>
        <x:v>1</x:v>
      </x:c>
      <x:c r="M28" s="649" t="b">
        <x:f>-'BCE SC POR FACT.'!F7+'Reporte Componentes R1'!F555+'Rem. Anticipos R2'!E439+'Reporte Componentes R1'!F557+'Reversion Pagos R4'!D356+'AJUSTES - SF-T'!AD51+M20=M13</x:f>
        <x:v>1</x:v>
      </x:c>
      <x:c r="N28" s="649" t="b">
        <x:f>'Reporte Componentes R1'!F555+'Rem. Anticipos R2'!E439+'Reporte Componentes R1'!F557+'Reversion Pagos R4'!D356+'AJUSTES - SF-T'!AD51+L20=L13</x:f>
        <x:v>1</x:v>
      </x:c>
      <x:c r="O28" s="649" t="b">
        <x:f>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R4'!N355-INTERVENTORIA!I8+'Reporte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SF-T'!AD51+N20=N13</x:f>
        <x:v>0</x:v>
      </x:c>
    </x:row>
    <x:row r="29" spans="2:16" x14ac:dyDescent="0.35">
      <x:c r="C29" s="650" t="s">
        <x:v>2</x:v>
      </x:c>
      <x:c r="D29" s="649" t="b">
        <x:f>'Reporte Componentes R1'!M50+'Reporte Componentes R1'!M52+'Rem. Anticipos R2'!L43+'Reversion Pagos R4'!J73+'Reporte Componentes R1'!M194+'Rem. Anticipos R2'!L139+'Reversion Pagos R4'!J168+'Reporte Componentes R1'!M196+'Reporte Componentes R1'!M325+'Reporte Componentes R1'!M327+'Rem. Anticipos R2'!L256+'Reversion Pagos R4'!J205+'Reporte Componentes R1'!M456+'Reporte Componentes R1'!M458+'Rem. Anticipos R2'!L358+'Reversion Pagos R4'!J320+'Reporte Componentes R1'!M554+'Reporte Componentes R1'!M556+'Rem. Anticipos R2'!L438+'Reversion Pagos R4'!J355+D21+'AJUSTES - SF-T'!U52=D14</x:f>
        <x:v>1</x:v>
      </x:c>
      <x:c r="E29" s="649" t="b">
        <x:f>'Reporte Componentes R1'!N50+'Reporte Componentes R1'!N52+'Rem. Anticipos R2'!M43+'Reversion Pagos R4'!K73+'Reporte Componentes R1'!N194+'Rem. Anticipos R2'!M139+'Reversion Pagos R4'!K168+'Reporte Componentes R1'!N196+'Reporte Componentes R1'!N325+'Reporte Componentes R1'!N327+'Rem. Anticipos R2'!M256+'Reversion Pagos R4'!K205+'Reporte Componentes R1'!N456+'Reporte Componentes R1'!N458+'Rem. Anticipos R2'!M358+'Reversion Pagos R4'!K320+'Reporte Componentes R1'!N554+'Reporte Componentes R1'!N556+'Rem. Anticipos R2'!M438+'Reversion Pagos R4'!K355+E21+'AJUSTES - SF-T'!V52=E14</x:f>
        <x:v>1</x:v>
      </x:c>
      <x:c r="F29" s="649" t="b">
        <x:f>'Reporte Componentes R1'!O50+'Reporte Componentes R1'!O52+'Rem. Anticipos R2'!N43+'Reversion Pagos R4'!L73+'Reporte Componentes R1'!O194+'Rem. Anticipos R2'!N139+'Reversion Pagos R4'!L168+'Reporte Componentes R1'!O196+'Reporte Componentes R1'!O325+'Reporte Componentes R1'!O327+'Rem. Anticipos R2'!N256+'Reversion Pagos R4'!L205+'Reporte Componentes R1'!O456+'Reporte Componentes R1'!O458+'Rem. Anticipos R2'!N358+'Reversion Pagos R4'!L320+'Reporte Componentes R1'!O554+'Reporte Componentes R1'!O556+'Rem. Anticipos R2'!N438+'Reversion Pagos R4'!L355+F21+'AJUSTES - SF-T'!W52=F14</x:f>
        <x:v>1</x:v>
      </x:c>
      <x:c r="G29" s="649" t="b">
        <x:f>'Reporte Componentes R1'!P50+'Reporte Componentes R1'!P52+'Rem. Anticipos R2'!O43+'Reversion Pagos R4'!M73+'Reporte Componentes R1'!P194+'Rem. Anticipos R2'!O139+'Reversion Pagos R4'!M168+'Reporte Componentes R1'!P196+'Reporte Componentes R1'!P325+'Reporte Componentes R1'!P327+'Rem. Anticipos R2'!O256+'Reversion Pagos R4'!M205+'Reporte Componentes R1'!P456+'Reporte Componentes R1'!P458+'Rem. Anticipos R2'!O358+'Reversion Pagos R4'!M320+'Reporte Componentes R1'!P554+'Reporte Componentes R1'!P556+'Rem. Anticipos R2'!O438+'Reversion Pagos R4'!M355+G21+'AJUSTES - SF-T'!X52=G14</x:f>
        <x:v>1</x:v>
      </x:c>
      <x:c r="H29" s="649" t="b">
        <x:f>'Reporte Componentes R1'!Q50+'Reporte Componentes R1'!Q52+'Rem. Anticipos R2'!P43+'Reversion Pagos R4'!N73+'Reporte Componentes R1'!Q194+'Rem. Anticipos R2'!P139+'Reversion Pagos R4'!N168+'Reporte Componentes R1'!Q196+'Reporte Componentes R1'!Q325+'Reporte Componentes R1'!Q327+'Rem. Anticipos R2'!P256+'Reversion Pagos R4'!N205+'Reporte Componentes R1'!Q456+'Reporte Componentes R1'!Q458+'Rem. Anticipos R2'!P358+'Reversion Pagos R4'!N320+'Reporte Componentes R1'!Q554+'Reporte Componentes R1'!Q556+'Rem. Anticipos R2'!P438+'Reversion Pagos R4'!N355+H21+'AJUSTES - SF-T'!Y52=H14</x:f>
        <x:v>1</x:v>
      </x:c>
      <x:c r="I29" s="699" t="b">
        <x:f>-INTERVENTORIA!F20+I21=I14</x:f>
        <x:v>1</x:v>
      </x:c>
      <x:c r="J29" s="649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SF-T'!AA51+J21=J14</x:f>
        <x:v>1</x:v>
      </x:c>
      <x:c r="K29" s="649" t="b">
        <x:f>'Reporte Componentes R1'!L50+'Rem. Anticipos R2'!K43+'Reversion Pagos R4'!P73+'Reporte Componentes R1'!L52+'Reporte Componentes R1'!L194+'Rem. Anticipos R2'!K139+'Reversion Pagos R4'!P168+'Reporte Componentes R1'!L196+'Reporte Componentes R1'!L325+'Reporte Componentes R1'!L327+'Rem. Anticipos R2'!K256+'Reversion Pagos R4'!P205+'Reporte Componentes R1'!L456+'Reporte Componentes R1'!L458+'Rem. Anticipos R2'!K358+'Reversion Pagos R4'!P320+'Reporte Componentes R1'!L554+'Reporte Componentes R1'!L556+'Rem. Anticipos R2'!K438+'Reversion Pagos R4'!P355+K21=K14</x:f>
        <x:v>1</x:v>
      </x:c>
      <x:c r="L29" s="712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M29" s="649" t="b">
        <x:f>-'BCE SC POR FACT.'!F3+'Reporte Componentes R1'!F51+'Rem. Anticipos R2'!E44+'Reporte Componentes R1'!F53+'Reversion Pagos R4'!D74+'AJUSTES - SF-T'!AD47-'BCE SC POR FACT.'!F4+'Reporte Componentes R1'!F195+'Rem. Anticipos R2'!E140+'Reporte Componentes R1'!F197+'Reversion Pagos R4'!D169+'AJUSTES - SF-T'!AD48-'BCE SC POR FACT.'!F5+'Reporte Componentes R1'!F326+'Rem. Anticipos R2'!E257+'Reporte Componentes R1'!F328+'Reversion Pagos R4'!D206+'AJUSTES - SF-T'!AD49-'BCE SC POR FACT.'!F6+'Reporte Componentes R1'!F457+'Rem. Anticipos R2'!E359+'Reporte Componentes R1'!F459+'Reversion Pagos R4'!D321+'AJUSTES - SF-T'!AD50-'BCE SC POR FACT.'!F7+'Reporte Componentes R1'!F555+'Rem. Anticipos R2'!E439+'Reporte Componentes R1'!F557+'Reversion Pagos R4'!D356+'AJUSTES - SF-T'!AD51+M21=M14</x:f>
        <x:v>1</x:v>
      </x:c>
      <x:c r="N29" s="649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O29" s="649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R4'!N73-INTERVENTORIA!K15+'Reporte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R1'!Q196-INTERVENTORIA!K16+'Reporte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R4'!N205-INTERVENTORIA!K17+'Reporte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R4'!N320-INTERVENTORIA!K18+'Reporte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R4'!N355-INTERVENTORIA!Q19+'Reporte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SF-T'!AD51+N21=N14</x:f>
        <x:v>0</x:v>
      </x:c>
    </x:row>
    <x:row r="30" spans="2:16" x14ac:dyDescent="0.35">
      <x:c r="M30" s="656"/>
    </x:row>
    <x:row r="31" spans="2:16" x14ac:dyDescent="0.35">
      <x:c r="I31" s="698"/>
      <x:c r="J31" s="700"/>
    </x:row>
    <x:row r="32" spans="2:16" x14ac:dyDescent="0.35">
      <x:c r="J32" s="701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94" zoomScaleNormal="100" workbookViewId="0">
      <x:selection activeCell="A113" sqref="A113"/>
    </x:sheetView>
  </x:sheetViews>
  <x:sheetFormatPr baseColWidth="10" defaultColWidth="11.453125" defaultRowHeight="11.5" x14ac:dyDescent="0.25"/>
  <x:cols>
    <x:col min="1" max="1" width="3" style="1" customWidth="1"/>
    <x:col min="2" max="2" width="4.453125" style="1" bestFit="1" customWidth="1"/>
    <x:col min="3" max="3" width="36.81640625" style="1" customWidth="1"/>
    <x:col min="4" max="4" width="13.81640625" style="1" bestFit="1" customWidth="1"/>
    <x:col min="5" max="5" width="16" style="1" customWidth="1"/>
    <x:col min="6" max="7" width="14.81640625" style="1" customWidth="1"/>
    <x:col min="8" max="8" width="16.1796875" style="1" customWidth="1"/>
    <x:col min="9" max="9" width="20.1796875" style="1" bestFit="1" customWidth="1"/>
    <x:col min="10" max="10" width="15.54296875" style="1" customWidth="1"/>
    <x:col min="11" max="11" width="17.54296875" style="1" customWidth="1"/>
    <x:col min="12" max="12" width="17" style="1" bestFit="1" customWidth="1"/>
    <x:col min="13" max="13" width="19.81640625" style="1" customWidth="1"/>
    <x:col min="14" max="14" width="15.1796875" style="1" customWidth="1"/>
    <x:col min="15" max="15" width="16.81640625" style="1" customWidth="1"/>
    <x:col min="16" max="16" width="3.81640625" style="1" customWidth="1"/>
    <x:col min="17" max="17" width="2.81640625" style="1" customWidth="1"/>
    <x:col min="18" max="18" width="4.54296875" style="1" customWidth="1"/>
    <x:col min="19" max="19" width="11.1796875" style="1" customWidth="1"/>
    <x:col min="20" max="20" width="37.54296875" style="1" bestFit="1" customWidth="1"/>
    <x:col min="21" max="21" width="19.1796875" style="1" customWidth="1"/>
    <x:col min="22" max="22" width="17.81640625" style="1" customWidth="1"/>
    <x:col min="23" max="23" width="16.453125" style="1" customWidth="1"/>
    <x:col min="24" max="24" width="17.1796875" style="1" customWidth="1"/>
    <x:col min="25" max="25" width="15.81640625" style="1" customWidth="1"/>
    <x:col min="26" max="26" width="16" style="1" customWidth="1"/>
    <x:col min="27" max="27" width="15" style="1" customWidth="1"/>
    <x:col min="28" max="29" width="16.81640625" style="1" customWidth="1"/>
    <x:col min="30" max="31" width="15.453125" style="1" customWidth="1"/>
    <x:col min="32" max="32" width="16.1796875" style="1" customWidth="1"/>
    <x:col min="33" max="33" width="18.1796875" style="1" customWidth="1"/>
    <x:col min="34" max="34" width="13.81640625" style="1" customWidth="1"/>
    <x:col min="35" max="35" width="3.453125" style="1" customWidth="1"/>
    <x:col min="36" max="36" width="13.81640625" style="1" bestFit="1" customWidth="1"/>
    <x:col min="37" max="16384" width="11.453125" style="1"/>
  </x:cols>
  <x:sheetData>
    <x:row r="1" spans="2:39" ht="12" thickBot="1" x14ac:dyDescent="0.3">
      <x:c r="Q1" s="4"/>
      <x:c r="AI1" s="4"/>
    </x:row>
    <x:row r="2" spans="2:39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4" x14ac:dyDescent="0.3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5" x14ac:dyDescent="0.3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4" x14ac:dyDescent="0.3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5" x14ac:dyDescent="0.3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3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5">
      <x:c r="B9" s="303">
        <x:v>1</x:v>
      </x:c>
      <x:c r="C9" s="304" t="s">
        <x:v>10</x:v>
      </x:c>
      <x:c r="D9" s="291">
        <x:f>'CONSOLIDADO_TOTAL RECAUDO'!D104</x:f>
        <x:v>17450228673.349998</x:v>
      </x:c>
      <x:c r="E9" s="292">
        <x:f>'CONSOLIDADO_TOTAL RECAUDO'!E104</x:f>
        <x:v>907089032.16000009</x:v>
      </x:c>
      <x:c r="F9" s="292">
        <x:f>'CONSOLIDADO_TOTAL RECAUDO'!F104</x:f>
        <x:v>511619081.72000003</x:v>
      </x:c>
      <x:c r="G9" s="292">
        <x:f>'CONSOLIDADO_TOTAL RECAUDO'!G104</x:f>
        <x:v>268690518.94</x:v>
      </x:c>
      <x:c r="H9" s="292">
        <x:f>'CONSOLIDADO_TOTAL RECAUDO'!H104</x:f>
        <x:v>3815252256.9000001</x:v>
      </x:c>
      <x:c r="I9" s="292">
        <x:f>'CONSOLIDADO_TOTAL RECAUDO'!I104</x:f>
        <x:v>134368143.47</x:v>
      </x:c>
      <x:c r="J9" s="288">
        <x:f>'CONSOLIDADO_TOTAL RECAUDO'!J104</x:f>
        <x:v>-3589454665.5499997</x:v>
      </x:c>
      <x:c r="K9" s="293">
        <x:f>'CONSOLIDADO_TOTAL RECAUDO'!K104</x:f>
        <x:v>15402664305.709999</x:v>
      </x:c>
      <x:c r="L9" s="294">
        <x:f>'CONSOLIDADO_TOTAL RECAUDO'!L104</x:f>
        <x:v>189185988</x:v>
      </x:c>
      <x:c r="M9" s="293">
        <x:f>'CONSOLIDADO_TOTAL RECAUDO'!M104</x:f>
        <x:v>15213478317.709999</x:v>
      </x:c>
      <x:c r="N9" s="294">
        <x:f>'CONSOLIDADO_TOTAL RECAUDO'!N104</x:f>
        <x:v>25277316.260000002</x:v>
      </x:c>
      <x:c r="O9" s="293">
        <x:f>'CONSOLIDADO_TOTAL RECAUDO'!O104</x:f>
        <x:v>15238755633.969999</x:v>
      </x:c>
      <x:c r="Q9" s="306"/>
      <x:c r="S9" s="303">
        <x:v>1</x:v>
      </x:c>
      <x:c r="T9" s="304" t="s">
        <x:v>10</x:v>
      </x:c>
      <x:c r="U9" s="307">
        <x:f>'CONSOLIDADO_TOTAL RECAUDO'!U104</x:f>
        <x:v>1182502863.3800001</x:v>
      </x:c>
      <x:c r="V9" s="308">
        <x:f>'CONSOLIDADO_TOTAL RECAUDO'!V104</x:f>
        <x:v>1138203111.0299997</x:v>
      </x:c>
      <x:c r="W9" s="308">
        <x:f>'CONSOLIDADO_TOTAL RECAUDO'!W104</x:f>
        <x:v>5384239175.3499994</x:v>
      </x:c>
      <x:c r="X9" s="308">
        <x:f>'CONSOLIDADO_TOTAL RECAUDO'!X104</x:f>
        <x:v>2460648865.29</x:v>
      </x:c>
      <x:c r="Y9" s="309">
        <x:f>'CONSOLIDADO_TOTAL RECAUDO'!Y104</x:f>
        <x:v>219070048.99000001</x:v>
      </x:c>
      <x:c r="Z9" s="310">
        <x:f>'CONSOLIDADO_TOTAL RECAUDO'!Z104</x:f>
        <x:v>-189185988</x:v>
      </x:c>
      <x:c r="AA9" s="311">
        <x:f>'CONSOLIDADO_TOTAL RECAUDO'!AA104</x:f>
        <x:v>-17520.82</x:v>
      </x:c>
      <x:c r="AB9" s="294">
        <x:f>'CONSOLIDADO_TOTAL RECAUDO'!AB104</x:f>
        <x:v>25277316.260000002</x:v>
      </x:c>
      <x:c r="AC9" s="311">
        <x:f>'CONSOLIDADO_TOTAL RECAUDO'!AC104</x:f>
        <x:v>-1592.61</x:v>
      </x:c>
      <x:c r="AD9" s="291">
        <x:f>'CONSOLIDADO_TOTAL RECAUDO'!AD104</x:f>
        <x:v>5018019355.0999994</x:v>
      </x:c>
      <x:c r="AE9" s="291">
        <x:f>'CONSOLIDADO_TOTAL RECAUDO'!AE104</x:f>
        <x:v>1428564689.55</x:v>
      </x:c>
      <x:c r="AF9" s="313">
        <x:f>'CONSOLIDADO_TOTAL RECAUDO'!AF104</x:f>
        <x:v>15238755633.969997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5">
      <x:c r="B10" s="314">
        <x:v>2</x:v>
      </x:c>
      <x:c r="C10" s="315" t="s">
        <x:v>11</x:v>
      </x:c>
      <x:c r="D10" s="291">
        <x:f>'CONSOLIDADO_TOTAL RECAUDO'!D105</x:f>
        <x:v>20516143969.650002</x:v>
      </x:c>
      <x:c r="E10" s="292">
        <x:f>'CONSOLIDADO_TOTAL RECAUDO'!E105</x:f>
        <x:v>1584179837.8299999</x:v>
      </x:c>
      <x:c r="F10" s="292">
        <x:f>'CONSOLIDADO_TOTAL RECAUDO'!F105</x:f>
        <x:v>890098162.61999989</x:v>
      </x:c>
      <x:c r="G10" s="292">
        <x:f>'CONSOLIDADO_TOTAL RECAUDO'!G105</x:f>
        <x:v>466611469.23999995</x:v>
      </x:c>
      <x:c r="H10" s="292">
        <x:f>'CONSOLIDADO_TOTAL RECAUDO'!H105</x:f>
        <x:v>5815089519.5800009</x:v>
      </x:c>
      <x:c r="I10" s="292">
        <x:f>'CONSOLIDADO_TOTAL RECAUDO'!I105</x:f>
        <x:v>222428730.16</x:v>
      </x:c>
      <x:c r="J10" s="288">
        <x:f>'CONSOLIDADO_TOTAL RECAUDO'!J105</x:f>
        <x:v>-3241193714.1100001</x:v>
      </x:c>
      <x:c r="K10" s="295">
        <x:f>'CONSOLIDADO_TOTAL RECAUDO'!K105</x:f>
        <x:v>14778929964.329998</x:v>
      </x:c>
      <x:c r="L10" s="294">
        <x:f>'CONSOLIDADO_TOTAL RECAUDO'!L105</x:f>
        <x:v>266580256</x:v>
      </x:c>
      <x:c r="M10" s="295">
        <x:f>'CONSOLIDADO_TOTAL RECAUDO'!M105</x:f>
        <x:v>14512349708.329998</x:v>
      </x:c>
      <x:c r="N10" s="294">
        <x:f>'CONSOLIDADO_TOTAL RECAUDO'!N105</x:f>
        <x:v>53454221.280000001</x:v>
      </x:c>
      <x:c r="O10" s="295">
        <x:f>'CONSOLIDADO_TOTAL RECAUDO'!O105</x:f>
        <x:v>14565803929.609999</x:v>
      </x:c>
      <x:c r="Q10" s="306"/>
      <x:c r="S10" s="314">
        <x:v>2</x:v>
      </x:c>
      <x:c r="T10" s="315" t="s">
        <x:v>11</x:v>
      </x:c>
      <x:c r="U10" s="316">
        <x:f>'CONSOLIDADO_TOTAL RECAUDO'!U105</x:f>
        <x:v>1949886300.4400001</x:v>
      </x:c>
      <x:c r="V10" s="317">
        <x:f>'CONSOLIDADO_TOTAL RECAUDO'!V105</x:f>
        <x:v>1945637036.9099996</x:v>
      </x:c>
      <x:c r="W10" s="317">
        <x:f>'CONSOLIDADO_TOTAL RECAUDO'!W105</x:f>
        <x:v>9155886148.1600037</x:v>
      </x:c>
      <x:c r="X10" s="317">
        <x:f>'CONSOLIDADO_TOTAL RECAUDO'!X105</x:f>
        <x:v>3142209362.4400001</x:v>
      </x:c>
      <x:c r="Y10" s="318">
        <x:f>'CONSOLIDADO_TOTAL RECAUDO'!Y105</x:f>
        <x:v>363003578.24000001</x:v>
      </x:c>
      <x:c r="Z10" s="319">
        <x:f>'CONSOLIDADO_TOTAL RECAUDO'!Z105</x:f>
        <x:v>-266580256</x:v>
      </x:c>
      <x:c r="AA10" s="320">
        <x:f>'CONSOLIDADO_TOTAL RECAUDO'!AA105</x:f>
        <x:v>86900.159999999989</x:v>
      </x:c>
      <x:c r="AB10" s="294">
        <x:f>'CONSOLIDADO_TOTAL RECAUDO'!AB105</x:f>
        <x:v>53454221.280000001</x:v>
      </x:c>
      <x:c r="AC10" s="320">
        <x:f>'CONSOLIDADO_TOTAL RECAUDO'!AC105</x:f>
        <x:v>-123.21</x:v>
      </x:c>
      <x:c r="AD10" s="291">
        <x:f>'CONSOLIDADO_TOTAL RECAUDO'!AD105</x:f>
        <x:v>-1777779238.8099999</x:v>
      </x:c>
      <x:c r="AE10" s="291">
        <x:f>'CONSOLIDADO_TOTAL RECAUDO'!AE105</x:f>
        <x:v>-5018972952.9200001</x:v>
      </x:c>
      <x:c r="AF10" s="322">
        <x:f>'CONSOLIDADO_TOTAL RECAUDO'!AF105</x:f>
        <x:v>14565803929.610004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5">
      <x:c r="B11" s="314">
        <x:v>3</x:v>
      </x:c>
      <x:c r="C11" s="315" t="s">
        <x:v>12</x:v>
      </x:c>
      <x:c r="D11" s="291">
        <x:f>'CONSOLIDADO_TOTAL RECAUDO'!D106</x:f>
        <x:v>15221896467.450003</x:v>
      </x:c>
      <x:c r="E11" s="292">
        <x:f>'CONSOLIDADO_TOTAL RECAUDO'!E106</x:f>
        <x:v>1154816918.0400002</x:v>
      </x:c>
      <x:c r="F11" s="292">
        <x:f>'CONSOLIDADO_TOTAL RECAUDO'!F106</x:f>
        <x:v>650648256.78000009</x:v>
      </x:c>
      <x:c r="G11" s="292">
        <x:f>'CONSOLIDADO_TOTAL RECAUDO'!G106</x:f>
        <x:v>342168927.41999996</x:v>
      </x:c>
      <x:c r="H11" s="292">
        <x:f>'CONSOLIDADO_TOTAL RECAUDO'!H106</x:f>
        <x:v>3419471286.5799999</x:v>
      </x:c>
      <x:c r="I11" s="292">
        <x:f>'CONSOLIDADO_TOTAL RECAUDO'!I106</x:f>
        <x:v>125690282.95999999</x:v>
      </x:c>
      <x:c r="J11" s="288">
        <x:f>'CONSOLIDADO_TOTAL RECAUDO'!J106</x:f>
        <x:v>-853244564.50999999</x:v>
      </x:c>
      <x:c r="K11" s="295">
        <x:f>'CONSOLIDADO_TOTAL RECAUDO'!K106</x:f>
        <x:v>10382345360.180002</x:v>
      </x:c>
      <x:c r="L11" s="294">
        <x:f>'CONSOLIDADO_TOTAL RECAUDO'!L106</x:f>
        <x:v>154788536</x:v>
      </x:c>
      <x:c r="M11" s="295">
        <x:f>'CONSOLIDADO_TOTAL RECAUDO'!M106</x:f>
        <x:v>10227556824.180002</x:v>
      </x:c>
      <x:c r="N11" s="294">
        <x:f>'CONSOLIDADO_TOTAL RECAUDO'!N106</x:f>
        <x:v>14341963.319999998</x:v>
      </x:c>
      <x:c r="O11" s="295">
        <x:f>'CONSOLIDADO_TOTAL RECAUDO'!O106</x:f>
        <x:v>10241898787.500002</x:v>
      </x:c>
      <x:c r="Q11" s="306"/>
      <x:c r="S11" s="314">
        <x:v>3</x:v>
      </x:c>
      <x:c r="T11" s="315" t="s">
        <x:v>12</x:v>
      </x:c>
      <x:c r="U11" s="316">
        <x:f>'CONSOLIDADO_TOTAL RECAUDO'!U106</x:f>
        <x:v>1102335590.3299999</x:v>
      </x:c>
      <x:c r="V11" s="317">
        <x:f>'CONSOLIDADO_TOTAL RECAUDO'!V106</x:f>
        <x:v>1086464208.23</x:v>
      </x:c>
      <x:c r="W11" s="317">
        <x:f>'CONSOLIDADO_TOTAL RECAUDO'!W106</x:f>
        <x:v>5141961247.9000006</x:v>
      </x:c>
      <x:c r="X11" s="317">
        <x:f>'CONSOLIDADO_TOTAL RECAUDO'!X106</x:f>
        <x:v>2685857516.6600003</x:v>
      </x:c>
      <x:c r="Y11" s="318">
        <x:f>'CONSOLIDADO_TOTAL RECAUDO'!Y106</x:f>
        <x:v>205160229.32000002</x:v>
      </x:c>
      <x:c r="Z11" s="319">
        <x:f>'CONSOLIDADO_TOTAL RECAUDO'!Z106</x:f>
        <x:v>-154788536</x:v>
      </x:c>
      <x:c r="AA11" s="320">
        <x:f>'CONSOLIDADO_TOTAL RECAUDO'!AA106</x:f>
        <x:v>246404.58</x:v>
      </x:c>
      <x:c r="AB11" s="294">
        <x:f>'CONSOLIDADO_TOTAL RECAUDO'!AB106</x:f>
        <x:v>14341963.319999998</x:v>
      </x:c>
      <x:c r="AC11" s="320">
        <x:f>'CONSOLIDADO_TOTAL RECAUDO'!AC106</x:f>
        <x:v>-11885.619999999999</x:v>
      </x:c>
      <x:c r="AD11" s="291">
        <x:f>'CONSOLIDADO_TOTAL RECAUDO'!AD106</x:f>
        <x:v>160332048.78000009</x:v>
      </x:c>
      <x:c r="AE11" s="291">
        <x:f>'CONSOLIDADO_TOTAL RECAUDO'!AE106</x:f>
        <x:v>-692912515.7299999</x:v>
      </x:c>
      <x:c r="AF11" s="322">
        <x:f>'CONSOLIDADO_TOTAL RECAUDO'!AF106</x:f>
        <x:v>10241898787.5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5">
      <x:c r="B12" s="314">
        <x:v>4</x:v>
      </x:c>
      <x:c r="C12" s="315" t="s">
        <x:v>13</x:v>
      </x:c>
      <x:c r="D12" s="291">
        <x:f>'CONSOLIDADO_TOTAL RECAUDO'!D107</x:f>
        <x:v>7179595395.6699991</x:v>
      </x:c>
      <x:c r="E12" s="292">
        <x:f>'CONSOLIDADO_TOTAL RECAUDO'!E107</x:f>
        <x:v>473606043.33000004</x:v>
      </x:c>
      <x:c r="F12" s="292">
        <x:f>'CONSOLIDADO_TOTAL RECAUDO'!F107</x:f>
        <x:v>264596657.70000002</x:v>
      </x:c>
      <x:c r="G12" s="292">
        <x:f>'CONSOLIDADO_TOTAL RECAUDO'!G107</x:f>
        <x:v>136481575.35000002</x:v>
      </x:c>
      <x:c r="H12" s="292">
        <x:f>'CONSOLIDADO_TOTAL RECAUDO'!H107</x:f>
        <x:v>1605437093.76</x:v>
      </x:c>
      <x:c r="I12" s="292">
        <x:f>'CONSOLIDADO_TOTAL RECAUDO'!I107</x:f>
        <x:v>62582401.519999996</x:v>
      </x:c>
      <x:c r="J12" s="288">
        <x:f>'CONSOLIDADO_TOTAL RECAUDO'!J107</x:f>
        <x:v>-699882713.37000012</x:v>
      </x:c>
      <x:c r="K12" s="295">
        <x:f>'CONSOLIDADO_TOTAL RECAUDO'!K107</x:f>
        <x:v>5336774337.3799982</x:v>
      </x:c>
      <x:c r="L12" s="294">
        <x:f>'CONSOLIDADO_TOTAL RECAUDO'!L107</x:f>
        <x:v>120391083</x:v>
      </x:c>
      <x:c r="M12" s="295">
        <x:f>'CONSOLIDADO_TOTAL RECAUDO'!M107</x:f>
        <x:v>5216383254.3799982</x:v>
      </x:c>
      <x:c r="N12" s="294">
        <x:f>'CONSOLIDADO_TOTAL RECAUDO'!N107</x:f>
        <x:v>34128344.93</x:v>
      </x:c>
      <x:c r="O12" s="295">
        <x:f>'CONSOLIDADO_TOTAL RECAUDO'!O107</x:f>
        <x:v>5250511599.3099985</x:v>
      </x:c>
      <x:c r="Q12" s="306"/>
      <x:c r="S12" s="314">
        <x:v>4</x:v>
      </x:c>
      <x:c r="T12" s="315" t="s">
        <x:v>13</x:v>
      </x:c>
      <x:c r="U12" s="316">
        <x:f>'CONSOLIDADO_TOTAL RECAUDO'!U107</x:f>
        <x:v>549450408.40999997</x:v>
      </x:c>
      <x:c r="V12" s="317">
        <x:f>'CONSOLIDADO_TOTAL RECAUDO'!V107</x:f>
        <x:v>548186870.46999991</x:v>
      </x:c>
      <x:c r="W12" s="317">
        <x:f>'CONSOLIDADO_TOTAL RECAUDO'!W107</x:f>
        <x:v>2799232757.4099998</x:v>
      </x:c>
      <x:c r="X12" s="317">
        <x:f>'CONSOLIDADO_TOTAL RECAUDO'!X107</x:f>
        <x:v>1254527099.4500003</x:v>
      </x:c>
      <x:c r="Y12" s="318">
        <x:f>'CONSOLIDADO_TOTAL RECAUDO'!Y107</x:f>
        <x:v>102249901.39999999</x:v>
      </x:c>
      <x:c r="Z12" s="319">
        <x:f>'CONSOLIDADO_TOTAL RECAUDO'!Z107</x:f>
        <x:v>-120391083</x:v>
      </x:c>
      <x:c r="AA12" s="320">
        <x:f>'CONSOLIDADO_TOTAL RECAUDO'!AA107</x:f>
        <x:v>-16263.19</x:v>
      </x:c>
      <x:c r="AB12" s="294">
        <x:f>'CONSOLIDADO_TOTAL RECAUDO'!AB107</x:f>
        <x:v>34128344.93</x:v>
      </x:c>
      <x:c r="AC12" s="320">
        <x:f>'CONSOLIDADO_TOTAL RECAUDO'!AC107</x:f>
        <x:v>-529.09999999999991</x:v>
      </x:c>
      <x:c r="AD12" s="291">
        <x:f>'CONSOLIDADO_TOTAL RECAUDO'!AD107</x:f>
        <x:v>83144092.53000021</x:v>
      </x:c>
      <x:c r="AE12" s="291">
        <x:f>'CONSOLIDADO_TOTAL RECAUDO'!AE107</x:f>
        <x:v>-616738620.83999991</x:v>
      </x:c>
      <x:c r="AF12" s="322">
        <x:f>'CONSOLIDADO_TOTAL RECAUDO'!AF107</x:f>
        <x:v>5250511599.3099995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" thickBot="1" x14ac:dyDescent="0.3">
      <x:c r="B13" s="324">
        <x:v>5</x:v>
      </x:c>
      <x:c r="C13" s="325" t="s">
        <x:v>14</x:v>
      </x:c>
      <x:c r="D13" s="296">
        <x:f>'CONSOLIDADO_TOTAL RECAUDO'!D108</x:f>
        <x:v>12073344661.59</x:v>
      </x:c>
      <x:c r="E13" s="297">
        <x:f>'CONSOLIDADO_TOTAL RECAUDO'!E108</x:f>
        <x:v>731686441.62</x:v>
      </x:c>
      <x:c r="F13" s="297">
        <x:f>'CONSOLIDADO_TOTAL RECAUDO'!F108</x:f>
        <x:v>412480816.2899999</x:v>
      </x:c>
      <x:c r="G13" s="297">
        <x:f>'CONSOLIDADO_TOTAL RECAUDO'!G108</x:f>
        <x:v>216220999.25</x:v>
      </x:c>
      <x:c r="H13" s="297">
        <x:f>'CONSOLIDADO_TOTAL RECAUDO'!H108</x:f>
        <x:v>2771170796.7799997</x:v>
      </x:c>
      <x:c r="I13" s="297">
        <x:f>'CONSOLIDADO_TOTAL RECAUDO'!I108</x:f>
        <x:v>105860252.47</x:v>
      </x:c>
      <x:c r="J13" s="289">
        <x:f>'CONSOLIDADO_TOTAL RECAUDO'!J108</x:f>
        <x:v>-82959023.660000086</x:v>
      </x:c>
      <x:c r="K13" s="295">
        <x:f>'CONSOLIDADO_TOTAL RECAUDO'!K108</x:f>
        <x:v>7918884378.8400002</x:v>
      </x:c>
      <x:c r="L13" s="294">
        <x:f>'CONSOLIDADO_TOTAL RECAUDO'!L108</x:f>
        <x:v>128990446</x:v>
      </x:c>
      <x:c r="M13" s="298">
        <x:f>'CONSOLIDADO_TOTAL RECAUDO'!M108</x:f>
        <x:v>7789893932.8400002</x:v>
      </x:c>
      <x:c r="N13" s="299">
        <x:f>'CONSOLIDADO_TOTAL RECAUDO'!N108</x:f>
        <x:v>15891735.880000001</x:v>
      </x:c>
      <x:c r="O13" s="298">
        <x:f>'CONSOLIDADO_TOTAL RECAUDO'!O108</x:f>
        <x:v>7805785668.7200003</x:v>
      </x:c>
      <x:c r="Q13" s="306"/>
      <x:c r="S13" s="324">
        <x:v>5</x:v>
      </x:c>
      <x:c r="T13" s="325" t="s">
        <x:v>14</x:v>
      </x:c>
      <x:c r="U13" s="296">
        <x:f>'CONSOLIDADO_TOTAL RECAUDO'!U108</x:f>
        <x:v>928205240.1500001</x:v>
      </x:c>
      <x:c r="V13" s="297">
        <x:f>'CONSOLIDADO_TOTAL RECAUDO'!V108</x:f>
        <x:v>911180502.11000001</x:v>
      </x:c>
      <x:c r="W13" s="297">
        <x:f>'CONSOLIDADO_TOTAL RECAUDO'!W108</x:f>
        <x:v>4681131561.2200003</x:v>
      </x:c>
      <x:c r="X13" s="297">
        <x:f>'CONSOLIDADO_TOTAL RECAUDO'!X108</x:f>
        <x:v>2173851295.3300004</x:v>
      </x:c>
      <x:c r="Y13" s="289">
        <x:f>'CONSOLIDADO_TOTAL RECAUDO'!Y108</x:f>
        <x:v>172729906.53999999</x:v>
      </x:c>
      <x:c r="Z13" s="319">
        <x:f>'CONSOLIDADO_TOTAL RECAUDO'!Z108</x:f>
        <x:v>-128990446</x:v>
      </x:c>
      <x:c r="AA13" s="320">
        <x:f>'CONSOLIDADO_TOTAL RECAUDO'!AA108</x:f>
        <x:v>-147744.56999999998</x:v>
      </x:c>
      <x:c r="AB13" s="294">
        <x:f>'CONSOLIDADO_TOTAL RECAUDO'!AB108</x:f>
        <x:v>15891735.880000001</x:v>
      </x:c>
      <x:c r="AC13" s="320">
        <x:f>'CONSOLIDADO_TOTAL RECAUDO'!AC108</x:f>
        <x:v>-32.979999999999997</x:v>
      </x:c>
      <x:c r="AD13" s="291">
        <x:f>'CONSOLIDADO_TOTAL RECAUDO'!AD108</x:f>
        <x:v>-948066348.95999992</x:v>
      </x:c>
      <x:c r="AE13" s="291">
        <x:f>'CONSOLIDADO_TOTAL RECAUDO'!AE108</x:f>
        <x:v>-1031025372.62</x:v>
      </x:c>
      <x:c r="AF13" s="322">
        <x:f>'CONSOLIDADO_TOTAL RECAUDO'!AF108</x:f>
        <x:v>7805785668.7200022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35">
      <x:c r="B14" s="327"/>
      <x:c r="C14" s="328" t="s">
        <x:v>2</x:v>
      </x:c>
      <x:c r="D14" s="290">
        <x:f>'CONSOLIDADO_TOTAL RECAUDO'!D109</x:f>
        <x:v>72441209167.710007</x:v>
      </x:c>
      <x:c r="E14" s="290">
        <x:f>'CONSOLIDADO_TOTAL RECAUDO'!E109</x:f>
        <x:v>4851378272.9799995</x:v>
      </x:c>
      <x:c r="F14" s="290">
        <x:f>'CONSOLIDADO_TOTAL RECAUDO'!F109</x:f>
        <x:v>2729442975.1099997</x:v>
      </x:c>
      <x:c r="G14" s="290">
        <x:f>'CONSOLIDADO_TOTAL RECAUDO'!G109</x:f>
        <x:v>1430173490.1999998</x:v>
      </x:c>
      <x:c r="H14" s="290">
        <x:f>'CONSOLIDADO_TOTAL RECAUDO'!H109</x:f>
        <x:v>17426420953.600002</x:v>
      </x:c>
      <x:c r="I14" s="290">
        <x:f>'CONSOLIDADO_TOTAL RECAUDO'!I109</x:f>
        <x:v>650929810.58000004</x:v>
      </x:c>
      <x:c r="J14" s="290">
        <x:f>'CONSOLIDADO_TOTAL RECAUDO'!J109</x:f>
        <x:v>-8466734681.1999998</x:v>
      </x:c>
      <x:c r="K14" s="300">
        <x:f>'CONSOLIDADO_TOTAL RECAUDO'!K109</x:f>
        <x:v>53819598346.440002</x:v>
      </x:c>
      <x:c r="L14" s="301">
        <x:f>'CONSOLIDADO_TOTAL RECAUDO'!L109</x:f>
        <x:v>859936309</x:v>
      </x:c>
      <x:c r="M14" s="302">
        <x:f>'CONSOLIDADO_TOTAL RECAUDO'!M109</x:f>
        <x:v>52959662037.440002</x:v>
      </x:c>
      <x:c r="N14" s="301">
        <x:f>'CONSOLIDADO_TOTAL RECAUDO'!N109</x:f>
        <x:v>143093581.66999999</x:v>
      </x:c>
      <x:c r="O14" s="302">
        <x:f>'CONSOLIDADO_TOTAL RECAUDO'!O109</x:f>
        <x:v>53102755619.110001</x:v>
      </x:c>
      <x:c r="P14" s="329"/>
      <x:c r="Q14" s="306"/>
      <x:c r="S14" s="327"/>
      <x:c r="T14" s="328" t="s">
        <x:v>2</x:v>
      </x:c>
      <x:c r="U14" s="330">
        <x:f>'CONSOLIDADO_TOTAL RECAUDO'!U109</x:f>
        <x:v>5712380402.710001</x:v>
      </x:c>
      <x:c r="V14" s="330">
        <x:f>'CONSOLIDADO_TOTAL RECAUDO'!V109</x:f>
        <x:v>5629671728.749999</x:v>
      </x:c>
      <x:c r="W14" s="330">
        <x:f>'CONSOLIDADO_TOTAL RECAUDO'!W109</x:f>
        <x:v>27162450890.040005</x:v>
      </x:c>
      <x:c r="X14" s="330">
        <x:f>'CONSOLIDADO_TOTAL RECAUDO'!X109</x:f>
        <x:v>11717094139.17</x:v>
      </x:c>
      <x:c r="Y14" s="330">
        <x:f>'CONSOLIDADO_TOTAL RECAUDO'!Y109</x:f>
        <x:v>1062213664.49</x:v>
      </x:c>
      <x:c r="Z14" s="290">
        <x:f>'CONSOLIDADO_TOTAL RECAUDO'!Z109</x:f>
        <x:v>-859936309</x:v>
      </x:c>
      <x:c r="AA14" s="290">
        <x:f>'CONSOLIDADO_TOTAL RECAUDO'!AA109</x:f>
        <x:v>151776.16</x:v>
      </x:c>
      <x:c r="AB14" s="290">
        <x:f>'CONSOLIDADO_TOTAL RECAUDO'!AB109</x:f>
        <x:v>143093581.66999999</x:v>
      </x:c>
      <x:c r="AC14" s="290">
        <x:f>'CONSOLIDADO_TOTAL RECAUDO'!AC109</x:f>
        <x:v>-14163.519999999999</x:v>
      </x:c>
      <x:c r="AD14" s="290">
        <x:f>'CONSOLIDADO_TOTAL RECAUDO'!AD109</x:f>
        <x:v>2535649908.6399999</x:v>
      </x:c>
      <x:c r="AE14" s="290">
        <x:f>'CONSOLIDADO_TOTAL RECAUDO'!AE109</x:f>
        <x:v>-5931084772.5599995</x:v>
      </x:c>
      <x:c r="AF14" s="331">
        <x:f>'CONSOLIDADO_TOTAL RECAUDO'!AF109</x:f>
        <x:v>53102755619.110001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3">
      <x:c r="Q18" s="4"/>
      <x:c r="AI18" s="4"/>
    </x:row>
    <x:row r="19" spans="1:39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4" x14ac:dyDescent="0.3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5" x14ac:dyDescent="0.3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4" x14ac:dyDescent="0.3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5" x14ac:dyDescent="0.3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69.5" thickBot="1" x14ac:dyDescent="0.3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5">
      <x:c r="B27" s="314">
        <x:v>2</x:v>
      </x:c>
      <x:c r="C27" s="315" t="s">
        <x:v>11</x:v>
      </x:c>
      <x:c r="D27" s="291">
        <x:f>'REMUNERACION Reciprocidad EAAB'!D105</x:f>
        <x:v>47041595.059999995</x:v>
      </x:c>
      <x:c r="E27" s="292">
        <x:f>'REMUNERACION Reciprocidad EAAB'!E105</x:f>
        <x:v>4095120.52</x:v>
      </x:c>
      <x:c r="F27" s="292">
        <x:f>'REMUNERACION Reciprocidad EAAB'!F105</x:f>
        <x:v>2274787</x:v>
      </x:c>
      <x:c r="G27" s="292">
        <x:f>'REMUNERACION Reciprocidad EAAB'!G105</x:f>
        <x:v>1028626.41</x:v>
      </x:c>
      <x:c r="H27" s="292">
        <x:f>'REMUNERACION Reciprocidad EAAB'!H105</x:f>
        <x:v>18268033.049999997</x:v>
      </x:c>
      <x:c r="I27" s="292">
        <x:f>'REMUNERACION Reciprocidad EAAB'!I105</x:f>
        <x:v>535415.67000000004</x:v>
      </x:c>
      <x:c r="J27" s="288">
        <x:f>'REMUNERACION Reciprocidad EAAB'!J105</x:f>
        <x:v>0</x:v>
      </x:c>
      <x:c r="K27" s="295">
        <x:f>'REMUNERACION Reciprocidad EAAB'!K105</x:f>
        <x:v>20839612.409999996</x:v>
      </x:c>
      <x:c r="L27" s="294">
        <x:f>'REMUNERACION Reciprocidad EAAB'!L105</x:f>
        <x:v>0</x:v>
      </x:c>
      <x:c r="M27" s="295">
        <x:f>'REMUNERACION Reciprocidad EAAB'!M105</x:f>
        <x:v>20839612.409999996</x:v>
      </x:c>
      <x:c r="N27" s="294">
        <x:f>'REMUNERACION Reciprocidad EAAB'!N105</x:f>
        <x:v>0</x:v>
      </x:c>
      <x:c r="O27" s="295">
        <x:f>'REMUNERACION Reciprocidad EAAB'!O105</x:f>
        <x:v>20839612.409999996</x:v>
      </x:c>
      <x:c r="Q27" s="306"/>
      <x:c r="S27" s="314">
        <x:v>2</x:v>
      </x:c>
      <x:c r="T27" s="315" t="s">
        <x:v>11</x:v>
      </x:c>
      <x:c r="U27" s="316">
        <x:f>'REMUNERACION Reciprocidad EAAB'!U105</x:f>
        <x:v>4831656.13</x:v>
      </x:c>
      <x:c r="V27" s="317">
        <x:f>'REMUNERACION Reciprocidad EAAB'!V105</x:f>
        <x:v>5407389.7400000002</x:v>
      </x:c>
      <x:c r="W27" s="317">
        <x:f>'REMUNERACION Reciprocidad EAAB'!W105</x:f>
        <x:v>20054944.010000002</x:v>
      </x:c>
      <x:c r="X27" s="317">
        <x:f>'REMUNERACION Reciprocidad EAAB'!X105</x:f>
        <x:v>11013548.23</x:v>
      </x:c>
      <x:c r="Y27" s="318">
        <x:f>'REMUNERACION Reciprocidad EAAB'!Y105</x:f>
        <x:v>712165.05</x:v>
      </x:c>
      <x:c r="Z27" s="319">
        <x:f>'REMUNERACION Reciprocidad EAAB'!Z105</x:f>
        <x:v>0</x:v>
      </x:c>
      <x:c r="AA27" s="320">
        <x:f>'REMUNERACION Reciprocidad EAAB'!AA105</x:f>
        <x:v>42.75</x:v>
      </x:c>
      <x:c r="AB27" s="294">
        <x:f>'REMUNERACION Reciprocidad EAAB'!AB105</x:f>
        <x:v>0</x:v>
      </x:c>
      <x:c r="AC27" s="320">
        <x:f>'REMUNERACION Reciprocidad EAAB'!AC105</x:f>
        <x:v>-7.0000000000000007E-2</x:v>
      </x:c>
      <x:c r="AD27" s="291">
        <x:f>'REMUNERACION Reciprocidad EAAB'!AD105</x:f>
        <x:v>-21180133.430000003</x:v>
      </x:c>
      <x:c r="AE27" s="291">
        <x:f>'REMUNERACION Reciprocidad EAAB'!AE105</x:f>
        <x:v>-21180133.430000003</x:v>
      </x:c>
      <x:c r="AF27" s="322">
        <x:f>'REMUNERACION Reciprocidad EAAB'!AF105</x:f>
        <x:v>20839612.409999993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5">
      <x:c r="B29" s="314">
        <x:v>4</x:v>
      </x:c>
      <x:c r="C29" s="315" t="s">
        <x:v>13</x:v>
      </x:c>
      <x:c r="D29" s="291">
        <x:f>'REMUNERACION Reciprocidad EAAB'!D107</x:f>
        <x:v>71467043.25999999</x:v>
      </x:c>
      <x:c r="E29" s="292">
        <x:f>'REMUNERACION Reciprocidad EAAB'!E107</x:f>
        <x:v>9337119.6800000016</x:v>
      </x:c>
      <x:c r="F29" s="292">
        <x:f>'REMUNERACION Reciprocidad EAAB'!F107</x:f>
        <x:v>5227614.95</x:v>
      </x:c>
      <x:c r="G29" s="292">
        <x:f>'REMUNERACION Reciprocidad EAAB'!G107</x:f>
        <x:v>1095011.2200000002</x:v>
      </x:c>
      <x:c r="H29" s="292">
        <x:f>'REMUNERACION Reciprocidad EAAB'!H107</x:f>
        <x:v>8931941.6099999994</x:v>
      </x:c>
      <x:c r="I29" s="292">
        <x:f>'REMUNERACION Reciprocidad EAAB'!I107</x:f>
        <x:v>265264.06</x:v>
      </x:c>
      <x:c r="J29" s="288">
        <x:f>'REMUNERACION Reciprocidad EAAB'!J107</x:f>
        <x:v>0</x:v>
      </x:c>
      <x:c r="K29" s="295">
        <x:f>'REMUNERACION Reciprocidad EAAB'!K107</x:f>
        <x:v>46610091.739999987</x:v>
      </x:c>
      <x:c r="L29" s="294">
        <x:f>'REMUNERACION Reciprocidad EAAB'!L107</x:f>
        <x:v>0</x:v>
      </x:c>
      <x:c r="M29" s="295">
        <x:f>'REMUNERACION Reciprocidad EAAB'!M107</x:f>
        <x:v>46610091.739999987</x:v>
      </x:c>
      <x:c r="N29" s="294">
        <x:f>'REMUNERACION Reciprocidad EAAB'!N107</x:f>
        <x:v>0</x:v>
      </x:c>
      <x:c r="O29" s="295">
        <x:f>'REMUNERACION Reciprocidad EAAB'!O107</x:f>
        <x:v>46610091.739999987</x:v>
      </x:c>
      <x:c r="Q29" s="306"/>
      <x:c r="S29" s="314">
        <x:v>4</x:v>
      </x:c>
      <x:c r="T29" s="315" t="s">
        <x:v>13</x:v>
      </x:c>
      <x:c r="U29" s="316">
        <x:f>'REMUNERACION Reciprocidad EAAB'!U107</x:f>
        <x:v>2506113.27</x:v>
      </x:c>
      <x:c r="V29" s="317">
        <x:f>'REMUNERACION Reciprocidad EAAB'!V107</x:f>
        <x:v>2730225.84</x:v>
      </x:c>
      <x:c r="W29" s="317">
        <x:f>'REMUNERACION Reciprocidad EAAB'!W107</x:f>
        <x:v>12255014.02</x:v>
      </x:c>
      <x:c r="X29" s="317">
        <x:f>'REMUNERACION Reciprocidad EAAB'!X107</x:f>
        <x:v>25300845.309999999</x:v>
      </x:c>
      <x:c r="Y29" s="318">
        <x:f>'REMUNERACION Reciprocidad EAAB'!Y107</x:f>
        <x:v>393638.25</x:v>
      </x:c>
      <x:c r="Z29" s="319">
        <x:f>'REMUNERACION Reciprocidad EAAB'!Z107</x:f>
        <x:v>0</x:v>
      </x:c>
      <x:c r="AA29" s="320">
        <x:f>'REMUNERACION Reciprocidad EAAB'!AA107</x:f>
        <x:v>52.11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3424202.94</x:v>
      </x:c>
      <x:c r="AE29" s="291">
        <x:f>'REMUNERACION Reciprocidad EAAB'!AE107</x:f>
        <x:v>3424202.94</x:v>
      </x:c>
      <x:c r="AF29" s="322">
        <x:f>'REMUNERACION Reciprocidad EAAB'!AF107</x:f>
        <x:v>46610091.739999995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35">
      <x:c r="B31" s="327"/>
      <x:c r="C31" s="328" t="s">
        <x:v>2</x:v>
      </x:c>
      <x:c r="D31" s="290">
        <x:f>'REMUNERACION Reciprocidad EAAB'!D109</x:f>
        <x:v>118508638.31999999</x:v>
      </x:c>
      <x:c r="E31" s="290">
        <x:f>'REMUNERACION Reciprocidad EAAB'!E109</x:f>
        <x:v>13432240.200000001</x:v>
      </x:c>
      <x:c r="F31" s="290">
        <x:f>'REMUNERACION Reciprocidad EAAB'!F109</x:f>
        <x:v>7502401.9500000002</x:v>
      </x:c>
      <x:c r="G31" s="290">
        <x:f>'REMUNERACION Reciprocidad EAAB'!G109</x:f>
        <x:v>2123637.6300000004</x:v>
      </x:c>
      <x:c r="H31" s="290">
        <x:f>'REMUNERACION Reciprocidad EAAB'!H109</x:f>
        <x:v>27199974.659999996</x:v>
      </x:c>
      <x:c r="I31" s="290">
        <x:f>'REMUNERACION Reciprocidad EAAB'!I109</x:f>
        <x:v>800679.73</x:v>
      </x:c>
      <x:c r="J31" s="290">
        <x:f>'REMUNERACION Reciprocidad EAAB'!J109</x:f>
        <x:v>0</x:v>
      </x:c>
      <x:c r="K31" s="300">
        <x:f>'REMUNERACION Reciprocidad EAAB'!K109</x:f>
        <x:v>67449704.149999976</x:v>
      </x:c>
      <x:c r="L31" s="301">
        <x:f>'REMUNERACION Reciprocidad EAAB'!L109</x:f>
        <x:v>0</x:v>
      </x:c>
      <x:c r="M31" s="302">
        <x:f>'REMUNERACION Reciprocidad EAAB'!M109</x:f>
        <x:v>67449704.149999976</x:v>
      </x:c>
      <x:c r="N31" s="301">
        <x:f>'REMUNERACION Reciprocidad EAAB'!N109</x:f>
        <x:v>0</x:v>
      </x:c>
      <x:c r="O31" s="302">
        <x:f>'REMUNERACION Reciprocidad EAAB'!O109</x:f>
        <x:v>67449704.149999976</x:v>
      </x:c>
      <x:c r="P31" s="329"/>
      <x:c r="Q31" s="306"/>
      <x:c r="S31" s="327"/>
      <x:c r="T31" s="328" t="s">
        <x:v>2</x:v>
      </x:c>
      <x:c r="U31" s="330">
        <x:f>'REMUNERACION Reciprocidad EAAB'!U109</x:f>
        <x:v>7337769.4000000004</x:v>
      </x:c>
      <x:c r="V31" s="330">
        <x:f>'REMUNERACION Reciprocidad EAAB'!V109</x:f>
        <x:v>8137615.5800000001</x:v>
      </x:c>
      <x:c r="W31" s="330">
        <x:f>'REMUNERACION Reciprocidad EAAB'!W109</x:f>
        <x:v>32309958.030000001</x:v>
      </x:c>
      <x:c r="X31" s="330">
        <x:f>'REMUNERACION Reciprocidad EAAB'!X109</x:f>
        <x:v>36314393.539999999</x:v>
      </x:c>
      <x:c r="Y31" s="330">
        <x:f>'REMUNERACION Reciprocidad EAAB'!Y109</x:f>
        <x:v>1105803.3</x:v>
      </x:c>
      <x:c r="Z31" s="290">
        <x:f>'REMUNERACION Reciprocidad EAAB'!Z109</x:f>
        <x:v>0</x:v>
      </x:c>
      <x:c r="AA31" s="290">
        <x:f>'REMUNERACION Reciprocidad EAAB'!AA109</x:f>
        <x:v>94.86</x:v>
      </x:c>
      <x:c r="AB31" s="290">
        <x:f>'REMUNERACION Reciprocidad EAAB'!AB109</x:f>
        <x:v>0</x:v>
      </x:c>
      <x:c r="AC31" s="290">
        <x:f>'REMUNERACION Reciprocidad EAAB'!AC109</x:f>
        <x:v>-7.0000000000000007E-2</x:v>
      </x:c>
      <x:c r="AD31" s="290">
        <x:f>'REMUNERACION Reciprocidad EAAB'!AD109</x:f>
        <x:v>-17755930.490000002</x:v>
      </x:c>
      <x:c r="AE31" s="290">
        <x:f>'REMUNERACION Reciprocidad EAAB'!AE109</x:f>
        <x:v>-17755930.490000002</x:v>
      </x:c>
      <x:c r="AF31" s="331">
        <x:f>'REMUNERACION Reciprocidad EAAB'!AF109</x:f>
        <x:v>67449704.149999991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3">
      <x:c r="Q35" s="4"/>
      <x:c r="AI35" s="4"/>
    </x:row>
    <x:row r="36" spans="1:39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4" x14ac:dyDescent="0.3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5" x14ac:dyDescent="0.3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4" x14ac:dyDescent="0.3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5" x14ac:dyDescent="0.3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3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5">
      <x:c r="B43" s="303">
        <x:v>1</x:v>
      </x:c>
      <x:c r="C43" s="304" t="s">
        <x:v>10</x:v>
      </x:c>
      <x:c r="D43" s="291">
        <x:f>REMUNERACION_ENEL!D104</x:f>
        <x:v>16643179604.779999</x:v>
      </x:c>
      <x:c r="E43" s="292">
        <x:f>REMUNERACION_ENEL!E104</x:f>
        <x:v>807895299.00000012</x:v>
      </x:c>
      <x:c r="F43" s="292">
        <x:f>REMUNERACION_ENEL!F104</x:f>
        <x:v>455912503.50999999</x:v>
      </x:c>
      <x:c r="G43" s="292">
        <x:f>REMUNERACION_ENEL!G104</x:f>
        <x:v>239329779.88</x:v>
      </x:c>
      <x:c r="H43" s="292">
        <x:f>REMUNERACION_ENEL!H104</x:f>
        <x:v>3761557796.75</x:v>
      </x:c>
      <x:c r="I43" s="292">
        <x:f>REMUNERACION_ENEL!I104</x:f>
        <x:v>132659753.62000002</x:v>
      </x:c>
      <x:c r="J43" s="288">
        <x:f>REMUNERACION_ENEL!J104</x:f>
        <x:v>-3589454665.5499997</x:v>
      </x:c>
      <x:c r="K43" s="293">
        <x:f>REMUNERACION_ENEL!K104</x:f>
        <x:v>14835279137.569998</x:v>
      </x:c>
      <x:c r="L43" s="294">
        <x:f>REMUNERACION_ENEL!L104</x:f>
        <x:v>189185988</x:v>
      </x:c>
      <x:c r="M43" s="293">
        <x:f>REMUNERACION_ENEL!M104</x:f>
        <x:v>14646093149.569998</x:v>
      </x:c>
      <x:c r="N43" s="294">
        <x:f>REMUNERACION_ENEL!N104</x:f>
        <x:v>16516492.25</x:v>
      </x:c>
      <x:c r="O43" s="293">
        <x:f>REMUNERACION_ENEL!O104</x:f>
        <x:v>14662609641.819998</x:v>
      </x:c>
      <x:c r="Q43" s="306"/>
      <x:c r="S43" s="303">
        <x:v>1</x:v>
      </x:c>
      <x:c r="T43" s="304" t="s">
        <x:v>10</x:v>
      </x:c>
      <x:c r="U43" s="307">
        <x:f>REMUNERACION_ENEL!U104</x:f>
        <x:v>1167429697.9300001</x:v>
      </x:c>
      <x:c r="V43" s="308">
        <x:f>REMUNERACION_ENEL!V104</x:f>
        <x:v>1119851344.1899998</x:v>
      </x:c>
      <x:c r="W43" s="308">
        <x:f>REMUNERACION_ENEL!W104</x:f>
        <x:v>5299081059.21</x:v>
      </x:c>
      <x:c r="X43" s="308">
        <x:f>REMUNERACION_ENEL!X104</x:f>
        <x:v>2189246770.6300006</x:v>
      </x:c>
      <x:c r="Y43" s="309">
        <x:f>REMUNERACION_ENEL!Y104</x:f>
        <x:v>216286907.63999999</x:v>
      </x:c>
      <x:c r="Z43" s="310">
        <x:f>REMUNERACION_ENEL!Z104</x:f>
        <x:v>-189185988</x:v>
      </x:c>
      <x:c r="AA43" s="311">
        <x:f>REMUNERACION_ENEL!AA104</x:f>
        <x:v>-16656.379999999997</x:v>
      </x:c>
      <x:c r="AB43" s="294">
        <x:f>REMUNERACION_ENEL!AB104</x:f>
        <x:v>16516492.25</x:v>
      </x:c>
      <x:c r="AC43" s="311">
        <x:f>REMUNERACION_ENEL!AC104</x:f>
        <x:v>521.77</x:v>
      </x:c>
      <x:c r="AD43" s="291">
        <x:f>REMUNERACION_ENEL!AD104</x:f>
        <x:v>4843399492.5799999</x:v>
      </x:c>
      <x:c r="AE43" s="291">
        <x:f>REMUNERACION_ENEL!AE104</x:f>
        <x:v>1253944827.03</x:v>
      </x:c>
      <x:c r="AF43" s="313">
        <x:f>REMUNERACION_ENEL!AF104</x:f>
        <x:v>14662609641.820002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5">
      <x:c r="B44" s="314">
        <x:v>2</x:v>
      </x:c>
      <x:c r="C44" s="315" t="s">
        <x:v>11</x:v>
      </x:c>
      <x:c r="D44" s="291">
        <x:f>REMUNERACION_ENEL!D105</x:f>
        <x:v>19064501226.810005</x:v>
      </x:c>
      <x:c r="E44" s="292">
        <x:f>REMUNERACION_ENEL!E105</x:f>
        <x:v>1396129505.3300002</x:v>
      </x:c>
      <x:c r="F44" s="292">
        <x:f>REMUNERACION_ENEL!F105</x:f>
        <x:v>784878776.18999994</x:v>
      </x:c>
      <x:c r="G44" s="292">
        <x:f>REMUNERACION_ENEL!G105</x:f>
        <x:v>411247567.16000009</x:v>
      </x:c>
      <x:c r="H44" s="292">
        <x:f>REMUNERACION_ENEL!H105</x:f>
        <x:v>5582809669.8899994</x:v>
      </x:c>
      <x:c r="I44" s="292">
        <x:f>REMUNERACION_ENEL!I105</x:f>
        <x:v>216022487.64000002</x:v>
      </x:c>
      <x:c r="J44" s="288">
        <x:f>REMUNERACION_ENEL!J105</x:f>
        <x:v>-3241193714.1100001</x:v>
      </x:c>
      <x:c r="K44" s="295">
        <x:f>REMUNERACION_ENEL!K105</x:f>
        <x:v>13914606934.710005</x:v>
      </x:c>
      <x:c r="L44" s="294">
        <x:f>REMUNERACION_ENEL!L105</x:f>
        <x:v>266580256</x:v>
      </x:c>
      <x:c r="M44" s="295">
        <x:f>REMUNERACION_ENEL!M105</x:f>
        <x:v>13648026678.710005</x:v>
      </x:c>
      <x:c r="N44" s="294">
        <x:f>REMUNERACION_ENEL!N105</x:f>
        <x:v>24273229.890000001</x:v>
      </x:c>
      <x:c r="O44" s="295">
        <x:f>REMUNERACION_ENEL!O105</x:f>
        <x:v>13672299908.600004</x:v>
      </x:c>
      <x:c r="Q44" s="306"/>
      <x:c r="S44" s="314">
        <x:v>2</x:v>
      </x:c>
      <x:c r="T44" s="315" t="s">
        <x:v>11</x:v>
      </x:c>
      <x:c r="U44" s="316">
        <x:f>REMUNERACION_ENEL!U105</x:f>
        <x:v>1893620444.5699999</x:v>
      </x:c>
      <x:c r="V44" s="317">
        <x:f>REMUNERACION_ENEL!V105</x:f>
        <x:v>1869892249.3700001</x:v>
      </x:c>
      <x:c r="W44" s="317">
        <x:f>REMUNERACION_ENEL!W105</x:f>
        <x:v>8814809316.3799992</x:v>
      </x:c>
      <x:c r="X44" s="317">
        <x:f>REMUNERACION_ENEL!X105</x:f>
        <x:v>2749999250.0999999</x:v>
      </x:c>
      <x:c r="Y44" s="318">
        <x:f>REMUNERACION_ENEL!Y105</x:f>
        <x:v>352820304.41000003</x:v>
      </x:c>
      <x:c r="Z44" s="319">
        <x:f>REMUNERACION_ENEL!Z105</x:f>
        <x:v>-266580256</x:v>
      </x:c>
      <x:c r="AA44" s="320">
        <x:f>REMUNERACION_ENEL!AA105</x:f>
        <x:v>90135.24</x:v>
      </x:c>
      <x:c r="AB44" s="294">
        <x:f>REMUNERACION_ENEL!AB105</x:f>
        <x:v>24273229.890000001</x:v>
      </x:c>
      <x:c r="AC44" s="320">
        <x:f>REMUNERACION_ENEL!AC105</x:f>
        <x:v>-109.61</x:v>
      </x:c>
      <x:c r="AD44" s="291">
        <x:f>REMUNERACION_ENEL!AD105</x:f>
        <x:v>-1766624655.7499995</x:v>
      </x:c>
      <x:c r="AE44" s="291">
        <x:f>REMUNERACION_ENEL!AE105</x:f>
        <x:v>-5007818369.8599997</x:v>
      </x:c>
      <x:c r="AF44" s="322">
        <x:f>REMUNERACION_ENEL!AF105</x:f>
        <x:v>13672299908.599998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5">
      <x:c r="B45" s="314">
        <x:v>3</x:v>
      </x:c>
      <x:c r="C45" s="315" t="s">
        <x:v>12</x:v>
      </x:c>
      <x:c r="D45" s="291">
        <x:f>REMUNERACION_ENEL!D106</x:f>
        <x:v>13976635090.370001</x:v>
      </x:c>
      <x:c r="E45" s="292">
        <x:f>REMUNERACION_ENEL!E106</x:f>
        <x:v>985637596.05999994</x:v>
      </x:c>
      <x:c r="F45" s="292">
        <x:f>REMUNERACION_ENEL!F106</x:f>
        <x:v>555973895.94999993</x:v>
      </x:c>
      <x:c r="G45" s="292">
        <x:f>REMUNERACION_ENEL!G106</x:f>
        <x:v>292056214.65000004</x:v>
      </x:c>
      <x:c r="H45" s="292">
        <x:f>REMUNERACION_ENEL!H106</x:f>
        <x:v>3381560449.0999999</x:v>
      </x:c>
      <x:c r="I45" s="292">
        <x:f>REMUNERACION_ENEL!I106</x:f>
        <x:v>124524527.32000001</x:v>
      </x:c>
      <x:c r="J45" s="288">
        <x:f>REMUNERACION_ENEL!J106</x:f>
        <x:v>-853244564.50999999</x:v>
      </x:c>
      <x:c r="K45" s="295">
        <x:f>REMUNERACION_ENEL!K106</x:f>
        <x:v>9490126971.8000011</x:v>
      </x:c>
      <x:c r="L45" s="294">
        <x:f>REMUNERACION_ENEL!L106</x:f>
        <x:v>154788536</x:v>
      </x:c>
      <x:c r="M45" s="295">
        <x:f>REMUNERACION_ENEL!M106</x:f>
        <x:v>9335338435.8000011</x:v>
      </x:c>
      <x:c r="N45" s="294">
        <x:f>REMUNERACION_ENEL!N106</x:f>
        <x:v>13030575.5</x:v>
      </x:c>
      <x:c r="O45" s="295">
        <x:f>REMUNERACION_ENEL!O106</x:f>
        <x:v>9348369011.3000011</x:v>
      </x:c>
      <x:c r="Q45" s="306"/>
      <x:c r="S45" s="314">
        <x:v>3</x:v>
      </x:c>
      <x:c r="T45" s="315" t="s">
        <x:v>12</x:v>
      </x:c>
      <x:c r="U45" s="316">
        <x:f>REMUNERACION_ENEL!U106</x:f>
        <x:v>1092110322.45</x:v>
      </x:c>
      <x:c r="V45" s="317">
        <x:f>REMUNERACION_ENEL!V106</x:f>
        <x:v>1072670179.5</x:v>
      </x:c>
      <x:c r="W45" s="317">
        <x:f>REMUNERACION_ENEL!W106</x:f>
        <x:v>5077455755.5400009</x:v>
      </x:c>
      <x:c r="X45" s="317">
        <x:f>REMUNERACION_ENEL!X106</x:f>
        <x:v>2292038481.0500002</x:v>
      </x:c>
      <x:c r="Y45" s="318">
        <x:f>REMUNERACION_ENEL!Y106</x:f>
        <x:v>203250483.36000001</x:v>
      </x:c>
      <x:c r="Z45" s="319">
        <x:f>REMUNERACION_ENEL!Z106</x:f>
        <x:v>-154788536</x:v>
      </x:c>
      <x:c r="AA45" s="320">
        <x:f>REMUNERACION_ENEL!AA106</x:f>
        <x:v>247376.99</x:v>
      </x:c>
      <x:c r="AB45" s="294">
        <x:f>REMUNERACION_ENEL!AB106</x:f>
        <x:v>13030575.5</x:v>
      </x:c>
      <x:c r="AC45" s="320">
        <x:f>REMUNERACION_ENEL!AC106</x:f>
        <x:v>0.94</x:v>
      </x:c>
      <x:c r="AD45" s="291">
        <x:f>REMUNERACION_ENEL!AD106</x:f>
        <x:v>-247645628.02999997</x:v>
      </x:c>
      <x:c r="AE45" s="291">
        <x:f>REMUNERACION_ENEL!AE106</x:f>
        <x:v>-1100890192.54</x:v>
      </x:c>
      <x:c r="AF45" s="322">
        <x:f>REMUNERACION_ENEL!AF106</x:f>
        <x:v>9348369011.3000011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5">
      <x:c r="B46" s="314">
        <x:v>4</x:v>
      </x:c>
      <x:c r="C46" s="315" t="s">
        <x:v>13</x:v>
      </x:c>
      <x:c r="D46" s="291">
        <x:f>REMUNERACION_ENEL!D107</x:f>
        <x:v>6619403672.6899996</x:v>
      </x:c>
      <x:c r="E46" s="292">
        <x:f>REMUNERACION_ENEL!E107</x:f>
        <x:v>409065767.94999999</x:v>
      </x:c>
      <x:c r="F46" s="292">
        <x:f>REMUNERACION_ENEL!F107</x:f>
        <x:v>229023916.59999999</x:v>
      </x:c>
      <x:c r="G46" s="292">
        <x:f>REMUNERACION_ENEL!G107</x:f>
        <x:v>119897084.47999999</x:v>
      </x:c>
      <x:c r="H46" s="292">
        <x:f>REMUNERACION_ENEL!H107</x:f>
        <x:v>1538751149.1300001</x:v>
      </x:c>
      <x:c r="I46" s="292">
        <x:f>REMUNERACION_ENEL!I107</x:f>
        <x:v>60407359.210000001</x:v>
      </x:c>
      <x:c r="J46" s="288">
        <x:f>REMUNERACION_ENEL!J107</x:f>
        <x:v>-699882713.37000012</x:v>
      </x:c>
      <x:c r="K46" s="295">
        <x:f>REMUNERACION_ENEL!K107</x:f>
        <x:v>4962141108.6899996</x:v>
      </x:c>
      <x:c r="L46" s="294">
        <x:f>REMUNERACION_ENEL!L107</x:f>
        <x:v>120391083</x:v>
      </x:c>
      <x:c r="M46" s="295">
        <x:f>REMUNERACION_ENEL!M107</x:f>
        <x:v>4841750025.6899996</x:v>
      </x:c>
      <x:c r="N46" s="294">
        <x:f>REMUNERACION_ENEL!N107</x:f>
        <x:v>19208887.530000001</x:v>
      </x:c>
      <x:c r="O46" s="295">
        <x:f>REMUNERACION_ENEL!O107</x:f>
        <x:v>4860958913.2199993</x:v>
      </x:c>
      <x:c r="Q46" s="306"/>
      <x:c r="S46" s="314">
        <x:v>4</x:v>
      </x:c>
      <x:c r="T46" s="315" t="s">
        <x:v>13</x:v>
      </x:c>
      <x:c r="U46" s="316">
        <x:f>REMUNERACION_ENEL!U107</x:f>
        <x:v>528790659.44</x:v>
      </x:c>
      <x:c r="V46" s="317">
        <x:f>REMUNERACION_ENEL!V107</x:f>
        <x:v>522948481.87</x:v>
      </x:c>
      <x:c r="W46" s="317">
        <x:f>REMUNERACION_ENEL!W107</x:f>
        <x:v>2676043606.7200003</x:v>
      </x:c>
      <x:c r="X46" s="317">
        <x:f>REMUNERACION_ENEL!X107</x:f>
        <x:v>1082748026.71</x:v>
      </x:c>
      <x:c r="Y46" s="318">
        <x:f>REMUNERACION_ENEL!Y107</x:f>
        <x:v>98745519.159999996</x:v>
      </x:c>
      <x:c r="Z46" s="319">
        <x:f>REMUNERACION_ENEL!Z107</x:f>
        <x:v>-120391083</x:v>
      </x:c>
      <x:c r="AA46" s="320">
        <x:f>REMUNERACION_ENEL!AA107</x:f>
        <x:v>-16918.300000000003</x:v>
      </x:c>
      <x:c r="AB46" s="294">
        <x:f>REMUNERACION_ENEL!AB107</x:f>
        <x:v>19208887.530000001</x:v>
      </x:c>
      <x:c r="AC46" s="320">
        <x:f>REMUNERACION_ENEL!AC107</x:f>
        <x:v>-448.53000000000003</x:v>
      </x:c>
      <x:c r="AD46" s="291">
        <x:f>REMUNERACION_ENEL!AD107</x:f>
        <x:v>52882181.620000005</x:v>
      </x:c>
      <x:c r="AE46" s="291">
        <x:f>REMUNERACION_ENEL!AE107</x:f>
        <x:v>-647000531.75000012</x:v>
      </x:c>
      <x:c r="AF46" s="322">
        <x:f>REMUNERACION_ENEL!AF107</x:f>
        <x:v>4860958913.2199993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" thickBot="1" x14ac:dyDescent="0.3">
      <x:c r="B47" s="324">
        <x:v>5</x:v>
      </x:c>
      <x:c r="C47" s="325" t="s">
        <x:v>14</x:v>
      </x:c>
      <x:c r="D47" s="296">
        <x:f>REMUNERACION_ENEL!D108</x:f>
        <x:v>11722516106.639999</x:v>
      </x:c>
      <x:c r="E47" s="297">
        <x:f>REMUNERACION_ENEL!E108</x:f>
        <x:v>698148323.5</x:v>
      </x:c>
      <x:c r="F47" s="297">
        <x:f>REMUNERACION_ENEL!F108</x:f>
        <x:v>393737772.47000003</x:v>
      </x:c>
      <x:c r="G47" s="297">
        <x:f>REMUNERACION_ENEL!G108</x:f>
        <x:v>206413295.53999999</x:v>
      </x:c>
      <x:c r="H47" s="297">
        <x:f>REMUNERACION_ENEL!H108</x:f>
        <x:v>2744218164.2200003</x:v>
      </x:c>
      <x:c r="I47" s="297">
        <x:f>REMUNERACION_ENEL!I108</x:f>
        <x:v>104708073.91000001</x:v>
      </x:c>
      <x:c r="J47" s="289">
        <x:f>REMUNERACION_ENEL!J108</x:f>
        <x:v>-82959023.660000086</x:v>
      </x:c>
      <x:c r="K47" s="295">
        <x:f>REMUNERACION_ENEL!K108</x:f>
        <x:v>7658249500.6599989</x:v>
      </x:c>
      <x:c r="L47" s="294">
        <x:f>REMUNERACION_ENEL!L108</x:f>
        <x:v>128990446</x:v>
      </x:c>
      <x:c r="M47" s="298">
        <x:f>REMUNERACION_ENEL!M108</x:f>
        <x:v>7529259054.6599989</x:v>
      </x:c>
      <x:c r="N47" s="299">
        <x:f>REMUNERACION_ENEL!N108</x:f>
        <x:v>8997077.0999999996</x:v>
      </x:c>
      <x:c r="O47" s="298">
        <x:f>REMUNERACION_ENEL!O108</x:f>
        <x:v>7538256131.7599993</x:v>
      </x:c>
      <x:c r="Q47" s="306"/>
      <x:c r="S47" s="324">
        <x:v>5</x:v>
      </x:c>
      <x:c r="T47" s="325" t="s">
        <x:v>14</x:v>
      </x:c>
      <x:c r="U47" s="296">
        <x:f>REMUNERACION_ENEL!U108</x:f>
        <x:v>917978792.29999995</x:v>
      </x:c>
      <x:c r="V47" s="297">
        <x:f>REMUNERACION_ENEL!V108</x:f>
        <x:v>899476756.96000004</x:v>
      </x:c>
      <x:c r="W47" s="297">
        <x:f>REMUNERACION_ENEL!W108</x:f>
        <x:v>4621907148.9099998</x:v>
      </x:c>
      <x:c r="X47" s="297">
        <x:f>REMUNERACION_ENEL!X108</x:f>
        <x:v>2074170432.3500001</x:v>
      </x:c>
      <x:c r="Y47" s="289">
        <x:f>REMUNERACION_ENEL!Y108</x:f>
        <x:v>170858536.44999999</x:v>
      </x:c>
      <x:c r="Z47" s="319">
        <x:f>REMUNERACION_ENEL!Z108</x:f>
        <x:v>-128990446</x:v>
      </x:c>
      <x:c r="AA47" s="320">
        <x:f>REMUNERACION_ENEL!AA108</x:f>
        <x:v>-147049.65</x:v>
      </x:c>
      <x:c r="AB47" s="294">
        <x:f>REMUNERACION_ENEL!AB108</x:f>
        <x:v>8997077.0999999996</x:v>
      </x:c>
      <x:c r="AC47" s="320">
        <x:f>REMUNERACION_ENEL!AC108</x:f>
        <x:v>-33.33</x:v>
      </x:c>
      <x:c r="AD47" s="291">
        <x:f>REMUNERACION_ENEL!AD108</x:f>
        <x:v>-1025995083.3299999</x:v>
      </x:c>
      <x:c r="AE47" s="291">
        <x:f>REMUNERACION_ENEL!AE108</x:f>
        <x:v>-1108954106.99</x:v>
      </x:c>
      <x:c r="AF47" s="322">
        <x:f>REMUNERACION_ENEL!AF108</x:f>
        <x:v>7538256131.7600021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35">
      <x:c r="B48" s="327"/>
      <x:c r="C48" s="328" t="s">
        <x:v>2</x:v>
      </x:c>
      <x:c r="D48" s="290">
        <x:f>REMUNERACION_ENEL!D109</x:f>
        <x:v>68026235701.290009</x:v>
      </x:c>
      <x:c r="E48" s="290">
        <x:f>REMUNERACION_ENEL!E109</x:f>
        <x:v>4296876491.8400002</x:v>
      </x:c>
      <x:c r="F48" s="290">
        <x:f>REMUNERACION_ENEL!F109</x:f>
        <x:v>2419526864.7199993</x:v>
      </x:c>
      <x:c r="G48" s="290">
        <x:f>REMUNERACION_ENEL!G109</x:f>
        <x:v>1268943941.71</x:v>
      </x:c>
      <x:c r="H48" s="290">
        <x:f>REMUNERACION_ENEL!H109</x:f>
        <x:v>17008897229.09</x:v>
      </x:c>
      <x:c r="I48" s="290">
        <x:f>REMUNERACION_ENEL!I109</x:f>
        <x:v>638322201.70000005</x:v>
      </x:c>
      <x:c r="J48" s="290">
        <x:f>REMUNERACION_ENEL!J109</x:f>
        <x:v>-8466734681.1999998</x:v>
      </x:c>
      <x:c r="K48" s="300">
        <x:f>REMUNERACION_ENEL!K109</x:f>
        <x:v>50860403653.43</x:v>
      </x:c>
      <x:c r="L48" s="301">
        <x:f>REMUNERACION_ENEL!L109</x:f>
        <x:v>859936309</x:v>
      </x:c>
      <x:c r="M48" s="302">
        <x:f>REMUNERACION_ENEL!M109</x:f>
        <x:v>50000467344.43</x:v>
      </x:c>
      <x:c r="N48" s="301">
        <x:f>REMUNERACION_ENEL!N109</x:f>
        <x:v>82026262.269999996</x:v>
      </x:c>
      <x:c r="O48" s="302">
        <x:f>REMUNERACION_ENEL!O109</x:f>
        <x:v>50082493606.700005</x:v>
      </x:c>
      <x:c r="P48" s="329"/>
      <x:c r="Q48" s="306"/>
      <x:c r="S48" s="327"/>
      <x:c r="T48" s="328" t="s">
        <x:v>2</x:v>
      </x:c>
      <x:c r="U48" s="330">
        <x:f>REMUNERACION_ENEL!U109</x:f>
        <x:v>5599929916.6899996</x:v>
      </x:c>
      <x:c r="V48" s="330">
        <x:f>REMUNERACION_ENEL!V109</x:f>
        <x:v>5484839011.8900003</x:v>
      </x:c>
      <x:c r="W48" s="330">
        <x:f>REMUNERACION_ENEL!W109</x:f>
        <x:v>26489296886.760002</x:v>
      </x:c>
      <x:c r="X48" s="330">
        <x:f>REMUNERACION_ENEL!X109</x:f>
        <x:v>10388202960.84</x:v>
      </x:c>
      <x:c r="Y48" s="330">
        <x:f>REMUNERACION_ENEL!Y109</x:f>
        <x:v>1041961751.02</x:v>
      </x:c>
      <x:c r="Z48" s="290">
        <x:f>REMUNERACION_ENEL!Z109</x:f>
        <x:v>-859936309</x:v>
      </x:c>
      <x:c r="AA48" s="290">
        <x:f>REMUNERACION_ENEL!AA109</x:f>
        <x:v>156887.9</x:v>
      </x:c>
      <x:c r="AB48" s="290">
        <x:f>REMUNERACION_ENEL!AB109</x:f>
        <x:v>82026262.269999996</x:v>
      </x:c>
      <x:c r="AC48" s="290">
        <x:f>REMUNERACION_ENEL!AC109</x:f>
        <x:v>-68.760000000000062</x:v>
      </x:c>
      <x:c r="AD48" s="290">
        <x:f>REMUNERACION_ENEL!AD109</x:f>
        <x:v>1856016307.0900002</x:v>
      </x:c>
      <x:c r="AE48" s="290">
        <x:f>REMUNERACION_ENEL!AE109</x:f>
        <x:v>-6610718374.1099997</x:v>
      </x:c>
      <x:c r="AF48" s="331">
        <x:f>REMUNERACION_ENEL!AF109</x:f>
        <x:v>50082493606.700005</x:v>
      </x:c>
      <x:c r="AG48" s="524">
        <x:f>REMUNERACION_ENEL!AG109</x:f>
        <x:v>0</x:v>
      </x:c>
      <x:c r="AH48" s="1"/>
      <x:c r="AI48" s="306"/>
      <x:c r="AM48" s="333"/>
    </x:row>
    <x:row r="49" spans="1:39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4" x14ac:dyDescent="0.3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5" x14ac:dyDescent="0.3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4" x14ac:dyDescent="0.3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5" x14ac:dyDescent="0.35">
      <x:c r="B57" s="8"/>
      <x:c r="C57" s="2"/>
      <x:c r="D57" s="9"/>
      <x:c r="F57" s="58" t="s">
        <x:v>332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3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" thickBot="1" x14ac:dyDescent="0.3">
      <x:c r="B64" s="324">
        <x:v>5</x:v>
      </x:c>
      <x:c r="C64" s="325" t="s">
        <x:v>14</x:v>
      </x:c>
      <x:c r="D64" s="291">
        <x:f>REMUNERACION_ENERBIT!D108</x:f>
        <x:v>33106622.48</x:v>
      </x:c>
      <x:c r="E64" s="291">
        <x:f>REMUNERACION_ENERBIT!E108</x:f>
        <x:v>2354015.58</x:v>
      </x:c>
      <x:c r="F64" s="291">
        <x:f>REMUNERACION_ENERBIT!F108</x:f>
        <x:v>1304933.33</x:v>
      </x:c>
      <x:c r="G64" s="291">
        <x:f>REMUNERACION_ENERBIT!G108</x:f>
        <x:v>678365.21</x:v>
      </x:c>
      <x:c r="H64" s="291">
        <x:f>REMUNERACION_ENERBIT!H108</x:f>
        <x:v>8664264.7300000004</x:v>
      </x:c>
      <x:c r="I64" s="291">
        <x:f>REMUNERACION_ENERBIT!I108</x:f>
        <x:v>306609.89</x:v>
      </x:c>
      <x:c r="J64" s="291">
        <x:f>REMUNERACION_ENERBIT!J108</x:f>
        <x:v>0</x:v>
      </x:c>
      <x:c r="K64" s="295">
        <x:f>REMUNERACION_ENERBIT!K108</x:f>
        <x:v>19798433.739999998</x:v>
      </x:c>
      <x:c r="L64" s="294">
        <x:f>REMUNERACION_ENERBIT!L108</x:f>
        <x:v>0</x:v>
      </x:c>
      <x:c r="M64" s="298">
        <x:f>REMUNERACION_ENERBIT!M108</x:f>
        <x:v>19798433.739999998</x:v>
      </x:c>
      <x:c r="N64" s="299">
        <x:f>REMUNERACION_ENERBIT!N108</x:f>
        <x:v>0</x:v>
      </x:c>
      <x:c r="O64" s="298">
        <x:f>REMUNERACION_ENERBIT!O108</x:f>
        <x:v>19798433.739999998</x:v>
      </x:c>
      <x:c r="Q64" s="306"/>
      <x:c r="S64" s="324">
        <x:v>5</x:v>
      </x:c>
      <x:c r="T64" s="325" t="s">
        <x:v>14</x:v>
      </x:c>
      <x:c r="U64" s="296">
        <x:f>REMUNERACION_ENERBIT!U108</x:f>
        <x:v>2695565.9899999998</x:v>
      </x:c>
      <x:c r="V64" s="297">
        <x:f>REMUNERACION_ENERBIT!V108</x:f>
        <x:v>2662800.6100000003</x:v>
      </x:c>
      <x:c r="W64" s="297">
        <x:f>REMUNERACION_ENERBIT!W108</x:f>
        <x:v>13468229.43</x:v>
      </x:c>
      <x:c r="X64" s="297">
        <x:f>REMUNERACION_ENERBIT!X108</x:f>
        <x:v>6732768.6600000001</x:v>
      </x:c>
      <x:c r="Y64" s="289">
        <x:f>REMUNERACION_ENERBIT!Y108</x:f>
        <x:v>496966.43</x:v>
      </x:c>
      <x:c r="Z64" s="289">
        <x:f>REMUNERACION_ENERBIT!Z108</x:f>
        <x:v>0</x:v>
      </x:c>
      <x:c r="AA64" s="289">
        <x:f>REMUNERACION_ENERBIT!AA108</x:f>
        <x:v>65.34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-6257962.7199999997</x:v>
      </x:c>
      <x:c r="AE64" s="289">
        <x:f>REMUNERACION_ENERBIT!AE108</x:f>
        <x:v>-6257962.7199999997</x:v>
      </x:c>
      <x:c r="AF64" s="322">
        <x:f>REMUNERACION_ENERBIT!AF108</x:f>
        <x:v>19798433.740000002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35">
      <x:c r="B65" s="327"/>
      <x:c r="C65" s="328" t="s">
        <x:v>2</x:v>
      </x:c>
      <x:c r="D65" s="290">
        <x:f>REMUNERACION_ENERBIT!D109</x:f>
        <x:v>33106622.48</x:v>
      </x:c>
      <x:c r="E65" s="290">
        <x:f>REMUNERACION_ENERBIT!E109</x:f>
        <x:v>2354015.58</x:v>
      </x:c>
      <x:c r="F65" s="290">
        <x:f>REMUNERACION_ENERBIT!F109</x:f>
        <x:v>1304933.33</x:v>
      </x:c>
      <x:c r="G65" s="290">
        <x:f>REMUNERACION_ENERBIT!G109</x:f>
        <x:v>678365.21</x:v>
      </x:c>
      <x:c r="H65" s="290">
        <x:f>REMUNERACION_ENERBIT!H109</x:f>
        <x:v>8664264.7300000004</x:v>
      </x:c>
      <x:c r="I65" s="290">
        <x:f>REMUNERACION_ENERBIT!I109</x:f>
        <x:v>306609.89</x:v>
      </x:c>
      <x:c r="J65" s="290">
        <x:f>REMUNERACION_ENERBIT!J109</x:f>
        <x:v>0</x:v>
      </x:c>
      <x:c r="K65" s="300">
        <x:f>REMUNERACION_ENERBIT!K109</x:f>
        <x:v>19798433.739999998</x:v>
      </x:c>
      <x:c r="L65" s="301">
        <x:f>REMUNERACION_ENERBIT!L109</x:f>
        <x:v>0</x:v>
      </x:c>
      <x:c r="M65" s="302">
        <x:f>REMUNERACION_ENERBIT!M109</x:f>
        <x:v>19798433.739999998</x:v>
      </x:c>
      <x:c r="N65" s="301">
        <x:f>REMUNERACION_ENERBIT!N109</x:f>
        <x:v>0</x:v>
      </x:c>
      <x:c r="O65" s="302">
        <x:f>REMUNERACION_ENERBIT!O109</x:f>
        <x:v>19798433.739999998</x:v>
      </x:c>
      <x:c r="P65" s="329"/>
      <x:c r="Q65" s="306"/>
      <x:c r="S65" s="327"/>
      <x:c r="T65" s="328" t="s">
        <x:v>2</x:v>
      </x:c>
      <x:c r="U65" s="330">
        <x:f>REMUNERACION_ENERBIT!U109</x:f>
        <x:v>2695565.9899999998</x:v>
      </x:c>
      <x:c r="V65" s="330">
        <x:f>REMUNERACION_ENERBIT!V109</x:f>
        <x:v>2662800.6100000003</x:v>
      </x:c>
      <x:c r="W65" s="330">
        <x:f>REMUNERACION_ENERBIT!W109</x:f>
        <x:v>13468229.43</x:v>
      </x:c>
      <x:c r="X65" s="330">
        <x:f>REMUNERACION_ENERBIT!X109</x:f>
        <x:v>6732768.6600000001</x:v>
      </x:c>
      <x:c r="Y65" s="330">
        <x:f>REMUNERACION_ENERBIT!Y109</x:f>
        <x:v>496966.43</x:v>
      </x:c>
      <x:c r="Z65" s="330">
        <x:f>REMUNERACION_ENERBIT!Z109</x:f>
        <x:v>0</x:v>
      </x:c>
      <x:c r="AA65" s="330">
        <x:f>REMUNERACION_ENERBIT!AA109</x:f>
        <x:v>65.34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-6257962.7199999997</x:v>
      </x:c>
      <x:c r="AE65" s="330">
        <x:f>REMUNERACION_ENERBIT!AE109</x:f>
        <x:v>-6257962.7199999997</x:v>
      </x:c>
      <x:c r="AF65" s="331">
        <x:f>REMUNERACION_ENERBIT!AF109</x:f>
        <x:v>19798433.740000002</x:v>
      </x:c>
      <x:c r="AG65" s="524">
        <x:f>REMUNERACION_ENEL!AG126</x:f>
        <x:v>0</x:v>
      </x:c>
      <x:c r="AH65" s="1"/>
      <x:c r="AI65" s="306"/>
      <x:c r="AM65" s="333"/>
    </x:row>
    <x:row r="66" spans="1:39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4" x14ac:dyDescent="0.3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5" x14ac:dyDescent="0.3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4" x14ac:dyDescent="0.3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5" x14ac:dyDescent="0.3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69.5" thickBot="1" x14ac:dyDescent="0.3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5">
      <x:c r="B76" s="303">
        <x:v>1</x:v>
      </x:c>
      <x:c r="C76" s="304" t="s">
        <x:v>10</x:v>
      </x:c>
      <x:c r="D76" s="291">
        <x:f>'REMUNERACION_OCCIDENTE_ Directa'!D104</x:f>
        <x:v>807049068.57000017</x:v>
      </x:c>
      <x:c r="E76" s="292">
        <x:f>'REMUNERACION_OCCIDENTE_ Directa'!E104</x:f>
        <x:v>99193733.159999996</x:v>
      </x:c>
      <x:c r="F76" s="292">
        <x:f>'REMUNERACION_OCCIDENTE_ Directa'!F104</x:f>
        <x:v>55706578.209999993</x:v>
      </x:c>
      <x:c r="G76" s="292">
        <x:f>'REMUNERACION_OCCIDENTE_ Directa'!G104</x:f>
        <x:v>29360739.059999999</x:v>
      </x:c>
      <x:c r="H76" s="292">
        <x:f>'REMUNERACION_OCCIDENTE_ Directa'!H104</x:f>
        <x:v>53694460.149999999</x:v>
      </x:c>
      <x:c r="I76" s="292">
        <x:f>'REMUNERACION_OCCIDENTE_ Directa'!I104</x:f>
        <x:v>1708389.85</x:v>
      </x:c>
      <x:c r="J76" s="288">
        <x:f>'REMUNERACION_OCCIDENTE_ Directa'!J104</x:f>
        <x:v>0</x:v>
      </x:c>
      <x:c r="K76" s="293">
        <x:f>'REMUNERACION_OCCIDENTE_ Directa'!K104</x:f>
        <x:v>567385168.14000022</x:v>
      </x:c>
      <x:c r="L76" s="294">
        <x:f>'REMUNERACION_OCCIDENTE_ Directa'!L104</x:f>
        <x:v>0</x:v>
      </x:c>
      <x:c r="M76" s="293">
        <x:f>'REMUNERACION_OCCIDENTE_ Directa'!M104</x:f>
        <x:v>567385168.14000022</x:v>
      </x:c>
      <x:c r="N76" s="294">
        <x:f>'REMUNERACION_OCCIDENTE_ Directa'!N104</x:f>
        <x:v>8760824.0099999998</x:v>
      </x:c>
      <x:c r="O76" s="293">
        <x:f>'REMUNERACION_OCCIDENTE_ Directa'!O104</x:f>
        <x:v>576145992.15000021</x:v>
      </x:c>
      <x:c r="Q76" s="306"/>
      <x:c r="S76" s="303">
        <x:v>1</x:v>
      </x:c>
      <x:c r="T76" s="304" t="s">
        <x:v>10</x:v>
      </x:c>
      <x:c r="U76" s="307">
        <x:f>'REMUNERACION_OCCIDENTE_ Directa'!U104</x:f>
        <x:v>15073165.450000001</x:v>
      </x:c>
      <x:c r="V76" s="308">
        <x:f>'REMUNERACION_OCCIDENTE_ Directa'!V104</x:f>
        <x:v>18351766.840000004</x:v>
      </x:c>
      <x:c r="W76" s="308">
        <x:f>'REMUNERACION_OCCIDENTE_ Directa'!W104</x:f>
        <x:v>85158116.140000001</x:v>
      </x:c>
      <x:c r="X76" s="308">
        <x:f>'REMUNERACION_OCCIDENTE_ Directa'!X104</x:f>
        <x:v>271402094.66000003</x:v>
      </x:c>
      <x:c r="Y76" s="309">
        <x:f>'REMUNERACION_OCCIDENTE_ Directa'!Y104</x:f>
        <x:v>2783141.35</x:v>
      </x:c>
      <x:c r="Z76" s="310">
        <x:f>'REMUNERACION_OCCIDENTE_ Directa'!Z104</x:f>
        <x:v>0</x:v>
      </x:c>
      <x:c r="AA76" s="311">
        <x:f>'REMUNERACION_OCCIDENTE_ Directa'!AA104</x:f>
        <x:v>-864.44</x:v>
      </x:c>
      <x:c r="AB76" s="294">
        <x:f>'REMUNERACION_OCCIDENTE_ Directa'!AB104</x:f>
        <x:v>8760824.0099999998</x:v>
      </x:c>
      <x:c r="AC76" s="311">
        <x:f>'REMUNERACION_OCCIDENTE_ Directa'!AC104</x:f>
        <x:v>-2114.38</x:v>
      </x:c>
      <x:c r="AD76" s="291">
        <x:f>'REMUNERACION_OCCIDENTE_ Directa'!AD104</x:f>
        <x:v>174619862.51999998</x:v>
      </x:c>
      <x:c r="AE76" s="291">
        <x:f>'REMUNERACION_OCCIDENTE_ Directa'!AE104</x:f>
        <x:v>174619862.51999998</x:v>
      </x:c>
      <x:c r="AF76" s="313">
        <x:f>'REMUNERACION_OCCIDENTE_ Directa'!AF104</x:f>
        <x:v>576145992.1500001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5">
      <x:c r="B77" s="314">
        <x:v>2</x:v>
      </x:c>
      <x:c r="C77" s="315" t="s">
        <x:v>11</x:v>
      </x:c>
      <x:c r="D77" s="291">
        <x:f>'REMUNERACION_OCCIDENTE_ Directa'!D105</x:f>
        <x:v>1404601147.78</x:v>
      </x:c>
      <x:c r="E77" s="292">
        <x:f>'REMUNERACION_OCCIDENTE_ Directa'!E105</x:f>
        <x:v>183955211.98000002</x:v>
      </x:c>
      <x:c r="F77" s="292">
        <x:f>'REMUNERACION_OCCIDENTE_ Directa'!F105</x:f>
        <x:v>102944599.42999999</x:v>
      </x:c>
      <x:c r="G77" s="292">
        <x:f>'REMUNERACION_OCCIDENTE_ Directa'!G105</x:f>
        <x:v>54335275.669999994</x:v>
      </x:c>
      <x:c r="H77" s="292">
        <x:f>'REMUNERACION_OCCIDENTE_ Directa'!H105</x:f>
        <x:v>214011816.64000002</x:v>
      </x:c>
      <x:c r="I77" s="292">
        <x:f>'REMUNERACION_OCCIDENTE_ Directa'!I105</x:f>
        <x:v>5870826.8500000006</x:v>
      </x:c>
      <x:c r="J77" s="288">
        <x:f>'REMUNERACION_OCCIDENTE_ Directa'!J105</x:f>
        <x:v>0</x:v>
      </x:c>
      <x:c r="K77" s="295">
        <x:f>'REMUNERACION_OCCIDENTE_ Directa'!K105</x:f>
        <x:v>843483417.20999992</x:v>
      </x:c>
      <x:c r="L77" s="294">
        <x:f>'REMUNERACION_OCCIDENTE_ Directa'!L105</x:f>
        <x:v>0</x:v>
      </x:c>
      <x:c r="M77" s="295">
        <x:f>'REMUNERACION_OCCIDENTE_ Directa'!M105</x:f>
        <x:v>843483417.20999992</x:v>
      </x:c>
      <x:c r="N77" s="294">
        <x:f>'REMUNERACION_OCCIDENTE_ Directa'!N105</x:f>
        <x:v>29180991.390000001</x:v>
      </x:c>
      <x:c r="O77" s="295">
        <x:f>'REMUNERACION_OCCIDENTE_ Directa'!O105</x:f>
        <x:v>872664408.5999999</x:v>
      </x:c>
      <x:c r="Q77" s="306"/>
      <x:c r="S77" s="314">
        <x:v>2</x:v>
      </x:c>
      <x:c r="T77" s="315" t="s">
        <x:v>11</x:v>
      </x:c>
      <x:c r="U77" s="316">
        <x:f>'REMUNERACION_OCCIDENTE_ Directa'!U105</x:f>
        <x:v>51434199.740000002</x:v>
      </x:c>
      <x:c r="V77" s="317">
        <x:f>'REMUNERACION_OCCIDENTE_ Directa'!V105</x:f>
        <x:v>70337397.799999997</x:v>
      </x:c>
      <x:c r="W77" s="317">
        <x:f>'REMUNERACION_OCCIDENTE_ Directa'!W105</x:f>
        <x:v>321021887.77000004</x:v>
      </x:c>
      <x:c r="X77" s="317">
        <x:f>'REMUNERACION_OCCIDENTE_ Directa'!X105</x:f>
        <x:v>381196564.10999995</x:v>
      </x:c>
      <x:c r="Y77" s="318">
        <x:f>'REMUNERACION_OCCIDENTE_ Directa'!Y105</x:f>
        <x:v>9471108.7799999993</x:v>
      </x:c>
      <x:c r="Z77" s="319">
        <x:f>'REMUNERACION_OCCIDENTE_ Directa'!Z105</x:f>
        <x:v>0</x:v>
      </x:c>
      <x:c r="AA77" s="320">
        <x:f>'REMUNERACION_OCCIDENTE_ Directa'!AA105</x:f>
        <x:v>-3277.8299999999995</x:v>
      </x:c>
      <x:c r="AB77" s="294">
        <x:f>'REMUNERACION_OCCIDENTE_ Directa'!AB105</x:f>
        <x:v>29180991.390000001</x:v>
      </x:c>
      <x:c r="AC77" s="320">
        <x:f>'REMUNERACION_OCCIDENTE_ Directa'!AC105</x:f>
        <x:v>-13.53</x:v>
      </x:c>
      <x:c r="AD77" s="291">
        <x:f>'REMUNERACION_OCCIDENTE_ Directa'!AD105</x:f>
        <x:v>10025550.370000001</x:v>
      </x:c>
      <x:c r="AE77" s="291">
        <x:f>'REMUNERACION_OCCIDENTE_ Directa'!AE105</x:f>
        <x:v>10025550.370000001</x:v>
      </x:c>
      <x:c r="AF77" s="322">
        <x:f>'REMUNERACION_OCCIDENTE_ Directa'!AF105</x:f>
        <x:v>872664408.60000002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5">
      <x:c r="B78" s="314">
        <x:v>3</x:v>
      </x:c>
      <x:c r="C78" s="315" t="s">
        <x:v>12</x:v>
      </x:c>
      <x:c r="D78" s="291">
        <x:f>'REMUNERACION_OCCIDENTE_ Directa'!D106</x:f>
        <x:v>1245261377.0799999</x:v>
      </x:c>
      <x:c r="E78" s="292">
        <x:f>'REMUNERACION_OCCIDENTE_ Directa'!E106</x:f>
        <x:v>169179321.98000002</x:v>
      </x:c>
      <x:c r="F78" s="292">
        <x:f>'REMUNERACION_OCCIDENTE_ Directa'!F106</x:f>
        <x:v>94674360.829999998</x:v>
      </x:c>
      <x:c r="G78" s="292">
        <x:f>'REMUNERACION_OCCIDENTE_ Directa'!G106</x:f>
        <x:v>50112712.770000003</x:v>
      </x:c>
      <x:c r="H78" s="292">
        <x:f>'REMUNERACION_OCCIDENTE_ Directa'!H106</x:f>
        <x:v>37910837.479999997</x:v>
      </x:c>
      <x:c r="I78" s="292">
        <x:f>'REMUNERACION_OCCIDENTE_ Directa'!I106</x:f>
        <x:v>1165755.6399999999</x:v>
      </x:c>
      <x:c r="J78" s="288">
        <x:f>'REMUNERACION_OCCIDENTE_ Directa'!J106</x:f>
        <x:v>0</x:v>
      </x:c>
      <x:c r="K78" s="295">
        <x:f>'REMUNERACION_OCCIDENTE_ Directa'!K106</x:f>
        <x:v>892218388.37999988</x:v>
      </x:c>
      <x:c r="L78" s="294">
        <x:f>'REMUNERACION_OCCIDENTE_ Directa'!L106</x:f>
        <x:v>0</x:v>
      </x:c>
      <x:c r="M78" s="295">
        <x:f>'REMUNERACION_OCCIDENTE_ Directa'!M106</x:f>
        <x:v>892218388.37999988</x:v>
      </x:c>
      <x:c r="N78" s="294">
        <x:f>'REMUNERACION_OCCIDENTE_ Directa'!N106</x:f>
        <x:v>1311387.82</x:v>
      </x:c>
      <x:c r="O78" s="295">
        <x:f>'REMUNERACION_OCCIDENTE_ Directa'!O106</x:f>
        <x:v>893529776.19999993</x:v>
      </x:c>
      <x:c r="Q78" s="306"/>
      <x:c r="S78" s="314">
        <x:v>3</x:v>
      </x:c>
      <x:c r="T78" s="315" t="s">
        <x:v>12</x:v>
      </x:c>
      <x:c r="U78" s="316">
        <x:f>'REMUNERACION_OCCIDENTE_ Directa'!U106</x:f>
        <x:v>10225267.880000001</x:v>
      </x:c>
      <x:c r="V78" s="317">
        <x:f>'REMUNERACION_OCCIDENTE_ Directa'!V106</x:f>
        <x:v>13794028.73</x:v>
      </x:c>
      <x:c r="W78" s="317">
        <x:f>'REMUNERACION_OCCIDENTE_ Directa'!W106</x:f>
        <x:v>64505492.360000007</x:v>
      </x:c>
      <x:c r="X78" s="317">
        <x:f>'REMUNERACION_OCCIDENTE_ Directa'!X106</x:f>
        <x:v>393819035.60999995</x:v>
      </x:c>
      <x:c r="Y78" s="318">
        <x:f>'REMUNERACION_OCCIDENTE_ Directa'!Y106</x:f>
        <x:v>1909745.96</x:v>
      </x:c>
      <x:c r="Z78" s="319">
        <x:f>'REMUNERACION_OCCIDENTE_ Directa'!Z106</x:f>
        <x:v>0</x:v>
      </x:c>
      <x:c r="AA78" s="320">
        <x:f>'REMUNERACION_OCCIDENTE_ Directa'!AA106</x:f>
        <x:v>-972.41000000000008</x:v>
      </x:c>
      <x:c r="AB78" s="294">
        <x:f>'REMUNERACION_OCCIDENTE_ Directa'!AB106</x:f>
        <x:v>1311387.82</x:v>
      </x:c>
      <x:c r="AC78" s="320">
        <x:f>'REMUNERACION_OCCIDENTE_ Directa'!AC106</x:f>
        <x:v>-11886.56</x:v>
      </x:c>
      <x:c r="AD78" s="291">
        <x:f>'REMUNERACION_OCCIDENTE_ Directa'!AD106</x:f>
        <x:v>407977676.81</x:v>
      </x:c>
      <x:c r="AE78" s="291">
        <x:f>'REMUNERACION_OCCIDENTE_ Directa'!AE106</x:f>
        <x:v>407977676.81</x:v>
      </x:c>
      <x:c r="AF78" s="322">
        <x:f>'REMUNERACION_OCCIDENTE_ Directa'!AF106</x:f>
        <x:v>893529776.19999981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5">
      <x:c r="B79" s="314">
        <x:v>4</x:v>
      </x:c>
      <x:c r="C79" s="315" t="s">
        <x:v>13</x:v>
      </x:c>
      <x:c r="D79" s="291">
        <x:f>'REMUNERACION_OCCIDENTE_ Directa'!D107</x:f>
        <x:v>488724679.72000009</x:v>
      </x:c>
      <x:c r="E79" s="292">
        <x:f>'REMUNERACION_OCCIDENTE_ Directa'!E107</x:f>
        <x:v>55203155.700000003</x:v>
      </x:c>
      <x:c r="F79" s="292">
        <x:f>'REMUNERACION_OCCIDENTE_ Directa'!F107</x:f>
        <x:v>30345126.150000002</x:v>
      </x:c>
      <x:c r="G79" s="292">
        <x:f>'REMUNERACION_OCCIDENTE_ Directa'!G107</x:f>
        <x:v>15489479.65</x:v>
      </x:c>
      <x:c r="H79" s="292">
        <x:f>'REMUNERACION_OCCIDENTE_ Directa'!H107</x:f>
        <x:v>57754003.020000003</x:v>
      </x:c>
      <x:c r="I79" s="292">
        <x:f>'REMUNERACION_OCCIDENTE_ Directa'!I107</x:f>
        <x:v>1909778.2499999998</x:v>
      </x:c>
      <x:c r="J79" s="288">
        <x:f>'REMUNERACION_OCCIDENTE_ Directa'!J107</x:f>
        <x:v>0</x:v>
      </x:c>
      <x:c r="K79" s="295">
        <x:f>'REMUNERACION_OCCIDENTE_ Directa'!K107</x:f>
        <x:v>328023136.95000017</x:v>
      </x:c>
      <x:c r="L79" s="294">
        <x:f>'REMUNERACION_OCCIDENTE_ Directa'!L107</x:f>
        <x:v>0</x:v>
      </x:c>
      <x:c r="M79" s="295">
        <x:f>'REMUNERACION_OCCIDENTE_ Directa'!M107</x:f>
        <x:v>328023136.95000017</x:v>
      </x:c>
      <x:c r="N79" s="294">
        <x:f>'REMUNERACION_OCCIDENTE_ Directa'!N107</x:f>
        <x:v>14919457.4</x:v>
      </x:c>
      <x:c r="O79" s="295">
        <x:f>'REMUNERACION_OCCIDENTE_ Directa'!O107</x:f>
        <x:v>342942594.35000014</x:v>
      </x:c>
      <x:c r="Q79" s="306"/>
      <x:c r="S79" s="314">
        <x:v>4</x:v>
      </x:c>
      <x:c r="T79" s="315" t="s">
        <x:v>13</x:v>
      </x:c>
      <x:c r="U79" s="316">
        <x:f>'REMUNERACION_OCCIDENTE_ Directa'!U107</x:f>
        <x:v>18153635.699999999</x:v>
      </x:c>
      <x:c r="V79" s="317">
        <x:f>'REMUNERACION_OCCIDENTE_ Directa'!V107</x:f>
        <x:v>22508162.759999998</x:v>
      </x:c>
      <x:c r="W79" s="317">
        <x:f>'REMUNERACION_OCCIDENTE_ Directa'!W107</x:f>
        <x:v>110934136.67000002</x:v>
      </x:c>
      <x:c r="X79" s="317">
        <x:f>'REMUNERACION_OCCIDENTE_ Directa'!X107</x:f>
        <x:v>146478227.43000004</x:v>
      </x:c>
      <x:c r="Y79" s="318">
        <x:f>'REMUNERACION_OCCIDENTE_ Directa'!Y107</x:f>
        <x:v>3110743.9899999998</x:v>
      </x:c>
      <x:c r="Z79" s="319">
        <x:f>'REMUNERACION_OCCIDENTE_ Directa'!Z107</x:f>
        <x:v>0</x:v>
      </x:c>
      <x:c r="AA79" s="320">
        <x:f>'REMUNERACION_OCCIDENTE_ Directa'!AA107</x:f>
        <x:v>602.99999999999989</x:v>
      </x:c>
      <x:c r="AB79" s="294">
        <x:f>'REMUNERACION_OCCIDENTE_ Directa'!AB107</x:f>
        <x:v>14919457.4</x:v>
      </x:c>
      <x:c r="AC79" s="320">
        <x:f>'REMUNERACION_OCCIDENTE_ Directa'!AC107</x:f>
        <x:v>-80.570000000000007</x:v>
      </x:c>
      <x:c r="AD79" s="291">
        <x:f>'REMUNERACION_OCCIDENTE_ Directa'!AD107</x:f>
        <x:v>26837707.969999999</x:v>
      </x:c>
      <x:c r="AE79" s="291">
        <x:f>'REMUNERACION_OCCIDENTE_ Directa'!AE107</x:f>
        <x:v>26837707.969999999</x:v>
      </x:c>
      <x:c r="AF79" s="322">
        <x:f>'REMUNERACION_OCCIDENTE_ Directa'!AF107</x:f>
        <x:v>342942594.35000002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" thickBot="1" x14ac:dyDescent="0.3">
      <x:c r="B80" s="324">
        <x:v>5</x:v>
      </x:c>
      <x:c r="C80" s="325" t="s">
        <x:v>14</x:v>
      </x:c>
      <x:c r="D80" s="296">
        <x:f>'REMUNERACION_OCCIDENTE_ Directa'!D108</x:f>
        <x:v>317721932.47000003</x:v>
      </x:c>
      <x:c r="E80" s="297">
        <x:f>'REMUNERACION_OCCIDENTE_ Directa'!E108</x:f>
        <x:v>31184102.540000003</x:v>
      </x:c>
      <x:c r="F80" s="297">
        <x:f>'REMUNERACION_OCCIDENTE_ Directa'!F108</x:f>
        <x:v>17438110.490000002</x:v>
      </x:c>
      <x:c r="G80" s="297">
        <x:f>'REMUNERACION_OCCIDENTE_ Directa'!G108</x:f>
        <x:v>9129338.4999999981</x:v>
      </x:c>
      <x:c r="H80" s="297">
        <x:f>'REMUNERACION_OCCIDENTE_ Directa'!H108</x:f>
        <x:v>18288367.830000002</x:v>
      </x:c>
      <x:c r="I80" s="297">
        <x:f>'REMUNERACION_OCCIDENTE_ Directa'!I108</x:f>
        <x:v>845568.67</x:v>
      </x:c>
      <x:c r="J80" s="289">
        <x:f>'REMUNERACION_OCCIDENTE_ Directa'!J108</x:f>
        <x:v>0</x:v>
      </x:c>
      <x:c r="K80" s="295">
        <x:f>'REMUNERACION_OCCIDENTE_ Directa'!K108</x:f>
        <x:v>240836444.44</x:v>
      </x:c>
      <x:c r="L80" s="294">
        <x:f>'REMUNERACION_OCCIDENTE_ Directa'!L108</x:f>
        <x:v>0</x:v>
      </x:c>
      <x:c r="M80" s="298">
        <x:f>'REMUNERACION_OCCIDENTE_ Directa'!M108</x:f>
        <x:v>240836444.44</x:v>
      </x:c>
      <x:c r="N80" s="299">
        <x:f>'REMUNERACION_OCCIDENTE_ Directa'!N108</x:f>
        <x:v>6894658.7800000003</x:v>
      </x:c>
      <x:c r="O80" s="298">
        <x:f>'REMUNERACION_OCCIDENTE_ Directa'!O108</x:f>
        <x:v>247731103.22</x:v>
      </x:c>
      <x:c r="Q80" s="306"/>
      <x:c r="S80" s="324">
        <x:v>5</x:v>
      </x:c>
      <x:c r="T80" s="325" t="s">
        <x:v>14</x:v>
      </x:c>
      <x:c r="U80" s="296">
        <x:f>'REMUNERACION_OCCIDENTE_ Directa'!U108</x:f>
        <x:v>7530881.8600000003</x:v>
      </x:c>
      <x:c r="V80" s="297">
        <x:f>'REMUNERACION_OCCIDENTE_ Directa'!V108</x:f>
        <x:v>9040944.5399999991</x:v>
      </x:c>
      <x:c r="W80" s="297">
        <x:f>'REMUNERACION_OCCIDENTE_ Directa'!W108</x:f>
        <x:v>45756182.879999995</x:v>
      </x:c>
      <x:c r="X80" s="297">
        <x:f>'REMUNERACION_OCCIDENTE_ Directa'!X108</x:f>
        <x:v>92948094.320000008</x:v>
      </x:c>
      <x:c r="Y80" s="289">
        <x:f>'REMUNERACION_OCCIDENTE_ Directa'!Y108</x:f>
        <x:v>1374403.66</x:v>
      </x:c>
      <x:c r="Z80" s="319">
        <x:f>'REMUNERACION_OCCIDENTE_ Directa'!Z108</x:f>
        <x:v>0</x:v>
      </x:c>
      <x:c r="AA80" s="320">
        <x:f>'REMUNERACION_OCCIDENTE_ Directa'!AA108</x:f>
        <x:v>-760.25999999999988</x:v>
      </x:c>
      <x:c r="AB80" s="294">
        <x:f>'REMUNERACION_OCCIDENTE_ Directa'!AB108</x:f>
        <x:v>6894658.7800000003</x:v>
      </x:c>
      <x:c r="AC80" s="320">
        <x:f>'REMUNERACION_OCCIDENTE_ Directa'!AC108</x:f>
        <x:v>0.35000000000000003</x:v>
      </x:c>
      <x:c r="AD80" s="291">
        <x:f>'REMUNERACION_OCCIDENTE_ Directa'!AD108</x:f>
        <x:v>84186697.089999989</x:v>
      </x:c>
      <x:c r="AE80" s="291">
        <x:f>'REMUNERACION_OCCIDENTE_ Directa'!AE108</x:f>
        <x:v>84186697.089999989</x:v>
      </x:c>
      <x:c r="AF80" s="322">
        <x:f>'REMUNERACION_OCCIDENTE_ Directa'!AF108</x:f>
        <x:v>247731103.21999997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35">
      <x:c r="B81" s="327"/>
      <x:c r="C81" s="328" t="s">
        <x:v>2</x:v>
      </x:c>
      <x:c r="D81" s="290">
        <x:f>'REMUNERACION_OCCIDENTE_ Directa'!D109</x:f>
        <x:v>4263358205.6200008</x:v>
      </x:c>
      <x:c r="E81" s="290">
        <x:f>'REMUNERACION_OCCIDENTE_ Directa'!E109</x:f>
        <x:v>538715525.36000001</x:v>
      </x:c>
      <x:c r="F81" s="290">
        <x:f>'REMUNERACION_OCCIDENTE_ Directa'!F109</x:f>
        <x:v>301108775.10999995</x:v>
      </x:c>
      <x:c r="G81" s="290">
        <x:f>'REMUNERACION_OCCIDENTE_ Directa'!G109</x:f>
        <x:v>158427545.65000001</x:v>
      </x:c>
      <x:c r="H81" s="290">
        <x:f>'REMUNERACION_OCCIDENTE_ Directa'!H109</x:f>
        <x:v>381659485.12</x:v>
      </x:c>
      <x:c r="I81" s="290">
        <x:f>'REMUNERACION_OCCIDENTE_ Directa'!I109</x:f>
        <x:v>11500319.260000002</x:v>
      </x:c>
      <x:c r="J81" s="290">
        <x:f>'REMUNERACION_OCCIDENTE_ Directa'!J109</x:f>
        <x:v>0</x:v>
      </x:c>
      <x:c r="K81" s="300">
        <x:f>'REMUNERACION_OCCIDENTE_ Directa'!K109</x:f>
        <x:v>2871946555.1200004</x:v>
      </x:c>
      <x:c r="L81" s="301">
        <x:f>'REMUNERACION_OCCIDENTE_ Directa'!L109</x:f>
        <x:v>0</x:v>
      </x:c>
      <x:c r="M81" s="302">
        <x:f>'REMUNERACION_OCCIDENTE_ Directa'!M109</x:f>
        <x:v>2871946555.1200004</x:v>
      </x:c>
      <x:c r="N81" s="301">
        <x:f>'REMUNERACION_OCCIDENTE_ Directa'!N109</x:f>
        <x:v>61067319.399999999</x:v>
      </x:c>
      <x:c r="O81" s="302">
        <x:f>'REMUNERACION_OCCIDENTE_ Directa'!O109</x:f>
        <x:v>2933013874.52</x:v>
      </x:c>
      <x:c r="P81" s="329"/>
      <x:c r="Q81" s="306"/>
      <x:c r="S81" s="327"/>
      <x:c r="T81" s="328" t="s">
        <x:v>2</x:v>
      </x:c>
      <x:c r="U81" s="330">
        <x:f>'REMUNERACION_OCCIDENTE_ Directa'!U109</x:f>
        <x:v>102417150.63000001</x:v>
      </x:c>
      <x:c r="V81" s="330">
        <x:f>'REMUNERACION_OCCIDENTE_ Directa'!V109</x:f>
        <x:v>134032300.66999999</x:v>
      </x:c>
      <x:c r="W81" s="330">
        <x:f>'REMUNERACION_OCCIDENTE_ Directa'!W109</x:f>
        <x:v>627375815.82000005</x:v>
      </x:c>
      <x:c r="X81" s="330">
        <x:f>'REMUNERACION_OCCIDENTE_ Directa'!X109</x:f>
        <x:v>1285844016.1299999</x:v>
      </x:c>
      <x:c r="Y81" s="330">
        <x:f>'REMUNERACION_OCCIDENTE_ Directa'!Y109</x:f>
        <x:v>18649143.739999998</x:v>
      </x:c>
      <x:c r="Z81" s="290">
        <x:f>'REMUNERACION_OCCIDENTE_ Directa'!Z109</x:f>
        <x:v>0</x:v>
      </x:c>
      <x:c r="AA81" s="290">
        <x:f>'REMUNERACION_OCCIDENTE_ Directa'!AA109</x:f>
        <x:v>-5271.94</x:v>
      </x:c>
      <x:c r="AB81" s="290">
        <x:f>'REMUNERACION_OCCIDENTE_ Directa'!AB109</x:f>
        <x:v>61067319.399999999</x:v>
      </x:c>
      <x:c r="AC81" s="290">
        <x:f>'REMUNERACION_OCCIDENTE_ Directa'!AC109</x:f>
        <x:v>-14094.689999999999</x:v>
      </x:c>
      <x:c r="AD81" s="290">
        <x:f>'REMUNERACION_OCCIDENTE_ Directa'!AD109</x:f>
        <x:v>703647494.76000011</x:v>
      </x:c>
      <x:c r="AE81" s="290">
        <x:f>'REMUNERACION_OCCIDENTE_ Directa'!AE109</x:f>
        <x:v>703647494.76000011</x:v>
      </x:c>
      <x:c r="AF81" s="331">
        <x:f>'REMUNERACION_OCCIDENTE_ Directa'!AF109</x:f>
        <x:v>2933013874.5199995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3">
      <x:c r="Q85" s="4"/>
      <x:c r="AI85" s="4"/>
    </x:row>
    <x:row r="86" spans="1:39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4" x14ac:dyDescent="0.3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5" x14ac:dyDescent="0.3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4" x14ac:dyDescent="0.3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5" x14ac:dyDescent="0.3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3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3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3">
      <x:c r="Q102" s="4"/>
      <x:c r="AI102" s="4"/>
    </x:row>
    <x:row r="103" spans="1:39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4" x14ac:dyDescent="0.3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5" x14ac:dyDescent="0.3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4" x14ac:dyDescent="0.3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5" x14ac:dyDescent="0.3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69.5" thickBot="1" x14ac:dyDescent="0.3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2.0861625671386719E-7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3">
      <x:c r="Q119" s="4"/>
      <x:c r="AI119" s="4"/>
    </x:row>
    <x:row r="120" spans="1:36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4" x14ac:dyDescent="0.3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5" x14ac:dyDescent="0.3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4" x14ac:dyDescent="0.3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5" x14ac:dyDescent="0.35">
      <x:c r="B124" s="8"/>
      <x:c r="C124" s="2" t="s">
        <x:v>17</x:v>
      </x:c>
      <x:c r="D124" s="9">
        <x:f>'REMUNERACION_EAAB-CL'!D101</x:f>
        <x:v>46238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46219</x:v>
      </x:c>
      <x:c r="H125" s="45"/>
      <x:c r="I125" s="45"/>
      <x:c r="J125" s="555" t="s">
        <x:v>28</x:v>
      </x:c>
      <x:c r="K125" s="557">
        <x:f>'REMUNERACION_EAAB-CL'!K102</x:f>
        <x:v>46234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74" workbookViewId="0">
      <x:selection activeCell="L108" sqref="L108"/>
    </x:sheetView>
  </x:sheetViews>
  <x:sheetFormatPr baseColWidth="10" defaultRowHeight="12.5" x14ac:dyDescent="0.25"/>
  <x:cols>
    <x:col min="1" max="1" width="2.453125" customWidth="1"/>
    <x:col min="3" max="3" width="36.81640625" bestFit="1" customWidth="1"/>
    <x:col min="4" max="4" width="12" bestFit="1" customWidth="1"/>
    <x:col min="5" max="5" width="12.1796875" customWidth="1"/>
    <x:col min="6" max="6" width="9.1796875" customWidth="1"/>
    <x:col min="7" max="7" width="14.81640625" customWidth="1"/>
    <x:col min="8" max="8" width="15.1796875" customWidth="1"/>
    <x:col min="9" max="9" width="20.1796875" bestFit="1" customWidth="1"/>
    <x:col min="10" max="10" width="15.453125" customWidth="1"/>
    <x:col min="11" max="11" width="17.81640625" customWidth="1"/>
    <x:col min="12" max="12" width="20.81640625" customWidth="1"/>
    <x:col min="17" max="17" width="1.1796875" customWidth="1"/>
  </x:cols>
  <x:sheetData>
    <x:row r="1" spans="1:33" s="1" customFormat="1" ht="12" thickBot="1" x14ac:dyDescent="0.3">
      <x:c r="Q1" s="4"/>
    </x:row>
    <x:row r="2" spans="1:33" s="1" customFormat="1" ht="11.5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5" x14ac:dyDescent="0.3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3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1.5" x14ac:dyDescent="0.25">
      <x:c r="B6" s="334">
        <x:v>1</x:v>
      </x:c>
      <x:c r="C6" s="335" t="s">
        <x:v>10</x:v>
      </x:c>
      <x:c r="D6" s="308">
        <x:f>'CONSOLIDADO_TOTAL RECAUDO'!D125</x:f>
        <x:v>100931031.88</x:v>
      </x:c>
      <x:c r="E6" s="309">
        <x:f>'CONSOLIDADO_TOTAL RECAUDO'!E125</x:f>
        <x:v>0</x:v>
      </x:c>
      <x:c r="G6" s="336">
        <x:f>'CONSOLIDADO_TOTAL RECAUDO'!G125</x:f>
        <x:v>49580</x:v>
      </x:c>
      <x:c r="H6" s="310">
        <x:f>'CONSOLIDADO_TOTAL RECAUDO'!H125</x:f>
        <x:v>125948553.12</x:v>
      </x:c>
      <x:c r="I6" s="309">
        <x:f>'CONSOLIDADO_TOTAL RECAUDO'!I125</x:f>
        <x:v>973693.46</x:v>
      </x:c>
      <x:c r="J6" s="309">
        <x:f>'CONSOLIDADO_TOTAL RECAUDO'!J125</x:f>
        <x:v>-16536713.09</x:v>
      </x:c>
      <x:c r="K6" s="309">
        <x:f>'CONSOLIDADO_TOTAL RECAUDO'!K125</x:f>
        <x:v>82340</x:v>
      </x:c>
      <x:c r="L6" s="309">
        <x:f>'CONSOLIDADO_TOTAL RECAUDO'!L125</x:f>
        <x:v>182537.90999999997</x:v>
      </x:c>
      <x:c r="O6" s="337"/>
      <x:c r="Q6" s="306"/>
    </x:row>
    <x:row r="7" spans="1:33" s="305" customFormat="1" ht="11.5" x14ac:dyDescent="0.25">
      <x:c r="B7" s="314">
        <x:v>2</x:v>
      </x:c>
      <x:c r="C7" s="338" t="s">
        <x:v>11</x:v>
      </x:c>
      <x:c r="D7" s="292">
        <x:f>'CONSOLIDADO_TOTAL RECAUDO'!D126</x:f>
        <x:v>136534753</x:v>
      </x:c>
      <x:c r="E7" s="288">
        <x:f>'CONSOLIDADO_TOTAL RECAUDO'!E126</x:f>
        <x:v>0</x:v>
      </x:c>
      <x:c r="G7" s="339">
        <x:f>'CONSOLIDADO_TOTAL RECAUDO'!G126</x:f>
        <x:v>56190070</x:v>
      </x:c>
      <x:c r="H7" s="340">
        <x:f>'CONSOLIDADO_TOTAL RECAUDO'!H126</x:f>
        <x:v>178539092.16</x:v>
      </x:c>
      <x:c r="I7" s="288">
        <x:f>'CONSOLIDADO_TOTAL RECAUDO'!I126</x:f>
        <x:v>216025.77</x:v>
      </x:c>
      <x:c r="J7" s="288">
        <x:f>'CONSOLIDADO_TOTAL RECAUDO'!J126</x:f>
        <x:v>-71069759</x:v>
      </x:c>
      <x:c r="K7" s="288">
        <x:f>'CONSOLIDADO_TOTAL RECAUDO'!K126</x:f>
        <x:v>5228610</x:v>
      </x:c>
      <x:c r="L7" s="288">
        <x:f>'CONSOLIDADO_TOTAL RECAUDO'!L126</x:f>
        <x:v>0</x:v>
      </x:c>
      <x:c r="O7" s="337"/>
      <x:c r="Q7" s="306"/>
    </x:row>
    <x:row r="8" spans="1:33" s="305" customFormat="1" ht="11.5" x14ac:dyDescent="0.25">
      <x:c r="B8" s="314">
        <x:v>3</x:v>
      </x:c>
      <x:c r="C8" s="338" t="s">
        <x:v>12</x:v>
      </x:c>
      <x:c r="D8" s="292">
        <x:f>'CONSOLIDADO_TOTAL RECAUDO'!D127</x:f>
        <x:v>58884032.920000002</x:v>
      </x:c>
      <x:c r="E8" s="288">
        <x:f>'CONSOLIDADO_TOTAL RECAUDO'!E127</x:f>
        <x:v>0</x:v>
      </x:c>
      <x:c r="G8" s="339">
        <x:f>'CONSOLIDADO_TOTAL RECAUDO'!G127</x:f>
        <x:v>1307680</x:v>
      </x:c>
      <x:c r="H8" s="340">
        <x:f>'CONSOLIDADO_TOTAL RECAUDO'!H127</x:f>
        <x:v>26609070.66</x:v>
      </x:c>
      <x:c r="I8" s="288">
        <x:f>'CONSOLIDADO_TOTAL RECAUDO'!I127</x:f>
        <x:v>104231.83</x:v>
      </x:c>
      <x:c r="J8" s="288">
        <x:f>'CONSOLIDADO_TOTAL RECAUDO'!J127</x:f>
        <x:v>-32310979.800000001</x:v>
      </x:c>
      <x:c r="K8" s="288">
        <x:f>'CONSOLIDADO_TOTAL RECAUDO'!K127</x:f>
        <x:v>0</x:v>
      </x:c>
      <x:c r="L8" s="288">
        <x:f>'CONSOLIDADO_TOTAL RECAUDO'!L127</x:f>
        <x:v>2423600.2000000002</x:v>
      </x:c>
      <x:c r="O8" s="337"/>
      <x:c r="Q8" s="306"/>
    </x:row>
    <x:row r="9" spans="1:33" s="305" customFormat="1" ht="11.5" x14ac:dyDescent="0.25">
      <x:c r="B9" s="314">
        <x:v>4</x:v>
      </x:c>
      <x:c r="C9" s="338" t="s">
        <x:v>13</x:v>
      </x:c>
      <x:c r="D9" s="292">
        <x:f>'CONSOLIDADO_TOTAL RECAUDO'!D128</x:f>
        <x:v>73726637.340000004</x:v>
      </x:c>
      <x:c r="E9" s="288">
        <x:f>'CONSOLIDADO_TOTAL RECAUDO'!E128</x:f>
        <x:v>0</x:v>
      </x:c>
      <x:c r="G9" s="339">
        <x:f>'CONSOLIDADO_TOTAL RECAUDO'!G128</x:f>
        <x:v>4343101</x:v>
      </x:c>
      <x:c r="H9" s="340">
        <x:f>'CONSOLIDADO_TOTAL RECAUDO'!H128</x:f>
        <x:v>161461949.73000002</x:v>
      </x:c>
      <x:c r="I9" s="288">
        <x:f>'CONSOLIDADO_TOTAL RECAUDO'!I128</x:f>
        <x:v>35954.44</x:v>
      </x:c>
      <x:c r="J9" s="288">
        <x:f>'CONSOLIDADO_TOTAL RECAUDO'!J128</x:f>
        <x:v>-33738104.229999997</x:v>
      </x:c>
      <x:c r="K9" s="288">
        <x:f>'CONSOLIDADO_TOTAL RECAUDO'!K128</x:f>
        <x:v>14538094</x:v>
      </x:c>
      <x:c r="L9" s="288">
        <x:f>'CONSOLIDADO_TOTAL RECAUDO'!L128</x:f>
        <x:v>14979759.77</x:v>
      </x:c>
      <x:c r="O9" s="337"/>
      <x:c r="Q9" s="306"/>
    </x:row>
    <x:row r="10" spans="1:33" s="305" customFormat="1" ht="11.5" x14ac:dyDescent="0.25">
      <x:c r="B10" s="341">
        <x:v>5</x:v>
      </x:c>
      <x:c r="C10" s="342" t="s">
        <x:v>14</x:v>
      </x:c>
      <x:c r="D10" s="292">
        <x:f>'CONSOLIDADO_TOTAL RECAUDO'!D129</x:f>
        <x:v>28383865.960000001</x:v>
      </x:c>
      <x:c r="E10" s="344">
        <x:f>'CONSOLIDADO_TOTAL RECAUDO'!E129</x:f>
        <x:v>0</x:v>
      </x:c>
      <x:c r="G10" s="339">
        <x:f>'CONSOLIDADO_TOTAL RECAUDO'!G129</x:f>
        <x:v>441849</x:v>
      </x:c>
      <x:c r="H10" s="340">
        <x:f>'CONSOLIDADO_TOTAL RECAUDO'!H129</x:f>
        <x:v>43973508.960000001</x:v>
      </x:c>
      <x:c r="I10" s="288">
        <x:f>'CONSOLIDADO_TOTAL RECAUDO'!I129</x:f>
        <x:v>0</x:v>
      </x:c>
      <x:c r="J10" s="288">
        <x:f>'CONSOLIDADO_TOTAL RECAUDO'!J129</x:f>
        <x:v>-3092375.53</x:v>
      </x:c>
      <x:c r="K10" s="288">
        <x:f>'CONSOLIDADO_TOTAL RECAUDO'!K129</x:f>
        <x:v>87550</x:v>
      </x:c>
      <x:c r="L10" s="288">
        <x:f>'CONSOLIDADO_TOTAL RECAUDO'!L129</x:f>
        <x:v>215053.47</x:v>
      </x:c>
      <x:c r="O10" s="337"/>
      <x:c r="Q10" s="306"/>
    </x:row>
    <x:row r="11" spans="1:33" s="305" customFormat="1" ht="12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" thickBot="1" x14ac:dyDescent="0.3">
      <x:c r="B12" s="348"/>
      <x:c r="C12" s="349" t="s">
        <x:v>2</x:v>
      </x:c>
      <x:c r="D12" s="350">
        <x:f>'CONSOLIDADO_TOTAL RECAUDO'!D131</x:f>
        <x:v>398460321.09999996</x:v>
      </x:c>
      <x:c r="E12" s="350">
        <x:f>'CONSOLIDADO_TOTAL RECAUDO'!E131</x:f>
        <x:v>0</x:v>
      </x:c>
      <x:c r="F12" s="351"/>
      <x:c r="G12" s="350">
        <x:f>'CONSOLIDADO_TOTAL RECAUDO'!G131</x:f>
        <x:v>62332280</x:v>
      </x:c>
      <x:c r="H12" s="350">
        <x:f>'CONSOLIDADO_TOTAL RECAUDO'!H131</x:f>
        <x:v>536532174.63</x:v>
      </x:c>
      <x:c r="I12" s="350">
        <x:f>'CONSOLIDADO_TOTAL RECAUDO'!I131</x:f>
        <x:v>1329905.5</x:v>
      </x:c>
      <x:c r="J12" s="350">
        <x:f>'CONSOLIDADO_TOTAL RECAUDO'!J131</x:f>
        <x:v>-156747931.65000001</x:v>
      </x:c>
      <x:c r="K12" s="350">
        <x:f>'CONSOLIDADO_TOTAL RECAUDO'!K131</x:f>
        <x:v>19936594</x:v>
      </x:c>
      <x:c r="L12" s="350">
        <x:f>'CONSOLIDADO_TOTAL RECAUDO'!L131</x:f>
        <x:v>17800951.349999998</x:v>
      </x:c>
      <x:c r="M12" s="351"/>
      <x:c r="N12" s="351"/>
      <x:c r="O12" s="352"/>
      <x:c r="P12" s="329"/>
      <x:c r="Q12" s="306"/>
    </x:row>
    <x:row r="13" spans="1:33" s="1" customFormat="1" ht="11.5" x14ac:dyDescent="0.25">
      <x:c r="B13" s="2"/>
      <x:c r="C13" s="2"/>
      <x:c r="D13" s="448"/>
      <x:c r="Q13" s="4"/>
    </x:row>
    <x:row r="14" spans="1:33" s="1" customFormat="1" ht="11.5" x14ac:dyDescent="0.25">
      <x:c r="B14" s="2"/>
      <x:c r="C14" s="2"/>
      <x:c r="D14" s="448"/>
      <x:c r="Q14" s="4"/>
    </x:row>
    <x:row r="15" spans="1:33" s="1" customFormat="1" ht="11.5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" thickBot="1" x14ac:dyDescent="0.3"/>
    <x:row r="17" spans="1:17" s="1" customFormat="1" ht="11.5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5" x14ac:dyDescent="0.3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3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1.5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1.5" x14ac:dyDescent="0.25">
      <x:c r="B22" s="314">
        <x:v>2</x:v>
      </x:c>
      <x:c r="C22" s="338" t="s">
        <x:v>11</x:v>
      </x:c>
      <x:c r="D22" s="292">
        <x:f>'REMUNERACION Reciprocidad EAAB'!D126</x:f>
        <x:v>12820520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35414329.289999992</x:v>
      </x:c>
      <x:c r="I22" s="288">
        <x:f>'REMUNERACION Reciprocidad EAAB'!I126</x:f>
        <x:v>216025.77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1.5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1.5" x14ac:dyDescent="0.25">
      <x:c r="B24" s="314">
        <x:v>4</x:v>
      </x:c>
      <x:c r="C24" s="338" t="s">
        <x:v>13</x:v>
      </x:c>
      <x:c r="D24" s="292">
        <x:f>'REMUNERACION Reciprocidad EAAB'!D128</x:f>
        <x:v>10268790</x:v>
      </x:c>
      <x:c r="E24" s="288">
        <x:f>'REMUNERACION Reciprocidad EAAB'!E128</x:f>
        <x:v>0</x:v>
      </x:c>
      <x:c r="G24" s="339">
        <x:f>'REMUNERACION Reciprocidad EAAB'!G128</x:f>
        <x:v>41900</x:v>
      </x:c>
      <x:c r="H24" s="340">
        <x:f>'REMUNERACION Reciprocidad EAAB'!H128</x:f>
        <x:v>66508368.82</x:v>
      </x:c>
      <x:c r="I24" s="288">
        <x:f>'REMUNERACION Reciprocidad EAAB'!I128</x:f>
        <x:v>35954.44</x:v>
      </x:c>
      <x:c r="J24" s="288">
        <x:f>'REMUNERACION Reciprocidad EAAB'!J128</x:f>
        <x:v>-736030</x:v>
      </x:c>
      <x:c r="K24" s="288">
        <x:f>'REMUNERACION Reciprocidad EAAB'!K128</x:f>
        <x:v>694130</x:v>
      </x:c>
      <x:c r="L24" s="288">
        <x:f>'REMUNERACION Reciprocidad EAAB'!L128</x:f>
        <x:v>0</x:v>
      </x:c>
      <x:c r="O24" s="337"/>
      <x:c r="Q24" s="306"/>
    </x:row>
    <x:row r="25" spans="1:17" s="305" customFormat="1" ht="11.5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" thickBot="1" x14ac:dyDescent="0.3">
      <x:c r="B27" s="348"/>
      <x:c r="C27" s="349" t="s">
        <x:v>2</x:v>
      </x:c>
      <x:c r="D27" s="350">
        <x:f>'REMUNERACION Reciprocidad EAAB'!D131</x:f>
        <x:v>23089310</x:v>
      </x:c>
      <x:c r="E27" s="350">
        <x:f>'REMUNERACION Reciprocidad EAAB'!E131</x:f>
        <x:v>0</x:v>
      </x:c>
      <x:c r="F27" s="351"/>
      <x:c r="G27" s="350">
        <x:f>'REMUNERACION Reciprocidad EAAB'!G131</x:f>
        <x:v>41900</x:v>
      </x:c>
      <x:c r="H27" s="350">
        <x:f>'REMUNERACION Reciprocidad EAAB'!H131</x:f>
        <x:v>101922698.10999998</x:v>
      </x:c>
      <x:c r="I27" s="350">
        <x:f>'REMUNERACION Reciprocidad EAAB'!I131</x:f>
        <x:v>251980.21</x:v>
      </x:c>
      <x:c r="J27" s="350">
        <x:f>'REMUNERACION Reciprocidad EAAB'!J131</x:f>
        <x:v>-736030</x:v>
      </x:c>
      <x:c r="K27" s="350">
        <x:f>'REMUNERACION Reciprocidad EAAB'!K131</x:f>
        <x:v>694130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1.5" x14ac:dyDescent="0.25">
      <x:c r="B28" s="2"/>
      <x:c r="C28" s="2"/>
      <x:c r="D28" s="448"/>
      <x:c r="Q28" s="4"/>
    </x:row>
    <x:row r="29" spans="1:17" s="1" customFormat="1" ht="11.5" x14ac:dyDescent="0.25">
      <x:c r="B29" s="2"/>
      <x:c r="C29" s="2"/>
      <x:c r="D29" s="448"/>
      <x:c r="Q29" s="4"/>
    </x:row>
    <x:row r="30" spans="1:17" s="1" customFormat="1" ht="11.5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5" x14ac:dyDescent="0.3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3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1.5" x14ac:dyDescent="0.25">
      <x:c r="B35" s="334">
        <x:v>1</x:v>
      </x:c>
      <x:c r="C35" s="335" t="s">
        <x:v>10</x:v>
      </x:c>
      <x:c r="D35" s="308">
        <x:f>REMUNERACION_ENEL!D125</x:f>
        <x:v>83572548.25</x:v>
      </x:c>
      <x:c r="E35" s="309">
        <x:f>REMUNERACION_ENEL!E125</x:f>
        <x:v>0</x:v>
      </x:c>
      <x:c r="G35" s="336">
        <x:f>REMUNERACION_ENEL!G125</x:f>
        <x:v>49580</x:v>
      </x:c>
      <x:c r="H35" s="310">
        <x:f>REMUNERACION_ENEL!H125</x:f>
        <x:v>97091142.519999996</x:v>
      </x:c>
      <x:c r="I35" s="309">
        <x:f>REMUNERACION_ENEL!I125</x:f>
        <x:v>973693.46</x:v>
      </x:c>
      <x:c r="J35" s="309">
        <x:f>REMUNERACION_ENEL!J125</x:f>
        <x:v>-15533961.699999999</x:v>
      </x:c>
      <x:c r="K35" s="309">
        <x:f>REMUNERACION_ENEL!K125</x:f>
        <x:v>0</x:v>
      </x:c>
      <x:c r="L35" s="309">
        <x:f>REMUNERACION_ENEL!L125</x:f>
        <x:v>16889.3</x:v>
      </x:c>
      <x:c r="O35" s="337"/>
      <x:c r="Q35" s="306"/>
    </x:row>
    <x:row r="36" spans="1:17" s="305" customFormat="1" ht="11.5" x14ac:dyDescent="0.25">
      <x:c r="B36" s="314">
        <x:v>2</x:v>
      </x:c>
      <x:c r="C36" s="338" t="s">
        <x:v>11</x:v>
      </x:c>
      <x:c r="D36" s="292">
        <x:f>REMUNERACION_ENEL!D126</x:f>
        <x:v>44281124</x:v>
      </x:c>
      <x:c r="E36" s="288">
        <x:f>REMUNERACION_ENEL!E126</x:f>
        <x:v>0</x:v>
      </x:c>
      <x:c r="G36" s="339">
        <x:f>REMUNERACION_ENEL!G126</x:f>
        <x:v>56078860</x:v>
      </x:c>
      <x:c r="H36" s="340">
        <x:f>REMUNERACION_ENEL!H126</x:f>
        <x:v>55676152.700000003</x:v>
      </x:c>
      <x:c r="I36" s="288">
        <x:f>REMUNERACION_ENEL!I126</x:f>
        <x:v>0</x:v>
      </x:c>
      <x:c r="J36" s="288">
        <x:f>REMUNERACION_ENEL!J126</x:f>
        <x:v>-70779009</x:v>
      </x:c>
      <x:c r="K36" s="288">
        <x:f>REMUNERACION_ENEL!K126</x:f>
        <x:v>5227240</x:v>
      </x:c>
      <x:c r="L36" s="288">
        <x:f>REMUNERACION_ENEL!L126</x:f>
        <x:v>0</x:v>
      </x:c>
      <x:c r="O36" s="337"/>
      <x:c r="Q36" s="306"/>
    </x:row>
    <x:row r="37" spans="1:17" s="305" customFormat="1" ht="11.5" x14ac:dyDescent="0.25">
      <x:c r="B37" s="314">
        <x:v>3</x:v>
      </x:c>
      <x:c r="C37" s="338" t="s">
        <x:v>12</x:v>
      </x:c>
      <x:c r="D37" s="292">
        <x:f>REMUNERACION_ENEL!D127</x:f>
        <x:v>44039530</x:v>
      </x:c>
      <x:c r="E37" s="288">
        <x:f>REMUNERACION_ENEL!E127</x:f>
        <x:v>0</x:v>
      </x:c>
      <x:c r="G37" s="339">
        <x:f>REMUNERACION_ENEL!G127</x:f>
        <x:v>1307680</x:v>
      </x:c>
      <x:c r="H37" s="340">
        <x:f>REMUNERACION_ENEL!H127</x:f>
        <x:v>10055662.040000001</x:v>
      </x:c>
      <x:c r="I37" s="288">
        <x:f>REMUNERACION_ENEL!I127</x:f>
        <x:v>104231.83</x:v>
      </x:c>
      <x:c r="J37" s="288">
        <x:f>REMUNERACION_ENEL!J127</x:f>
        <x:v>-32004320</x:v>
      </x:c>
      <x:c r="K37" s="288">
        <x:f>REMUNERACION_ENEL!K127</x:f>
        <x:v>0</x:v>
      </x:c>
      <x:c r="L37" s="288">
        <x:f>REMUNERACION_ENEL!L127</x:f>
        <x:v>79850</x:v>
      </x:c>
      <x:c r="O37" s="337"/>
      <x:c r="Q37" s="306"/>
    </x:row>
    <x:row r="38" spans="1:17" s="305" customFormat="1" ht="11.5" x14ac:dyDescent="0.25">
      <x:c r="B38" s="314">
        <x:v>4</x:v>
      </x:c>
      <x:c r="C38" s="338" t="s">
        <x:v>13</x:v>
      </x:c>
      <x:c r="D38" s="292">
        <x:f>REMUNERACION_ENEL!D128</x:f>
        <x:v>48826052</x:v>
      </x:c>
      <x:c r="E38" s="288">
        <x:f>REMUNERACION_ENEL!E128</x:f>
        <x:v>0</x:v>
      </x:c>
      <x:c r="G38" s="339">
        <x:f>REMUNERACION_ENEL!G128</x:f>
        <x:v>3610007</x:v>
      </x:c>
      <x:c r="H38" s="340">
        <x:f>REMUNERACION_ENEL!H128</x:f>
        <x:v>60774931.109999992</x:v>
      </x:c>
      <x:c r="I38" s="288">
        <x:f>REMUNERACION_ENEL!I128</x:f>
        <x:v>0</x:v>
      </x:c>
      <x:c r="J38" s="288">
        <x:f>REMUNERACION_ENEL!J128</x:f>
        <x:v>-29768645.890000001</x:v>
      </x:c>
      <x:c r="K38" s="288">
        <x:f>REMUNERACION_ENEL!K128</x:f>
        <x:v>11634964</x:v>
      </x:c>
      <x:c r="L38" s="288">
        <x:f>REMUNERACION_ENEL!L128</x:f>
        <x:v>386384.11</x:v>
      </x:c>
      <x:c r="O38" s="337"/>
      <x:c r="Q38" s="306"/>
    </x:row>
    <x:row r="39" spans="1:17" s="305" customFormat="1" ht="11.5" x14ac:dyDescent="0.25">
      <x:c r="B39" s="341">
        <x:v>5</x:v>
      </x:c>
      <x:c r="C39" s="342" t="s">
        <x:v>14</x:v>
      </x:c>
      <x:c r="D39" s="292">
        <x:f>REMUNERACION_ENEL!D129</x:f>
        <x:v>15997915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23423861.739999998</x:v>
      </x:c>
      <x:c r="I39" s="288">
        <x:f>REMUNERACION_ENEL!I129</x:f>
        <x:v>0</x:v>
      </x:c>
      <x:c r="J39" s="288">
        <x:f>REMUNERACION_ENEL!J129</x:f>
        <x:v>-2065600</x:v>
      </x:c>
      <x:c r="K39" s="288">
        <x:f>REMUNERACION_ENEL!K129</x:f>
        <x:v>0</x:v>
      </x:c>
      <x:c r="L39" s="288">
        <x:f>REMUNERACION_ENEL!L129</x:f>
        <x:v>49280</x:v>
      </x:c>
      <x:c r="O39" s="337"/>
      <x:c r="Q39" s="306"/>
    </x:row>
    <x:row r="40" spans="1:17" s="305" customFormat="1" ht="12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" thickBot="1" x14ac:dyDescent="0.3">
      <x:c r="B41" s="348"/>
      <x:c r="C41" s="349" t="s">
        <x:v>2</x:v>
      </x:c>
      <x:c r="D41" s="350">
        <x:f>REMUNERACION_ENEL!D131</x:f>
        <x:v>236717169.25</x:v>
      </x:c>
      <x:c r="E41" s="350">
        <x:f>REMUNERACION_ENEL!E131</x:f>
        <x:v>0</x:v>
      </x:c>
      <x:c r="F41" s="351"/>
      <x:c r="G41" s="350">
        <x:f>REMUNERACION_ENEL!G131</x:f>
        <x:v>61046127</x:v>
      </x:c>
      <x:c r="H41" s="350">
        <x:f>REMUNERACION_ENEL!H131</x:f>
        <x:v>247021750.10999998</x:v>
      </x:c>
      <x:c r="I41" s="350">
        <x:f>REMUNERACION_ENEL!I131</x:f>
        <x:v>1077925.29</x:v>
      </x:c>
      <x:c r="J41" s="350">
        <x:f>REMUNERACION_ENEL!J131</x:f>
        <x:v>-150151536.59</x:v>
      </x:c>
      <x:c r="K41" s="350">
        <x:f>REMUNERACION_ENEL!K131</x:f>
        <x:v>16862204</x:v>
      </x:c>
      <x:c r="L41" s="350">
        <x:f>REMUNERACION_ENEL!L131</x:f>
        <x:v>532403.40999999992</x:v>
      </x:c>
      <x:c r="M41" s="351"/>
      <x:c r="N41" s="351"/>
      <x:c r="O41" s="352"/>
      <x:c r="P41" s="329"/>
      <x:c r="Q41" s="306"/>
    </x:row>
    <x:row r="42" spans="1:17" s="1" customFormat="1" ht="11.5" x14ac:dyDescent="0.25">
      <x:c r="B42" s="2"/>
      <x:c r="C42" s="2"/>
      <x:c r="D42" s="448"/>
      <x:c r="Q42" s="4"/>
    </x:row>
    <x:row r="43" spans="1:17" s="1" customFormat="1" ht="11.5" x14ac:dyDescent="0.25">
      <x:c r="B43" s="2"/>
      <x:c r="C43" s="2"/>
      <x:c r="D43" s="448"/>
      <x:c r="Q43" s="4"/>
    </x:row>
    <x:row r="44" spans="1:17" s="1" customFormat="1" ht="11.5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1.5" x14ac:dyDescent="0.25">
      <x:c r="B45" s="2"/>
      <x:c r="C45" s="2"/>
      <x:c r="D45" s="448"/>
      <x:c r="Q45" s="4"/>
    </x:row>
    <x:row r="46" spans="1:17" s="1" customFormat="1" ht="15.5" x14ac:dyDescent="0.35">
      <x:c r="B46" s="8"/>
      <x:c r="F46" s="491" t="s">
        <x:v>333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3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1.5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1.5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1.5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1.5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1.5" x14ac:dyDescent="0.25">
      <x:c r="B53" s="341">
        <x:v>5</x:v>
      </x:c>
      <x:c r="C53" s="342" t="s">
        <x:v>14</x:v>
      </x:c>
      <x:c r="D53" s="292">
        <x:f>REMUNERACION_ENERBIT!D129</x:f>
        <x:v>1781103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6242402.4799999995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" thickBot="1" x14ac:dyDescent="0.3">
      <x:c r="B55" s="348"/>
      <x:c r="C55" s="349" t="s">
        <x:v>2</x:v>
      </x:c>
      <x:c r="D55" s="350">
        <x:f>REMUNERACION_ENERBIT!D131</x:f>
        <x:v>1781103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6242402.4799999995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1.5" x14ac:dyDescent="0.25">
      <x:c r="B56" s="2"/>
      <x:c r="C56" s="2"/>
      <x:c r="D56" s="448"/>
      <x:c r="Q56" s="4"/>
    </x:row>
    <x:row r="57" spans="1:17" s="1" customFormat="1" ht="11.5" x14ac:dyDescent="0.25">
      <x:c r="B57" s="2"/>
      <x:c r="C57" s="2"/>
      <x:c r="D57" s="448"/>
      <x:c r="Q57" s="4"/>
    </x:row>
    <x:row r="58" spans="1:17" s="1" customFormat="1" ht="11.5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5" x14ac:dyDescent="0.3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3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1.5" x14ac:dyDescent="0.25">
      <x:c r="B63" s="334">
        <x:v>1</x:v>
      </x:c>
      <x:c r="C63" s="335" t="s">
        <x:v>10</x:v>
      </x:c>
      <x:c r="D63" s="308">
        <x:f>'REMUNERACION_OCCIDENTE_ Directa'!D125</x:f>
        <x:v>17358483.629999999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28857410.600000001</x:v>
      </x:c>
      <x:c r="I63" s="309">
        <x:f>'REMUNERACION_OCCIDENTE_ Directa'!I125</x:f>
        <x:v>0</x:v>
      </x:c>
      <x:c r="J63" s="309">
        <x:f>'REMUNERACION_OCCIDENTE_ Directa'!J125</x:f>
        <x:v>-1002751.39</x:v>
      </x:c>
      <x:c r="K63" s="309">
        <x:f>'REMUNERACION_OCCIDENTE_ Directa'!K125</x:f>
        <x:v>82340</x:v>
      </x:c>
      <x:c r="L63" s="309">
        <x:f>'REMUNERACION_OCCIDENTE_ Directa'!L125</x:f>
        <x:v>165648.60999999999</x:v>
      </x:c>
      <x:c r="O63" s="337"/>
      <x:c r="Q63" s="306"/>
    </x:row>
    <x:row r="64" spans="1:17" s="305" customFormat="1" ht="11.5" x14ac:dyDescent="0.25">
      <x:c r="B64" s="314">
        <x:v>2</x:v>
      </x:c>
      <x:c r="C64" s="338" t="s">
        <x:v>11</x:v>
      </x:c>
      <x:c r="D64" s="292">
        <x:f>'REMUNERACION_OCCIDENTE_ Directa'!D126</x:f>
        <x:v>79433109</x:v>
      </x:c>
      <x:c r="E64" s="288">
        <x:f>'REMUNERACION_OCCIDENTE_ Directa'!E126</x:f>
        <x:v>0</x:v>
      </x:c>
      <x:c r="G64" s="339">
        <x:f>'REMUNERACION_OCCIDENTE_ Directa'!G126</x:f>
        <x:v>111210</x:v>
      </x:c>
      <x:c r="H64" s="340">
        <x:f>'REMUNERACION_OCCIDENTE_ Directa'!H126</x:f>
        <x:v>87448610.169999987</x:v>
      </x:c>
      <x:c r="I64" s="288">
        <x:f>'REMUNERACION_OCCIDENTE_ Directa'!I126</x:f>
        <x:v>0</x:v>
      </x:c>
      <x:c r="J64" s="288">
        <x:f>'REMUNERACION_OCCIDENTE_ Directa'!J126</x:f>
        <x:v>-290750</x:v>
      </x:c>
      <x:c r="K64" s="288">
        <x:f>'REMUNERACION_OCCIDENTE_ Directa'!K126</x:f>
        <x:v>1370</x:v>
      </x:c>
      <x:c r="L64" s="288">
        <x:f>'REMUNERACION_OCCIDENTE_ Directa'!L126</x:f>
        <x:v>0</x:v>
      </x:c>
      <x:c r="O64" s="337"/>
      <x:c r="Q64" s="306"/>
    </x:row>
    <x:row r="65" spans="1:17" s="305" customFormat="1" ht="11.5" x14ac:dyDescent="0.25">
      <x:c r="B65" s="314">
        <x:v>3</x:v>
      </x:c>
      <x:c r="C65" s="338" t="s">
        <x:v>12</x:v>
      </x:c>
      <x:c r="D65" s="292">
        <x:f>'REMUNERACION_OCCIDENTE_ Directa'!D127</x:f>
        <x:v>14844502.92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16553408.619999999</x:v>
      </x:c>
      <x:c r="I65" s="288">
        <x:f>'REMUNERACION_OCCIDENTE_ Directa'!I127</x:f>
        <x:v>0</x:v>
      </x:c>
      <x:c r="J65" s="288">
        <x:f>'REMUNERACION_OCCIDENTE_ Directa'!J127</x:f>
        <x:v>-306659.8</x:v>
      </x:c>
      <x:c r="K65" s="288">
        <x:f>'REMUNERACION_OCCIDENTE_ Directa'!K127</x:f>
        <x:v>0</x:v>
      </x:c>
      <x:c r="L65" s="288">
        <x:f>'REMUNERACION_OCCIDENTE_ Directa'!L127</x:f>
        <x:v>2343750.2000000002</x:v>
      </x:c>
      <x:c r="O65" s="337"/>
      <x:c r="Q65" s="306"/>
    </x:row>
    <x:row r="66" spans="1:17" s="305" customFormat="1" ht="11.5" x14ac:dyDescent="0.25">
      <x:c r="B66" s="314">
        <x:v>4</x:v>
      </x:c>
      <x:c r="C66" s="338" t="s">
        <x:v>13</x:v>
      </x:c>
      <x:c r="D66" s="292">
        <x:f>'REMUNERACION_OCCIDENTE_ Directa'!D128</x:f>
        <x:v>14631795.34</x:v>
      </x:c>
      <x:c r="E66" s="288">
        <x:f>'REMUNERACION_OCCIDENTE_ Directa'!E128</x:f>
        <x:v>0</x:v>
      </x:c>
      <x:c r="G66" s="339">
        <x:f>'REMUNERACION_OCCIDENTE_ Directa'!G128</x:f>
        <x:v>691194</x:v>
      </x:c>
      <x:c r="H66" s="340">
        <x:f>'REMUNERACION_OCCIDENTE_ Directa'!H128</x:f>
        <x:v>34178649.799999997</x:v>
      </x:c>
      <x:c r="I66" s="288">
        <x:f>'REMUNERACION_OCCIDENTE_ Directa'!I128</x:f>
        <x:v>0</x:v>
      </x:c>
      <x:c r="J66" s="288">
        <x:f>'REMUNERACION_OCCIDENTE_ Directa'!J128</x:f>
        <x:v>-3233428.34</x:v>
      </x:c>
      <x:c r="K66" s="288">
        <x:f>'REMUNERACION_OCCIDENTE_ Directa'!K128</x:f>
        <x:v>2209000</x:v>
      </x:c>
      <x:c r="L66" s="288">
        <x:f>'REMUNERACION_OCCIDENTE_ Directa'!L128</x:f>
        <x:v>14593375.66</x:v>
      </x:c>
      <x:c r="O66" s="337"/>
      <x:c r="Q66" s="306"/>
    </x:row>
    <x:row r="67" spans="1:17" s="305" customFormat="1" ht="11.5" x14ac:dyDescent="0.25">
      <x:c r="B67" s="341">
        <x:v>5</x:v>
      </x:c>
      <x:c r="C67" s="342" t="s">
        <x:v>14</x:v>
      </x:c>
      <x:c r="D67" s="292">
        <x:f>'REMUNERACION_OCCIDENTE_ Directa'!D129</x:f>
        <x:v>10604847.960000001</x:v>
      </x:c>
      <x:c r="E67" s="344">
        <x:f>'REMUNERACION_OCCIDENTE_ Directa'!E129</x:f>
        <x:v>0</x:v>
      </x:c>
      <x:c r="G67" s="339">
        <x:f>'REMUNERACION_OCCIDENTE_ Directa'!G129</x:f>
        <x:v>441849</x:v>
      </x:c>
      <x:c r="H67" s="340">
        <x:f>'REMUNERACION_OCCIDENTE_ Directa'!H129</x:f>
        <x:v>14307244.74</x:v>
      </x:c>
      <x:c r="I67" s="288">
        <x:f>'REMUNERACION_OCCIDENTE_ Directa'!I129</x:f>
        <x:v>0</x:v>
      </x:c>
      <x:c r="J67" s="288">
        <x:f>'REMUNERACION_OCCIDENTE_ Directa'!J129</x:f>
        <x:v>-1026775.53</x:v>
      </x:c>
      <x:c r="K67" s="288">
        <x:f>'REMUNERACION_OCCIDENTE_ Directa'!K129</x:f>
        <x:v>87550</x:v>
      </x:c>
      <x:c r="L67" s="288">
        <x:f>'REMUNERACION_OCCIDENTE_ Directa'!L129</x:f>
        <x:v>165773.47</x:v>
      </x:c>
      <x:c r="O67" s="337"/>
      <x:c r="Q67" s="306"/>
    </x:row>
    <x:row r="68" spans="1:17" s="305" customFormat="1" ht="12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" thickBot="1" x14ac:dyDescent="0.3">
      <x:c r="B69" s="348"/>
      <x:c r="C69" s="349" t="s">
        <x:v>2</x:v>
      </x:c>
      <x:c r="D69" s="350">
        <x:f>'REMUNERACION_OCCIDENTE_ Directa'!D131</x:f>
        <x:v>136872738.84999999</x:v>
      </x:c>
      <x:c r="E69" s="350">
        <x:f>'REMUNERACION_OCCIDENTE_ Directa'!E131</x:f>
        <x:v>0</x:v>
      </x:c>
      <x:c r="F69" s="351"/>
      <x:c r="G69" s="350">
        <x:f>'REMUNERACION_OCCIDENTE_ Directa'!G131</x:f>
        <x:v>1244253</x:v>
      </x:c>
      <x:c r="H69" s="350">
        <x:f>'REMUNERACION_OCCIDENTE_ Directa'!H131</x:f>
        <x:v>181345323.93000001</x:v>
      </x:c>
      <x:c r="I69" s="350">
        <x:f>'REMUNERACION_OCCIDENTE_ Directa'!I131</x:f>
        <x:v>0</x:v>
      </x:c>
      <x:c r="J69" s="350">
        <x:f>'REMUNERACION_OCCIDENTE_ Directa'!J131</x:f>
        <x:v>-5860365.0600000005</x:v>
      </x:c>
      <x:c r="K69" s="350">
        <x:f>'REMUNERACION_OCCIDENTE_ Directa'!K131</x:f>
        <x:v>2380260</x:v>
      </x:c>
      <x:c r="L69" s="350">
        <x:f>'REMUNERACION_OCCIDENTE_ Directa'!L131</x:f>
        <x:v>17268547.939999998</x:v>
      </x:c>
      <x:c r="M69" s="351"/>
      <x:c r="N69" s="351"/>
      <x:c r="O69" s="352"/>
      <x:c r="P69" s="329"/>
      <x:c r="Q69" s="306"/>
    </x:row>
    <x:row r="70" spans="1:17" s="1" customFormat="1" ht="11.5" x14ac:dyDescent="0.25">
      <x:c r="B70" s="2"/>
      <x:c r="C70" s="2"/>
      <x:c r="D70" s="448"/>
      <x:c r="Q70" s="4"/>
    </x:row>
    <x:row r="71" spans="1:17" s="1" customFormat="1" ht="11.5" x14ac:dyDescent="0.25">
      <x:c r="B71" s="2"/>
      <x:c r="C71" s="2"/>
      <x:c r="D71" s="448"/>
      <x:c r="Q71" s="4"/>
    </x:row>
    <x:row r="72" spans="1:17" s="1" customFormat="1" ht="11.5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5" x14ac:dyDescent="0.3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3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1.5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1.5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1.5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1.5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1.5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1.5" x14ac:dyDescent="0.25">
      <x:c r="B84" s="2"/>
      <x:c r="C84" s="2"/>
      <x:c r="D84" s="448"/>
      <x:c r="Q84" s="4"/>
    </x:row>
    <x:row r="85" spans="1:17" s="1" customFormat="1" ht="11.5" x14ac:dyDescent="0.25">
      <x:c r="B85" s="2"/>
      <x:c r="C85" s="2"/>
      <x:c r="D85" s="448"/>
      <x:c r="Q85" s="4"/>
    </x:row>
    <x:row r="86" spans="1:17" s="1" customFormat="1" ht="11.5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5" x14ac:dyDescent="0.35">
      <x:c r="F88" s="41" t="s">
        <x:v>191</x:v>
      </x:c>
    </x:row>
    <x:row r="89" spans="1:17" s="1" customFormat="1" ht="15.5" x14ac:dyDescent="0.3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3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1.5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1.5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1.5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1.5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1.5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1.5" x14ac:dyDescent="0.25">
      <x:c r="B99" s="2"/>
      <x:c r="C99" s="2"/>
      <x:c r="D99" s="448"/>
      <x:c r="Q99" s="4"/>
    </x:row>
    <x:row r="100" spans="1:17" s="1" customFormat="1" ht="11.5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1.5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F10" sqref="F10"/>
    </x:sheetView>
  </x:sheetViews>
  <x:sheetFormatPr baseColWidth="10" defaultRowHeight="12.5" x14ac:dyDescent="0.25"/>
  <x:cols>
    <x:col min="1" max="1" width="4.81640625" customWidth="1"/>
    <x:col min="2" max="2" width="10" customWidth="1"/>
    <x:col min="3" max="3" width="20.453125" bestFit="1" customWidth="1"/>
    <x:col min="4" max="4" width="17.1796875" customWidth="1"/>
    <x:col min="5" max="5" width="16.1796875" customWidth="1"/>
    <x:col min="6" max="6" width="21" bestFit="1" customWidth="1"/>
  </x:cols>
  <x:sheetData>
    <x:row r="1" spans="2:9" ht="13" thickBot="1" x14ac:dyDescent="0.3"/>
    <x:row r="2" spans="2:9" ht="15" thickBot="1" x14ac:dyDescent="0.4">
      <x:c r="C2" s="526">
        <x:v>2026072</x:v>
      </x:c>
      <x:c r="D2" s="527" t="s">
        <x:v>225</x:v>
      </x:c>
      <x:c r="E2" s="527" t="s">
        <x:v>202</x:v>
      </x:c>
      <x:c r="F2" s="143"/>
      <x:c r="G2" s="143"/>
      <x:c r="H2" s="143"/>
      <x:c r="I2" s="143"/>
    </x:row>
    <x:row r="3" spans="2:9" ht="14.5" x14ac:dyDescent="0.3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5" x14ac:dyDescent="0.3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5" x14ac:dyDescent="0.3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4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5" x14ac:dyDescent="0.35">
      <x:c r="B7" t="s">
        <x:v>1</x:v>
      </x:c>
      <x:c r="C7" s="545" t="s">
        <x:v>205</x:v>
      </x:c>
      <x:c r="D7" s="546">
        <x:v>68144618192</x:v>
      </x:c>
      <x:c r="E7" s="533">
        <x:v>68213380915</x:v>
      </x:c>
      <x:c r="F7" s="534" t="b">
        <x:v>1</x:v>
      </x:c>
      <x:c r="G7" s="143"/>
      <x:c r="H7" s="143"/>
      <x:c r="I7" s="143"/>
    </x:row>
    <x:row r="8" spans="2:9" ht="14.5" x14ac:dyDescent="0.35">
      <x:c r="C8" s="545" t="s">
        <x:v>328</x:v>
      </x:c>
      <x:c r="D8" s="546">
        <x:v>28645323</x:v>
      </x:c>
      <x:c r="E8" s="759"/>
      <x:c r="F8" s="534"/>
      <x:c r="G8" s="143"/>
      <x:c r="H8" s="143"/>
      <x:c r="I8" s="143"/>
    </x:row>
    <x:row r="9" spans="2:9" ht="14.5" x14ac:dyDescent="0.35">
      <x:c r="B9" t="s">
        <x:v>1</x:v>
      </x:c>
      <x:c r="C9" s="545" t="s">
        <x:v>206</x:v>
      </x:c>
      <x:c r="D9" s="546">
        <x:v>40117400</x:v>
      </x:c>
      <x:c r="E9" s="531"/>
      <x:c r="F9" s="532"/>
      <x:c r="G9" s="143"/>
      <x:c r="H9" s="143"/>
      <x:c r="I9" s="143"/>
    </x:row>
    <x:row r="10" spans="2:9" ht="15" thickBot="1" x14ac:dyDescent="0.4">
      <x:c r="C10" s="547" t="s">
        <x:v>207</x:v>
      </x:c>
      <x:c r="D10" s="535">
        <x:v>4284569052</x:v>
      </x:c>
      <x:c r="E10" s="535">
        <x:v>4284569052</x:v>
      </x:c>
      <x:c r="F10" s="536"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2024-12-17T18:14:41Z</cp:lastPrinted>
  <dcterms:created xsi:type="dcterms:W3CDTF">2003-01-13T14:55:35Z</dcterms:created>
  <dcterms:modified xsi:type="dcterms:W3CDTF">2026-08-04T15:58:38Z</dcterms:modified>
</cp:coreProperties>
</file>