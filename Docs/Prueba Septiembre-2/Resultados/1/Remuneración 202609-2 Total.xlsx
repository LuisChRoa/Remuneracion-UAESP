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216623C6-45D3-4D08-B6DF-D5ADE06F1830}" xr6:coauthVersionLast="46" xr6:coauthVersionMax="47" xr10:uidLastSave="{00000000-0000-0000-0000-000000000000}"/>
  <x:bookViews>
    <x:workbookView xWindow="-120" yWindow="-120" windowWidth="20730" windowHeight="11160" tabRatio="780" firstSheet="15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9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92" sheetId="93" r:id="rId36"/>
    <x:sheet name="DetValiRetri202609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R1'!$A$5:$X$53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<x:sst xmlns:x="http://schemas.openxmlformats.org/spreadsheetml/2006/main" count="7999" uniqueCount="345">
  <x:si>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</x:si>
  <x:si>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</x:si>
  <x:si>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</x:si>
  <x:si>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</x:si>
  <x:si>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</x:si>
  <x:si>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</x:si>
  <x:si>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</x:si>
  <x:si>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</x:si>
  <x:si>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</x:si>
  <x:si>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</x:si>
  <x:si>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</x:si>
  <x:si>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</x:si>
  <x:si>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</x:si>
  <x:si>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</x:si>
  <x:si>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</x:si>
  <x:si>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</x:si>
  <x:si>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</x:si>
  <x:si>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</x:si>
  <x:si>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</x:si>
  <x:si>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</x:si>
  <x:si>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</x:si>
  <x:si>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</x:si>
  <x:si>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</x:si>
  <x:si>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</x:si>
  <x:si>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</x:si>
  <x:si>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</x:si>
  <x:si>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</x:si>
  <x:si>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</x:si>
  <x:si>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</x:si>
  <x:si>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</x:si>
  <x:si>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</x:si>
  <x:si>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</x:si>
  <x:si>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</x:si>
  <x:si>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</x:si>
  <x:si>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</x:si>
  <x:si>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</x:si>
  <x:si>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</x:si>
  <x:si>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</x:si>
  <x:si>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</x:si>
  <x:si>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</x:si>
  <x:si>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</x:si>
  <x:si>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</x:si>
  <x:si>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</x:si>
  <x:si>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</x:si>
  <x:si>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</x:si>
  <x:si>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</x:si>
  <x:si>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</x:si>
  <x:si>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</x:si>
  <x:si>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</x:si>
  <x:si>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</x:si>
  <x:si>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</x:si>
  <x:si>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</x:si>
  <x:si>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</x:si>
  <x:si>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</x:si>
  <x:si>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</x:si>
  <x:si>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</x:si>
  <x:si>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</x:si>
  <x:si>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</x:si>
  <x:si>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</x:si>
  <x:si>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</x:si>
  <x:si>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</x:si>
  <x:si>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</x:si>
  <x:si>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</x:si>
  <x:si>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</x:si>
  <x:si>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</x:si>
  <x:si>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</x:si>
  <x:si>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</x:si>
  <x:si>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</x:si>
  <x:si>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</x:si>
  <x:si>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</x:si>
  <x:si>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</x:si>
  <x:si>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</x:si>
  <x:si>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</x:si>
  <x:si>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</x:si>
  <x:si>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</x:si>
  <x:si>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</x:si>
  <x:si>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</x:si>
  <x:si>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</x:si>
  <x:si>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</x:si>
  <x:si>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</x:si>
  <x:si>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</x:si>
  <x:si>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</x:si>
  <x:si>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</x:si>
  <x:si>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</x:si>
  <x:si>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</x:si>
  <x:si>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</x:si>
  <x:si>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</x:si>
  <x:si>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</x:si>
  <x:si>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</x:si>
  <x:si>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</x:si>
  <x:si>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</x:si>
  <x:si>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</x:si>
  <x:si>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</x:si>
  <x:si>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</x:si>
  <x:si>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</x:si>
  <x:si>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</x:si>
  <x:si>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</x:si>
  <x:si>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</x:si>
  <x:si>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</x:si>
  <x:si>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</x:si>
  <x:si>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</x:si>
  <x:si>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</x:si>
  <x:si>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</x:si>
  <x:si>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</x:si>
  <x:si>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</x:si>
  <x:si>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</x:si>
  <x:si>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</x:si>
  <x:si>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</x:si>
  <x:si>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</x:si>
  <x:si>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</x:si>
  <x:si>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</x:si>
  <x:si>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</x:si>
  <x:si>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</x:si>
  <x:si>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</x:si>
  <x:si>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</x:si>
  <x:si>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</x:si>
  <x:si>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</x:si>
  <x:si>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</x:si>
  <x:si>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</x:si>
  <x:si>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</x:si>
  <x:si>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</x:si>
  <x:si>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</x:si>
  <x:si>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</x:si>
  <x:si>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</x:si>
  <x:si>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</x:si>
  <x:si>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</x:si>
  <x:si>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</x:si>
  <x:si>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</x:si>
  <x:si>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</x:si>
  <x:si>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</x:si>
  <x:si>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</x:si>
  <x:si>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</x:si>
  <x:si>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</x:si>
  <x:si>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</x:si>
  <x:si>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</x:si>
  <x:si>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</x:si>
  <x:si>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</x:si>
  <x:si>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</x:si>
  <x:si>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</x:si>
  <x:si>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</x:si>
  <x:si>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</x:si>
  <x:si>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</x:si>
  <x:si>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</x:si>
  <x:si>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</x:si>
  <x:si>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</x:si>
  <x:si>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</x:si>
  <x:si>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</x:si>
  <x:si>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</x:si>
  <x:si>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</x:si>
  <x:si>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</x:si>
  <x:si>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</x:si>
  <x:si>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</x:si>
  <x:si>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</x:si>
  <x:si>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</x:si>
  <x:si>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</x:si>
  <x:si>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</x:si>
  <x:si>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</x:si>
  <x:si>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</x:si>
  <x:si>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</x:si>
  <x:si>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</x:si>
  <x:si>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</x:si>
  <x:si>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</x:si>
  <x:si>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</x:si>
  <x:si>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</x:si>
  <x:si>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</x:si>
  <x:si>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</x:si>
  <x:si>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</x:si>
  <x:si>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</x:si>
  <x:si>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</x:si>
  <x:si>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</x:si>
  <x:si>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</x:si>
  <x:si>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</x:si>
  <x:si>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</x:si>
  <x:si>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</x:si>
  <x:si>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</x:si>
  <x:si>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</x:si>
  <x:si>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</x:si>
  <x:si>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</x:si>
  <x:si>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</x:si>
  <x:si>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</x:si>
  <x:si>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</x:si>
  <x:si>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</x:si>
  <x:si>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</x:si>
  <x:si>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</x:si>
  <x:si>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</x:si>
  <x:si>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</x:si>
  <x:si>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</x:si>
  <x:si>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</x:si>
  <x:si>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</x:si>
  <x:si>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</x:si>
  <x:si>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</x:si>
  <x:si>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</x:si>
  <x:si>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</x:si>
  <x:si>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</x:si>
  <x:si>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</x:si>
  <x:si>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</x:si>
  <x:si>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</x:si>
  <x:si>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</x:si>
  <x:si>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</x:si>
  <x:si>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</x:si>
  <x:si>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</x:si>
  <x:si>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</x:si>
  <x:si>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</x:si>
  <x:si>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</x:si>
  <x:si>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</x:si>
  <x:si>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</x:si>
  <x:si>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</x:si>
  <x:si>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</x:si>
  <x:si>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</x:si>
  <x:si>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</x:si>
  <x:si>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</x:si>
  <x:si>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</x:si>
  <x:si>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</x:si>
  <x:si>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</x:si>
  <x:si>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</x:si>
  <x:si>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</x:si>
  <x:si>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</x:si>
  <x:si>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</x:si>
  <x:si>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</x:si>
  <x:si>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</x:si>
  <x:si>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</x:si>
  <x:si>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</x:si>
  <x:si>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</x:si>
  <x:si>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</x:si>
  <x:si>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</x:si>
  <x:si>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</x:si>
  <x:si>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</x:si>
  <x:si>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</x:si>
  <x:si>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</x:si>
  <x:si>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</x:si>
  <x:si>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</x:si>
  <x:si>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</x:si>
  <x:si>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</x:si>
  <x:si>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</x:si>
  <x:si>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</x:si>
  <x:si>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</x:si>
  <x:si>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</x:si>
  <x:si>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</x:si>
  <x:si>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</x:si>
  <x:si>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</x:si>
  <x:si>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</x:si>
  <x:si>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</x:si>
  <x:si>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</x:si>
  <x:si>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</x:si>
  <x:si>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</x:si>
  <x:si>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</x:si>
  <x:si>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</x:si>
  <x:si>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</x:si>
  <x:si>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</x:si>
  <x:si>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</x:si>
  <x:si>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</x:si>
  <x:si>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</x:si>
  <x:si>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</x:si>
  <x:si>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</x:si>
  <x:si>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</x:si>
  <x:si>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</x:si>
  <x:si>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</x:si>
  <x:si>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</x:si>
  <x:si>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</x:si>
  <x:si>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</x:si>
  <x:si>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</x:si>
  <x:si>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</x:si>
  <x:si>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</x:si>
  <x:si>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</x:si>
  <x:si>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</x:si>
  <x:si>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</x:si>
  <x:si>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</x:si>
  <x:si>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</x:si>
  <x:si>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</x:si>
  <x:si>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</x:si>
  <x:si>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</x:si>
  <x:si>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</x:si>
  <x:si>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</x:si>
  <x:si>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</x:si>
  <x:si>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</x:si>
  <x:si>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</x:si>
  <x:si>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</x:si>
  <x:si>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</x:si>
  <x:si>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</x:si>
  <x:si>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</x:si>
  <x:si>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</x:si>
  <x:si>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</x:si>
  <x:si>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</x:si>
  <x:si>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</x:si>
  <x:si>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</x:si>
  <x:si>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</x:si>
  <x:si>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</x:si>
  <x:si>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</x:si>
  <x:si>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</x:si>
  <x:si>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</x:si>
  <x:si>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</x:si>
  <x:si>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</x:si>
  <x:si>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</x:si>
  <x:si>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</x:si>
  <x:si>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</x:si>
  <x:si>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</x:si>
  <x:si>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</x:si>
  <x:si>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</x:si>
  <x:si>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</x:si>
  <x:si>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</x:si>
  <x:si>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</x:si>
  <x:si>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</x:si>
  <x:si>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</x:si>
  <x:si>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</x:si>
  <x:si>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</x:si>
  <x:si>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</x:si>
  <x:si>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</x:si>
  <x:si>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</x:si>
  <x:si>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</x:si>
  <x:si>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</x:si>
  <x:si>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</x:si>
  <x:si>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</x:si>
  <x:si>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</x:si>
  <x:si>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</x:si>
  <x:si>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</x:si>
  <x:si>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</x:si>
  <x:si>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</x:si>
  <x:si>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</x:si>
  <x:si>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</x:si>
  <x:si>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</x:si>
  <x:si>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</x:si>
  <x:si>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</x:si>
  <x:si>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</x:si>
  <x:si>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</x:si>
  <x:si>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</x:si>
  <x:si>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</x:si>
  <x:si>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</x:si>
  <x:si>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</x:si>
  <x:si>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</x:si>
  <x:si>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</x:si>
  <x:si>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</x:si>
  <x:si>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</x:si>
  <x:si>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</x:si>
  <x:si>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</x:si>
  <x:si>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</x:si>
  <x:si>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</x:si>
  <x:si>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</x:si>
  <x:si>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</x:si>
  <x:si>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</x:si>
  <x:si>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</x:si>
  <x:si>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2026092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</x:si>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</x:sst>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3.5" thickBot="1" x14ac:dyDescent="0.25"/>
    <x:row r="2" spans="2:13" s="102" customFormat="1" ht="13.5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">
      <x:c r="C4" s="178">
        <x:v>2</x:v>
      </x:c>
      <x:c r="D4" s="179">
        <x:v>0</x:v>
      </x:c>
      <x:c r="E4" s="180">
        <x:v>0</x:v>
      </x:c>
      <x:c r="F4" s="180" t="n">
        <x:v>4390091</x:v>
      </x:c>
      <x:c r="G4" s="181" t="n">
        <x:v>56</x:v>
      </x:c>
      <x:c r="J4" s="728"/>
    </x:row>
    <x:row r="5" spans="2:13" x14ac:dyDescent="0.2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">
      <x:c r="C6" s="178">
        <x:v>4</x:v>
      </x:c>
      <x:c r="D6" s="179">
        <x:v>0</x:v>
      </x:c>
      <x:c r="E6" s="180">
        <x:v>0</x:v>
      </x:c>
      <x:c r="F6" s="180" t="n">
        <x:v>1814000</x:v>
      </x:c>
      <x:c r="G6" s="181" t="n">
        <x:v>24</x:v>
      </x:c>
      <x:c r="J6" s="728"/>
    </x:row>
    <x:row r="7" spans="2:13" ht="13.5" customHeight="1" x14ac:dyDescent="0.2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5" thickBot="1" x14ac:dyDescent="0.25">
      <x:c r="C8" s="182" t="s">
        <x:v>89</x:v>
      </x:c>
      <x:c r="D8" s="183"/>
      <x:c r="E8" s="184"/>
      <x:c r="F8" s="184"/>
      <x:c r="G8" s="185"/>
      <x:c r="J8" s="728"/>
    </x:row>
    <x:row r="9" spans="2:13" ht="13.5" thickBot="1" x14ac:dyDescent="0.25">
      <x:c r="D9" s="186">
        <x:v>0</x:v>
      </x:c>
      <x:c r="E9" s="186">
        <x:v>0</x:v>
      </x:c>
      <x:c r="F9" s="186" t="n">
        <x:v>6204091</x:v>
      </x:c>
      <x:c r="G9" s="186" t="n">
        <x:v>80</x:v>
      </x:c>
      <x:c r="J9" s="728"/>
    </x:row>
    <x:row r="10" spans="2:13" ht="13.5" thickBot="1" x14ac:dyDescent="0.25"/>
    <x:row r="11" spans="2:13" s="102" customFormat="1" ht="13.5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5" thickBot="1" x14ac:dyDescent="0.25">
      <x:c r="C17" s="182" t="s">
        <x:v>89</x:v>
      </x:c>
      <x:c r="D17" s="183"/>
      <x:c r="E17" s="184"/>
      <x:c r="F17" s="184"/>
      <x:c r="G17" s="185"/>
    </x:row>
    <x:row r="18" spans="1:11" ht="13.5" thickBot="1" x14ac:dyDescent="0.2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3.5" thickBot="1" x14ac:dyDescent="0.25"/>
    <x:row r="20" spans="1:11" ht="13.5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4390091</x:v>
      </x:c>
      <x:c r="G22" s="181" t="n">
        <x:v>56</x:v>
      </x:c>
      <x:c r="I22" s="179">
        <x:v>0</x:v>
      </x:c>
      <x:c r="J22" s="181">
        <x:v>0</x:v>
      </x:c>
    </x:row>
    <x:row r="23" spans="1:11" s="167" customForma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1814000</x:v>
      </x:c>
      <x:c r="G24" s="181" t="n">
        <x:v>24</x:v>
      </x:c>
      <x:c r="I24" s="179">
        <x:v>0</x:v>
      </x:c>
      <x:c r="J24" s="181">
        <x:v>0</x:v>
      </x:c>
    </x:row>
    <x:row r="25" spans="1:11" s="167" customForma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5" thickBot="1" x14ac:dyDescent="0.25">
      <x:c r="D27" s="186">
        <x:v>0</x:v>
      </x:c>
      <x:c r="E27" s="186">
        <x:v>0</x:v>
      </x:c>
      <x:c r="F27" s="186" t="n">
        <x:v>6204091</x:v>
      </x:c>
      <x:c r="G27" s="186" t="n">
        <x:v>80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>
        <x:v>0</x:v>
      </x:c>
      <x:c r="E3" s="176">
        <x:v>0</x:v>
      </x:c>
      <x:c r="F3" s="176" t="n">
        <x:v>15131451516</x:v>
      </x:c>
      <x:c r="G3" s="177" t="n">
        <x:v>257196</x:v>
      </x:c>
      <x:c r="J3" s="728"/>
    </x:row>
    <x:row r="4" spans="2:13" ht="12.6" customHeight="1" x14ac:dyDescent="0.2">
      <x:c r="C4" s="178">
        <x:v>2</x:v>
      </x:c>
      <x:c r="D4" s="179">
        <x:v>0</x:v>
      </x:c>
      <x:c r="E4" s="180">
        <x:v>0</x:v>
      </x:c>
      <x:c r="F4" s="180" t="n">
        <x:v>20191843481</x:v>
      </x:c>
      <x:c r="G4" s="181" t="n">
        <x:v>415819</x:v>
      </x:c>
      <x:c r="J4" s="728"/>
    </x:row>
    <x:row r="5" spans="2:13" ht="12.6" customHeight="1" x14ac:dyDescent="0.2">
      <x:c r="C5" s="178">
        <x:v>3</x:v>
      </x:c>
      <x:c r="D5" s="179">
        <x:v>0</x:v>
      </x:c>
      <x:c r="E5" s="180">
        <x:v>0</x:v>
      </x:c>
      <x:c r="F5" s="180" t="n">
        <x:v>13824429136</x:v>
      </x:c>
      <x:c r="G5" s="181" t="n">
        <x:v>269019</x:v>
      </x:c>
      <x:c r="J5" s="728"/>
    </x:row>
    <x:row r="6" spans="2:13" ht="12.6" customHeight="1" x14ac:dyDescent="0.2">
      <x:c r="C6" s="178">
        <x:v>4</x:v>
      </x:c>
      <x:c r="D6" s="179">
        <x:v>0</x:v>
      </x:c>
      <x:c r="E6" s="180">
        <x:v>0</x:v>
      </x:c>
      <x:c r="F6" s="180" t="n">
        <x:v>6638974137</x:v>
      </x:c>
      <x:c r="G6" s="181" t="n">
        <x:v>116956</x:v>
      </x:c>
    </x:row>
    <x:row r="7" spans="2:13" ht="12.6" customHeight="1" x14ac:dyDescent="0.2">
      <x:c r="C7" s="178">
        <x:v>5</x:v>
      </x:c>
      <x:c r="D7" s="179">
        <x:v>0</x:v>
      </x:c>
      <x:c r="E7" s="180">
        <x:v>0</x:v>
      </x:c>
      <x:c r="F7" s="180" t="n">
        <x:v>12022816376</x:v>
      </x:c>
      <x:c r="G7" s="181" t="n">
        <x:v>242887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>
        <x:v>0</x:v>
      </x:c>
      <x:c r="E9" s="186">
        <x:v>0</x:v>
      </x:c>
      <x:c r="F9" s="186" t="n">
        <x:v>67809514646</x:v>
      </x:c>
      <x:c r="G9" s="186" t="n">
        <x:v>1301877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175327928</x:v>
      </x:c>
      <x:c r="G12" s="177" t="n">
        <x:v>2824</x:v>
      </x:c>
    </x:row>
    <x:row r="13" spans="2:13" ht="12.6" customHeight="1" x14ac:dyDescent="0.2">
      <x:c r="C13" s="178">
        <x:v>2</x:v>
      </x:c>
      <x:c r="D13" s="179">
        <x:v>0</x:v>
      </x:c>
      <x:c r="E13" s="180">
        <x:v>0</x:v>
      </x:c>
      <x:c r="F13" s="180" t="n">
        <x:v>49072267</x:v>
      </x:c>
      <x:c r="G13" s="181" t="n">
        <x:v>722</x:v>
      </x:c>
    </x:row>
    <x:row r="14" spans="2:13" ht="12.6" customHeight="1" x14ac:dyDescent="0.2">
      <x:c r="C14" s="178">
        <x:v>3</x:v>
      </x:c>
      <x:c r="D14" s="179">
        <x:v>0</x:v>
      </x:c>
      <x:c r="E14" s="180">
        <x:v>0</x:v>
      </x:c>
      <x:c r="F14" s="180" t="n">
        <x:v>67822789</x:v>
      </x:c>
      <x:c r="G14" s="181" t="n">
        <x:v>1184</x:v>
      </x:c>
    </x:row>
    <x:row r="15" spans="2:13" ht="12.6" customHeight="1" x14ac:dyDescent="0.2">
      <x:c r="C15" s="178">
        <x:v>4</x:v>
      </x:c>
      <x:c r="D15" s="179">
        <x:v>0</x:v>
      </x:c>
      <x:c r="E15" s="180">
        <x:v>0</x:v>
      </x:c>
      <x:c r="F15" s="180" t="n">
        <x:v>72481595</x:v>
      </x:c>
      <x:c r="G15" s="181" t="n">
        <x:v>1595</x:v>
      </x:c>
    </x:row>
    <x:row r="16" spans="2:13" ht="12.6" customHeight="1" x14ac:dyDescent="0.2">
      <x:c r="C16" s="178">
        <x:v>5</x:v>
      </x:c>
      <x:c r="D16" s="179">
        <x:v>0</x:v>
      </x:c>
      <x:c r="E16" s="180">
        <x:v>0</x:v>
      </x:c>
      <x:c r="F16" s="180" t="n">
        <x:v>25848890</x:v>
      </x:c>
      <x:c r="G16" s="181" t="n">
        <x:v>515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>
        <x:v>0</x:v>
      </x:c>
      <x:c r="E18" s="186">
        <x:v>0</x:v>
      </x:c>
      <x:c r="F18" s="186" t="n">
        <x:v>390553469</x:v>
      </x:c>
      <x:c r="G18" s="186" t="n">
        <x:v>6840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15306779444</x:v>
      </x:c>
      <x:c r="G21" s="177" t="n">
        <x:v>260020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20240915748</x:v>
      </x:c>
      <x:c r="G22" s="181" t="n">
        <x:v>416541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13892251925</x:v>
      </x:c>
      <x:c r="G23" s="181" t="n">
        <x:v>270203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6711455732</x:v>
      </x:c>
      <x:c r="G24" s="181" t="n">
        <x:v>118551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12048665266</x:v>
      </x:c>
      <x:c r="G25" s="181" t="n">
        <x:v>243402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>
        <x:v>0</x:v>
      </x:c>
      <x:c r="E27" s="186">
        <x:v>0</x:v>
      </x:c>
      <x:c r="F27" s="186" t="n">
        <x:v>68200068115</x:v>
      </x:c>
      <x:c r="G27" s="186" t="n">
        <x:v>1308717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">
      <x:c r="C7" s="178">
        <x:v>5</x:v>
      </x:c>
      <x:c r="D7" s="179">
        <x:v>0</x:v>
      </x:c>
      <x:c r="E7" s="180">
        <x:v>0</x:v>
      </x:c>
      <x:c r="F7" s="180" t="n">
        <x:v>33627704</x:v>
      </x:c>
      <x:c r="G7" s="181" t="n">
        <x:v>521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>
        <x:v>0</x:v>
      </x:c>
      <x:c r="E9" s="186">
        <x:v>0</x:v>
      </x:c>
      <x:c r="F9" s="186" t="n">
        <x:v>33627704</x:v>
      </x:c>
      <x:c r="G9" s="186" t="n">
        <x:v>521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">
      <x:c r="C16" s="178">
        <x:v>5</x:v>
      </x:c>
      <x:c r="D16" s="179">
        <x:v>0</x:v>
      </x:c>
      <x:c r="E16" s="180">
        <x:v>0</x:v>
      </x:c>
      <x:c r="F16" s="180" t="n">
        <x:v>5242682</x:v>
      </x:c>
      <x:c r="G16" s="181" t="n">
        <x:v>76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>
        <x:v>0</x:v>
      </x:c>
      <x:c r="E18" s="186">
        <x:v>0</x:v>
      </x:c>
      <x:c r="F18" s="186" t="n">
        <x:v>5242682</x:v>
      </x:c>
      <x:c r="G18" s="186" t="n">
        <x:v>76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38870386</x:v>
      </x:c>
      <x:c r="G25" s="181" t="n">
        <x:v>597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>
        <x:v>0</x:v>
      </x:c>
      <x:c r="E27" s="186">
        <x:v>0</x:v>
      </x:c>
      <x:c r="F27" s="186" t="n">
        <x:v>38870386</x:v>
      </x:c>
      <x:c r="G27" s="186" t="n">
        <x:v>597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2578125" defaultRowHeight="12.75" x14ac:dyDescent="0.2"/>
  <x:cols>
    <x:col min="1" max="1" width="2.140625" style="213" customWidth="1"/>
    <x:col min="2" max="2" width="25" style="213" bestFit="1" customWidth="1"/>
    <x:col min="3" max="3" width="4.85546875" style="213" bestFit="1" customWidth="1"/>
    <x:col min="4" max="4" width="13.85546875" style="167" bestFit="1" customWidth="1"/>
    <x:col min="5" max="5" width="19" style="167" bestFit="1" customWidth="1"/>
    <x:col min="6" max="6" width="13.85546875" style="167" bestFit="1" customWidth="1"/>
    <x:col min="7" max="7" width="19" style="167" bestFit="1" customWidth="1"/>
    <x:col min="8" max="8" width="3.85546875" style="167" customWidth="1"/>
    <x:col min="9" max="9" width="20" style="167" bestFit="1" customWidth="1"/>
    <x:col min="10" max="10" width="26.5703125" style="167" bestFit="1" customWidth="1"/>
    <x:col min="11" max="13" width="19.85546875" style="167" customWidth="1"/>
    <x:col min="14" max="16384" width="11.42578125" style="213"/>
  </x:cols>
  <x:sheetData>
    <x:row r="1" spans="2:13" ht="13.5" thickBot="1" x14ac:dyDescent="0.25"/>
    <x:row r="2" spans="2:13" s="214" customFormat="1" ht="13.5" thickBot="1" x14ac:dyDescent="0.2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5" thickBot="1" x14ac:dyDescent="0.25">
      <x:c r="C8" s="182" t="s">
        <x:v>89</x:v>
      </x:c>
      <x:c r="D8" s="183"/>
      <x:c r="E8" s="184"/>
      <x:c r="F8" s="184"/>
      <x:c r="G8" s="185"/>
    </x:row>
    <x:row r="9" spans="2:13" ht="13.5" thickBot="1" x14ac:dyDescent="0.25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5" thickBot="1" x14ac:dyDescent="0.25"/>
    <x:row r="11" spans="2:13" s="214" customFormat="1" ht="13.5" thickBot="1" x14ac:dyDescent="0.2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5" thickBot="1" x14ac:dyDescent="0.25">
      <x:c r="C17" s="182" t="s">
        <x:v>89</x:v>
      </x:c>
      <x:c r="D17" s="183"/>
      <x:c r="E17" s="184"/>
      <x:c r="F17" s="184"/>
      <x:c r="G17" s="185"/>
    </x:row>
    <x:row r="18" spans="1:13" ht="13.5" thickBot="1" x14ac:dyDescent="0.2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5" thickBot="1" x14ac:dyDescent="0.25"/>
    <x:row r="20" spans="1:13" ht="13.5" thickBot="1" x14ac:dyDescent="0.2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5" thickBot="1" x14ac:dyDescent="0.25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2578125" defaultRowHeight="12.75" x14ac:dyDescent="0.2"/>
  <x:cols>
    <x:col min="1" max="1" width="2.140625" style="166" customWidth="1"/>
    <x:col min="2" max="2" width="12.85546875" style="166" bestFit="1" customWidth="1"/>
    <x:col min="3" max="3" width="7.140625" style="166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  <x:col min="14" max="16384" width="11.42578125" style="166"/>
  </x:cols>
  <x:sheetData>
    <x:row r="1" spans="2:13" ht="13.5" thickBot="1" x14ac:dyDescent="0.25"/>
    <x:row r="2" spans="2:13" s="168" customFormat="1" ht="13.5" thickBot="1" x14ac:dyDescent="0.2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277">
        <x:v>0</x:v>
      </x:c>
      <x:c r="E3" s="176">
        <x:v>0</x:v>
      </x:c>
      <x:c r="F3" s="176" t="n">
        <x:v>659215777</x:v>
      </x:c>
      <x:c r="G3" s="177" t="n">
        <x:v>2359</x:v>
      </x:c>
      <x:c r="J3" s="728"/>
    </x:row>
    <x:row r="4" spans="2:13" x14ac:dyDescent="0.2">
      <x:c r="C4" s="178">
        <x:v>2</x:v>
      </x:c>
      <x:c r="D4" s="278">
        <x:v>0</x:v>
      </x:c>
      <x:c r="E4" s="180">
        <x:v>0</x:v>
      </x:c>
      <x:c r="F4" s="180" t="n">
        <x:v>1939956060</x:v>
      </x:c>
      <x:c r="G4" s="181" t="n">
        <x:v>8702</x:v>
      </x:c>
      <x:c r="J4" s="728"/>
    </x:row>
    <x:row r="5" spans="2:13" x14ac:dyDescent="0.2">
      <x:c r="C5" s="178">
        <x:v>3</x:v>
      </x:c>
      <x:c r="D5" s="278">
        <x:v>0</x:v>
      </x:c>
      <x:c r="E5" s="180">
        <x:v>0</x:v>
      </x:c>
      <x:c r="F5" s="180" t="n">
        <x:v>1048706515</x:v>
      </x:c>
      <x:c r="G5" s="181" t="n">
        <x:v>1996</x:v>
      </x:c>
      <x:c r="J5" s="728"/>
    </x:row>
    <x:row r="6" spans="2:13" x14ac:dyDescent="0.2">
      <x:c r="C6" s="178">
        <x:v>4</x:v>
      </x:c>
      <x:c r="D6" s="278">
        <x:v>0</x:v>
      </x:c>
      <x:c r="E6" s="180">
        <x:v>0</x:v>
      </x:c>
      <x:c r="F6" s="180" t="n">
        <x:v>920907421</x:v>
      </x:c>
      <x:c r="G6" s="181" t="n">
        <x:v>4189</x:v>
      </x:c>
    </x:row>
    <x:row r="7" spans="2:13" x14ac:dyDescent="0.2">
      <x:c r="C7" s="178">
        <x:v>5</x:v>
      </x:c>
      <x:c r="D7" s="278">
        <x:v>0</x:v>
      </x:c>
      <x:c r="E7" s="180">
        <x:v>0</x:v>
      </x:c>
      <x:c r="F7" s="180" t="n">
        <x:v>278031281</x:v>
      </x:c>
      <x:c r="G7" s="181" t="n">
        <x:v>1447</x:v>
      </x:c>
    </x:row>
    <x:row r="8" spans="2:13" ht="13.5" thickBot="1" x14ac:dyDescent="0.25">
      <x:c r="C8" s="182" t="s">
        <x:v>89</x:v>
      </x:c>
      <x:c r="D8" s="279">
        <x:v>0</x:v>
      </x:c>
      <x:c r="E8" s="184">
        <x:v>0</x:v>
      </x:c>
      <x:c r="F8" s="184" t="n">
        <x:v>437900</x:v>
      </x:c>
      <x:c r="G8" s="185" t="n">
        <x:v>1</x:v>
      </x:c>
    </x:row>
    <x:row r="9" spans="2:13" ht="13.5" thickBot="1" x14ac:dyDescent="0.25">
      <x:c r="D9" s="186">
        <x:v>0</x:v>
      </x:c>
      <x:c r="E9" s="186">
        <x:v>0</x:v>
      </x:c>
      <x:c r="F9" s="186" t="n">
        <x:v>4847254954</x:v>
      </x:c>
      <x:c r="G9" s="186" t="n">
        <x:v>18694</x:v>
      </x:c>
    </x:row>
    <x:row r="10" spans="2:13" ht="13.5" thickBot="1" x14ac:dyDescent="0.25">
      <x:c r="D10" s="280"/>
    </x:row>
    <x:row r="11" spans="2:13" s="168" customFormat="1" ht="13.5" thickBot="1" x14ac:dyDescent="0.2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118038698</x:v>
      </x:c>
      <x:c r="G12" s="192" t="n">
        <x:v>431</x:v>
      </x:c>
    </x:row>
    <x:row r="13" spans="2:13" x14ac:dyDescent="0.2">
      <x:c r="C13" s="193">
        <x:v>2</x:v>
      </x:c>
      <x:c r="D13" s="278">
        <x:v>0</x:v>
      </x:c>
      <x:c r="E13" s="180">
        <x:v>0</x:v>
      </x:c>
      <x:c r="F13" s="180" t="n">
        <x:v>234466650</x:v>
      </x:c>
      <x:c r="G13" s="181" t="n">
        <x:v>488</x:v>
      </x:c>
    </x:row>
    <x:row r="14" spans="2:13" x14ac:dyDescent="0.2">
      <x:c r="C14" s="193">
        <x:v>3</x:v>
      </x:c>
      <x:c r="D14" s="278">
        <x:v>0</x:v>
      </x:c>
      <x:c r="E14" s="180">
        <x:v>0</x:v>
      </x:c>
      <x:c r="F14" s="180" t="n">
        <x:v>422530889</x:v>
      </x:c>
      <x:c r="G14" s="181" t="n">
        <x:v>69</x:v>
      </x:c>
    </x:row>
    <x:row r="15" spans="2:13" x14ac:dyDescent="0.2">
      <x:c r="C15" s="193">
        <x:v>4</x:v>
      </x:c>
      <x:c r="D15" s="278">
        <x:v>0</x:v>
      </x:c>
      <x:c r="E15" s="180">
        <x:v>0</x:v>
      </x:c>
      <x:c r="F15" s="180" t="n">
        <x:v>111430406</x:v>
      </x:c>
      <x:c r="G15" s="181" t="n">
        <x:v>150</x:v>
      </x:c>
    </x:row>
    <x:row r="16" spans="2:13" x14ac:dyDescent="0.2">
      <x:c r="C16" s="193">
        <x:v>5</x:v>
      </x:c>
      <x:c r="D16" s="278">
        <x:v>0</x:v>
      </x:c>
      <x:c r="E16" s="180">
        <x:v>0</x:v>
      </x:c>
      <x:c r="F16" s="180" t="n">
        <x:v>2852410</x:v>
      </x:c>
      <x:c r="G16" s="181" t="n">
        <x:v>32</x:v>
      </x:c>
    </x:row>
    <x:row r="17" spans="1:13" ht="13.5" thickBot="1" x14ac:dyDescent="0.25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5" thickBot="1" x14ac:dyDescent="0.25">
      <x:c r="D18" s="198">
        <x:v>0</x:v>
      </x:c>
      <x:c r="E18" s="198">
        <x:v>0</x:v>
      </x:c>
      <x:c r="F18" s="198" t="n">
        <x:v>889319053</x:v>
      </x:c>
      <x:c r="G18" s="198" t="n">
        <x:v>1170</x:v>
      </x:c>
    </x:row>
    <x:row r="19" spans="1:13" ht="13.5" thickBot="1" x14ac:dyDescent="0.25"/>
    <x:row r="20" spans="1:13" ht="13.5" thickBot="1" x14ac:dyDescent="0.2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777254475</x:v>
      </x:c>
      <x:c r="G21" s="177" t="n">
        <x:v>2790</x:v>
      </x:c>
      <x:c r="I21" s="175">
        <x:v>0</x:v>
      </x:c>
      <x:c r="J21" s="177">
        <x:v>0</x:v>
      </x:c>
    </x:row>
    <x:row r="22" spans="1:13" s="167" customFormat="1" x14ac:dyDescent="0.2">
      <x:c r="B22" s="166"/>
      <x:c r="C22" s="178">
        <x:v>2</x:v>
      </x:c>
      <x:c r="D22" s="278">
        <x:v>0</x:v>
      </x:c>
      <x:c r="E22" s="283">
        <x:v>0</x:v>
      </x:c>
      <x:c r="F22" s="180" t="n">
        <x:v>2174422710</x:v>
      </x:c>
      <x:c r="G22" s="181" t="n">
        <x:v>9190</x:v>
      </x:c>
      <x:c r="I22" s="179">
        <x:v>0</x:v>
      </x:c>
      <x:c r="J22" s="181">
        <x:v>0</x:v>
      </x:c>
    </x:row>
    <x:row r="23" spans="1:13" s="167" customFormat="1" x14ac:dyDescent="0.2">
      <x:c r="B23" s="166"/>
      <x:c r="C23" s="178">
        <x:v>3</x:v>
      </x:c>
      <x:c r="D23" s="278">
        <x:v>0</x:v>
      </x:c>
      <x:c r="E23" s="283">
        <x:v>0</x:v>
      </x:c>
      <x:c r="F23" s="180" t="n">
        <x:v>1471237404</x:v>
      </x:c>
      <x:c r="G23" s="181" t="n">
        <x:v>2065</x:v>
      </x:c>
      <x:c r="I23" s="179">
        <x:v>0</x:v>
      </x:c>
      <x:c r="J23" s="181">
        <x:v>0</x:v>
      </x:c>
    </x:row>
    <x:row r="24" spans="1:13" s="167" customFormat="1" x14ac:dyDescent="0.2">
      <x:c r="B24" s="166"/>
      <x:c r="C24" s="178">
        <x:v>4</x:v>
      </x:c>
      <x:c r="D24" s="278">
        <x:v>0</x:v>
      </x:c>
      <x:c r="E24" s="283">
        <x:v>0</x:v>
      </x:c>
      <x:c r="F24" s="180" t="n">
        <x:v>1032337827</x:v>
      </x:c>
      <x:c r="G24" s="181" t="n">
        <x:v>4339</x:v>
      </x:c>
      <x:c r="I24" s="179">
        <x:v>0</x:v>
      </x:c>
      <x:c r="J24" s="181">
        <x:v>0</x:v>
      </x:c>
    </x:row>
    <x:row r="25" spans="1:13" s="167" customFormat="1" x14ac:dyDescent="0.2">
      <x:c r="B25" s="166"/>
      <x:c r="C25" s="178">
        <x:v>5</x:v>
      </x:c>
      <x:c r="D25" s="278">
        <x:v>0</x:v>
      </x:c>
      <x:c r="E25" s="283">
        <x:v>0</x:v>
      </x:c>
      <x:c r="F25" s="180" t="n">
        <x:v>280883691</x:v>
      </x:c>
      <x:c r="G25" s="181" t="n">
        <x:v>1479</x:v>
      </x:c>
      <x:c r="I25" s="179">
        <x:v>0</x:v>
      </x:c>
      <x:c r="J25" s="181">
        <x:v>0</x:v>
      </x:c>
    </x:row>
    <x:row r="26" spans="1:13" ht="13.5" thickBot="1" x14ac:dyDescent="0.25">
      <x:c r="C26" s="284" t="s">
        <x:v>89</x:v>
      </x:c>
      <x:c r="D26" s="285">
        <x:v>0</x:v>
      </x:c>
      <x:c r="E26" s="283">
        <x:v>0</x:v>
      </x:c>
      <x:c r="F26" s="180" t="n">
        <x:v>437900</x:v>
      </x:c>
      <x:c r="G26" s="181" t="n">
        <x:v>1</x:v>
      </x:c>
      <x:c r="I26" s="202">
        <x:v>0</x:v>
      </x:c>
      <x:c r="J26" s="203">
        <x:v>0</x:v>
      </x:c>
    </x:row>
    <x:row r="27" spans="1:13" ht="13.5" thickBot="1" x14ac:dyDescent="0.25">
      <x:c r="D27" s="186">
        <x:v>0</x:v>
      </x:c>
      <x:c r="E27" s="186">
        <x:v>0</x:v>
      </x:c>
      <x:c r="F27" s="186" t="n">
        <x:v>5736574007</x:v>
      </x:c>
      <x:c r="G27" s="186" t="n">
        <x:v>19864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75" x14ac:dyDescent="0.2"/>
  <x:cols>
    <x:col min="1" max="1" width="6" customWidth="1"/>
    <x:col min="2" max="2" width="47.85546875" bestFit="1" customWidth="1"/>
    <x:col min="3" max="9" width="22.7109375" customWidth="1"/>
    <x:col min="10" max="10" width="17.85546875" customWidth="1"/>
  </x:cols>
  <x:sheetData>
    <x:row r="1" spans="1:10" x14ac:dyDescent="0.2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">
      <x:c r="B10" s="97" t="s">
        <x:v>99</x:v>
      </x:c>
      <x:c r="H10" s="212"/>
    </x:row>
    <x:row r="11" spans="1:10" x14ac:dyDescent="0.2">
      <x:c r="B11" s="114" t="s">
        <x:v>96</x:v>
      </x:c>
    </x:row>
    <x:row r="12" spans="1:10" x14ac:dyDescent="0.2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">
      <x:c r="B13" t="s">
        <x:v>97</x:v>
      </x:c>
      <x:c r="C13" s="244" t="n">
        <x:v>15275852337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729513718.11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">
      <x:c r="B14" s="89" t="s">
        <x:v>98</x:v>
      </x:c>
      <x:c r="C14" s="244" t="n">
        <x:v>30927107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34356275.7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13384481.19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">
      <x:c r="C19" s="143"/>
      <x:c r="D19" s="212"/>
      <x:c r="I19" s="212"/>
    </x:row>
    <x:row r="20" spans="2:11" x14ac:dyDescent="0.2">
      <x:c r="B20" t="s">
        <x:v>100</x:v>
      </x:c>
    </x:row>
    <x:row r="21" spans="2:11" x14ac:dyDescent="0.2">
      <x:c r="B21" s="114" t="s">
        <x:v>96</x:v>
      </x:c>
    </x:row>
    <x:row r="22" spans="2:11" x14ac:dyDescent="0.2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">
      <x:c r="B23" t="s">
        <x:v>97</x:v>
      </x:c>
      <x:c r="C23" s="244" t="n">
        <x:v>20206354631</x:v>
      </x:c>
      <x:c r="D23" s="244">
        <x:v>0</x:v>
      </x:c>
      <x:c r="E23" s="244">
        <x:v>0</x:v>
      </x:c>
      <x:c r="F23" s="244" t="n">
        <x:v>1778140</x:v>
      </x:c>
      <x:c r="G23" s="244">
        <x:v>0</x:v>
      </x:c>
      <x:c r="H23" s="244" t="n">
        <x:v>2049433961.1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">
      <x:c r="B24" s="89" t="s">
        <x:v>98</x:v>
      </x:c>
      <x:c r="C24" s="244" t="n">
        <x:v>37168207</x:v>
      </x:c>
      <x:c r="D24" s="244">
        <x:v>0</x:v>
      </x:c>
      <x:c r="E24" s="244">
        <x:v>0</x:v>
      </x:c>
      <x:c r="F24" s="244" t="n">
        <x:v>2611951</x:v>
      </x:c>
      <x:c r="G24" s="244">
        <x:v>0</x:v>
      </x:c>
      <x:c r="H24" s="244" t="n">
        <x:v>117066108.01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7922640.89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">
      <x:c r="B29" t="s">
        <x:v>101</x:v>
      </x:c>
      <x:c r="H29" s="212"/>
      <x:c r="I29" s="212"/>
    </x:row>
    <x:row r="30" spans="2:11" x14ac:dyDescent="0.2">
      <x:c r="B30" s="114" t="s">
        <x:v>96</x:v>
      </x:c>
    </x:row>
    <x:row r="31" spans="2:11" x14ac:dyDescent="0.2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">
      <x:c r="B32" s="89" t="s">
        <x:v>97</x:v>
      </x:c>
      <x:c r="C32" s="244" t="n">
        <x:v>13883027309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1276054492.3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">
      <x:c r="B33" s="89" t="s">
        <x:v>98</x:v>
      </x:c>
      <x:c r="C33" s="244" t="n">
        <x:v>10762026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190183129.15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4999782.55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">
      <x:c r="B38" t="s">
        <x:v>102</x:v>
      </x:c>
    </x:row>
    <x:row r="39" spans="2:10" x14ac:dyDescent="0.2">
      <x:c r="B39" s="114" t="s">
        <x:v>96</x:v>
      </x:c>
    </x:row>
    <x:row r="40" spans="2:10" x14ac:dyDescent="0.2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">
      <x:c r="B41" s="89" t="s">
        <x:v>97</x:v>
      </x:c>
      <x:c r="C41" s="244" t="n">
        <x:v>6664014596</x:v>
      </x:c>
      <x:c r="D41" s="244">
        <x:v>0</x:v>
      </x:c>
      <x:c r="E41" s="244">
        <x:v>0</x:v>
      </x:c>
      <x:c r="F41" s="244" t="n">
        <x:v>551610</x:v>
      </x:c>
      <x:c r="G41" s="244">
        <x:v>0</x:v>
      </x:c>
      <x:c r="H41" s="244" t="n">
        <x:v>985740696.4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">
      <x:c r="B42" s="89" t="s">
        <x:v>98</x:v>
      </x:c>
      <x:c r="C42" s="244" t="n">
        <x:v>48073886</x:v>
      </x:c>
      <x:c r="D42" s="244">
        <x:v>0</x:v>
      </x:c>
      <x:c r="E42" s="244">
        <x:v>0</x:v>
      </x:c>
      <x:c r="F42" s="244" t="n">
        <x:v>1262390</x:v>
      </x:c>
      <x:c r="G42" s="244">
        <x:v>0</x:v>
      </x:c>
      <x:c r="H42" s="244" t="n">
        <x:v>24854027.99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21743102.61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">
      <x:c r="B46" s="89"/>
      <x:c r="C46" s="113"/>
      <x:c r="D46" s="113"/>
      <x:c r="E46" s="113"/>
      <x:c r="F46" s="113"/>
      <x:c r="G46" s="113"/>
      <x:c r="H46" s="113"/>
    </x:row>
    <x:row r="47" spans="2:10" x14ac:dyDescent="0.2">
      <x:c r="F47" s="212"/>
      <x:c r="G47" s="212"/>
    </x:row>
    <x:row r="48" spans="2:10" x14ac:dyDescent="0.2">
      <x:c r="B48" t="s">
        <x:v>103</x:v>
      </x:c>
    </x:row>
    <x:row r="49" spans="2:10" x14ac:dyDescent="0.2">
      <x:c r="B49" s="114" t="s">
        <x:v>96</x:v>
      </x:c>
    </x:row>
    <x:row r="50" spans="2:10" x14ac:dyDescent="0.2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">
      <x:c r="B51" t="s">
        <x:v>97</x:v>
      </x:c>
      <x:c r="C51" s="590" t="n">
        <x:v>12041028614</x:v>
      </x:c>
      <x:c r="D51" s="244">
        <x:v>0</x:v>
      </x:c>
      <x:c r="E51" s="244">
        <x:v>0</x:v>
      </x:c>
      <x:c r="F51" s="244">
        <x:v>0</x:v>
      </x:c>
      <x:c r="G51" s="244" t="n">
        <x:v>34785208</x:v>
      </x:c>
      <x:c r="H51" s="590" t="n">
        <x:v>264662371.68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">
      <x:c r="B52" s="89" t="s">
        <x:v>98</x:v>
      </x:c>
      <x:c r="C52" s="590" t="n">
        <x:v>8133932</x:v>
      </x:c>
      <x:c r="D52" s="244">
        <x:v>0</x:v>
      </x:c>
      <x:c r="E52" s="244">
        <x:v>0</x:v>
      </x:c>
      <x:c r="F52" s="244">
        <x:v>0</x:v>
      </x:c>
      <x:c r="G52" s="244" t="n">
        <x:v>4085178</x:v>
      </x:c>
      <x:c r="H52" s="590" t="n">
        <x:v>14737858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1483461.32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">
      <x:c r="H57" s="212"/>
      <x:c r="I57" s="212"/>
    </x:row>
    <x:row r="58" spans="2:10" x14ac:dyDescent="0.2">
      <x:c r="F58" s="212"/>
      <x:c r="G58" s="212"/>
      <x:c r="H58" s="212"/>
      <x:c r="I58" s="212"/>
    </x:row>
    <x:row r="59" spans="2:10" x14ac:dyDescent="0.2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">
      <x:c r="H60" s="212"/>
    </x:row>
    <x:row r="61" spans="2:10" x14ac:dyDescent="0.2">
      <x:c r="B61" t="s">
        <x:v>1</x:v>
      </x:c>
      <x:c r="C61" s="143"/>
      <x:c r="E61" s="142"/>
    </x:row>
    <x:row r="62" spans="2:10" x14ac:dyDescent="0.2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">
      <x:c r="C74" s="167"/>
    </x:row>
    <x:row r="75" spans="2:7" x14ac:dyDescent="0.2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75" x14ac:dyDescent="0.2"/>
  <x:cols>
    <x:col min="1" max="1" width="3.42578125" customWidth="1"/>
    <x:col min="2" max="2" width="20.85546875" bestFit="1" customWidth="1"/>
    <x:col min="3" max="3" width="13.140625" bestFit="1" customWidth="1"/>
    <x:col min="4" max="6" width="12.85546875" bestFit="1" customWidth="1"/>
    <x:col min="7" max="7" width="12.5703125" customWidth="1"/>
    <x:col min="8" max="14" width="12.85546875" bestFit="1" customWidth="1"/>
    <x:col min="16" max="16" width="12.85546875" bestFit="1" customWidth="1"/>
  </x:cols>
  <x:sheetData>
    <x:row r="1" spans="1:16" ht="13.5" thickBot="1" x14ac:dyDescent="0.25">
      <x:c r="C1" s="775" t="s">
        <x:v>99</x:v>
      </x:c>
      <x:c r="D1" s="775"/>
      <x:c r="E1" s="775" t="s">
        <x:v>100</x:v>
      </x:c>
      <x:c r="F1" s="775"/>
      <x:c r="G1" s="775" t="s">
        <x:v>101</x:v>
      </x:c>
      <x:c r="H1" s="775"/>
      <x:c r="I1" s="775" t="s">
        <x:v>102</x:v>
      </x:c>
      <x:c r="J1" s="775"/>
      <x:c r="K1" s="775" t="s">
        <x:v>103</x:v>
      </x:c>
      <x:c r="L1" s="775"/>
      <x:c r="M1" s="775" t="s">
        <x:v>2</x:v>
      </x:c>
      <x:c r="N1" s="775"/>
    </x:row>
    <x:row r="2" spans="1:16" x14ac:dyDescent="0.2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5" thickBot="1" x14ac:dyDescent="0.2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5" thickBot="1" x14ac:dyDescent="0.2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5" x14ac:dyDescent="0.25">
      <x:c r="B8" s="208" t="s">
        <x:v>148</x:v>
      </x:c>
      <x:c r="C8" s="209"/>
    </x:row>
    <x:row r="9" spans="1:16" x14ac:dyDescent="0.2">
      <x:c r="C9" s="775" t="s">
        <x:v>99</x:v>
      </x:c>
      <x:c r="D9" s="775"/>
      <x:c r="E9" s="775" t="s">
        <x:v>100</x:v>
      </x:c>
      <x:c r="F9" s="775"/>
      <x:c r="G9" s="775" t="s">
        <x:v>101</x:v>
      </x:c>
      <x:c r="H9" s="775"/>
      <x:c r="I9" s="775" t="s">
        <x:v>102</x:v>
      </x:c>
      <x:c r="J9" s="775"/>
      <x:c r="K9" s="775" t="s">
        <x:v>103</x:v>
      </x:c>
      <x:c r="L9" s="775"/>
      <x:c r="M9" s="775" t="s">
        <x:v>2</x:v>
      </x:c>
      <x:c r="N9" s="775"/>
    </x:row>
    <x:row r="10" spans="1:16" x14ac:dyDescent="0.2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">
      <x:c r="E14" s="212"/>
    </x:row>
    <x:row r="16" spans="1:16" ht="15" x14ac:dyDescent="0.25">
      <x:c r="B16" s="208" t="s">
        <x:v>153</x:v>
      </x:c>
      <x:c r="C16" s="209"/>
    </x:row>
    <x:row r="17" spans="2:14" x14ac:dyDescent="0.2">
      <x:c r="C17" s="775" t="s">
        <x:v>99</x:v>
      </x:c>
      <x:c r="D17" s="775"/>
      <x:c r="E17" s="775" t="s">
        <x:v>100</x:v>
      </x:c>
      <x:c r="F17" s="775"/>
      <x:c r="G17" s="775" t="s">
        <x:v>101</x:v>
      </x:c>
      <x:c r="H17" s="775"/>
      <x:c r="I17" s="775" t="s">
        <x:v>102</x:v>
      </x:c>
      <x:c r="J17" s="775"/>
      <x:c r="K17" s="775" t="s">
        <x:v>103</x:v>
      </x:c>
      <x:c r="L17" s="775"/>
      <x:c r="M17" s="775" t="s">
        <x:v>2</x:v>
      </x:c>
      <x:c r="N17" s="775"/>
    </x:row>
    <x:row r="18" spans="2:14" x14ac:dyDescent="0.2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5" x14ac:dyDescent="0.25">
      <x:c r="B24" s="208" t="s">
        <x:v>154</x:v>
      </x:c>
      <x:c r="C24" s="209"/>
    </x:row>
    <x:row r="25" spans="2:14" x14ac:dyDescent="0.2">
      <x:c r="C25" s="775" t="s">
        <x:v>99</x:v>
      </x:c>
      <x:c r="D25" s="775"/>
      <x:c r="E25" s="775" t="s">
        <x:v>100</x:v>
      </x:c>
      <x:c r="F25" s="775"/>
      <x:c r="G25" s="775" t="s">
        <x:v>101</x:v>
      </x:c>
      <x:c r="H25" s="775"/>
      <x:c r="I25" s="775" t="s">
        <x:v>102</x:v>
      </x:c>
      <x:c r="J25" s="775"/>
      <x:c r="K25" s="775" t="s">
        <x:v>103</x:v>
      </x:c>
      <x:c r="L25" s="775"/>
      <x:c r="M25" s="775" t="s">
        <x:v>2</x:v>
      </x:c>
      <x:c r="N25" s="775"/>
    </x:row>
    <x:row r="26" spans="2:14" x14ac:dyDescent="0.2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">
      <x:c r="B32" s="209" t="s">
        <x:v>155</x:v>
      </x:c>
    </x:row>
    <x:row r="33" spans="2:14" x14ac:dyDescent="0.2">
      <x:c r="C33" s="775" t="s">
        <x:v>99</x:v>
      </x:c>
      <x:c r="D33" s="775"/>
      <x:c r="E33" s="775" t="s">
        <x:v>100</x:v>
      </x:c>
      <x:c r="F33" s="775"/>
      <x:c r="G33" s="775" t="s">
        <x:v>101</x:v>
      </x:c>
      <x:c r="H33" s="775"/>
      <x:c r="I33" s="775" t="s">
        <x:v>102</x:v>
      </x:c>
      <x:c r="J33" s="775"/>
      <x:c r="K33" s="775" t="s">
        <x:v>103</x:v>
      </x:c>
      <x:c r="L33" s="775"/>
      <x:c r="M33" s="775" t="s">
        <x:v>2</x:v>
      </x:c>
      <x:c r="N33" s="775"/>
    </x:row>
    <x:row r="34" spans="2:14" x14ac:dyDescent="0.2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">
      <x:c r="L39" s="212"/>
    </x:row>
    <x:row r="40" spans="2:14" x14ac:dyDescent="0.2">
      <x:c r="B40" s="742" t="s">
        <x:v>326</x:v>
      </x:c>
    </x:row>
    <x:row r="41" spans="2:14" x14ac:dyDescent="0.2">
      <x:c r="C41" s="775" t="s">
        <x:v>99</x:v>
      </x:c>
      <x:c r="D41" s="775"/>
      <x:c r="E41" s="775" t="s">
        <x:v>100</x:v>
      </x:c>
      <x:c r="F41" s="775"/>
      <x:c r="G41" s="775" t="s">
        <x:v>101</x:v>
      </x:c>
      <x:c r="H41" s="775"/>
      <x:c r="I41" s="775" t="s">
        <x:v>102</x:v>
      </x:c>
      <x:c r="J41" s="775"/>
      <x:c r="K41" s="775" t="s">
        <x:v>103</x:v>
      </x:c>
      <x:c r="L41" s="775"/>
      <x:c r="M41" s="775" t="s">
        <x:v>2</x:v>
      </x:c>
      <x:c r="N41" s="775"/>
    </x:row>
    <x:row r="42" spans="2:14" x14ac:dyDescent="0.2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85546875" bestFit="1" customWidth="1"/>
    <x:col min="4" max="4" width="1.85546875" style="238" customWidth="1"/>
    <x:col min="5" max="5" width="14.85546875" customWidth="1"/>
    <x:col min="6" max="6" width="15.85546875" bestFit="1" customWidth="1"/>
    <x:col min="7" max="7" width="1.85546875" style="238" customWidth="1"/>
    <x:col min="8" max="8" width="9.140625" customWidth="1"/>
    <x:col min="9" max="9" width="15.85546875" bestFit="1" customWidth="1"/>
    <x:col min="10" max="10" width="1.85546875" style="238" customWidth="1"/>
    <x:col min="11" max="11" width="14.140625" customWidth="1"/>
    <x:col min="12" max="12" width="17.42578125" customWidth="1"/>
    <x:col min="13" max="13" width="1.85546875" style="238" customWidth="1"/>
    <x:col min="14" max="14" width="14.140625" customWidth="1"/>
    <x:col min="15" max="15" width="17.42578125" customWidth="1"/>
    <x:col min="16" max="16" width="1.85546875" style="238" customWidth="1"/>
    <x:col min="17" max="17" width="20.140625" customWidth="1"/>
    <x:col min="18" max="18" width="15.85546875" bestFit="1" customWidth="1"/>
    <x:col min="19" max="19" width="3.5703125" customWidth="1"/>
    <x:col min="20" max="20" width="48.42578125" bestFit="1" customWidth="1"/>
  </x:cols>
  <x:sheetData>
    <x:row r="1" spans="2:20" ht="13.5" thickBot="1" x14ac:dyDescent="0.2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75" thickBot="1" x14ac:dyDescent="0.2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5" thickBot="1" x14ac:dyDescent="0.25"/>
    <x:row r="11" spans="2:20" ht="48.75" thickBot="1" x14ac:dyDescent="0.2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5" thickBot="1" x14ac:dyDescent="0.25"/>
    <x:row r="20" spans="2:20" ht="36.75" thickBot="1" x14ac:dyDescent="0.2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75" x14ac:dyDescent="0.2"/>
  <x:cols>
    <x:col min="3" max="3" width="11.42578125" style="123"/>
    <x:col min="4" max="4" width="19.140625" customWidth="1"/>
    <x:col min="5" max="5" width="18.140625" customWidth="1"/>
    <x:col min="6" max="7" width="18" customWidth="1"/>
    <x:col min="8" max="8" width="27.85546875" customWidth="1"/>
    <x:col min="9" max="9" width="33.5703125" customWidth="1"/>
    <x:col min="13" max="13" width="28.42578125" customWidth="1"/>
    <x:col min="17" max="17" width="12.85546875" bestFit="1" customWidth="1"/>
  </x:cols>
  <x:sheetData>
    <x:row r="1" spans="1:17" ht="13.5" thickBot="1" x14ac:dyDescent="0.25">
      <x:c r="H1" s="503" t="s">
        <x:v>1</x:v>
      </x:c>
    </x:row>
    <x:row r="2" spans="1:17" ht="15.75" thickBot="1" x14ac:dyDescent="0.3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">
      <x:c r="C3" s="126">
        <x:v>1</x:v>
      </x:c>
      <x:c r="D3" s="592" t="n">
        <x:v>-6605539132.03</x:v>
      </x:c>
      <x:c r="E3" s="592" t="n">
        <x:v>2104037571.68</x:v>
      </x:c>
      <x:c r="F3" s="593">
        <x:f>D3+E3</x:f>
        <x:v>0</x:v>
      </x:c>
      <x:c r="G3" s="499"/>
      <x:c r="H3" s="612">
        <x:f>DetRetri2026092!J9</x:f>
        <x:v>0</x:v>
      </x:c>
      <x:c r="I3" s="276">
        <x:f>F3-H3</x:f>
        <x:v>0</x:v>
      </x:c>
    </x:row>
    <x:row r="4" spans="1:17" x14ac:dyDescent="0.2">
      <x:c r="C4" s="124">
        <x:v>2</x:v>
      </x:c>
      <x:c r="D4" s="602" t="n">
        <x:v>-5508937940.43</x:v>
      </x:c>
      <x:c r="E4" s="602" t="n">
        <x:v>1958630031.95</x:v>
      </x:c>
      <x:c r="F4" s="593">
        <x:f>D4+E4</x:f>
        <x:v>0</x:v>
      </x:c>
      <x:c r="G4" s="499"/>
      <x:c r="H4" s="613">
        <x:f>DetRetri2026092!J10</x:f>
        <x:v>0</x:v>
      </x:c>
      <x:c r="I4" s="276">
        <x:f t="shared" ref="I4:I7" si="0">F4-H4</x:f>
        <x:v>0</x:v>
      </x:c>
    </x:row>
    <x:row r="5" spans="1:17" x14ac:dyDescent="0.2">
      <x:c r="C5" s="124">
        <x:v>3</x:v>
      </x:c>
      <x:c r="D5" s="602" t="n">
        <x:v>-2064265725.78</x:v>
      </x:c>
      <x:c r="E5" s="602" t="n">
        <x:v>1313675966.18</x:v>
      </x:c>
      <x:c r="F5" s="593">
        <x:f>D5+E5</x:f>
        <x:v>0</x:v>
      </x:c>
      <x:c r="G5" s="499"/>
      <x:c r="H5" s="613">
        <x:f>DetRetri2026092!J11</x:f>
        <x:v>0</x:v>
      </x:c>
      <x:c r="I5" s="276">
        <x:f t="shared" si="0"/>
        <x:v>0</x:v>
      </x:c>
    </x:row>
    <x:row r="6" spans="1:17" x14ac:dyDescent="0.2">
      <x:c r="C6" s="124">
        <x:v>4</x:v>
      </x:c>
      <x:c r="D6" s="602" t="n">
        <x:v>-2588275637.6</x:v>
      </x:c>
      <x:c r="E6" s="602" t="n">
        <x:v>1874134698.24</x:v>
      </x:c>
      <x:c r="F6" s="593">
        <x:f>D6+E6</x:f>
        <x:v>0</x:v>
      </x:c>
      <x:c r="G6" s="499"/>
      <x:c r="H6" s="613">
        <x:f>DetRetri2026092!J12</x:f>
        <x:v>0</x:v>
      </x:c>
      <x:c r="I6" s="276">
        <x:f t="shared" si="0"/>
        <x:v>0</x:v>
      </x:c>
    </x:row>
    <x:row r="7" spans="1:17" ht="13.5" thickBot="1" x14ac:dyDescent="0.25">
      <x:c r="C7" s="125">
        <x:v>5</x:v>
      </x:c>
      <x:c r="D7" s="603" t="n">
        <x:v>-1235874660.54</x:v>
      </x:c>
      <x:c r="E7" s="603" t="n">
        <x:v>1137635768.6</x:v>
      </x:c>
      <x:c r="F7" s="594">
        <x:f>D7+E7</x:f>
        <x:v>0</x:v>
      </x:c>
      <x:c r="G7" s="499"/>
      <x:c r="H7" s="614">
        <x:f>DetRetri2026092!J13</x:f>
        <x:v>0</x:v>
      </x:c>
      <x:c r="I7" s="276">
        <x:f t="shared" si="0"/>
        <x:v>0</x:v>
      </x:c>
    </x:row>
    <x:row r="8" spans="1:17" ht="13.5" thickBot="1" x14ac:dyDescent="0.25">
      <x:c r="D8" s="144"/>
      <x:c r="E8" s="144"/>
      <x:c r="F8" s="144"/>
      <x:c r="G8" s="500"/>
      <x:c r="H8" s="143"/>
      <x:c r="I8" s="276"/>
    </x:row>
    <x:row r="9" spans="1:17" ht="13.5" thickBot="1" x14ac:dyDescent="0.2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5" thickBot="1" x14ac:dyDescent="0.25">
      <x:c r="D10" s="144"/>
      <x:c r="E10" s="144"/>
      <x:c r="F10" s="144"/>
      <x:c r="G10" s="500"/>
      <x:c r="H10" s="265" t="b">
        <x:f>H9=DetRetri2026092!J14</x:f>
        <x:v>1</x:v>
      </x:c>
    </x:row>
    <x:row r="11" spans="1:17" ht="13.5" thickBot="1" x14ac:dyDescent="0.2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">
      <x:c r="D12" s="144"/>
      <x:c r="E12" s="144"/>
      <x:c r="F12" s="265" t="b">
        <x:f>ROUND(F11,2)=ROUND(F9,2)</x:f>
        <x:v>1</x:v>
      </x:c>
      <x:c r="H12" s="144"/>
    </x:row>
    <x:row r="13" spans="1:17" x14ac:dyDescent="0.2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">
      <x:c r="H14" s="143"/>
      <x:c r="I14" s="137"/>
    </x:row>
    <x:row r="15" spans="1:17" x14ac:dyDescent="0.2">
      <x:c r="H15" s="143"/>
      <x:c r="I15" s="137"/>
    </x:row>
    <x:row r="16" spans="1:17" x14ac:dyDescent="0.2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5" thickBot="1" x14ac:dyDescent="0.25">
      <x:c r="D17" s="266"/>
      <x:c r="E17" s="266"/>
      <x:c r="F17" s="266"/>
      <x:c r="G17" s="266"/>
      <x:c r="H17" s="143"/>
      <x:c r="I17" s="137"/>
    </x:row>
    <x:row r="18" spans="4:9" ht="15.75" thickBot="1" x14ac:dyDescent="0.3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5" thickBot="1" x14ac:dyDescent="0.2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5" thickBot="1" x14ac:dyDescent="0.2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">
      <x:c r="F26" s="137"/>
    </x:row>
    <x:row r="28" spans="4:9" x14ac:dyDescent="0.2">
      <x:c r="F28" s="266"/>
    </x:row>
    <x:row r="29" spans="4:9" x14ac:dyDescent="0.2">
      <x:c r="F29" s="266"/>
    </x:row>
    <x:row r="30" spans="4:9" x14ac:dyDescent="0.2">
      <x:c r="F30" s="266"/>
    </x:row>
    <x:row r="31" spans="4:9" x14ac:dyDescent="0.2">
      <x:c r="F31" s="266"/>
    </x:row>
    <x:row r="32" spans="4:9" x14ac:dyDescent="0.2">
      <x:c r="F32" s="266"/>
    </x:row>
    <x:row r="33" spans="6:7" x14ac:dyDescent="0.2">
      <x:c r="F33" s="266"/>
    </x:row>
    <x:row r="34" spans="6:7" x14ac:dyDescent="0.2">
      <x:c r="F34" s="266"/>
      <x:c r="G34" s="137"/>
    </x:row>
    <x:row r="35" spans="6:7" x14ac:dyDescent="0.2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843"/>
  <x:sheetViews>
    <x:sheetView zoomScale="90" zoomScaleNormal="90" workbookViewId="0">
      <x:pane ySplit="5" topLeftCell="A6" activePane="bottomLeft" state="frozen"/>
      <x:selection activeCell="D22" sqref="D22"/>
      <x:selection pane="bottomLeft" activeCell="A6" sqref="A6"/>
    </x:sheetView>
  </x:sheetViews>
  <x:sheetFormatPr baseColWidth="10" defaultRowHeight="12.75" x14ac:dyDescent="0.2"/>
  <x:cols>
    <x:col min="1" max="1" width="13.85546875" customWidth="1"/>
    <x:col min="2" max="2" width="16.85546875" customWidth="1"/>
    <x:col min="3" max="3" width="15.85546875" bestFit="1" customWidth="1"/>
    <x:col min="4" max="4" width="16.85546875" bestFit="1" customWidth="1"/>
    <x:col min="5" max="5" width="17" bestFit="1" customWidth="1"/>
    <x:col min="6" max="6" width="17.42578125" bestFit="1" customWidth="1"/>
    <x:col min="7" max="7" width="16.85546875" bestFit="1" customWidth="1"/>
    <x:col min="8" max="8" width="16.140625" bestFit="1" customWidth="1"/>
    <x:col min="9" max="9" width="19.140625" customWidth="1"/>
    <x:col min="10" max="10" width="17" customWidth="1"/>
    <x:col min="11" max="11" width="17.140625" bestFit="1" customWidth="1"/>
    <x:col min="12" max="12" width="22.42578125" bestFit="1" customWidth="1"/>
    <x:col min="13" max="13" width="16.85546875" bestFit="1" customWidth="1"/>
    <x:col min="14" max="14" width="20.42578125" bestFit="1" customWidth="1"/>
    <x:col min="15" max="15" width="20.42578125" customWidth="1"/>
    <x:col min="16" max="16" width="20.42578125" bestFit="1" customWidth="1"/>
    <x:col min="17" max="17" width="25.140625" customWidth="1"/>
    <x:col min="18" max="18" width="17.140625" customWidth="1"/>
    <x:col min="19" max="19" width="24" customWidth="1"/>
    <x:col min="20" max="22" width="23.85546875" customWidth="1"/>
    <x:col min="23" max="24" width="20" bestFit="1" customWidth="1"/>
    <x:col min="25" max="25" width="18.85546875" customWidth="1"/>
    <x:col min="26" max="26" width="14.140625" bestFit="1" customWidth="1"/>
  </x:cols>
  <x:sheetData>
    <x:row r="1" spans="2:26" x14ac:dyDescent="0.2">
      <x:c r="F1" s="638"/>
    </x:row>
    <x:row r="3" spans="2:26" s="238" customFormat="1" x14ac:dyDescent="0.2"/>
    <x:row r="4" spans="2:26" ht="13.5" customHeight="1" x14ac:dyDescent="0.2">
      <x:c r="B4" s="97" t="s">
        <x:v>74</x:v>
      </x:c>
    </x:row>
    <x:row r="5" spans="2:26" ht="12" customHeight="1" x14ac:dyDescent="0.2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">
      <x:c r="E6" t="s">
        <x:v>72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  <x:c r="P6" s="90">
        <x:v>0</x:v>
      </x:c>
      <x:c r="Q6" s="90">
        <x:v>0</x:v>
      </x:c>
      <x:c r="R6" s="90">
        <x:v>0</x:v>
      </x:c>
      <x:c r="S6" s="90">
        <x:v>0</x:v>
      </x:c>
      <x:c r="T6" s="90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>
        <x:v>0</x:v>
      </x:c>
    </x:row>
    <x:row r="7" spans="2:26" x14ac:dyDescent="0.2">
      <x:c r="D7" t="s">
        <x:v>156</x:v>
      </x:c>
      <x:c r="E7" t="s">
        <x:v>70</x:v>
      </x:c>
      <x:c r="F7" s="90">
        <x:v>0</x:v>
      </x:c>
      <x:c r="G7" s="90">
        <x:v>0</x:v>
      </x:c>
      <x:c r="H7" s="90">
        <x:v>0</x:v>
      </x:c>
      <x:c r="I7" s="90">
        <x:v>0</x:v>
      </x:c>
      <x:c r="J7" s="90">
        <x:v>0</x:v>
      </x:c>
      <x:c r="K7" s="90">
        <x:v>0</x:v>
      </x:c>
      <x:c r="L7" s="90">
        <x:v>0</x:v>
      </x:c>
      <x:c r="M7" s="90">
        <x:v>0</x:v>
      </x:c>
      <x:c r="N7" s="90">
        <x:v>0</x:v>
      </x:c>
      <x:c r="O7" s="90">
        <x:v>0</x:v>
      </x:c>
      <x:c r="P7" s="90">
        <x:v>0</x:v>
      </x:c>
      <x:c r="Q7" s="90">
        <x:v>0</x:v>
      </x:c>
      <x:c r="R7" s="90">
        <x:v>0</x:v>
      </x:c>
      <x:c r="S7" s="90">
        <x:v>0</x:v>
      </x:c>
      <x:c r="T7" s="90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>
        <x:v>0</x:v>
      </x:c>
    </x:row>
    <x:row r="8" spans="2:26" s="286" customFormat="1" x14ac:dyDescent="0.2">
      <x:c r="C8" s="286" t="s">
        <x:v>155</x:v>
      </x:c>
      <x:c r="D8" s="286" t="s">
        <x:v>70</x:v>
      </x:c>
      <x:c r="F8" s="230">
        <x:v>0</x:v>
      </x:c>
      <x:c r="G8" s="230">
        <x:v>0</x:v>
      </x:c>
      <x:c r="H8" s="230">
        <x:v>0</x:v>
      </x:c>
      <x:c r="I8" s="230">
        <x:v>0</x:v>
      </x:c>
      <x:c r="J8" s="230">
        <x:v>0</x:v>
      </x:c>
      <x:c r="K8" s="230">
        <x:v>0</x:v>
      </x:c>
      <x:c r="L8" s="230">
        <x:v>0</x:v>
      </x:c>
      <x:c r="M8" s="230">
        <x:v>0</x:v>
      </x:c>
      <x:c r="N8" s="230">
        <x:v>0</x:v>
      </x:c>
      <x:c r="O8" s="230">
        <x:v>0</x:v>
      </x:c>
      <x:c r="P8" s="230">
        <x:v>0</x:v>
      </x:c>
      <x:c r="Q8" s="230">
        <x:v>0</x:v>
      </x:c>
      <x:c r="R8" s="230">
        <x:v>0</x:v>
      </x:c>
      <x:c r="S8" s="230">
        <x:v>0</x:v>
      </x:c>
      <x:c r="T8" s="230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>
        <x:v>0</x:v>
      </x:c>
    </x:row>
    <x:row r="9" spans="2:26" ht="12.75" customHeight="1" x14ac:dyDescent="0.2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">
      <x:c r="E11" s="89" t="s">
        <x:v>72</x:v>
      </x:c>
      <x:c r="F11" s="371" t="n">
        <x:v>-17225.21</x:v>
      </x:c>
      <x:c r="G11" s="90" t="n">
        <x:v>-1127.52</x:v>
      </x:c>
      <x:c r="H11" s="90" t="n">
        <x:v>-479</x:v>
      </x:c>
      <x:c r="I11" s="90" t="n">
        <x:v>-209.2</x:v>
      </x:c>
      <x:c r="J11" s="90" t="n">
        <x:v>-3072.3</x:v>
      </x:c>
      <x:c r="K11" s="90" t="n">
        <x:v>-198.78</x:v>
      </x:c>
      <x:c r="L11" s="90" t="n">
        <x:v>0</x:v>
      </x:c>
      <x:c r="M11" s="90" t="n">
        <x:v>-1743.38</x:v>
      </x:c>
      <x:c r="N11" s="90" t="n">
        <x:v>-1458.17</x:v>
      </x:c>
      <x:c r="O11" s="90" t="n">
        <x:v>-5823.96</x:v>
      </x:c>
      <x:c r="P11" s="90" t="n">
        <x:v>-2788.6</x:v>
      </x:c>
      <x:c r="Q11" s="90" t="n">
        <x:v>-324.3</x:v>
      </x:c>
      <x:c r="R11" s="90" t="n">
        <x:v>0</x:v>
      </x:c>
      <x:c r="S11" s="90" t="n">
        <x:v>0</x:v>
      </x:c>
      <x:c r="T11" s="90" t="n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2">
      <x:c r="D12" t="s">
        <x:v>86</x:v>
      </x:c>
      <x:c r="E12" s="89" t="s">
        <x:v>70</x:v>
      </x:c>
      <x:c r="F12" s="371" t="n">
        <x:v>-17225.21</x:v>
      </x:c>
      <x:c r="G12" s="90" t="n">
        <x:v>-1127.52</x:v>
      </x:c>
      <x:c r="H12" s="90" t="n">
        <x:v>-479</x:v>
      </x:c>
      <x:c r="I12" s="90" t="n">
        <x:v>-209.2</x:v>
      </x:c>
      <x:c r="J12" s="90" t="n">
        <x:v>-3072.3</x:v>
      </x:c>
      <x:c r="K12" s="90" t="n">
        <x:v>-198.78</x:v>
      </x:c>
      <x:c r="L12" s="90" t="n">
        <x:v>0</x:v>
      </x:c>
      <x:c r="M12" s="90" t="n">
        <x:v>-1743.38</x:v>
      </x:c>
      <x:c r="N12" s="90" t="n">
        <x:v>-1458.17</x:v>
      </x:c>
      <x:c r="O12" s="90" t="n">
        <x:v>-5823.96</x:v>
      </x:c>
      <x:c r="P12" s="90" t="n">
        <x:v>-2788.6</x:v>
      </x:c>
      <x:c r="Q12" s="90" t="n">
        <x:v>-324.3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>
        <x:v>0</x:v>
      </x:c>
    </x:row>
    <x:row r="13" spans="2:26" ht="12.75" customHeight="1" x14ac:dyDescent="0.2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">
      <x:c r="C15" s="101" t="s">
        <x:v>119</x:v>
      </x:c>
      <x:c r="D15" s="101" t="s">
        <x:v>70</x:v>
      </x:c>
      <x:c r="F15" s="93" t="n">
        <x:v>-17225.21</x:v>
      </x:c>
      <x:c r="G15" s="93" t="n">
        <x:v>-1127.52</x:v>
      </x:c>
      <x:c r="H15" s="93" t="n">
        <x:v>-479</x:v>
      </x:c>
      <x:c r="I15" s="93" t="n">
        <x:v>-209.2</x:v>
      </x:c>
      <x:c r="J15" s="93" t="n">
        <x:v>-3072.3</x:v>
      </x:c>
      <x:c r="K15" s="93" t="n">
        <x:v>-198.78</x:v>
      </x:c>
      <x:c r="L15" s="93" t="n">
        <x:v>0</x:v>
      </x:c>
      <x:c r="M15" s="93" t="n">
        <x:v>-1743.38</x:v>
      </x:c>
      <x:c r="N15" s="93" t="n">
        <x:v>-1458.17</x:v>
      </x:c>
      <x:c r="O15" s="93" t="n">
        <x:v>-5823.96</x:v>
      </x:c>
      <x:c r="P15" s="93" t="n">
        <x:v>-2788.6</x:v>
      </x:c>
      <x:c r="Q15" s="93" t="n">
        <x:v>-324.3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>
        <x:v>0</x:v>
      </x:c>
    </x:row>
    <x:row r="16" spans="2:26" ht="12.75" customHeight="1" x14ac:dyDescent="0.2">
      <x:c r="B16" t="s">
        <x:v>112</x:v>
      </x:c>
      <x:c r="C16" t="s">
        <x:v>70</x:v>
      </x:c>
      <x:c r="E16" s="89"/>
      <x:c r="F16" s="371" t="n">
        <x:v>-17225.21</x:v>
      </x:c>
      <x:c r="G16" s="90" t="n">
        <x:v>-1127.52</x:v>
      </x:c>
      <x:c r="H16" s="90" t="n">
        <x:v>-479</x:v>
      </x:c>
      <x:c r="I16" s="90" t="n">
        <x:v>-209.2</x:v>
      </x:c>
      <x:c r="J16" s="90" t="n">
        <x:v>-3072.3</x:v>
      </x:c>
      <x:c r="K16" s="90" t="n">
        <x:v>-198.78</x:v>
      </x:c>
      <x:c r="L16" s="90" t="n">
        <x:v>0</x:v>
      </x:c>
      <x:c r="M16" s="90" t="n">
        <x:v>-1743.38</x:v>
      </x:c>
      <x:c r="N16" s="90" t="n">
        <x:v>-1458.17</x:v>
      </x:c>
      <x:c r="O16" s="90" t="n">
        <x:v>-5823.96</x:v>
      </x:c>
      <x:c r="P16" s="90" t="n">
        <x:v>-2788.6</x:v>
      </x:c>
      <x:c r="Q16" s="90" t="n">
        <x:v>-324.3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>
        <x:v>0</x:v>
      </x:c>
    </x:row>
    <x:row r="17" spans="1:26" s="458" customFormat="1" ht="12.75" customHeight="1" x14ac:dyDescent="0.2">
      <x:c r="A17" s="458" t="s">
        <x:v>186</x:v>
      </x:c>
      <x:c r="B17" s="458" t="s">
        <x:v>70</x:v>
      </x:c>
      <x:c r="F17" s="458" t="n">
        <x:v>-17225.21</x:v>
      </x:c>
      <x:c r="G17" s="458" t="n">
        <x:v>-1127.52</x:v>
      </x:c>
      <x:c r="H17" s="458" t="n">
        <x:v>-479</x:v>
      </x:c>
      <x:c r="I17" s="458" t="n">
        <x:v>-209.2</x:v>
      </x:c>
      <x:c r="J17" s="458" t="n">
        <x:v>-3072.3</x:v>
      </x:c>
      <x:c r="K17" s="458" t="n">
        <x:v>-198.78</x:v>
      </x:c>
      <x:c r="L17" s="458" t="n">
        <x:v>0</x:v>
      </x:c>
      <x:c r="M17" s="458" t="n">
        <x:v>-1743.38</x:v>
      </x:c>
      <x:c r="N17" s="458" t="n">
        <x:v>-1458.17</x:v>
      </x:c>
      <x:c r="O17" s="458" t="n">
        <x:v>-5823.96</x:v>
      </x:c>
      <x:c r="P17" s="458" t="n">
        <x:v>-2788.6</x:v>
      </x:c>
      <x:c r="Q17" s="458" t="n">
        <x:v>-324.3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>
        <x:v>0</x:v>
      </x:c>
    </x:row>
    <x:row r="18" spans="1:26" x14ac:dyDescent="0.2">
      <x:c r="E18" t="s">
        <x:v>72</x:v>
      </x:c>
      <x:c r="F18" s="90">
        <x:v>0</x:v>
      </x:c>
      <x:c r="G18" s="90">
        <x:v>0</x:v>
      </x:c>
      <x:c r="H18" s="90">
        <x:v>0</x:v>
      </x:c>
      <x:c r="I18" s="90">
        <x:v>0</x:v>
      </x:c>
      <x:c r="J18" s="90">
        <x:v>0</x:v>
      </x:c>
      <x:c r="K18" s="90">
        <x:v>0</x:v>
      </x:c>
      <x:c r="L18" s="90">
        <x:v>0</x:v>
      </x:c>
      <x:c r="M18" s="90">
        <x:v>0</x:v>
      </x:c>
      <x:c r="N18" s="90">
        <x:v>0</x:v>
      </x:c>
      <x:c r="O18" s="90">
        <x:v>0</x:v>
      </x:c>
      <x:c r="P18" s="90">
        <x:v>0</x:v>
      </x:c>
      <x:c r="Q18" s="90">
        <x:v>0</x:v>
      </x:c>
      <x:c r="R18" s="90">
        <x:v>0</x:v>
      </x:c>
      <x:c r="S18" s="90">
        <x:v>0</x:v>
      </x:c>
      <x:c r="T18" s="90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>
        <x:v>0</x:v>
      </x:c>
    </x:row>
    <x:row r="19" spans="1:26" x14ac:dyDescent="0.2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">
      <x:c r="D20" t="s">
        <x:v>156</x:v>
      </x:c>
      <x:c r="E20" t="s">
        <x:v>70</x:v>
      </x:c>
      <x:c r="F20" s="90">
        <x:v>0</x:v>
      </x:c>
      <x:c r="G20" s="90">
        <x:v>0</x:v>
      </x:c>
      <x:c r="H20" s="90">
        <x:v>0</x:v>
      </x:c>
      <x:c r="I20" s="90">
        <x:v>0</x:v>
      </x:c>
      <x:c r="J20" s="90">
        <x:v>0</x:v>
      </x:c>
      <x:c r="K20" s="90">
        <x:v>0</x:v>
      </x:c>
      <x:c r="L20" s="90">
        <x:v>0</x:v>
      </x:c>
      <x:c r="M20" s="90">
        <x:v>0</x:v>
      </x:c>
      <x:c r="N20" s="90">
        <x:v>0</x:v>
      </x:c>
      <x:c r="O20" s="90">
        <x:v>0</x:v>
      </x:c>
      <x:c r="P20" s="90">
        <x:v>0</x:v>
      </x:c>
      <x:c r="Q20" s="90">
        <x:v>0</x:v>
      </x:c>
      <x:c r="R20" s="90">
        <x:v>0</x:v>
      </x:c>
      <x:c r="S20" s="90">
        <x:v>0</x:v>
      </x:c>
      <x:c r="T20" s="90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>
        <x:v>0</x:v>
      </x:c>
    </x:row>
    <x:row r="21" spans="1:26" s="286" customFormat="1" x14ac:dyDescent="0.2">
      <x:c r="C21" s="286" t="s">
        <x:v>155</x:v>
      </x:c>
      <x:c r="D21" s="286" t="s">
        <x:v>70</x:v>
      </x:c>
      <x:c r="F21" s="230">
        <x:v>0</x:v>
      </x:c>
      <x:c r="G21" s="230">
        <x:v>0</x:v>
      </x:c>
      <x:c r="H21" s="230">
        <x:v>0</x:v>
      </x:c>
      <x:c r="I21" s="230">
        <x:v>0</x:v>
      </x:c>
      <x:c r="J21" s="230">
        <x:v>0</x:v>
      </x:c>
      <x:c r="K21" s="230">
        <x:v>0</x:v>
      </x:c>
      <x:c r="L21" s="230">
        <x:v>0</x:v>
      </x:c>
      <x:c r="M21" s="230">
        <x:v>0</x:v>
      </x:c>
      <x:c r="N21" s="230">
        <x:v>0</x:v>
      </x:c>
      <x:c r="O21" s="230">
        <x:v>0</x:v>
      </x:c>
      <x:c r="P21" s="230">
        <x:v>0</x:v>
      </x:c>
      <x:c r="Q21" s="230">
        <x:v>0</x:v>
      </x:c>
      <x:c r="R21" s="230">
        <x:v>0</x:v>
      </x:c>
      <x:c r="S21" s="230">
        <x:v>0</x:v>
      </x:c>
      <x:c r="T21" s="230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>
        <x:v>0</x:v>
      </x:c>
    </x:row>
    <x:row r="22" spans="1:26" x14ac:dyDescent="0.2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 s="90">
        <x:v>0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">
      <x:c r="D24" t="s">
        <x:v>156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0</x:v>
      </x:c>
      <x:c r="R24" s="90">
        <x:v>0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s="739" customFormat="1" ht="12.75" customHeight="1" x14ac:dyDescent="0.2">
      <x:c r="C25" s="739" t="s">
        <x:v>326</x:v>
      </x:c>
      <x:c r="D25" s="739" t="s">
        <x:v>70</x:v>
      </x:c>
      <x:c r="E25" s="231"/>
      <x:c r="F25" s="740">
        <x:v>0</x:v>
      </x:c>
      <x:c r="G25" s="232">
        <x:v>0</x:v>
      </x:c>
      <x:c r="H25" s="232">
        <x:v>0</x:v>
      </x:c>
      <x:c r="I25" s="232">
        <x:v>0</x:v>
      </x:c>
      <x:c r="J25" s="232">
        <x:v>0</x:v>
      </x:c>
      <x:c r="K25" s="232">
        <x:v>0</x:v>
      </x:c>
      <x:c r="L25" s="232">
        <x:v>0</x:v>
      </x:c>
      <x:c r="M25" s="232">
        <x:v>0</x:v>
      </x:c>
      <x:c r="N25" s="232">
        <x:v>0</x:v>
      </x:c>
      <x:c r="O25" s="232">
        <x:v>0</x:v>
      </x:c>
      <x:c r="P25" s="232">
        <x:v>0</x:v>
      </x:c>
      <x:c r="Q25" s="232">
        <x:v>0</x:v>
      </x:c>
      <x:c r="R25" s="232">
        <x:v>0</x:v>
      </x:c>
      <x:c r="S25" s="232">
        <x:v>0</x:v>
      </x:c>
      <x:c r="T25" s="739">
        <x:v>0</x:v>
      </x:c>
      <x:c r="U25" s="739">
        <x:v>0</x:v>
      </x:c>
      <x:c r="V25" s="739">
        <x:v>0</x:v>
      </x:c>
      <x:c r="W25" s="739">
        <x:v>0</x:v>
      </x:c>
      <x:c r="X25" s="739">
        <x:v>0</x:v>
      </x:c>
      <x:c r="Y25" s="739">
        <x:v>0</x:v>
      </x:c>
      <x:c r="Z25" s="739">
        <x:v>0</x:v>
      </x:c>
    </x:row>
    <x:row r="26" spans="1:26" x14ac:dyDescent="0.2">
      <x:c r="E26" t="s">
        <x:v>72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370.08</x:v>
      </x:c>
      <x:c r="R26" s="90">
        <x:v>-1.95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">
      <x:c r="E27" t="s">
        <x:v>81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7.0000000000000007E-2</x:v>
      </x:c>
      <x:c r="R27" s="90">
        <x:v>0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x14ac:dyDescent="0.2">
      <x:c r="D28" t="s">
        <x:v>82</x:v>
      </x:c>
      <x:c r="E28" t="s">
        <x:v>70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370.15</x:v>
      </x:c>
      <x:c r="R28" s="90">
        <x:v>-1.95</x:v>
      </x:c>
      <x:c r="S28" s="90">
        <x:v>0</x:v>
      </x:c>
      <x:c r="T28" s="90">
        <x:v>0</x:v>
      </x:c>
      <x:c r="U28">
        <x:v>0</x:v>
      </x:c>
      <x:c r="V28">
        <x:v>0</x:v>
      </x:c>
      <x:c r="W28">
        <x:v>0</x:v>
      </x:c>
      <x:c r="X28">
        <x:v>0</x:v>
      </x:c>
      <x:c r="Y28">
        <x:v>0</x:v>
      </x:c>
      <x:c r="Z28" s="90">
        <x:v>0</x:v>
      </x:c>
    </x:row>
    <x:row r="29" spans="1:26" x14ac:dyDescent="0.2">
      <x:c r="E29" t="s">
        <x:v>72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370.08</x:v>
      </x:c>
      <x:c r="R29" s="90">
        <x:v>-1.95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x14ac:dyDescent="0.2">
      <x:c r="E30" t="s">
        <x:v>81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7.0000000000000007E-2</x:v>
      </x:c>
      <x:c r="R30" s="90">
        <x:v>0</x:v>
      </x:c>
      <x:c r="S30" s="90">
        <x:v>0</x:v>
      </x:c>
      <x:c r="T30" s="90">
        <x:v>0</x:v>
      </x:c>
      <x:c r="U30">
        <x:v>0</x:v>
      </x:c>
      <x:c r="V30">
        <x:v>0</x:v>
      </x:c>
      <x:c r="W30">
        <x:v>0</x:v>
      </x:c>
      <x:c r="X30">
        <x:v>0</x:v>
      </x:c>
      <x:c r="Y30">
        <x:v>0</x:v>
      </x:c>
      <x:c r="Z30" s="90">
        <x:v>0</x:v>
      </x:c>
    </x:row>
    <x:row r="31" spans="1:26" x14ac:dyDescent="0.2">
      <x:c r="D31" t="s">
        <x:v>86</x:v>
      </x:c>
      <x:c r="E31" t="s">
        <x:v>70</x:v>
      </x:c>
      <x:c r="F31" s="90">
        <x:v>0</x:v>
      </x:c>
      <x:c r="G31" s="90">
        <x:v>0</x:v>
      </x:c>
      <x:c r="H31" s="90">
        <x:v>0</x:v>
      </x:c>
      <x:c r="I31" s="90">
        <x:v>0</x:v>
      </x:c>
      <x:c r="J31" s="90">
        <x:v>0</x:v>
      </x:c>
      <x:c r="K31" s="90">
        <x:v>0</x:v>
      </x:c>
      <x:c r="L31" s="90">
        <x:v>0</x:v>
      </x:c>
      <x:c r="M31" s="90">
        <x:v>0</x:v>
      </x:c>
      <x:c r="N31" s="90">
        <x:v>0</x:v>
      </x:c>
      <x:c r="O31" s="90">
        <x:v>0</x:v>
      </x:c>
      <x:c r="P31" s="90">
        <x:v>0</x:v>
      </x:c>
      <x:c r="Q31" s="90">
        <x:v>370.15</x:v>
      </x:c>
      <x:c r="R31" s="90">
        <x:v>-1.95</x:v>
      </x:c>
      <x:c r="S31" s="90">
        <x:v>0</x:v>
      </x:c>
      <x:c r="T31" s="90">
        <x:v>0</x:v>
      </x:c>
      <x:c r="U31">
        <x:v>0</x:v>
      </x:c>
      <x:c r="V31">
        <x:v>0</x:v>
      </x:c>
      <x:c r="W31">
        <x:v>0</x:v>
      </x:c>
      <x:c r="X31">
        <x:v>0</x:v>
      </x:c>
      <x:c r="Y31">
        <x:v>0</x:v>
      </x:c>
      <x:c r="Z31" s="90">
        <x:v>0</x:v>
      </x:c>
    </x:row>
    <x:row r="32" spans="1:26" ht="12.75" customHeight="1" x14ac:dyDescent="0.2">
      <x:c r="E32" s="89" t="s">
        <x:v>72</x:v>
      </x:c>
      <x:c r="F32" s="371" t="n">
        <x:v>40070</x:v>
      </x:c>
      <x:c r="G32" s="90" t="n">
        <x:v>1956.64</x:v>
      </x:c>
      <x:c r="H32" s="90" t="n">
        <x:v>1090.23</x:v>
      </x:c>
      <x:c r="I32" s="90" t="n">
        <x:v>579.83</x:v>
      </x:c>
      <x:c r="J32" s="90" t="n">
        <x:v>9781.04</x:v>
      </x:c>
      <x:c r="K32" s="90" t="n">
        <x:v>359.68</x:v>
      </x:c>
      <x:c r="L32" s="90" t="n">
        <x:v>0</x:v>
      </x:c>
      <x:c r="M32" s="90" t="n">
        <x:v>3155.11</x:v>
      </x:c>
      <x:c r="N32" s="90" t="n">
        <x:v>3024.18</x:v>
      </x:c>
      <x:c r="O32" s="90" t="n">
        <x:v>14196.18</x:v>
      </x:c>
      <x:c r="P32" s="90" t="n">
        <x:v>5344.07</x:v>
      </x:c>
      <x:c r="Q32" s="90" t="n">
        <x:v>586.85</x:v>
      </x:c>
      <x:c r="R32" s="90" t="n">
        <x:v>-3.81</x:v>
      </x:c>
      <x:c r="S32" s="90" t="n">
        <x:v>0</x:v>
      </x:c>
      <x:c r="T32" s="90" t="n">
        <x:v>0</x:v>
      </x:c>
      <x:c r="U32" s="90">
        <x:v>0</x:v>
      </x:c>
      <x:c r="V32" s="90">
        <x:v>0</x:v>
      </x:c>
      <x:c r="W32" s="90">
        <x:v>0</x:v>
      </x:c>
      <x:c r="X32" s="90">
        <x:v>0</x:v>
      </x:c>
      <x:c r="Y32" s="90">
        <x:v>0</x:v>
      </x:c>
      <x:c r="Z32" s="90">
        <x:v>0</x:v>
      </x:c>
    </x:row>
    <x:row r="33" spans="2:26" x14ac:dyDescent="0.2">
      <x:c r="E33" t="s">
        <x:v>81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 s="90">
        <x:v>0</x:v>
      </x:c>
      <x:c r="S33" s="90">
        <x:v>0</x:v>
      </x:c>
      <x:c r="T33" s="90">
        <x:v>0</x:v>
      </x:c>
      <x:c r="U33">
        <x:v>0</x:v>
      </x:c>
      <x:c r="V33">
        <x:v>0</x:v>
      </x:c>
      <x:c r="W33">
        <x:v>0</x:v>
      </x:c>
      <x:c r="X33">
        <x:v>0</x:v>
      </x:c>
      <x:c r="Y33">
        <x:v>0</x:v>
      </x:c>
      <x:c r="Z33" s="90">
        <x:v>0</x:v>
      </x:c>
    </x:row>
    <x:row r="34" spans="2:26" ht="12.75" customHeight="1" x14ac:dyDescent="0.2">
      <x:c r="D34" t="s">
        <x:v>87</x:v>
      </x:c>
      <x:c r="E34" s="89" t="s">
        <x:v>70</x:v>
      </x:c>
      <x:c r="F34" s="371" t="n">
        <x:v>40070</x:v>
      </x:c>
      <x:c r="G34" s="90" t="n">
        <x:v>1956.64</x:v>
      </x:c>
      <x:c r="H34" s="90" t="n">
        <x:v>1090.23</x:v>
      </x:c>
      <x:c r="I34" s="90" t="n">
        <x:v>579.83</x:v>
      </x:c>
      <x:c r="J34" s="90" t="n">
        <x:v>9781.04</x:v>
      </x:c>
      <x:c r="K34" s="90" t="n">
        <x:v>359.68</x:v>
      </x:c>
      <x:c r="L34" s="90" t="n">
        <x:v>0</x:v>
      </x:c>
      <x:c r="M34" s="90" t="n">
        <x:v>3155.11</x:v>
      </x:c>
      <x:c r="N34" s="90" t="n">
        <x:v>3024.18</x:v>
      </x:c>
      <x:c r="O34" s="90" t="n">
        <x:v>14196.18</x:v>
      </x:c>
      <x:c r="P34" s="90" t="n">
        <x:v>5344.07</x:v>
      </x:c>
      <x:c r="Q34" s="90" t="n">
        <x:v>586.85</x:v>
      </x:c>
      <x:c r="R34" s="90" t="n">
        <x:v>-3.81</x:v>
      </x:c>
      <x:c r="S34" s="90" t="n">
        <x:v>0</x:v>
      </x:c>
      <x:c r="T34" s="90" t="n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>
        <x:v>0</x:v>
      </x:c>
    </x:row>
    <x:row r="35" spans="2:26" s="94" customFormat="1" ht="12.75" customHeight="1" x14ac:dyDescent="0.2">
      <x:c r="C35" s="101" t="s">
        <x:v>119</x:v>
      </x:c>
      <x:c r="D35" s="101" t="s">
        <x:v>70</x:v>
      </x:c>
      <x:c r="F35" s="93" t="n">
        <x:v>40070</x:v>
      </x:c>
      <x:c r="G35" s="93" t="n">
        <x:v>1956.64</x:v>
      </x:c>
      <x:c r="H35" s="93" t="n">
        <x:v>1090.23</x:v>
      </x:c>
      <x:c r="I35" s="93" t="n">
        <x:v>579.83</x:v>
      </x:c>
      <x:c r="J35" s="93" t="n">
        <x:v>9781.04</x:v>
      </x:c>
      <x:c r="K35" s="93" t="n">
        <x:v>359.68</x:v>
      </x:c>
      <x:c r="L35" s="93" t="n">
        <x:v>0</x:v>
      </x:c>
      <x:c r="M35" s="93" t="n">
        <x:v>3155.11</x:v>
      </x:c>
      <x:c r="N35" s="93" t="n">
        <x:v>3024.18</x:v>
      </x:c>
      <x:c r="O35" s="93" t="n">
        <x:v>14196.18</x:v>
      </x:c>
      <x:c r="P35" s="93" t="n">
        <x:v>5344.07</x:v>
      </x:c>
      <x:c r="Q35" s="93" t="n">
        <x:v>586.85</x:v>
      </x:c>
      <x:c r="R35" s="93" t="n">
        <x:v>-3.81</x:v>
      </x:c>
      <x:c r="S35" s="93" t="n">
        <x:v>0</x:v>
      </x:c>
      <x:c r="T35" s="93" t="n">
        <x:v>0</x:v>
      </x:c>
      <x:c r="U35" s="93">
        <x:v>0</x:v>
      </x:c>
      <x:c r="V35" s="93">
        <x:v>0</x:v>
      </x:c>
      <x:c r="W35" s="93">
        <x:v>0</x:v>
      </x:c>
      <x:c r="X35" s="93">
        <x:v>0</x:v>
      </x:c>
      <x:c r="Y35" s="93">
        <x:v>0</x:v>
      </x:c>
      <x:c r="Z35" s="93">
        <x:v>0</x:v>
      </x:c>
    </x:row>
    <x:row r="36" spans="2:26" s="378" customFormat="1" ht="12.75" customHeight="1" x14ac:dyDescent="0.2">
      <x:c r="B36" s="378" t="s">
        <x:v>122</x:v>
      </x:c>
      <x:c r="C36" s="378" t="s">
        <x:v>70</x:v>
      </x:c>
      <x:c r="E36" s="376"/>
      <x:c r="F36" s="710" t="n">
        <x:v>40070</x:v>
      </x:c>
      <x:c r="G36" s="377" t="n">
        <x:v>1956.64</x:v>
      </x:c>
      <x:c r="H36" s="377" t="n">
        <x:v>1090.23</x:v>
      </x:c>
      <x:c r="I36" s="377" t="n">
        <x:v>579.83</x:v>
      </x:c>
      <x:c r="J36" s="377" t="n">
        <x:v>9781.04</x:v>
      </x:c>
      <x:c r="K36" s="377" t="n">
        <x:v>359.68</x:v>
      </x:c>
      <x:c r="L36" s="377" t="n">
        <x:v>0</x:v>
      </x:c>
      <x:c r="M36" s="377" t="n">
        <x:v>3155.11</x:v>
      </x:c>
      <x:c r="N36" s="377" t="n">
        <x:v>3024.18</x:v>
      </x:c>
      <x:c r="O36" s="377" t="n">
        <x:v>14196.18</x:v>
      </x:c>
      <x:c r="P36" s="377" t="n">
        <x:v>5344.07</x:v>
      </x:c>
      <x:c r="Q36" s="377" t="n">
        <x:v>586.85</x:v>
      </x:c>
      <x:c r="R36" s="377" t="n">
        <x:v>-3.81</x:v>
      </x:c>
      <x:c r="S36" s="377" t="n">
        <x:v>0</x:v>
      </x:c>
      <x:c r="T36" s="377" t="n">
        <x:v>0</x:v>
      </x:c>
      <x:c r="U36" s="377">
        <x:v>0</x:v>
      </x:c>
      <x:c r="V36" s="377">
        <x:v>0</x:v>
      </x:c>
      <x:c r="W36" s="377">
        <x:v>0</x:v>
      </x:c>
      <x:c r="X36" s="377">
        <x:v>0</x:v>
      </x:c>
      <x:c r="Y36" s="377">
        <x:v>0</x:v>
      </x:c>
      <x:c r="Z36" s="377">
        <x:v>0</x:v>
      </x:c>
    </x:row>
    <x:row r="37" spans="2:26" ht="12.75" customHeight="1" x14ac:dyDescent="0.2">
      <x:c r="E37" s="89" t="s">
        <x:v>72</x:v>
      </x:c>
      <x:c r="F37" s="371" t="n">
        <x:v>13820608192.74</x:v>
      </x:c>
      <x:c r="G37" s="90" t="n">
        <x:v>726090787.31</x:v>
      </x:c>
      <x:c r="H37" s="90" t="n">
        <x:v>404617594.93</x:v>
      </x:c>
      <x:c r="I37" s="90" t="n">
        <x:v>215076778.57</x:v>
      </x:c>
      <x:c r="J37" s="90" t="n">
        <x:v>3251668960.14</x:v>
      </x:c>
      <x:c r="K37" s="90" t="n">
        <x:v>122204718.22</x:v>
      </x:c>
      <x:c r="L37" s="90" t="n">
        <x:v>8899784.55</x:v>
      </x:c>
      <x:c r="M37" s="90" t="n">
        <x:v>1075306961.16</x:v>
      </x:c>
      <x:c r="N37" s="90" t="n">
        <x:v>1024459465.2</x:v>
      </x:c>
      <x:c r="O37" s="90" t="n">
        <x:v>4817580295.69</x:v>
      </x:c>
      <x:c r="P37" s="90" t="n">
        <x:v>1975185728.68</x:v>
      </x:c>
      <x:c r="Q37" s="90" t="n">
        <x:v>199408785.74</x:v>
      </x:c>
      <x:c r="R37" s="90" t="n">
        <x:v>108332.55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>
        <x:v>0</x:v>
      </x:c>
    </x:row>
    <x:row r="38" spans="2:26" ht="12.75" customHeight="1" x14ac:dyDescent="0.2">
      <x:c r="E38" s="89" t="s">
        <x:v>81</x:v>
      </x:c>
      <x:c r="F38" s="90" t="n">
        <x:v>2775510.52</x:v>
      </x:c>
      <x:c r="G38" s="90" t="n">
        <x:v>173184.52</x:v>
      </x:c>
      <x:c r="H38" s="90" t="n">
        <x:v>90025.64</x:v>
      </x:c>
      <x:c r="I38" s="90" t="n">
        <x:v>45834.86</x:v>
      </x:c>
      <x:c r="J38" s="90" t="n">
        <x:v>593178.71</x:v>
      </x:c>
      <x:c r="K38" s="90" t="n">
        <x:v>25683.52</x:v>
      </x:c>
      <x:c r="L38" s="90" t="n">
        <x:v>1137.27</x:v>
      </x:c>
      <x:c r="M38" s="90" t="n">
        <x:v>223805.96</x:v>
      </x:c>
      <x:c r="N38" s="90" t="n">
        <x:v>203715.02</x:v>
      </x:c>
      <x:c r="O38" s="90" t="n">
        <x:v>915969.2</x:v>
      </x:c>
      <x:c r="P38" s="90" t="n">
        <x:v>460731.85</x:v>
      </x:c>
      <x:c r="Q38" s="90" t="n">
        <x:v>41886.91</x:v>
      </x:c>
      <x:c r="R38" s="90" t="n">
        <x:v>287.49</x:v>
      </x:c>
      <x:c r="S38" s="90" t="n">
        <x:v>0</x:v>
      </x:c>
      <x:c r="T38" s="90" t="n">
        <x:v>69.57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>
        <x:v>0</x:v>
      </x:c>
    </x:row>
    <x:row r="39" spans="2:26" ht="12.75" customHeight="1" x14ac:dyDescent="0.2">
      <x:c r="D39" t="s">
        <x:v>156</x:v>
      </x:c>
      <x:c r="E39" s="89" t="s">
        <x:v>70</x:v>
      </x:c>
      <x:c r="F39" s="89" t="n">
        <x:v>13823383703.26</x:v>
      </x:c>
      <x:c r="G39" s="90" t="n">
        <x:v>726263971.83</x:v>
      </x:c>
      <x:c r="H39" s="90" t="n">
        <x:v>404707620.57</x:v>
      </x:c>
      <x:c r="I39" s="90" t="n">
        <x:v>215122613.43</x:v>
      </x:c>
      <x:c r="J39" s="90" t="n">
        <x:v>3252262138.85</x:v>
      </x:c>
      <x:c r="K39" s="90" t="n">
        <x:v>122230401.74</x:v>
      </x:c>
      <x:c r="L39" s="90" t="n">
        <x:v>8900921.82</x:v>
      </x:c>
      <x:c r="M39" s="90" t="n">
        <x:v>1075530767.12</x:v>
      </x:c>
      <x:c r="N39" s="90" t="n">
        <x:v>1024663180.22</x:v>
      </x:c>
      <x:c r="O39" s="90" t="n">
        <x:v>4818496264.89</x:v>
      </x:c>
      <x:c r="P39" s="90" t="n">
        <x:v>1975646460.53</x:v>
      </x:c>
      <x:c r="Q39" s="90" t="n">
        <x:v>199450672.65</x:v>
      </x:c>
      <x:c r="R39" s="90" t="n">
        <x:v>108620.04</x:v>
      </x:c>
      <x:c r="S39" s="90" t="n">
        <x:v>0</x:v>
      </x:c>
      <x:c r="T39" s="90" t="n">
        <x:v>69.57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>
        <x:v>0</x:v>
      </x:c>
    </x:row>
    <x:row r="40" spans="2:26" s="286" customFormat="1" ht="12.75" customHeight="1" x14ac:dyDescent="0.2">
      <x:c r="C40" s="286" t="s">
        <x:v>155</x:v>
      </x:c>
      <x:c r="D40" s="286" t="s">
        <x:v>70</x:v>
      </x:c>
      <x:c r="E40" s="229"/>
      <x:c r="F40" s="229" t="n">
        <x:v>13823383703.26</x:v>
      </x:c>
      <x:c r="G40" s="230" t="n">
        <x:v>726263971.83</x:v>
      </x:c>
      <x:c r="H40" s="230" t="n">
        <x:v>404707620.57</x:v>
      </x:c>
      <x:c r="I40" s="230" t="n">
        <x:v>215122613.43</x:v>
      </x:c>
      <x:c r="J40" s="230" t="n">
        <x:v>3252262138.85</x:v>
      </x:c>
      <x:c r="K40" s="230" t="n">
        <x:v>122230401.74</x:v>
      </x:c>
      <x:c r="L40" s="230" t="n">
        <x:v>8900921.82</x:v>
      </x:c>
      <x:c r="M40" s="230" t="n">
        <x:v>1075530767.12</x:v>
      </x:c>
      <x:c r="N40" s="230" t="n">
        <x:v>1024663180.22</x:v>
      </x:c>
      <x:c r="O40" s="230" t="n">
        <x:v>4818496264.89</x:v>
      </x:c>
      <x:c r="P40" s="230" t="n">
        <x:v>1975646460.53</x:v>
      </x:c>
      <x:c r="Q40" s="230" t="n">
        <x:v>199450672.65</x:v>
      </x:c>
      <x:c r="R40" s="230" t="n">
        <x:v>108620.04</x:v>
      </x:c>
      <x:c r="S40" s="230" t="n">
        <x:v>0</x:v>
      </x:c>
      <x:c r="T40" s="230" t="n">
        <x:v>69.57</x:v>
      </x:c>
      <x:c r="U40" s="230">
        <x:v>0</x:v>
      </x:c>
      <x:c r="V40" s="230">
        <x:v>0</x:v>
      </x:c>
      <x:c r="W40" s="230">
        <x:v>0</x:v>
      </x:c>
      <x:c r="X40" s="230">
        <x:v>0</x:v>
      </x:c>
      <x:c r="Y40" s="230">
        <x:v>0</x:v>
      </x:c>
      <x:c r="Z40" s="230">
        <x:v>0</x:v>
      </x:c>
    </x:row>
    <x:row r="41" spans="2:26" ht="12.75" customHeight="1" x14ac:dyDescent="0.2">
      <x:c r="E41" s="89" t="s">
        <x:v>72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>
        <x:v>0</x:v>
      </x:c>
      <x:c r="U41">
        <x:v>0</x:v>
      </x:c>
      <x:c r="V41">
        <x:v>0</x:v>
      </x:c>
      <x:c r="W41">
        <x:v>0</x:v>
      </x:c>
      <x:c r="X41">
        <x:v>0</x:v>
      </x:c>
      <x:c r="Y41">
        <x:v>0</x:v>
      </x:c>
      <x:c r="Z41">
        <x:v>0</x:v>
      </x:c>
    </x:row>
    <x:row r="42" spans="2:26" ht="12.75" customHeight="1" x14ac:dyDescent="0.2">
      <x:c r="E42" s="89" t="s">
        <x:v>81</x:v>
      </x:c>
      <x:c r="F42" s="371">
        <x:v>0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>
        <x:v>0</x:v>
      </x:c>
      <x:c r="U42">
        <x:v>0</x:v>
      </x:c>
      <x:c r="V42">
        <x:v>0</x:v>
      </x:c>
      <x:c r="W42">
        <x:v>0</x:v>
      </x:c>
      <x:c r="X42">
        <x:v>0</x:v>
      </x:c>
      <x:c r="Y42">
        <x:v>0</x:v>
      </x:c>
      <x:c r="Z42">
        <x:v>0</x:v>
      </x:c>
    </x:row>
    <x:row r="43" spans="2:26" ht="12.75" customHeight="1" x14ac:dyDescent="0.2">
      <x:c r="D43" t="s">
        <x:v>156</x:v>
      </x:c>
      <x:c r="E43" s="89" t="s">
        <x:v>70</x:v>
      </x:c>
      <x:c r="F43" s="371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>
        <x:v>0</x:v>
      </x:c>
      <x:c r="U43">
        <x:v>0</x:v>
      </x:c>
      <x:c r="V43">
        <x:v>0</x:v>
      </x:c>
      <x:c r="W43">
        <x:v>0</x:v>
      </x:c>
      <x:c r="X43">
        <x:v>0</x:v>
      </x:c>
      <x:c r="Y43">
        <x:v>0</x:v>
      </x:c>
      <x:c r="Z43">
        <x:v>0</x:v>
      </x:c>
    </x:row>
    <x:row r="44" spans="2:26" s="739" customFormat="1" ht="12.75" customHeight="1" x14ac:dyDescent="0.2">
      <x:c r="C44" s="739" t="s">
        <x:v>326</x:v>
      </x:c>
      <x:c r="D44" s="739" t="s">
        <x:v>70</x:v>
      </x:c>
      <x:c r="E44" s="231"/>
      <x:c r="F44" s="740">
        <x:v>0</x:v>
      </x:c>
      <x:c r="G44" s="232">
        <x:v>0</x:v>
      </x:c>
      <x:c r="H44" s="232">
        <x:v>0</x:v>
      </x:c>
      <x:c r="I44" s="232">
        <x:v>0</x:v>
      </x:c>
      <x:c r="J44" s="232">
        <x:v>0</x:v>
      </x:c>
      <x:c r="K44" s="232">
        <x:v>0</x:v>
      </x:c>
      <x:c r="L44" s="232">
        <x:v>0</x:v>
      </x:c>
      <x:c r="M44" s="232">
        <x:v>0</x:v>
      </x:c>
      <x:c r="N44" s="232">
        <x:v>0</x:v>
      </x:c>
      <x:c r="O44" s="232">
        <x:v>0</x:v>
      </x:c>
      <x:c r="P44" s="232">
        <x:v>0</x:v>
      </x:c>
      <x:c r="Q44" s="232">
        <x:v>0</x:v>
      </x:c>
      <x:c r="R44" s="232">
        <x:v>0</x:v>
      </x:c>
      <x:c r="S44" s="232">
        <x:v>0</x:v>
      </x:c>
      <x:c r="T44" s="739">
        <x:v>0</x:v>
      </x:c>
      <x:c r="U44" s="739">
        <x:v>0</x:v>
      </x:c>
      <x:c r="V44" s="739">
        <x:v>0</x:v>
      </x:c>
      <x:c r="W44" s="739">
        <x:v>0</x:v>
      </x:c>
      <x:c r="X44" s="739">
        <x:v>0</x:v>
      </x:c>
      <x:c r="Y44" s="739">
        <x:v>0</x:v>
      </x:c>
      <x:c r="Z44" s="739">
        <x:v>0</x:v>
      </x:c>
    </x:row>
    <x:row r="45" spans="2:26" ht="12.75" customHeight="1" x14ac:dyDescent="0.2">
      <x:c r="E45" s="89" t="s">
        <x:v>72</x:v>
      </x:c>
      <x:c r="F45" s="89" t="n">
        <x:v>32423892.02</x:v>
      </x:c>
      <x:c r="G45" s="90" t="n">
        <x:v>2094905.09</x:v>
      </x:c>
      <x:c r="H45" s="90" t="n">
        <x:v>1163712.19</x:v>
      </x:c>
      <x:c r="I45" s="90" t="n">
        <x:v>616207.45</x:v>
      </x:c>
      <x:c r="J45" s="90" t="n">
        <x:v>6735190.78</x:v>
      </x:c>
      <x:c r="K45" s="90" t="n">
        <x:v>225631.74</x:v>
      </x:c>
      <x:c r="L45" s="90" t="n">
        <x:v>0</x:v>
      </x:c>
      <x:c r="M45" s="90" t="n">
        <x:v>1960612.4</x:v>
      </x:c>
      <x:c r="N45" s="90" t="n">
        <x:v>2382394.71</x:v>
      </x:c>
      <x:c r="O45" s="90" t="n">
        <x:v>11164315.84</x:v>
      </x:c>
      <x:c r="P45" s="90" t="n">
        <x:v>5712544.19</x:v>
      </x:c>
      <x:c r="Q45" s="90" t="n">
        <x:v>368628.92</x:v>
      </x:c>
      <x:c r="R45" s="90" t="n">
        <x:v>-251.29</x:v>
      </x:c>
      <x:c r="S45" s="90" t="n">
        <x:v>0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>
        <x:v>0</x:v>
      </x:c>
    </x:row>
    <x:row r="46" spans="2:26" ht="12.75" customHeight="1" x14ac:dyDescent="0.2">
      <x:c r="E46" s="89" t="s">
        <x:v>81</x:v>
      </x:c>
      <x:c r="F46" s="90" t="n">
        <x:v>103289.61</x:v>
      </x:c>
      <x:c r="G46" s="90" t="n">
        <x:v>6294.04</x:v>
      </x:c>
      <x:c r="H46" s="90" t="n">
        <x:v>3163.57</x:v>
      </x:c>
      <x:c r="I46" s="90" t="n">
        <x:v>1714.05</x:v>
      </x:c>
      <x:c r="J46" s="90" t="n">
        <x:v>22356.07</x:v>
      </x:c>
      <x:c r="K46" s="90" t="n">
        <x:v>784.39</x:v>
      </x:c>
      <x:c r="L46" s="90" t="n">
        <x:v>0</x:v>
      </x:c>
      <x:c r="M46" s="90" t="n">
        <x:v>6905.15</x:v>
      </x:c>
      <x:c r="N46" s="90" t="n">
        <x:v>7794.49</x:v>
      </x:c>
      <x:c r="O46" s="90" t="n">
        <x:v>35934.39</x:v>
      </x:c>
      <x:c r="P46" s="90" t="n">
        <x:v>17009.19</x:v>
      </x:c>
      <x:c r="Q46" s="90" t="n">
        <x:v>1280.21</x:v>
      </x:c>
      <x:c r="R46" s="90" t="n">
        <x:v>53.94</x:v>
      </x:c>
      <x:c r="S46" s="90" t="n">
        <x:v>0</x:v>
      </x:c>
      <x:c r="T46" s="90" t="n">
        <x:v>0.12</x:v>
      </x:c>
      <x:c r="U46" s="90">
        <x:v>0</x:v>
      </x:c>
      <x:c r="V46" s="90">
        <x:v>0</x:v>
      </x:c>
      <x:c r="W46" s="90">
        <x:v>0</x:v>
      </x:c>
      <x:c r="X46" s="90">
        <x:v>0</x:v>
      </x:c>
      <x:c r="Y46" s="90">
        <x:v>0</x:v>
      </x:c>
      <x:c r="Z46" s="90">
        <x:v>0</x:v>
      </x:c>
    </x:row>
    <x:row r="47" spans="2:26" ht="12.75" customHeight="1" x14ac:dyDescent="0.2">
      <x:c r="D47" s="89" t="s">
        <x:v>82</x:v>
      </x:c>
      <x:c r="E47" s="89" t="s">
        <x:v>70</x:v>
      </x:c>
      <x:c r="F47" s="90" t="n">
        <x:v>32527181.63</x:v>
      </x:c>
      <x:c r="G47" s="90" t="n">
        <x:v>2101199.13</x:v>
      </x:c>
      <x:c r="H47" s="90" t="n">
        <x:v>1166875.76</x:v>
      </x:c>
      <x:c r="I47" s="90" t="n">
        <x:v>617921.5</x:v>
      </x:c>
      <x:c r="J47" s="90" t="n">
        <x:v>6757546.85</x:v>
      </x:c>
      <x:c r="K47" s="90" t="n">
        <x:v>226416.13</x:v>
      </x:c>
      <x:c r="L47" s="90" t="n">
        <x:v>0</x:v>
      </x:c>
      <x:c r="M47" s="90" t="n">
        <x:v>1967517.55</x:v>
      </x:c>
      <x:c r="N47" s="90" t="n">
        <x:v>2390189.2</x:v>
      </x:c>
      <x:c r="O47" s="90" t="n">
        <x:v>11200250.23</x:v>
      </x:c>
      <x:c r="P47" s="90" t="n">
        <x:v>5729553.38</x:v>
      </x:c>
      <x:c r="Q47" s="90" t="n">
        <x:v>369909.13</x:v>
      </x:c>
      <x:c r="R47" s="90" t="n">
        <x:v>-197.35</x:v>
      </x:c>
      <x:c r="S47" s="90" t="n">
        <x:v>0</x:v>
      </x:c>
      <x:c r="T47" s="90" t="n">
        <x:v>0.12</x:v>
      </x:c>
      <x:c r="U47" s="90">
        <x:v>0</x:v>
      </x:c>
      <x:c r="V47" s="90">
        <x:v>0</x:v>
      </x:c>
      <x:c r="W47" s="90">
        <x:v>0</x:v>
      </x:c>
      <x:c r="X47" s="90">
        <x:v>0</x:v>
      </x:c>
      <x:c r="Y47" s="90">
        <x:v>0</x:v>
      </x:c>
      <x:c r="Z47" s="90">
        <x:v>0</x:v>
      </x:c>
    </x:row>
    <x:row r="48" spans="2:26" ht="12.75" customHeight="1" x14ac:dyDescent="0.2">
      <x:c r="E48" s="89" t="s">
        <x:v>72</x:v>
      </x:c>
      <x:c r="F48" s="90" t="n">
        <x:v>95497576.43</x:v>
      </x:c>
      <x:c r="G48" s="90" t="n">
        <x:v>11573780.65</x:v>
      </x:c>
      <x:c r="H48" s="90" t="n">
        <x:v>6315699.4</x:v>
      </x:c>
      <x:c r="I48" s="90" t="n">
        <x:v>3344368.98</x:v>
      </x:c>
      <x:c r="J48" s="90" t="n">
        <x:v>11196861.92</x:v>
      </x:c>
      <x:c r="K48" s="90" t="n">
        <x:v>506065.73</x:v>
      </x:c>
      <x:c r="L48" s="90" t="n">
        <x:v>135643.06</x:v>
      </x:c>
      <x:c r="M48" s="90" t="n">
        <x:v>4492396.42</x:v>
      </x:c>
      <x:c r="N48" s="90" t="n">
        <x:v>4604644.28</x:v>
      </x:c>
      <x:c r="O48" s="90" t="n">
        <x:v>20948918.02</x:v>
      </x:c>
      <x:c r="P48" s="90" t="n">
        <x:v>31553962.9</x:v>
      </x:c>
      <x:c r="Q48" s="90" t="n">
        <x:v>825687.23</x:v>
      </x:c>
      <x:c r="R48" s="90" t="n">
        <x:v>-452.16</x:v>
      </x:c>
      <x:c r="S48" s="90" t="n">
        <x:v>0</x:v>
      </x:c>
      <x:c r="T48" s="90" t="n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>
        <x:v>0</x:v>
      </x:c>
    </x:row>
    <x:row r="49" spans="1:26" ht="12.75" customHeight="1" x14ac:dyDescent="0.2">
      <x:c r="E49" s="89" t="s">
        <x:v>81</x:v>
      </x:c>
      <x:c r="F49" s="90" t="n">
        <x:v>165198.17</x:v>
      </x:c>
      <x:c r="G49" s="90" t="n">
        <x:v>9910.54</x:v>
      </x:c>
      <x:c r="H49" s="90" t="n">
        <x:v>4898.7</x:v>
      </x:c>
      <x:c r="I49" s="90" t="n">
        <x:v>2681.95</x:v>
      </x:c>
      <x:c r="J49" s="90" t="n">
        <x:v>31220.87</x:v>
      </x:c>
      <x:c r="K49" s="90" t="n">
        <x:v>1643.89</x:v>
      </x:c>
      <x:c r="L49" s="90" t="n">
        <x:v>0</x:v>
      </x:c>
      <x:c r="M49" s="90" t="n">
        <x:v>14419.27</x:v>
      </x:c>
      <x:c r="N49" s="90" t="n">
        <x:v>13134.82</x:v>
      </x:c>
      <x:c r="O49" s="90" t="n">
        <x:v>57844.58</x:v>
      </x:c>
      <x:c r="P49" s="90" t="n">
        <x:v>26763.02</x:v>
      </x:c>
      <x:c r="Q49" s="90" t="n">
        <x:v>2681.01</x:v>
      </x:c>
      <x:c r="R49" s="90" t="n">
        <x:v>-0.59</x:v>
      </x:c>
      <x:c r="S49" s="90" t="n">
        <x:v>0</x:v>
      </x:c>
      <x:c r="T49" s="90" t="n">
        <x:v>0.11</x:v>
      </x:c>
      <x:c r="U49" s="90">
        <x:v>0</x:v>
      </x:c>
      <x:c r="V49" s="90">
        <x:v>0</x:v>
      </x:c>
      <x:c r="W49" s="90">
        <x:v>0</x:v>
      </x:c>
      <x:c r="X49" s="90">
        <x:v>0</x:v>
      </x:c>
      <x:c r="Y49" s="90">
        <x:v>0</x:v>
      </x:c>
      <x:c r="Z49" s="90">
        <x:v>0</x:v>
      </x:c>
    </x:row>
    <x:row r="50" spans="1:26" ht="12.75" customHeight="1" x14ac:dyDescent="0.2">
      <x:c r="D50" s="89" t="s">
        <x:v>86</x:v>
      </x:c>
      <x:c r="E50" s="89" t="s">
        <x:v>70</x:v>
      </x:c>
      <x:c r="F50" s="90" t="n">
        <x:v>95662774.6</x:v>
      </x:c>
      <x:c r="G50" s="90" t="n">
        <x:v>11583691.19</x:v>
      </x:c>
      <x:c r="H50" s="90" t="n">
        <x:v>6320598.1</x:v>
      </x:c>
      <x:c r="I50" s="90" t="n">
        <x:v>3347050.93</x:v>
      </x:c>
      <x:c r="J50" s="90" t="n">
        <x:v>11228082.79</x:v>
      </x:c>
      <x:c r="K50" s="90" t="n">
        <x:v>507709.62</x:v>
      </x:c>
      <x:c r="L50" s="90" t="n">
        <x:v>135643.06</x:v>
      </x:c>
      <x:c r="M50" s="90" t="n">
        <x:v>4506815.69</x:v>
      </x:c>
      <x:c r="N50" s="90" t="n">
        <x:v>4617779.1</x:v>
      </x:c>
      <x:c r="O50" s="90" t="n">
        <x:v>21006762.6</x:v>
      </x:c>
      <x:c r="P50" s="90" t="n">
        <x:v>31580725.92</x:v>
      </x:c>
      <x:c r="Q50" s="90" t="n">
        <x:v>828368.24</x:v>
      </x:c>
      <x:c r="R50" s="90" t="n">
        <x:v>-452.75</x:v>
      </x:c>
      <x:c r="S50" s="90" t="n">
        <x:v>0</x:v>
      </x:c>
      <x:c r="T50" s="90" t="n">
        <x:v>0.11</x:v>
      </x:c>
      <x:c r="U50" s="90">
        <x:v>0</x:v>
      </x:c>
      <x:c r="V50" s="90">
        <x:v>0</x:v>
      </x:c>
      <x:c r="W50" s="90">
        <x:v>0</x:v>
      </x:c>
      <x:c r="X50" s="90">
        <x:v>0</x:v>
      </x:c>
      <x:c r="Y50" s="90">
        <x:v>0</x:v>
      </x:c>
      <x:c r="Z50" s="90">
        <x:v>0</x:v>
      </x:c>
    </x:row>
    <x:row r="51" spans="1:26" ht="12.75" customHeight="1" x14ac:dyDescent="0.2">
      <x:c r="C51" s="89"/>
      <x:c r="D51" s="89"/>
      <x:c r="E51" t="s">
        <x:v>72</x:v>
      </x:c>
      <x:c r="F51" s="90" t="n">
        <x:v>458999415.72</x:v>
      </x:c>
      <x:c r="G51" s="90" t="n">
        <x:v>72781451.87</x:v>
      </x:c>
      <x:c r="H51" s="90" t="n">
        <x:v>40662719.53</x:v>
      </x:c>
      <x:c r="I51" s="90" t="n">
        <x:v>21480324.12</x:v>
      </x:c>
      <x:c r="J51" s="90" t="n">
        <x:v>34870260.67</x:v>
      </x:c>
      <x:c r="K51" s="90" t="n">
        <x:v>898680.48</x:v>
      </x:c>
      <x:c r="L51" s="90" t="n">
        <x:v>19324973.24</x:v>
      </x:c>
      <x:c r="M51" s="90" t="n">
        <x:v>7870315.87</x:v>
      </x:c>
      <x:c r="N51" s="90" t="n">
        <x:v>10737962.68</x:v>
      </x:c>
      <x:c r="O51" s="90" t="n">
        <x:v>50379165.2</x:v>
      </x:c>
      <x:c r="P51" s="90" t="n">
        <x:v>198528817.94</x:v>
      </x:c>
      <x:c r="Q51" s="90" t="n">
        <x:v>1466127.88</x:v>
      </x:c>
      <x:c r="R51" s="90" t="n">
        <x:v>-1383.76</x:v>
      </x:c>
      <x:c r="S51" s="90" t="n">
        <x:v>0</x:v>
      </x:c>
      <x:c r="T51" s="90" t="n">
        <x:v>0</x:v>
      </x:c>
      <x:c r="U51" s="90">
        <x:v>0</x:v>
      </x:c>
      <x:c r="V51" s="90">
        <x:v>0</x:v>
      </x:c>
      <x:c r="W51" s="90">
        <x:v>0</x:v>
      </x:c>
      <x:c r="X51" s="90">
        <x:v>0</x:v>
      </x:c>
      <x:c r="Y51" s="90">
        <x:v>0</x:v>
      </x:c>
      <x:c r="Z51" s="90">
        <x:v>0</x:v>
      </x:c>
    </x:row>
    <x:row r="52" spans="1:26" ht="12.75" customHeight="1" x14ac:dyDescent="0.2">
      <x:c r="B52" s="89"/>
      <x:c r="C52" s="89"/>
      <x:c r="E52" t="s">
        <x:v>81</x:v>
      </x:c>
      <x:c r="F52" s="90" t="n">
        <x:v>882023.55</x:v>
      </x:c>
      <x:c r="G52" s="90" t="n">
        <x:v>103988.24</x:v>
      </x:c>
      <x:c r="H52" s="90" t="n">
        <x:v>56003.01</x:v>
      </x:c>
      <x:c r="I52" s="90" t="n">
        <x:v>29383.84</x:v>
      </x:c>
      <x:c r="J52" s="90" t="n">
        <x:v>116356.97</x:v>
      </x:c>
      <x:c r="K52" s="90" t="n">
        <x:v>3816.91</x:v>
      </x:c>
      <x:c r="L52" s="90" t="n">
        <x:v>48754.08</x:v>
      </x:c>
      <x:c r="M52" s="90" t="n">
        <x:v>33492.66</x:v>
      </x:c>
      <x:c r="N52" s="90" t="n">
        <x:v>37349.61</x:v>
      </x:c>
      <x:c r="O52" s="90" t="n">
        <x:v>164534.39</x:v>
      </x:c>
      <x:c r="P52" s="90" t="n">
        <x:v>282106.88</x:v>
      </x:c>
      <x:c r="Q52" s="90" t="n">
        <x:v>6236.98</x:v>
      </x:c>
      <x:c r="R52" s="90" t="n">
        <x:v>-0.08</x:v>
      </x:c>
      <x:c r="S52" s="90" t="n">
        <x:v>0.03</x:v>
      </x:c>
      <x:c r="T52" s="90" t="n">
        <x:v>0.03</x:v>
      </x:c>
      <x:c r="U52" s="90">
        <x:v>0</x:v>
      </x:c>
      <x:c r="V52" s="90">
        <x:v>0</x:v>
      </x:c>
      <x:c r="W52" s="90">
        <x:v>0</x:v>
      </x:c>
      <x:c r="X52" s="90">
        <x:v>0</x:v>
      </x:c>
      <x:c r="Y52" s="90">
        <x:v>0</x:v>
      </x:c>
      <x:c r="Z52" s="90">
        <x:v>0</x:v>
      </x:c>
    </x:row>
    <x:row r="53" spans="1:26" ht="12.75" customHeight="1" x14ac:dyDescent="0.2">
      <x:c r="C53" s="89"/>
      <x:c r="D53" s="89" t="s">
        <x:v>87</x:v>
      </x:c>
      <x:c r="E53" t="s">
        <x:v>70</x:v>
      </x:c>
      <x:c r="F53" s="90" t="n">
        <x:v>459881439.27</x:v>
      </x:c>
      <x:c r="G53" s="90" t="n">
        <x:v>72885440.11</x:v>
      </x:c>
      <x:c r="H53" s="90" t="n">
        <x:v>40718722.54</x:v>
      </x:c>
      <x:c r="I53" s="90" t="n">
        <x:v>21509707.96</x:v>
      </x:c>
      <x:c r="J53" s="90" t="n">
        <x:v>34986617.64</x:v>
      </x:c>
      <x:c r="K53" s="90" t="n">
        <x:v>902497.39</x:v>
      </x:c>
      <x:c r="L53" s="90" t="n">
        <x:v>19373727.32</x:v>
      </x:c>
      <x:c r="M53" s="90" t="n">
        <x:v>7903808.53</x:v>
      </x:c>
      <x:c r="N53" s="90" t="n">
        <x:v>10775312.29</x:v>
      </x:c>
      <x:c r="O53" s="90" t="n">
        <x:v>50543699.59</x:v>
      </x:c>
      <x:c r="P53" s="90" t="n">
        <x:v>198810924.82</x:v>
      </x:c>
      <x:c r="Q53" s="90" t="n">
        <x:v>1472364.86</x:v>
      </x:c>
      <x:c r="R53" s="90" t="n">
        <x:v>-1383.84</x:v>
      </x:c>
      <x:c r="S53" s="90" t="n">
        <x:v>0.03</x:v>
      </x:c>
      <x:c r="T53" s="90" t="n">
        <x:v>0.03</x:v>
      </x:c>
      <x:c r="U53" s="90">
        <x:v>0</x:v>
      </x:c>
      <x:c r="V53" s="90">
        <x:v>0</x:v>
      </x:c>
      <x:c r="W53" s="90">
        <x:v>0</x:v>
      </x:c>
      <x:c r="X53" s="90">
        <x:v>0</x:v>
      </x:c>
      <x:c r="Y53" s="90">
        <x:v>0</x:v>
      </x:c>
      <x:c r="Z53" s="90">
        <x:v>0</x:v>
      </x:c>
    </x:row>
    <x:row r="54" spans="1:26" s="94" customFormat="1" ht="12.75" customHeight="1" x14ac:dyDescent="0.2">
      <x:c r="C54" s="101" t="s">
        <x:v>119</x:v>
      </x:c>
      <x:c r="D54" s="101" t="s">
        <x:v>70</x:v>
      </x:c>
      <x:c r="F54" s="93" t="n">
        <x:v>588071395.5</x:v>
      </x:c>
      <x:c r="G54" s="93" t="n">
        <x:v>86570330.43</x:v>
      </x:c>
      <x:c r="H54" s="93" t="n">
        <x:v>48206196.4</x:v>
      </x:c>
      <x:c r="I54" s="93" t="n">
        <x:v>25474680.39</x:v>
      </x:c>
      <x:c r="J54" s="93" t="n">
        <x:v>52972247.28</x:v>
      </x:c>
      <x:c r="K54" s="93" t="n">
        <x:v>1636623.14</x:v>
      </x:c>
      <x:c r="L54" s="93" t="n">
        <x:v>19509370.38</x:v>
      </x:c>
      <x:c r="M54" s="93" t="n">
        <x:v>14378141.77</x:v>
      </x:c>
      <x:c r="N54" s="93" t="n">
        <x:v>17783280.59</x:v>
      </x:c>
      <x:c r="O54" s="93" t="n">
        <x:v>82750712.42</x:v>
      </x:c>
      <x:c r="P54" s="93" t="n">
        <x:v>236121204.12</x:v>
      </x:c>
      <x:c r="Q54" s="93" t="n">
        <x:v>2670642.23</x:v>
      </x:c>
      <x:c r="R54" s="93" t="n">
        <x:v>-2033.94</x:v>
      </x:c>
      <x:c r="S54" s="93" t="n">
        <x:v>0.03</x:v>
      </x:c>
      <x:c r="T54" s="93" t="n">
        <x:v>0.26</x:v>
      </x:c>
      <x:c r="U54" s="93">
        <x:v>0</x:v>
      </x:c>
      <x:c r="V54" s="93">
        <x:v>0</x:v>
      </x:c>
      <x:c r="W54" s="93">
        <x:v>0</x:v>
      </x:c>
      <x:c r="X54" s="93">
        <x:v>0</x:v>
      </x:c>
      <x:c r="Y54" s="93">
        <x:v>0</x:v>
      </x:c>
      <x:c r="Z54" s="93">
        <x:v>0</x:v>
      </x:c>
    </x:row>
    <x:row r="55" spans="1:26" s="226" customFormat="1" ht="12.75" customHeight="1" x14ac:dyDescent="0.2">
      <x:c r="B55" s="98" t="s">
        <x:v>112</x:v>
      </x:c>
      <x:c r="C55" s="98" t="s">
        <x:v>70</x:v>
      </x:c>
      <x:c r="F55" s="100" t="n">
        <x:v>14411455098.76</x:v>
      </x:c>
      <x:c r="G55" s="100" t="n">
        <x:v>812834302.26</x:v>
      </x:c>
      <x:c r="H55" s="100" t="n">
        <x:v>452913816.97</x:v>
      </x:c>
      <x:c r="I55" s="100" t="n">
        <x:v>240597293.82</x:v>
      </x:c>
      <x:c r="J55" s="100" t="n">
        <x:v>3305234386.13</x:v>
      </x:c>
      <x:c r="K55" s="100" t="n">
        <x:v>123867024.88</x:v>
      </x:c>
      <x:c r="L55" s="100" t="n">
        <x:v>28410292.2</x:v>
      </x:c>
      <x:c r="M55" s="100" t="n">
        <x:v>1089908908.89</x:v>
      </x:c>
      <x:c r="N55" s="100" t="n">
        <x:v>1042446460.81</x:v>
      </x:c>
      <x:c r="O55" s="100" t="n">
        <x:v>4901246977.31</x:v>
      </x:c>
      <x:c r="P55" s="100" t="n">
        <x:v>2211767664.65</x:v>
      </x:c>
      <x:c r="Q55" s="100" t="n">
        <x:v>202121314.88</x:v>
      </x:c>
      <x:c r="R55" s="100" t="n">
        <x:v>106586.1</x:v>
      </x:c>
      <x:c r="S55" s="100" t="n">
        <x:v>0.03</x:v>
      </x:c>
      <x:c r="T55" s="100" t="n">
        <x:v>69.83</x:v>
      </x:c>
      <x:c r="U55" s="100">
        <x:v>0</x:v>
      </x:c>
      <x:c r="V55" s="100">
        <x:v>0</x:v>
      </x:c>
      <x:c r="W55" s="100">
        <x:v>0</x:v>
      </x:c>
      <x:c r="X55" s="100">
        <x:v>0</x:v>
      </x:c>
      <x:c r="Y55" s="100">
        <x:v>0</x:v>
      </x:c>
      <x:c r="Z55" s="100">
        <x:v>0</x:v>
      </x:c>
    </x:row>
    <x:row r="56" spans="1:26" ht="12.6" customHeight="1" x14ac:dyDescent="0.2">
      <x:c r="A56" t="s">
        <x:v>78</x:v>
      </x:c>
      <x:c r="B56" t="s">
        <x:v>70</x:v>
      </x:c>
      <x:c r="E56" s="89"/>
      <x:c r="F56" s="89" t="n">
        <x:v>14411495168.76</x:v>
      </x:c>
      <x:c r="G56" s="90" t="n">
        <x:v>812836258.9</x:v>
      </x:c>
      <x:c r="H56" s="90" t="n">
        <x:v>452914907.2</x:v>
      </x:c>
      <x:c r="I56" s="90" t="n">
        <x:v>240597873.65</x:v>
      </x:c>
      <x:c r="J56" s="90" t="n">
        <x:v>3305244167.17</x:v>
      </x:c>
      <x:c r="K56" s="90" t="n">
        <x:v>123867384.56</x:v>
      </x:c>
      <x:c r="L56" s="90" t="n">
        <x:v>28410292.2</x:v>
      </x:c>
      <x:c r="M56" s="90" t="n">
        <x:v>1089912064</x:v>
      </x:c>
      <x:c r="N56" s="90" t="n">
        <x:v>1042449484.99</x:v>
      </x:c>
      <x:c r="O56" s="90" t="n">
        <x:v>4901261173.49</x:v>
      </x:c>
      <x:c r="P56" s="90" t="n">
        <x:v>2211773008.72</x:v>
      </x:c>
      <x:c r="Q56" s="90" t="n">
        <x:v>202121901.73</x:v>
      </x:c>
      <x:c r="R56" s="90" t="n">
        <x:v>106582.29</x:v>
      </x:c>
      <x:c r="S56" s="90" t="n">
        <x:v>0.03</x:v>
      </x:c>
      <x:c r="T56" s="90" t="n">
        <x:v>69.83</x:v>
      </x:c>
      <x:c r="U56" s="90">
        <x:v>0</x:v>
      </x:c>
      <x:c r="V56" s="90">
        <x:v>0</x:v>
      </x:c>
      <x:c r="W56" s="90">
        <x:v>0</x:v>
      </x:c>
      <x:c r="X56" s="90">
        <x:v>0</x:v>
      </x:c>
      <x:c r="Y56" s="90">
        <x:v>0</x:v>
      </x:c>
      <x:c r="Z56" s="90">
        <x:v>0</x:v>
      </x:c>
    </x:row>
    <x:row r="57" spans="1:26" x14ac:dyDescent="0.2">
      <x:c r="E57" t="s">
        <x:v>73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1:26" x14ac:dyDescent="0.2">
      <x:c r="D58" t="s">
        <x:v>156</x:v>
      </x:c>
      <x:c r="E58" t="s">
        <x:v>70</x:v>
      </x:c>
      <x:c r="F58" s="90">
        <x:v>0</x:v>
      </x:c>
      <x:c r="G58" s="90">
        <x:v>0</x:v>
      </x:c>
      <x:c r="H58" s="90">
        <x:v>0</x:v>
      </x:c>
      <x:c r="I58" s="90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  <x:c r="P58" s="90">
        <x:v>0</x:v>
      </x:c>
      <x:c r="Q58" s="90">
        <x:v>0</x:v>
      </x:c>
      <x:c r="R58" s="90">
        <x:v>0</x:v>
      </x:c>
      <x:c r="S58" s="90">
        <x:v>0</x:v>
      </x:c>
      <x:c r="T58" s="90">
        <x:v>0</x:v>
      </x:c>
      <x:c r="U58">
        <x:v>0</x:v>
      </x:c>
      <x:c r="V58">
        <x:v>0</x:v>
      </x:c>
      <x:c r="W58">
        <x:v>0</x:v>
      </x:c>
      <x:c r="X58">
        <x:v>0</x:v>
      </x:c>
      <x:c r="Y58">
        <x:v>0</x:v>
      </x:c>
      <x:c r="Z58" s="90">
        <x:v>0</x:v>
      </x:c>
    </x:row>
    <x:row r="59" spans="1:26" s="286" customFormat="1" ht="12.75" customHeight="1" x14ac:dyDescent="0.2">
      <x:c r="C59" s="286" t="s">
        <x:v>155</x:v>
      </x:c>
      <x:c r="D59" s="286" t="s">
        <x:v>70</x:v>
      </x:c>
      <x:c r="E59" s="229"/>
      <x:c r="F59" s="229">
        <x:v>0</x:v>
      </x:c>
      <x:c r="G59" s="230">
        <x:v>0</x:v>
      </x:c>
      <x:c r="H59" s="230">
        <x:v>0</x:v>
      </x:c>
      <x:c r="I59" s="230">
        <x:v>0</x:v>
      </x:c>
      <x:c r="J59" s="230">
        <x:v>0</x:v>
      </x:c>
      <x:c r="K59" s="230">
        <x:v>0</x:v>
      </x:c>
      <x:c r="L59" s="230">
        <x:v>0</x:v>
      </x:c>
      <x:c r="M59" s="230">
        <x:v>0</x:v>
      </x:c>
      <x:c r="N59" s="230">
        <x:v>0</x:v>
      </x:c>
      <x:c r="O59" s="230">
        <x:v>0</x:v>
      </x:c>
      <x:c r="P59" s="230">
        <x:v>0</x:v>
      </x:c>
      <x:c r="Q59" s="230">
        <x:v>0</x:v>
      </x:c>
      <x:c r="R59" s="230">
        <x:v>0</x:v>
      </x:c>
      <x:c r="S59" s="230">
        <x:v>0</x:v>
      </x:c>
      <x:c r="T59" s="230">
        <x:v>0</x:v>
      </x:c>
      <x:c r="U59" s="230">
        <x:v>0</x:v>
      </x:c>
      <x:c r="V59" s="230">
        <x:v>0</x:v>
      </x:c>
      <x:c r="W59" s="230">
        <x:v>0</x:v>
      </x:c>
      <x:c r="X59" s="230">
        <x:v>0</x:v>
      </x:c>
      <x:c r="Y59" s="230">
        <x:v>0</x:v>
      </x:c>
      <x:c r="Z59" s="230">
        <x:v>0</x:v>
      </x:c>
    </x:row>
    <x:row r="60" spans="1:26" x14ac:dyDescent="0.2">
      <x:c r="E60" t="s">
        <x:v>73</x:v>
      </x:c>
      <x:c r="F60" s="90">
        <x:v>0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>
        <x:v>0</x:v>
      </x:c>
      <x:c r="V60">
        <x:v>0</x:v>
      </x:c>
      <x:c r="W60">
        <x:v>0</x:v>
      </x:c>
      <x:c r="X60">
        <x:v>0</x:v>
      </x:c>
      <x:c r="Y60">
        <x:v>0</x:v>
      </x:c>
      <x:c r="Z60" s="90">
        <x:v>0</x:v>
      </x:c>
    </x:row>
    <x:row r="61" spans="1:26" x14ac:dyDescent="0.2">
      <x:c r="D61" t="s">
        <x:v>156</x:v>
      </x:c>
      <x:c r="E61" t="s">
        <x:v>70</x:v>
      </x:c>
      <x:c r="F61" s="90">
        <x:v>0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>
        <x:v>0</x:v>
      </x:c>
      <x:c r="V61">
        <x:v>0</x:v>
      </x:c>
      <x:c r="W61">
        <x:v>0</x:v>
      </x:c>
      <x:c r="X61">
        <x:v>0</x:v>
      </x:c>
      <x:c r="Y61">
        <x:v>0</x:v>
      </x:c>
      <x:c r="Z61" s="90">
        <x:v>0</x:v>
      </x:c>
    </x:row>
    <x:row r="62" spans="1:26" s="739" customFormat="1" ht="12.75" customHeight="1" x14ac:dyDescent="0.2">
      <x:c r="C62" s="739" t="s">
        <x:v>326</x:v>
      </x:c>
      <x:c r="D62" s="739" t="s">
        <x:v>70</x:v>
      </x:c>
      <x:c r="E62" s="231"/>
      <x:c r="F62" s="740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  <x:c r="T62" s="739">
        <x:v>0</x:v>
      </x:c>
      <x:c r="U62" s="739">
        <x:v>0</x:v>
      </x:c>
      <x:c r="V62" s="739">
        <x:v>0</x:v>
      </x:c>
      <x:c r="W62" s="739">
        <x:v>0</x:v>
      </x:c>
      <x:c r="X62" s="739">
        <x:v>0</x:v>
      </x:c>
      <x:c r="Y62" s="739">
        <x:v>0</x:v>
      </x:c>
      <x:c r="Z62" s="739">
        <x:v>0</x:v>
      </x:c>
    </x:row>
    <x:row r="63" spans="1:26" x14ac:dyDescent="0.2">
      <x:c r="E63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>
        <x:v>0</x:v>
      </x:c>
      <x:c r="V63">
        <x:v>0</x:v>
      </x:c>
      <x:c r="W63">
        <x:v>0</x:v>
      </x:c>
      <x:c r="X63">
        <x:v>0</x:v>
      </x:c>
      <x:c r="Y63">
        <x:v>0</x:v>
      </x:c>
      <x:c r="Z63" s="90">
        <x:v>0</x:v>
      </x:c>
    </x:row>
    <x:row r="64" spans="1:26" x14ac:dyDescent="0.2">
      <x:c r="D64" t="s">
        <x:v>82</x:v>
      </x:c>
      <x:c r="E64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 s="90">
        <x:v>0</x:v>
      </x:c>
    </x:row>
    <x:row r="65" spans="2:26" x14ac:dyDescent="0.2">
      <x:c r="E65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>
        <x:v>0</x:v>
      </x:c>
      <x:c r="V65">
        <x:v>0</x:v>
      </x:c>
      <x:c r="W65">
        <x:v>0</x:v>
      </x:c>
      <x:c r="X65">
        <x:v>0</x:v>
      </x:c>
      <x:c r="Y65">
        <x:v>0</x:v>
      </x:c>
      <x:c r="Z65" s="90">
        <x:v>0</x:v>
      </x:c>
    </x:row>
    <x:row r="66" spans="2:26" x14ac:dyDescent="0.2">
      <x:c r="D66" t="s">
        <x:v>86</x:v>
      </x:c>
      <x:c r="E66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>
        <x:v>0</x:v>
      </x:c>
      <x:c r="V66">
        <x:v>0</x:v>
      </x:c>
      <x:c r="W66">
        <x:v>0</x:v>
      </x:c>
      <x:c r="X66">
        <x:v>0</x:v>
      </x:c>
      <x:c r="Y66">
        <x:v>0</x:v>
      </x:c>
      <x:c r="Z66" s="90">
        <x:v>0</x:v>
      </x:c>
    </x:row>
    <x:row r="67" spans="2:26" x14ac:dyDescent="0.2">
      <x:c r="E67" t="s">
        <x:v>73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 s="90">
        <x:v>0</x:v>
      </x:c>
      <x:c r="S67" s="90">
        <x:v>0</x:v>
      </x:c>
      <x:c r="T67" s="90">
        <x:v>0</x:v>
      </x:c>
      <x:c r="U67">
        <x:v>0</x:v>
      </x:c>
      <x:c r="V67">
        <x:v>0</x:v>
      </x:c>
      <x:c r="W67">
        <x:v>0</x:v>
      </x:c>
      <x:c r="X67">
        <x:v>0</x:v>
      </x:c>
      <x:c r="Y67">
        <x:v>0</x:v>
      </x:c>
      <x:c r="Z67" s="90">
        <x:v>0</x:v>
      </x:c>
    </x:row>
    <x:row r="68" spans="2:26" x14ac:dyDescent="0.2">
      <x:c r="D68" t="s">
        <x:v>87</x:v>
      </x:c>
      <x:c r="E68" t="s">
        <x:v>70</x:v>
      </x:c>
      <x:c r="F68" s="90">
        <x:v>0</x:v>
      </x:c>
      <x:c r="G68" s="90">
        <x:v>0</x:v>
      </x:c>
      <x:c r="H68" s="90">
        <x:v>0</x:v>
      </x:c>
      <x:c r="I68" s="90">
        <x:v>0</x:v>
      </x:c>
      <x:c r="J68" s="90">
        <x:v>0</x:v>
      </x:c>
      <x:c r="K68" s="90">
        <x:v>0</x:v>
      </x:c>
      <x:c r="L68" s="90">
        <x:v>0</x:v>
      </x:c>
      <x:c r="M68" s="90">
        <x:v>0</x:v>
      </x:c>
      <x:c r="N68" s="90">
        <x:v>0</x:v>
      </x:c>
      <x:c r="O68" s="90">
        <x:v>0</x:v>
      </x:c>
      <x:c r="P68" s="90">
        <x:v>0</x:v>
      </x:c>
      <x:c r="Q68" s="90">
        <x:v>0</x:v>
      </x:c>
      <x:c r="R68" s="90">
        <x:v>0</x:v>
      </x:c>
      <x:c r="S68" s="90">
        <x:v>0</x:v>
      </x:c>
      <x:c r="T68" s="90">
        <x:v>0</x:v>
      </x:c>
      <x:c r="U68">
        <x:v>0</x:v>
      </x:c>
      <x:c r="V68">
        <x:v>0</x:v>
      </x:c>
      <x:c r="W68">
        <x:v>0</x:v>
      </x:c>
      <x:c r="X68">
        <x:v>0</x:v>
      </x:c>
      <x:c r="Y68">
        <x:v>0</x:v>
      </x:c>
      <x:c r="Z68" s="90">
        <x:v>0</x:v>
      </x:c>
    </x:row>
    <x:row r="69" spans="2:26" s="94" customFormat="1" ht="12.75" customHeight="1" x14ac:dyDescent="0.2">
      <x:c r="C69" s="101" t="s">
        <x:v>119</x:v>
      </x:c>
      <x:c r="D69" s="101" t="s">
        <x:v>70</x:v>
      </x:c>
      <x:c r="F69" s="93">
        <x:v>0</x:v>
      </x:c>
      <x:c r="G69" s="93">
        <x:v>0</x:v>
      </x:c>
      <x:c r="H69" s="93">
        <x:v>0</x:v>
      </x:c>
      <x:c r="I69" s="93">
        <x:v>0</x:v>
      </x:c>
      <x:c r="J69" s="93">
        <x:v>0</x:v>
      </x:c>
      <x:c r="K69" s="93">
        <x:v>0</x:v>
      </x:c>
      <x:c r="L69" s="93">
        <x:v>0</x:v>
      </x:c>
      <x:c r="M69" s="93">
        <x:v>0</x:v>
      </x:c>
      <x:c r="N69" s="93">
        <x:v>0</x:v>
      </x:c>
      <x:c r="O69" s="93">
        <x:v>0</x:v>
      </x:c>
      <x:c r="P69" s="93">
        <x:v>0</x:v>
      </x:c>
      <x:c r="Q69" s="93">
        <x:v>0</x:v>
      </x:c>
      <x:c r="R69" s="93">
        <x:v>0</x:v>
      </x:c>
      <x:c r="S69" s="93">
        <x:v>0</x:v>
      </x:c>
      <x:c r="T69" s="93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>
        <x:v>0</x:v>
      </x:c>
    </x:row>
    <x:row r="70" spans="2:26" s="378" customFormat="1" ht="12.75" customHeight="1" x14ac:dyDescent="0.2">
      <x:c r="B70" s="378" t="s">
        <x:v>122</x:v>
      </x:c>
      <x:c r="C70" s="378" t="s">
        <x:v>70</x:v>
      </x:c>
      <x:c r="E70" s="376"/>
      <x:c r="F70" s="710">
        <x:v>0</x:v>
      </x:c>
      <x:c r="G70" s="377">
        <x:v>0</x:v>
      </x:c>
      <x:c r="H70" s="377">
        <x:v>0</x:v>
      </x:c>
      <x:c r="I70" s="377">
        <x:v>0</x:v>
      </x:c>
      <x:c r="J70" s="377">
        <x:v>0</x:v>
      </x:c>
      <x:c r="K70" s="377">
        <x:v>0</x:v>
      </x:c>
      <x:c r="L70" s="377">
        <x:v>0</x:v>
      </x:c>
      <x:c r="M70" s="377">
        <x:v>0</x:v>
      </x:c>
      <x:c r="N70" s="377">
        <x:v>0</x:v>
      </x:c>
      <x:c r="O70" s="377">
        <x:v>0</x:v>
      </x:c>
      <x:c r="P70" s="377">
        <x:v>0</x:v>
      </x:c>
      <x:c r="Q70" s="377">
        <x:v>0</x:v>
      </x:c>
      <x:c r="R70" s="377">
        <x:v>0</x:v>
      </x:c>
      <x:c r="S70" s="377">
        <x:v>0</x:v>
      </x:c>
      <x:c r="T70" s="377">
        <x:v>0</x:v>
      </x:c>
      <x:c r="U70" s="377">
        <x:v>0</x:v>
      </x:c>
      <x:c r="V70" s="377">
        <x:v>0</x:v>
      </x:c>
      <x:c r="W70" s="377">
        <x:v>0</x:v>
      </x:c>
      <x:c r="X70" s="377">
        <x:v>0</x:v>
      </x:c>
      <x:c r="Y70" s="377">
        <x:v>0</x:v>
      </x:c>
      <x:c r="Z70" s="377">
        <x:v>0</x:v>
      </x:c>
    </x:row>
    <x:row r="71" spans="2:26" ht="12.75" customHeight="1" x14ac:dyDescent="0.2">
      <x:c r="E71" s="89" t="s">
        <x:v>73</x:v>
      </x:c>
      <x:c r="F71" s="384" t="n">
        <x:v>1452468633.74</x:v>
      </x:c>
      <x:c r="G71" s="90" t="n">
        <x:v>142973217.05</x:v>
      </x:c>
      <x:c r="H71" s="90" t="n">
        <x:v>79654037.8</x:v>
      </x:c>
      <x:c r="I71" s="90" t="n">
        <x:v>42355358.57</x:v>
      </x:c>
      <x:c r="J71" s="90" t="n">
        <x:v>242419027.61</x:v>
      </x:c>
      <x:c r="K71" s="90" t="n">
        <x:v>9336364.54</x:v>
      </x:c>
      <x:c r="L71" s="90" t="n">
        <x:v>0</x:v>
      </x:c>
      <x:c r="M71" s="90" t="n">
        <x:v>80865229.08</x:v>
      </x:c>
      <x:c r="N71" s="90" t="n">
        <x:v>78214633.33</x:v>
      </x:c>
      <x:c r="O71" s="90" t="n">
        <x:v>368499539.92</x:v>
      </x:c>
      <x:c r="P71" s="90" t="n">
        <x:v>392918346.63</x:v>
      </x:c>
      <x:c r="Q71" s="90" t="n">
        <x:v>15232879.21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>
        <x:v>0</x:v>
      </x:c>
    </x:row>
    <x:row r="72" spans="2:26" ht="12.75" customHeight="1" x14ac:dyDescent="0.2">
      <x:c r="D72" t="s">
        <x:v>156</x:v>
      </x:c>
      <x:c r="E72" s="89" t="s">
        <x:v>70</x:v>
      </x:c>
      <x:c r="F72" s="384" t="n">
        <x:v>1452468633.74</x:v>
      </x:c>
      <x:c r="G72" s="90" t="n">
        <x:v>142973217.05</x:v>
      </x:c>
      <x:c r="H72" s="90" t="n">
        <x:v>79654037.8</x:v>
      </x:c>
      <x:c r="I72" s="90" t="n">
        <x:v>42355358.57</x:v>
      </x:c>
      <x:c r="J72" s="90" t="n">
        <x:v>242419027.61</x:v>
      </x:c>
      <x:c r="K72" s="90" t="n">
        <x:v>9336364.54</x:v>
      </x:c>
      <x:c r="L72" s="90" t="n">
        <x:v>0</x:v>
      </x:c>
      <x:c r="M72" s="90" t="n">
        <x:v>80865229.08</x:v>
      </x:c>
      <x:c r="N72" s="90" t="n">
        <x:v>78214633.33</x:v>
      </x:c>
      <x:c r="O72" s="90" t="n">
        <x:v>368499539.92</x:v>
      </x:c>
      <x:c r="P72" s="90" t="n">
        <x:v>392918346.63</x:v>
      </x:c>
      <x:c r="Q72" s="90" t="n">
        <x:v>15232879.21</x:v>
      </x:c>
      <x:c r="R72" s="90" t="n">
        <x:v>0</x:v>
      </x:c>
      <x:c r="S72" s="90" t="n">
        <x:v>0</x:v>
      </x:c>
      <x:c r="T72" s="90" t="n">
        <x:v>0</x:v>
      </x:c>
      <x:c r="U72" s="90">
        <x:v>0</x:v>
      </x:c>
      <x:c r="V72" s="90">
        <x:v>0</x:v>
      </x:c>
      <x:c r="W72" s="90">
        <x:v>0</x:v>
      </x:c>
      <x:c r="X72" s="90">
        <x:v>0</x:v>
      </x:c>
      <x:c r="Y72" s="90">
        <x:v>0</x:v>
      </x:c>
      <x:c r="Z72" s="90">
        <x:v>0</x:v>
      </x:c>
    </x:row>
    <x:row r="73" spans="2:26" s="286" customFormat="1" ht="12.75" customHeight="1" x14ac:dyDescent="0.2">
      <x:c r="C73" s="286" t="s">
        <x:v>155</x:v>
      </x:c>
      <x:c r="D73" s="286" t="s">
        <x:v>70</x:v>
      </x:c>
      <x:c r="E73" s="229"/>
      <x:c r="F73" s="229" t="n">
        <x:v>1452468633.74</x:v>
      </x:c>
      <x:c r="G73" s="230" t="n">
        <x:v>142973217.05</x:v>
      </x:c>
      <x:c r="H73" s="230" t="n">
        <x:v>79654037.8</x:v>
      </x:c>
      <x:c r="I73" s="230" t="n">
        <x:v>42355358.57</x:v>
      </x:c>
      <x:c r="J73" s="230" t="n">
        <x:v>242419027.61</x:v>
      </x:c>
      <x:c r="K73" s="230" t="n">
        <x:v>9336364.54</x:v>
      </x:c>
      <x:c r="L73" s="230" t="n">
        <x:v>0</x:v>
      </x:c>
      <x:c r="M73" s="230" t="n">
        <x:v>80865229.08</x:v>
      </x:c>
      <x:c r="N73" s="230" t="n">
        <x:v>78214633.33</x:v>
      </x:c>
      <x:c r="O73" s="230" t="n">
        <x:v>368499539.92</x:v>
      </x:c>
      <x:c r="P73" s="230" t="n">
        <x:v>392918346.63</x:v>
      </x:c>
      <x:c r="Q73" s="230" t="n">
        <x:v>15232879.21</x:v>
      </x:c>
      <x:c r="R73" s="230" t="n">
        <x:v>0</x:v>
      </x:c>
      <x:c r="S73" s="230" t="n">
        <x:v>0</x:v>
      </x:c>
      <x:c r="T73" s="230" t="n">
        <x:v>0</x:v>
      </x:c>
      <x:c r="U73" s="230">
        <x:v>0</x:v>
      </x:c>
      <x:c r="V73" s="230">
        <x:v>0</x:v>
      </x:c>
      <x:c r="W73" s="230">
        <x:v>0</x:v>
      </x:c>
      <x:c r="X73" s="230">
        <x:v>0</x:v>
      </x:c>
      <x:c r="Y73" s="230">
        <x:v>0</x:v>
      </x:c>
      <x:c r="Z73" s="230">
        <x:v>0</x:v>
      </x:c>
    </x:row>
    <x:row r="74" spans="2:26" ht="12.75" customHeight="1" x14ac:dyDescent="0.2">
      <x:c r="E74" s="89" t="s">
        <x:v>73</x:v>
      </x:c>
      <x:c r="F74" s="371">
        <x:v>0</x:v>
      </x:c>
      <x:c r="G74" s="90">
        <x:v>0</x:v>
      </x:c>
      <x:c r="H74" s="90">
        <x:v>0</x:v>
      </x:c>
      <x:c r="I74" s="90">
        <x:v>0</x:v>
      </x:c>
      <x:c r="J74" s="90">
        <x:v>0</x:v>
      </x:c>
      <x:c r="K74" s="90">
        <x:v>0</x:v>
      </x:c>
      <x:c r="L74" s="90">
        <x:v>0</x:v>
      </x:c>
      <x:c r="M74" s="90">
        <x:v>0</x:v>
      </x:c>
      <x:c r="N74" s="90">
        <x:v>0</x:v>
      </x:c>
      <x:c r="O74" s="90">
        <x:v>0</x:v>
      </x:c>
      <x:c r="P74" s="90">
        <x:v>0</x:v>
      </x:c>
      <x:c r="Q74" s="90">
        <x:v>0</x:v>
      </x:c>
      <x:c r="R74" s="90">
        <x:v>0</x:v>
      </x:c>
      <x:c r="S74" s="90">
        <x:v>0</x:v>
      </x:c>
      <x:c r="T74">
        <x:v>0</x:v>
      </x:c>
      <x:c r="U74">
        <x:v>0</x:v>
      </x:c>
      <x:c r="V74">
        <x:v>0</x:v>
      </x:c>
      <x:c r="W74">
        <x:v>0</x:v>
      </x:c>
      <x:c r="X74">
        <x:v>0</x:v>
      </x:c>
      <x:c r="Y74">
        <x:v>0</x:v>
      </x:c>
      <x:c r="Z74">
        <x:v>0</x:v>
      </x:c>
    </x:row>
    <x:row r="75" spans="2:26" ht="12.75" customHeight="1" x14ac:dyDescent="0.2">
      <x:c r="D75" t="s">
        <x:v>156</x:v>
      </x:c>
      <x:c r="E75" s="89" t="s">
        <x:v>70</x:v>
      </x:c>
      <x:c r="F75" s="371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 s="90">
        <x:v>0</x:v>
      </x:c>
      <x:c r="S75" s="90">
        <x:v>0</x:v>
      </x:c>
      <x:c r="T75">
        <x:v>0</x:v>
      </x:c>
      <x:c r="U75">
        <x:v>0</x:v>
      </x:c>
      <x:c r="V75">
        <x:v>0</x:v>
      </x:c>
      <x:c r="W75">
        <x:v>0</x:v>
      </x:c>
      <x:c r="X75">
        <x:v>0</x:v>
      </x:c>
      <x:c r="Y75">
        <x:v>0</x:v>
      </x:c>
      <x:c r="Z75">
        <x:v>0</x:v>
      </x:c>
    </x:row>
    <x:row r="76" spans="2:26" s="739" customFormat="1" ht="12.75" customHeight="1" x14ac:dyDescent="0.2">
      <x:c r="C76" s="739" t="s">
        <x:v>326</x:v>
      </x:c>
      <x:c r="D76" s="739" t="s">
        <x:v>70</x:v>
      </x:c>
      <x:c r="E76" s="231"/>
      <x:c r="F76" s="740">
        <x:v>0</x:v>
      </x:c>
      <x:c r="G76" s="232">
        <x:v>0</x:v>
      </x:c>
      <x:c r="H76" s="232">
        <x:v>0</x:v>
      </x:c>
      <x:c r="I76" s="232">
        <x:v>0</x:v>
      </x:c>
      <x:c r="J76" s="232">
        <x:v>0</x:v>
      </x:c>
      <x:c r="K76" s="232">
        <x:v>0</x:v>
      </x:c>
      <x:c r="L76" s="232">
        <x:v>0</x:v>
      </x:c>
      <x:c r="M76" s="232">
        <x:v>0</x:v>
      </x:c>
      <x:c r="N76" s="232">
        <x:v>0</x:v>
      </x:c>
      <x:c r="O76" s="232">
        <x:v>0</x:v>
      </x:c>
      <x:c r="P76" s="232">
        <x:v>0</x:v>
      </x:c>
      <x:c r="Q76" s="232">
        <x:v>0</x:v>
      </x:c>
      <x:c r="R76" s="232">
        <x:v>0</x:v>
      </x:c>
      <x:c r="S76" s="232">
        <x:v>0</x:v>
      </x:c>
      <x:c r="T76" s="739">
        <x:v>0</x:v>
      </x:c>
      <x:c r="U76" s="739">
        <x:v>0</x:v>
      </x:c>
      <x:c r="V76" s="739">
        <x:v>0</x:v>
      </x:c>
      <x:c r="W76" s="739">
        <x:v>0</x:v>
      </x:c>
      <x:c r="X76" s="739">
        <x:v>0</x:v>
      </x:c>
      <x:c r="Y76" s="739">
        <x:v>0</x:v>
      </x:c>
      <x:c r="Z76" s="739">
        <x:v>0</x:v>
      </x:c>
    </x:row>
    <x:row r="77" spans="2:26" ht="12.75" customHeight="1" x14ac:dyDescent="0.2">
      <x:c r="D77" s="89"/>
      <x:c r="E77" s="89" t="s">
        <x:v>73</x:v>
      </x:c>
      <x:c r="F77" s="90" t="n">
        <x:v>5898418.37</x:v>
      </x:c>
      <x:c r="G77" s="90" t="n">
        <x:v>881999.26</x:v>
      </x:c>
      <x:c r="H77" s="90" t="n">
        <x:v>489087.28</x:v>
      </x:c>
      <x:c r="I77" s="90" t="n">
        <x:v>260611.8</x:v>
      </x:c>
      <x:c r="J77" s="90" t="n">
        <x:v>636049.85</x:v>
      </x:c>
      <x:c r="K77" s="90" t="n">
        <x:v>10462.68</x:v>
      </x:c>
      <x:c r="L77" s="90" t="n">
        <x:v>0</x:v>
      </x:c>
      <x:c r="M77" s="90" t="n">
        <x:v>91956.29</x:v>
      </x:c>
      <x:c r="N77" s="90" t="n">
        <x:v>193499.75</x:v>
      </x:c>
      <x:c r="O77" s="90" t="n">
        <x:v>909344.29</x:v>
      </x:c>
      <x:c r="P77" s="90" t="n">
        <x:v>2408335.82</x:v>
      </x:c>
      <x:c r="Q77" s="90" t="n">
        <x:v>17071.35</x:v>
      </x:c>
      <x:c r="R77" s="90" t="n">
        <x:v>0</x:v>
      </x:c>
      <x:c r="S77" s="90" t="n">
        <x:v>0</x:v>
      </x:c>
      <x:c r="T77" s="90" t="n">
        <x:v>0</x:v>
      </x:c>
      <x:c r="U77" s="90">
        <x:v>0</x:v>
      </x:c>
      <x:c r="V77" s="90">
        <x:v>0</x:v>
      </x:c>
      <x:c r="W77" s="90">
        <x:v>0</x:v>
      </x:c>
      <x:c r="X77" s="90">
        <x:v>0</x:v>
      </x:c>
      <x:c r="Y77" s="90">
        <x:v>0</x:v>
      </x:c>
      <x:c r="Z77" s="90">
        <x:v>0</x:v>
      </x:c>
    </x:row>
    <x:row r="78" spans="2:26" ht="12.75" customHeight="1" x14ac:dyDescent="0.2">
      <x:c r="D78" t="s">
        <x:v>82</x:v>
      </x:c>
      <x:c r="E78" s="89" t="s">
        <x:v>70</x:v>
      </x:c>
      <x:c r="F78" s="90" t="n">
        <x:v>5898418.37</x:v>
      </x:c>
      <x:c r="G78" s="90" t="n">
        <x:v>881999.26</x:v>
      </x:c>
      <x:c r="H78" s="90" t="n">
        <x:v>489087.28</x:v>
      </x:c>
      <x:c r="I78" s="90" t="n">
        <x:v>260611.8</x:v>
      </x:c>
      <x:c r="J78" s="90" t="n">
        <x:v>636049.85</x:v>
      </x:c>
      <x:c r="K78" s="90" t="n">
        <x:v>10462.68</x:v>
      </x:c>
      <x:c r="L78" s="90" t="n">
        <x:v>0</x:v>
      </x:c>
      <x:c r="M78" s="90" t="n">
        <x:v>91956.29</x:v>
      </x:c>
      <x:c r="N78" s="90" t="n">
        <x:v>193499.75</x:v>
      </x:c>
      <x:c r="O78" s="90" t="n">
        <x:v>909344.29</x:v>
      </x:c>
      <x:c r="P78" s="90" t="n">
        <x:v>2408335.82</x:v>
      </x:c>
      <x:c r="Q78" s="90" t="n">
        <x:v>17071.35</x:v>
      </x:c>
      <x:c r="R78" s="90" t="n">
        <x:v>0</x:v>
      </x:c>
      <x:c r="S78" s="90" t="n">
        <x:v>0</x:v>
      </x:c>
      <x:c r="T78" s="90" t="n">
        <x:v>0</x:v>
      </x:c>
      <x:c r="U78" s="90">
        <x:v>0</x:v>
      </x:c>
      <x:c r="V78" s="90">
        <x:v>0</x:v>
      </x:c>
      <x:c r="W78" s="90">
        <x:v>0</x:v>
      </x:c>
      <x:c r="X78" s="90">
        <x:v>0</x:v>
      </x:c>
      <x:c r="Y78" s="90">
        <x:v>0</x:v>
      </x:c>
      <x:c r="Z78" s="90">
        <x:v>0</x:v>
      </x:c>
    </x:row>
    <x:row r="79" spans="2:26" ht="12.75" customHeight="1" x14ac:dyDescent="0.2">
      <x:c r="D79" s="89"/>
      <x:c r="E79" s="89" t="s">
        <x:v>73</x:v>
      </x:c>
      <x:c r="F79" s="90" t="n">
        <x:v>13098225.91</x:v>
      </x:c>
      <x:c r="G79" s="90" t="n">
        <x:v>2940923.95</x:v>
      </x:c>
      <x:c r="H79" s="90" t="n">
        <x:v>1605818.61</x:v>
      </x:c>
      <x:c r="I79" s="90" t="n">
        <x:v>857242.56</x:v>
      </x:c>
      <x:c r="J79" s="90" t="n">
        <x:v>-362631.74</x:v>
      </x:c>
      <x:c r="K79" s="90" t="n">
        <x:v>-26684.44</x:v>
      </x:c>
      <x:c r="L79" s="90" t="n">
        <x:v>0</x:v>
      </x:c>
      <x:c r="M79" s="90" t="n">
        <x:v>-237386.59</x:v>
      </x:c>
      <x:c r="N79" s="90" t="n">
        <x:v>21203.47</x:v>
      </x:c>
      <x:c r="O79" s="90" t="n">
        <x:v>315579.15</x:v>
      </x:c>
      <x:c r="P79" s="90" t="n">
        <x:v>8027696.61</x:v>
      </x:c>
      <x:c r="Q79" s="90" t="n">
        <x:v>-43535.67</x:v>
      </x:c>
      <x:c r="R79" s="90" t="n">
        <x:v>0</x:v>
      </x:c>
      <x:c r="S79" s="90" t="n">
        <x:v>0</x:v>
      </x:c>
      <x:c r="T79" s="90" t="n">
        <x:v>0</x:v>
      </x:c>
      <x:c r="U79" s="90">
        <x:v>0</x:v>
      </x:c>
      <x:c r="V79" s="90">
        <x:v>0</x:v>
      </x:c>
      <x:c r="W79" s="90">
        <x:v>0</x:v>
      </x:c>
      <x:c r="X79" s="90">
        <x:v>0</x:v>
      </x:c>
      <x:c r="Y79" s="90">
        <x:v>0</x:v>
      </x:c>
      <x:c r="Z79" s="90">
        <x:v>0</x:v>
      </x:c>
    </x:row>
    <x:row r="80" spans="2:26" ht="12.75" customHeight="1" x14ac:dyDescent="0.2">
      <x:c r="D80" t="s">
        <x:v>86</x:v>
      </x:c>
      <x:c r="E80" s="89" t="s">
        <x:v>70</x:v>
      </x:c>
      <x:c r="F80" s="90" t="n">
        <x:v>13098225.91</x:v>
      </x:c>
      <x:c r="G80" s="90" t="n">
        <x:v>2940923.95</x:v>
      </x:c>
      <x:c r="H80" s="90" t="n">
        <x:v>1605818.61</x:v>
      </x:c>
      <x:c r="I80" s="90" t="n">
        <x:v>857242.56</x:v>
      </x:c>
      <x:c r="J80" s="90" t="n">
        <x:v>-362631.74</x:v>
      </x:c>
      <x:c r="K80" s="90" t="n">
        <x:v>-26684.44</x:v>
      </x:c>
      <x:c r="L80" s="90" t="n">
        <x:v>0</x:v>
      </x:c>
      <x:c r="M80" s="90" t="n">
        <x:v>-237386.59</x:v>
      </x:c>
      <x:c r="N80" s="90" t="n">
        <x:v>21203.47</x:v>
      </x:c>
      <x:c r="O80" s="90" t="n">
        <x:v>315579.15</x:v>
      </x:c>
      <x:c r="P80" s="90" t="n">
        <x:v>8027696.61</x:v>
      </x:c>
      <x:c r="Q80" s="90" t="n">
        <x:v>-43535.67</x:v>
      </x:c>
      <x:c r="R80" s="90" t="n">
        <x:v>0</x:v>
      </x:c>
      <x:c r="S80" s="90" t="n">
        <x:v>0</x:v>
      </x:c>
      <x:c r="T80" s="90" t="n">
        <x:v>0</x:v>
      </x:c>
      <x:c r="U80" s="90">
        <x:v>0</x:v>
      </x:c>
      <x:c r="V80" s="90">
        <x:v>0</x:v>
      </x:c>
      <x:c r="W80" s="90">
        <x:v>0</x:v>
      </x:c>
      <x:c r="X80" s="90">
        <x:v>0</x:v>
      </x:c>
      <x:c r="Y80" s="90">
        <x:v>0</x:v>
      </x:c>
      <x:c r="Z80" s="90">
        <x:v>0</x:v>
      </x:c>
    </x:row>
    <x:row r="81" spans="1:42" ht="12.75" customHeight="1" x14ac:dyDescent="0.2">
      <x:c r="D81" s="89"/>
      <x:c r="E81" s="89" t="s">
        <x:v>73</x:v>
      </x:c>
      <x:c r="F81" s="90" t="n">
        <x:v>135847384.73</x:v>
      </x:c>
      <x:c r="G81" s="90" t="n">
        <x:v>23857696.97</x:v>
      </x:c>
      <x:c r="H81" s="90" t="n">
        <x:v>13350084.32</x:v>
      </x:c>
      <x:c r="I81" s="90" t="n">
        <x:v>7071037.83</x:v>
      </x:c>
      <x:c r="J81" s="90" t="n">
        <x:v>8488542.92</x:v>
      </x:c>
      <x:c r="K81" s="90" t="n">
        <x:v>229087.23</x:v>
      </x:c>
      <x:c r="L81" s="90" t="n">
        <x:v>0</x:v>
      </x:c>
      <x:c r="M81" s="90" t="n">
        <x:v>2009970.87</x:v>
      </x:c>
      <x:c r="N81" s="90" t="n">
        <x:v>2694316.73</x:v>
      </x:c>
      <x:c r="O81" s="90" t="n">
        <x:v>12601162.63</x:v>
      </x:c>
      <x:c r="P81" s="90" t="n">
        <x:v>65171707.64</x:v>
      </x:c>
      <x:c r="Q81" s="90" t="n">
        <x:v>373777.59</x:v>
      </x:c>
      <x:c r="R81" s="90" t="n">
        <x:v>0</x:v>
      </x:c>
      <x:c r="S81" s="90" t="n">
        <x:v>0</x:v>
      </x:c>
      <x:c r="T81" s="90" t="n">
        <x:v>0</x:v>
      </x:c>
      <x:c r="U81" s="90">
        <x:v>0</x:v>
      </x:c>
      <x:c r="V81" s="90">
        <x:v>0</x:v>
      </x:c>
      <x:c r="W81" s="90">
        <x:v>0</x:v>
      </x:c>
      <x:c r="X81" s="90">
        <x:v>0</x:v>
      </x:c>
      <x:c r="Y81" s="90">
        <x:v>0</x:v>
      </x:c>
      <x:c r="Z81" s="90">
        <x:v>0</x:v>
      </x:c>
    </x:row>
    <x:row r="82" spans="1:42" ht="12.75" customHeight="1" x14ac:dyDescent="0.2">
      <x:c r="C82" s="89"/>
      <x:c r="D82" s="89" t="s">
        <x:v>87</x:v>
      </x:c>
      <x:c r="E82" t="s">
        <x:v>70</x:v>
      </x:c>
      <x:c r="F82" s="90" t="n">
        <x:v>135847384.73</x:v>
      </x:c>
      <x:c r="G82" s="90" t="n">
        <x:v>23857696.97</x:v>
      </x:c>
      <x:c r="H82" s="90" t="n">
        <x:v>13350084.32</x:v>
      </x:c>
      <x:c r="I82" s="90" t="n">
        <x:v>7071037.83</x:v>
      </x:c>
      <x:c r="J82" s="90" t="n">
        <x:v>8488542.92</x:v>
      </x:c>
      <x:c r="K82" s="90" t="n">
        <x:v>229087.23</x:v>
      </x:c>
      <x:c r="L82" s="90" t="n">
        <x:v>0</x:v>
      </x:c>
      <x:c r="M82" s="90" t="n">
        <x:v>2009970.87</x:v>
      </x:c>
      <x:c r="N82" s="90" t="n">
        <x:v>2694316.73</x:v>
      </x:c>
      <x:c r="O82" s="90" t="n">
        <x:v>12601162.63</x:v>
      </x:c>
      <x:c r="P82" s="90" t="n">
        <x:v>65171707.64</x:v>
      </x:c>
      <x:c r="Q82" s="90" t="n">
        <x:v>373777.59</x:v>
      </x:c>
      <x:c r="R82" s="90" t="n">
        <x:v>0</x:v>
      </x:c>
      <x:c r="S82" s="90" t="n">
        <x:v>0</x:v>
      </x:c>
      <x:c r="T82" s="90" t="n">
        <x:v>0</x:v>
      </x:c>
      <x:c r="U82" s="90">
        <x:v>0</x:v>
      </x:c>
      <x:c r="V82" s="90">
        <x:v>0</x:v>
      </x:c>
      <x:c r="W82" s="90">
        <x:v>0</x:v>
      </x:c>
      <x:c r="X82" s="90">
        <x:v>0</x:v>
      </x:c>
      <x:c r="Y82" s="90">
        <x:v>0</x:v>
      </x:c>
      <x:c r="Z82" s="90">
        <x:v>0</x:v>
      </x:c>
    </x:row>
    <x:row r="83" spans="1:42" s="94" customFormat="1" ht="12.75" customHeight="1" x14ac:dyDescent="0.2">
      <x:c r="C83" s="101" t="s">
        <x:v>119</x:v>
      </x:c>
      <x:c r="D83" s="101" t="s">
        <x:v>70</x:v>
      </x:c>
      <x:c r="F83" s="93" t="n">
        <x:v>154844029.01</x:v>
      </x:c>
      <x:c r="G83" s="93" t="n">
        <x:v>27680620.18</x:v>
      </x:c>
      <x:c r="H83" s="93" t="n">
        <x:v>15444990.21</x:v>
      </x:c>
      <x:c r="I83" s="93" t="n">
        <x:v>8188892.19</x:v>
      </x:c>
      <x:c r="J83" s="93" t="n">
        <x:v>8761961.03</x:v>
      </x:c>
      <x:c r="K83" s="93" t="n">
        <x:v>212865.47</x:v>
      </x:c>
      <x:c r="L83" s="93" t="n">
        <x:v>0</x:v>
      </x:c>
      <x:c r="M83" s="93" t="n">
        <x:v>1864540.57</x:v>
      </x:c>
      <x:c r="N83" s="93" t="n">
        <x:v>2909019.95</x:v>
      </x:c>
      <x:c r="O83" s="93" t="n">
        <x:v>13826086.07</x:v>
      </x:c>
      <x:c r="P83" s="93" t="n">
        <x:v>75607740.07</x:v>
      </x:c>
      <x:c r="Q83" s="93" t="n">
        <x:v>347313.27</x:v>
      </x:c>
      <x:c r="R83" s="93" t="n">
        <x:v>0</x:v>
      </x:c>
      <x:c r="S83" s="93" t="n">
        <x:v>0</x:v>
      </x:c>
      <x:c r="T83" s="93" t="n">
        <x:v>0</x:v>
      </x:c>
      <x:c r="U83" s="93">
        <x:v>0</x:v>
      </x:c>
      <x:c r="V83" s="93">
        <x:v>0</x:v>
      </x:c>
      <x:c r="W83" s="93">
        <x:v>0</x:v>
      </x:c>
      <x:c r="X83" s="93">
        <x:v>0</x:v>
      </x:c>
      <x:c r="Y83" s="93">
        <x:v>0</x:v>
      </x:c>
      <x:c r="Z83" s="93">
        <x:v>0</x:v>
      </x:c>
    </x:row>
    <x:row r="84" spans="1:42" s="226" customFormat="1" ht="12.75" customHeight="1" x14ac:dyDescent="0.2">
      <x:c r="B84" s="98" t="s">
        <x:v>112</x:v>
      </x:c>
      <x:c r="C84" s="98" t="s">
        <x:v>70</x:v>
      </x:c>
      <x:c r="F84" s="100" t="n">
        <x:v>1607312662.75</x:v>
      </x:c>
      <x:c r="G84" s="100" t="n">
        <x:v>170653837.23</x:v>
      </x:c>
      <x:c r="H84" s="100" t="n">
        <x:v>95099028.01</x:v>
      </x:c>
      <x:c r="I84" s="100" t="n">
        <x:v>50544250.76</x:v>
      </x:c>
      <x:c r="J84" s="100" t="n">
        <x:v>251180988.64</x:v>
      </x:c>
      <x:c r="K84" s="100" t="n">
        <x:v>9549230.01</x:v>
      </x:c>
      <x:c r="L84" s="100" t="n">
        <x:v>0</x:v>
      </x:c>
      <x:c r="M84" s="100" t="n">
        <x:v>82729769.65</x:v>
      </x:c>
      <x:c r="N84" s="100" t="n">
        <x:v>81123653.28</x:v>
      </x:c>
      <x:c r="O84" s="100" t="n">
        <x:v>382325625.99</x:v>
      </x:c>
      <x:c r="P84" s="100" t="n">
        <x:v>468526086.7</x:v>
      </x:c>
      <x:c r="Q84" s="100" t="n">
        <x:v>15580192.48</x:v>
      </x:c>
      <x:c r="R84" s="100" t="n">
        <x:v>0</x:v>
      </x:c>
      <x:c r="S84" s="100" t="n">
        <x:v>0</x:v>
      </x:c>
      <x:c r="T84" s="100" t="n">
        <x:v>0</x:v>
      </x:c>
      <x:c r="U84" s="100">
        <x:v>0</x:v>
      </x:c>
      <x:c r="V84" s="100">
        <x:v>0</x:v>
      </x:c>
      <x:c r="W84" s="100">
        <x:v>0</x:v>
      </x:c>
      <x:c r="X84" s="100">
        <x:v>0</x:v>
      </x:c>
      <x:c r="Y84" s="100">
        <x:v>0</x:v>
      </x:c>
      <x:c r="Z84" s="100">
        <x:v>0</x:v>
      </x:c>
    </x:row>
    <x:row r="85" spans="1:42" ht="12.75" customHeight="1" x14ac:dyDescent="0.2">
      <x:c r="A85" s="89" t="s">
        <x:v>79</x:v>
      </x:c>
      <x:c r="B85" t="s">
        <x:v>70</x:v>
      </x:c>
      <x:c r="F85" s="90" t="n">
        <x:v>1607312662.75</x:v>
      </x:c>
      <x:c r="G85" s="90" t="n">
        <x:v>170653837.23</x:v>
      </x:c>
      <x:c r="H85" s="90" t="n">
        <x:v>95099028.01</x:v>
      </x:c>
      <x:c r="I85" s="90" t="n">
        <x:v>50544250.76</x:v>
      </x:c>
      <x:c r="J85" s="90" t="n">
        <x:v>251180988.64</x:v>
      </x:c>
      <x:c r="K85" s="90" t="n">
        <x:v>9549230.01</x:v>
      </x:c>
      <x:c r="L85" s="90" t="n">
        <x:v>0</x:v>
      </x:c>
      <x:c r="M85" s="90" t="n">
        <x:v>82729769.65</x:v>
      </x:c>
      <x:c r="N85" s="90" t="n">
        <x:v>81123653.28</x:v>
      </x:c>
      <x:c r="O85" s="90" t="n">
        <x:v>382325625.99</x:v>
      </x:c>
      <x:c r="P85" s="90" t="n">
        <x:v>468526086.7</x:v>
      </x:c>
      <x:c r="Q85" s="90" t="n">
        <x:v>15580192.48</x:v>
      </x:c>
      <x:c r="R85" s="90" t="n">
        <x:v>0</x:v>
      </x:c>
      <x:c r="S85" s="90" t="n">
        <x:v>0</x:v>
      </x:c>
      <x:c r="T85" s="90" t="n">
        <x:v>0</x:v>
      </x:c>
      <x:c r="U85" s="90">
        <x:v>0</x:v>
      </x:c>
      <x:c r="V85" s="90">
        <x:v>0</x:v>
      </x:c>
      <x:c r="W85" s="90">
        <x:v>0</x:v>
      </x:c>
      <x:c r="X85" s="90">
        <x:v>0</x:v>
      </x:c>
      <x:c r="Y85" s="90">
        <x:v>0</x:v>
      </x:c>
      <x:c r="Z85" s="90">
        <x:v>0</x:v>
      </x:c>
    </x:row>
    <x:row r="86" spans="1:42" ht="12.75" customHeight="1" x14ac:dyDescent="0.2">
      <x:c r="A86" s="89" t="s">
        <x:v>70</x:v>
      </x:c>
      <x:c r="F86" s="90" t="n">
        <x:v>16018790606.3</x:v>
      </x:c>
      <x:c r="G86" s="90" t="n">
        <x:v>983488968.61</x:v>
      </x:c>
      <x:c r="H86" s="90" t="n">
        <x:v>548013456.21</x:v>
      </x:c>
      <x:c r="I86" s="90" t="n">
        <x:v>291141915.21</x:v>
      </x:c>
      <x:c r="J86" s="90" t="n">
        <x:v>3556422083.51</x:v>
      </x:c>
      <x:c r="K86" s="90" t="n">
        <x:v>133416415.79</x:v>
      </x:c>
      <x:c r="L86" s="90" t="n">
        <x:v>28410292.2</x:v>
      </x:c>
      <x:c r="M86" s="90" t="n">
        <x:v>1172640090.27</x:v>
      </x:c>
      <x:c r="N86" s="90" t="n">
        <x:v>1123571680.1</x:v>
      </x:c>
      <x:c r="O86" s="90" t="n">
        <x:v>5283580975.52</x:v>
      </x:c>
      <x:c r="P86" s="90" t="n">
        <x:v>2680296306.82</x:v>
      </x:c>
      <x:c r="Q86" s="90" t="n">
        <x:v>217701769.91</x:v>
      </x:c>
      <x:c r="R86" s="90" t="n">
        <x:v>106582.29</x:v>
      </x:c>
      <x:c r="S86" s="90" t="n">
        <x:v>0.03</x:v>
      </x:c>
      <x:c r="T86" t="n">
        <x:v>69.83</x:v>
      </x:c>
      <x:c r="U86">
        <x:v>0</x:v>
      </x:c>
      <x:c r="V86">
        <x:v>0</x:v>
      </x:c>
      <x:c r="W86">
        <x:v>0</x:v>
      </x:c>
      <x:c r="X86" s="90">
        <x:v>0</x:v>
      </x:c>
      <x:c r="Y86" s="90">
        <x:v>0</x:v>
      </x:c>
      <x:c r="Z86">
        <x:v>0</x:v>
      </x:c>
    </x:row>
    <x:row r="87" spans="1:42" ht="12.75" customHeight="1" x14ac:dyDescent="0.2">
      <x:c r="A87" s="89"/>
      <x:c r="D87" s="143"/>
      <x:c r="E87" s="137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X87" s="90"/>
      <x:c r="Y87" s="90"/>
    </x:row>
    <x:row r="88" spans="1:42" ht="12.75" customHeight="1" x14ac:dyDescent="0.2">
      <x:c r="A88" s="89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</x:row>
    <x:row r="89" spans="1:42" ht="12.75" customHeight="1" x14ac:dyDescent="0.2">
      <x:c r="C89" s="778" t="s">
        <x:v>2</x:v>
      </x:c>
      <x:c r="D89" s="776" t="s">
        <x:v>132</x:v>
      </x:c>
      <x:c r="E89" s="98" t="s">
        <x:v>70</x:v>
      </x:c>
      <x:c r="F89" s="100">
        <x:f>F55+F84+F16-L16-L55</x:f>
        <x:v>0</x:v>
      </x:c>
      <x:c r="G89" s="100">
        <x:f t="shared" ref="G89:AP89" si="0">G55+G16</x:f>
        <x:v>0</x:v>
      </x:c>
      <x:c r="H89" s="100">
        <x:f t="shared" si="0"/>
        <x:v>0</x:v>
      </x:c>
      <x:c r="I89" s="100">
        <x:f t="shared" si="0"/>
        <x:v>0</x:v>
      </x:c>
      <x:c r="J89" s="100">
        <x:f t="shared" si="0"/>
        <x:v>0</x:v>
      </x:c>
      <x:c r="K89" s="100">
        <x:f t="shared" si="0"/>
        <x:v>0</x:v>
      </x:c>
      <x:c r="L89" s="100">
        <x:f t="shared" si="0"/>
        <x:v>0</x:v>
      </x:c>
      <x:c r="M89" s="100">
        <x:f t="shared" si="0"/>
        <x:v>0</x:v>
      </x:c>
      <x:c r="N89" s="100">
        <x:f t="shared" si="0"/>
        <x:v>0</x:v>
      </x:c>
      <x:c r="O89" s="100">
        <x:f t="shared" si="0"/>
        <x:v>0</x:v>
      </x:c>
      <x:c r="P89" s="100">
        <x:f t="shared" si="0"/>
        <x:v>0</x:v>
      </x:c>
      <x:c r="Q89" s="100">
        <x:f t="shared" si="0"/>
        <x:v>0</x:v>
      </x:c>
      <x:c r="R89" s="100">
        <x:f t="shared" si="0"/>
        <x:v>0</x:v>
      </x:c>
      <x:c r="S89" s="100">
        <x:f t="shared" si="0"/>
        <x:v>0</x:v>
      </x:c>
      <x:c r="T89" s="100">
        <x:f t="shared" si="0"/>
        <x:v>0</x:v>
      </x:c>
      <x:c r="U89" s="100">
        <x:f t="shared" si="0"/>
        <x:v>0</x:v>
      </x:c>
      <x:c r="V89" s="100">
        <x:f t="shared" si="0"/>
        <x:v>0</x:v>
      </x:c>
      <x:c r="W89" s="100">
        <x:f t="shared" si="0"/>
        <x:v>0</x:v>
      </x:c>
      <x:c r="X89" s="100">
        <x:f t="shared" si="0"/>
        <x:v>0</x:v>
      </x:c>
      <x:c r="Y89" s="100">
        <x:f t="shared" si="0"/>
        <x:v>0</x:v>
      </x:c>
      <x:c r="Z89" s="100">
        <x:f t="shared" si="0"/>
        <x:v>0</x:v>
      </x:c>
      <x:c r="AA89" s="100">
        <x:f t="shared" si="0"/>
        <x:v>0</x:v>
      </x:c>
      <x:c r="AB89" s="100">
        <x:f t="shared" si="0"/>
        <x:v>0</x:v>
      </x:c>
      <x:c r="AC89" s="100">
        <x:f t="shared" si="0"/>
        <x:v>0</x:v>
      </x:c>
      <x:c r="AD89" s="100">
        <x:f t="shared" si="0"/>
        <x:v>0</x:v>
      </x:c>
      <x:c r="AE89" s="100">
        <x:f t="shared" si="0"/>
        <x:v>0</x:v>
      </x:c>
      <x:c r="AF89" s="100">
        <x:f t="shared" si="0"/>
        <x:v>0</x:v>
      </x:c>
      <x:c r="AG89" s="100">
        <x:f t="shared" si="0"/>
        <x:v>0</x:v>
      </x:c>
      <x:c r="AH89" s="100">
        <x:f t="shared" si="0"/>
        <x:v>0</x:v>
      </x:c>
      <x:c r="AI89" s="100">
        <x:f t="shared" si="0"/>
        <x:v>0</x:v>
      </x:c>
      <x:c r="AJ89" s="100">
        <x:f t="shared" si="0"/>
        <x:v>0</x:v>
      </x:c>
      <x:c r="AK89" s="100">
        <x:f t="shared" si="0"/>
        <x:v>0</x:v>
      </x:c>
      <x:c r="AL89" s="100">
        <x:f t="shared" si="0"/>
        <x:v>0</x:v>
      </x:c>
      <x:c r="AM89" s="100">
        <x:f t="shared" si="0"/>
        <x:v>0</x:v>
      </x:c>
      <x:c r="AN89" s="100">
        <x:f t="shared" si="0"/>
        <x:v>0</x:v>
      </x:c>
      <x:c r="AO89" s="100">
        <x:f t="shared" si="0"/>
        <x:v>0</x:v>
      </x:c>
      <x:c r="AP89" s="100">
        <x:f t="shared" si="0"/>
        <x:v>0</x:v>
      </x:c>
    </x:row>
    <x:row r="90" spans="1:42" ht="12.75" customHeight="1" x14ac:dyDescent="0.2">
      <x:c r="C90" s="778"/>
      <x:c r="D90" s="776"/>
      <x:c r="E90" s="98" t="s">
        <x:v>73</x:v>
      </x:c>
      <x:c r="F90" s="100">
        <x:f>F84</x:f>
        <x:v>0</x:v>
      </x:c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</x:row>
    <x:row r="91" spans="1:42" ht="12.75" customHeight="1" x14ac:dyDescent="0.2">
      <x:c r="C91" s="778"/>
      <x:c r="D91" s="776" t="s">
        <x:v>133</x:v>
      </x:c>
      <x:c r="E91" s="233" t="s">
        <x:v>70</x:v>
      </x:c>
      <x:c r="F91" s="234">
        <x:f>F70+F36-L36</x:f>
        <x:v>0</x:v>
      </x:c>
      <x:c r="G91" s="234">
        <x:f t="shared" ref="G91:AP91" si="1">G36</x:f>
        <x:v>0</x:v>
      </x:c>
      <x:c r="H91" s="234">
        <x:f t="shared" si="1"/>
        <x:v>0</x:v>
      </x:c>
      <x:c r="I91" s="234">
        <x:f t="shared" si="1"/>
        <x:v>0</x:v>
      </x:c>
      <x:c r="J91" s="234">
        <x:f t="shared" si="1"/>
        <x:v>0</x:v>
      </x:c>
      <x:c r="K91" s="234">
        <x:f t="shared" si="1"/>
        <x:v>0</x:v>
      </x:c>
      <x:c r="L91" s="234">
        <x:f t="shared" si="1"/>
        <x:v>0</x:v>
      </x:c>
      <x:c r="M91" s="234">
        <x:f t="shared" si="1"/>
        <x:v>0</x:v>
      </x:c>
      <x:c r="N91" s="234">
        <x:f t="shared" si="1"/>
        <x:v>0</x:v>
      </x:c>
      <x:c r="O91" s="234">
        <x:f t="shared" si="1"/>
        <x:v>0</x:v>
      </x:c>
      <x:c r="P91" s="234">
        <x:f t="shared" si="1"/>
        <x:v>0</x:v>
      </x:c>
      <x:c r="Q91" s="234">
        <x:f t="shared" si="1"/>
        <x:v>0</x:v>
      </x:c>
      <x:c r="R91" s="234">
        <x:f t="shared" si="1"/>
        <x:v>0</x:v>
      </x:c>
      <x:c r="S91" s="234">
        <x:f t="shared" si="1"/>
        <x:v>0</x:v>
      </x:c>
      <x:c r="T91" s="234">
        <x:f t="shared" si="1"/>
        <x:v>0</x:v>
      </x:c>
      <x:c r="U91" s="234">
        <x:f t="shared" si="1"/>
        <x:v>0</x:v>
      </x:c>
      <x:c r="V91" s="234">
        <x:f t="shared" si="1"/>
        <x:v>0</x:v>
      </x:c>
      <x:c r="W91" s="234">
        <x:f t="shared" si="1"/>
        <x:v>0</x:v>
      </x:c>
      <x:c r="X91" s="234">
        <x:f t="shared" si="1"/>
        <x:v>0</x:v>
      </x:c>
      <x:c r="Y91" s="234">
        <x:f t="shared" si="1"/>
        <x:v>0</x:v>
      </x:c>
      <x:c r="Z91" s="234">
        <x:f t="shared" si="1"/>
        <x:v>0</x:v>
      </x:c>
      <x:c r="AA91" s="234">
        <x:f t="shared" si="1"/>
        <x:v>0</x:v>
      </x:c>
      <x:c r="AB91" s="234">
        <x:f t="shared" si="1"/>
        <x:v>0</x:v>
      </x:c>
      <x:c r="AC91" s="234">
        <x:f t="shared" si="1"/>
        <x:v>0</x:v>
      </x:c>
      <x:c r="AD91" s="234">
        <x:f t="shared" si="1"/>
        <x:v>0</x:v>
      </x:c>
      <x:c r="AE91" s="234">
        <x:f t="shared" si="1"/>
        <x:v>0</x:v>
      </x:c>
      <x:c r="AF91" s="234">
        <x:f t="shared" si="1"/>
        <x:v>0</x:v>
      </x:c>
      <x:c r="AG91" s="234">
        <x:f t="shared" si="1"/>
        <x:v>0</x:v>
      </x:c>
      <x:c r="AH91" s="234">
        <x:f t="shared" si="1"/>
        <x:v>0</x:v>
      </x:c>
      <x:c r="AI91" s="234">
        <x:f t="shared" si="1"/>
        <x:v>0</x:v>
      </x:c>
      <x:c r="AJ91" s="234">
        <x:f t="shared" si="1"/>
        <x:v>0</x:v>
      </x:c>
      <x:c r="AK91" s="234">
        <x:f t="shared" si="1"/>
        <x:v>0</x:v>
      </x:c>
      <x:c r="AL91" s="234">
        <x:f t="shared" si="1"/>
        <x:v>0</x:v>
      </x:c>
      <x:c r="AM91" s="234">
        <x:f t="shared" si="1"/>
        <x:v>0</x:v>
      </x:c>
      <x:c r="AN91" s="234">
        <x:f t="shared" si="1"/>
        <x:v>0</x:v>
      </x:c>
      <x:c r="AO91" s="234">
        <x:f t="shared" si="1"/>
        <x:v>0</x:v>
      </x:c>
      <x:c r="AP91" s="234">
        <x:f t="shared" si="1"/>
        <x:v>0</x:v>
      </x:c>
    </x:row>
    <x:row r="92" spans="1:42" ht="12.75" customHeight="1" x14ac:dyDescent="0.2">
      <x:c r="C92" s="778"/>
      <x:c r="D92" s="776"/>
      <x:c r="E92" s="233" t="s">
        <x:v>73</x:v>
      </x:c>
      <x:c r="F92" s="234">
        <x:f>F70</x:f>
        <x:v>0</x:v>
      </x:c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</x:row>
    <x:row r="93" spans="1:42" ht="12.75" customHeight="1" x14ac:dyDescent="0.2">
      <x:c r="A93" s="89"/>
      <x:c r="C93" s="97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</x:row>
    <x:row r="94" spans="1:42" ht="12.75" customHeight="1" x14ac:dyDescent="0.2">
      <x:c r="C94" s="778" t="s">
        <x:v>160</x:v>
      </x:c>
      <x:c r="D94" s="776" t="s">
        <x:v>132</x:v>
      </x:c>
      <x:c r="E94" s="223" t="s">
        <x:v>70</x:v>
      </x:c>
      <x:c r="F94" s="225">
        <x:v>0</x:v>
      </x:c>
      <x:c r="G94" s="225">
        <x:v>0</x:v>
      </x:c>
      <x:c r="H94" s="225">
        <x:v>0</x:v>
      </x:c>
      <x:c r="I94" s="225">
        <x:v>0</x:v>
      </x:c>
      <x:c r="J94" s="225">
        <x:v>0</x:v>
      </x:c>
      <x:c r="K94" s="225">
        <x:v>0</x:v>
      </x:c>
      <x:c r="L94" s="225">
        <x:v>0</x:v>
      </x:c>
      <x:c r="M94" s="225">
        <x:v>0</x:v>
      </x:c>
      <x:c r="N94" s="225">
        <x:v>0</x:v>
      </x:c>
      <x:c r="O94" s="225">
        <x:v>0</x:v>
      </x:c>
      <x:c r="P94" s="225">
        <x:v>0</x:v>
      </x:c>
      <x:c r="Q94" s="225">
        <x:v>0</x:v>
      </x:c>
      <x:c r="R94" s="225">
        <x:v>0</x:v>
      </x:c>
      <x:c r="S94" s="225">
        <x:v>0</x:v>
      </x:c>
      <x:c r="T94" s="225">
        <x:v>0</x:v>
      </x:c>
      <x:c r="U94" s="225">
        <x:v>0</x:v>
      </x:c>
      <x:c r="V94" s="225">
        <x:v>0</x:v>
      </x:c>
      <x:c r="W94" s="225">
        <x:v>0</x:v>
      </x:c>
      <x:c r="X94" s="225">
        <x:v>0</x:v>
      </x:c>
      <x:c r="Y94" s="225">
        <x:v>0</x:v>
      </x:c>
      <x:c r="Z94" s="225">
        <x:v>0</x:v>
      </x:c>
      <x:c r="AA94" s="225">
        <x:v>0</x:v>
      </x:c>
      <x:c r="AB94" s="225">
        <x:v>0</x:v>
      </x:c>
      <x:c r="AC94" s="225">
        <x:v>0</x:v>
      </x:c>
      <x:c r="AD94" s="225">
        <x:v>0</x:v>
      </x:c>
      <x:c r="AE94" s="225">
        <x:v>0</x:v>
      </x:c>
      <x:c r="AF94" s="225">
        <x:v>0</x:v>
      </x:c>
      <x:c r="AG94" s="225">
        <x:v>0</x:v>
      </x:c>
      <x:c r="AH94" s="225">
        <x:v>0</x:v>
      </x:c>
      <x:c r="AI94" s="225">
        <x:v>0</x:v>
      </x:c>
      <x:c r="AJ94" s="225">
        <x:v>0</x:v>
      </x:c>
      <x:c r="AK94" s="225">
        <x:v>0</x:v>
      </x:c>
      <x:c r="AL94" s="225">
        <x:v>0</x:v>
      </x:c>
      <x:c r="AM94" s="225">
        <x:v>0</x:v>
      </x:c>
      <x:c r="AN94" s="225">
        <x:v>0</x:v>
      </x:c>
      <x:c r="AO94" s="225">
        <x:v>0</x:v>
      </x:c>
      <x:c r="AP94" s="225">
        <x:v>0</x:v>
      </x:c>
    </x:row>
    <x:row r="95" spans="1:42" ht="12.75" customHeight="1" x14ac:dyDescent="0.2">
      <x:c r="C95" s="778"/>
      <x:c r="D95" s="776"/>
      <x:c r="E95" s="223" t="s">
        <x:v>73</x:v>
      </x:c>
      <x:c r="F95" s="225">
        <x:v>0</x:v>
      </x:c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</x:row>
    <x:row r="96" spans="1:42" ht="12.75" customHeight="1" x14ac:dyDescent="0.2">
      <x:c r="C96" s="778"/>
      <x:c r="D96" s="776" t="s">
        <x:v>133</x:v>
      </x:c>
      <x:c r="E96" s="227" t="s">
        <x:v>70</x:v>
      </x:c>
      <x:c r="F96" s="228">
        <x:v>0</x:v>
      </x:c>
      <x:c r="G96" s="228">
        <x:v>0</x:v>
      </x:c>
      <x:c r="H96" s="228">
        <x:v>0</x:v>
      </x:c>
      <x:c r="I96" s="228">
        <x:v>0</x:v>
      </x:c>
      <x:c r="J96" s="228">
        <x:v>0</x:v>
      </x:c>
      <x:c r="K96" s="228">
        <x:v>0</x:v>
      </x:c>
      <x:c r="L96" s="228">
        <x:v>0</x:v>
      </x:c>
      <x:c r="M96" s="228">
        <x:v>0</x:v>
      </x:c>
      <x:c r="N96" s="228">
        <x:v>0</x:v>
      </x:c>
      <x:c r="O96" s="228">
        <x:v>0</x:v>
      </x:c>
      <x:c r="P96" s="228">
        <x:v>0</x:v>
      </x:c>
      <x:c r="Q96" s="228">
        <x:v>0</x:v>
      </x:c>
      <x:c r="R96" s="228">
        <x:v>0</x:v>
      </x:c>
      <x:c r="S96" s="228">
        <x:v>0</x:v>
      </x:c>
      <x:c r="T96" s="228">
        <x:v>0</x:v>
      </x:c>
      <x:c r="U96" s="228">
        <x:v>0</x:v>
      </x:c>
      <x:c r="V96" s="228">
        <x:v>0</x:v>
      </x:c>
      <x:c r="W96" s="228">
        <x:v>0</x:v>
      </x:c>
      <x:c r="X96" s="228">
        <x:v>0</x:v>
      </x:c>
      <x:c r="Y96" s="228">
        <x:v>0</x:v>
      </x:c>
      <x:c r="Z96" s="228">
        <x:v>0</x:v>
      </x:c>
      <x:c r="AA96" s="228">
        <x:v>0</x:v>
      </x:c>
      <x:c r="AB96" s="228">
        <x:v>0</x:v>
      </x:c>
      <x:c r="AC96" s="228">
        <x:v>0</x:v>
      </x:c>
      <x:c r="AD96" s="228">
        <x:v>0</x:v>
      </x:c>
      <x:c r="AE96" s="228">
        <x:v>0</x:v>
      </x:c>
      <x:c r="AF96" s="228">
        <x:v>0</x:v>
      </x:c>
      <x:c r="AG96" s="228">
        <x:v>0</x:v>
      </x:c>
      <x:c r="AH96" s="228">
        <x:v>0</x:v>
      </x:c>
      <x:c r="AI96" s="228">
        <x:v>0</x:v>
      </x:c>
      <x:c r="AJ96" s="228">
        <x:v>0</x:v>
      </x:c>
      <x:c r="AK96" s="228">
        <x:v>0</x:v>
      </x:c>
      <x:c r="AL96" s="228">
        <x:v>0</x:v>
      </x:c>
      <x:c r="AM96" s="228">
        <x:v>0</x:v>
      </x:c>
      <x:c r="AN96" s="228">
        <x:v>0</x:v>
      </x:c>
      <x:c r="AO96" s="228">
        <x:v>0</x:v>
      </x:c>
      <x:c r="AP96" s="228">
        <x:v>0</x:v>
      </x:c>
    </x:row>
    <x:row r="97" spans="1:42" ht="12.75" customHeight="1" x14ac:dyDescent="0.2">
      <x:c r="C97" s="778"/>
      <x:c r="D97" s="776"/>
      <x:c r="E97" s="227" t="s">
        <x:v>73</x:v>
      </x:c>
      <x:c r="F97" s="228">
        <x:v>0</x:v>
      </x:c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</x:row>
    <x:row r="98" spans="1:42" ht="12.75" customHeight="1" x14ac:dyDescent="0.2">
      <x:c r="A98" s="89"/>
      <x:c r="C98" s="97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</x:row>
    <x:row r="99" spans="1:42" ht="12.75" customHeight="1" x14ac:dyDescent="0.2">
      <x:c r="C99" s="778" t="s">
        <x:v>155</x:v>
      </x:c>
      <x:c r="D99" s="776" t="s">
        <x:v>132</x:v>
      </x:c>
      <x:c r="E99" s="221" t="s">
        <x:v>70</x:v>
      </x:c>
      <x:c r="F99" s="222">
        <x:f>F73+F40+F8-L8-L40</x:f>
        <x:v>0</x:v>
      </x:c>
      <x:c r="G99" s="222">
        <x:f t="shared" ref="G99:AP99" si="2">G40+G8</x:f>
        <x:v>0</x:v>
      </x:c>
      <x:c r="H99" s="222">
        <x:f t="shared" si="2"/>
        <x:v>0</x:v>
      </x:c>
      <x:c r="I99" s="222">
        <x:f t="shared" si="2"/>
        <x:v>0</x:v>
      </x:c>
      <x:c r="J99" s="222">
        <x:f t="shared" si="2"/>
        <x:v>0</x:v>
      </x:c>
      <x:c r="K99" s="222">
        <x:f t="shared" si="2"/>
        <x:v>0</x:v>
      </x:c>
      <x:c r="L99" s="222">
        <x:f t="shared" si="2"/>
        <x:v>0</x:v>
      </x:c>
      <x:c r="M99" s="222">
        <x:f t="shared" si="2"/>
        <x:v>0</x:v>
      </x:c>
      <x:c r="N99" s="222">
        <x:f t="shared" si="2"/>
        <x:v>0</x:v>
      </x:c>
      <x:c r="O99" s="222">
        <x:f t="shared" si="2"/>
        <x:v>0</x:v>
      </x:c>
      <x:c r="P99" s="222">
        <x:f t="shared" si="2"/>
        <x:v>0</x:v>
      </x:c>
      <x:c r="Q99" s="222">
        <x:f t="shared" si="2"/>
        <x:v>0</x:v>
      </x:c>
      <x:c r="R99" s="222">
        <x:f t="shared" si="2"/>
        <x:v>0</x:v>
      </x:c>
      <x:c r="S99" s="222">
        <x:f t="shared" si="2"/>
        <x:v>0</x:v>
      </x:c>
      <x:c r="T99" s="222">
        <x:f t="shared" si="2"/>
        <x:v>0</x:v>
      </x:c>
      <x:c r="U99" s="222">
        <x:f t="shared" si="2"/>
        <x:v>0</x:v>
      </x:c>
      <x:c r="V99" s="222">
        <x:f t="shared" si="2"/>
        <x:v>0</x:v>
      </x:c>
      <x:c r="W99" s="222">
        <x:f t="shared" si="2"/>
        <x:v>0</x:v>
      </x:c>
      <x:c r="X99" s="222">
        <x:f t="shared" si="2"/>
        <x:v>0</x:v>
      </x:c>
      <x:c r="Y99" s="222">
        <x:f t="shared" si="2"/>
        <x:v>0</x:v>
      </x:c>
      <x:c r="Z99" s="222">
        <x:f t="shared" si="2"/>
        <x:v>0</x:v>
      </x:c>
      <x:c r="AA99" s="222">
        <x:f t="shared" si="2"/>
        <x:v>0</x:v>
      </x:c>
      <x:c r="AB99" s="222">
        <x:f t="shared" si="2"/>
        <x:v>0</x:v>
      </x:c>
      <x:c r="AC99" s="222">
        <x:f t="shared" si="2"/>
        <x:v>0</x:v>
      </x:c>
      <x:c r="AD99" s="222">
        <x:f t="shared" si="2"/>
        <x:v>0</x:v>
      </x:c>
      <x:c r="AE99" s="222">
        <x:f t="shared" si="2"/>
        <x:v>0</x:v>
      </x:c>
      <x:c r="AF99" s="222">
        <x:f t="shared" si="2"/>
        <x:v>0</x:v>
      </x:c>
      <x:c r="AG99" s="222">
        <x:f t="shared" si="2"/>
        <x:v>0</x:v>
      </x:c>
      <x:c r="AH99" s="222">
        <x:f t="shared" si="2"/>
        <x:v>0</x:v>
      </x:c>
      <x:c r="AI99" s="222">
        <x:f t="shared" si="2"/>
        <x:v>0</x:v>
      </x:c>
      <x:c r="AJ99" s="222">
        <x:f t="shared" si="2"/>
        <x:v>0</x:v>
      </x:c>
      <x:c r="AK99" s="222">
        <x:f t="shared" si="2"/>
        <x:v>0</x:v>
      </x:c>
      <x:c r="AL99" s="222">
        <x:f t="shared" si="2"/>
        <x:v>0</x:v>
      </x:c>
      <x:c r="AM99" s="222">
        <x:f t="shared" si="2"/>
        <x:v>0</x:v>
      </x:c>
      <x:c r="AN99" s="222">
        <x:f t="shared" si="2"/>
        <x:v>0</x:v>
      </x:c>
      <x:c r="AO99" s="222">
        <x:f t="shared" si="2"/>
        <x:v>0</x:v>
      </x:c>
      <x:c r="AP99" s="222">
        <x:f t="shared" si="2"/>
        <x:v>0</x:v>
      </x:c>
    </x:row>
    <x:row r="100" spans="1:42" ht="12.75" customHeight="1" x14ac:dyDescent="0.2">
      <x:c r="C100" s="778"/>
      <x:c r="D100" s="776"/>
      <x:c r="E100" s="221" t="s">
        <x:v>73</x:v>
      </x:c>
      <x:c r="F100" s="222">
        <x:f>F73</x:f>
        <x:v>0</x:v>
      </x:c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</x:row>
    <x:row r="101" spans="1:42" ht="12.75" customHeight="1" x14ac:dyDescent="0.2">
      <x:c r="B101" s="150"/>
      <x:c r="C101" s="778"/>
      <x:c r="D101" s="776" t="s">
        <x:v>133</x:v>
      </x:c>
      <x:c r="E101" s="229" t="s">
        <x:v>70</x:v>
      </x:c>
      <x:c r="F101" s="230">
        <x:f>F59+F21-L21</x:f>
        <x:v>0</x:v>
      </x:c>
      <x:c r="G101" s="230">
        <x:f>G21</x:f>
        <x:v>0</x:v>
      </x:c>
      <x:c r="H101" s="230">
        <x:f t="shared" ref="H101:AP101" si="3">H21</x:f>
        <x:v>0</x:v>
      </x:c>
      <x:c r="I101" s="230">
        <x:f t="shared" si="3"/>
        <x:v>0</x:v>
      </x:c>
      <x:c r="J101" s="230">
        <x:f t="shared" si="3"/>
        <x:v>0</x:v>
      </x:c>
      <x:c r="K101" s="230">
        <x:f t="shared" si="3"/>
        <x:v>0</x:v>
      </x:c>
      <x:c r="L101" s="230">
        <x:f t="shared" si="3"/>
        <x:v>0</x:v>
      </x:c>
      <x:c r="M101" s="230">
        <x:f t="shared" si="3"/>
        <x:v>0</x:v>
      </x:c>
      <x:c r="N101" s="230">
        <x:f t="shared" si="3"/>
        <x:v>0</x:v>
      </x:c>
      <x:c r="O101" s="230">
        <x:f t="shared" si="3"/>
        <x:v>0</x:v>
      </x:c>
      <x:c r="P101" s="230">
        <x:f t="shared" si="3"/>
        <x:v>0</x:v>
      </x:c>
      <x:c r="Q101" s="230">
        <x:f t="shared" si="3"/>
        <x:v>0</x:v>
      </x:c>
      <x:c r="R101" s="230">
        <x:f t="shared" si="3"/>
        <x:v>0</x:v>
      </x:c>
      <x:c r="S101" s="230">
        <x:f t="shared" si="3"/>
        <x:v>0</x:v>
      </x:c>
      <x:c r="T101" s="230">
        <x:f t="shared" si="3"/>
        <x:v>0</x:v>
      </x:c>
      <x:c r="U101" s="230">
        <x:f t="shared" si="3"/>
        <x:v>0</x:v>
      </x:c>
      <x:c r="V101" s="230">
        <x:f t="shared" si="3"/>
        <x:v>0</x:v>
      </x:c>
      <x:c r="W101" s="230">
        <x:f t="shared" si="3"/>
        <x:v>0</x:v>
      </x:c>
      <x:c r="X101" s="230">
        <x:f t="shared" si="3"/>
        <x:v>0</x:v>
      </x:c>
      <x:c r="Y101" s="230">
        <x:f t="shared" si="3"/>
        <x:v>0</x:v>
      </x:c>
      <x:c r="Z101" s="230">
        <x:f t="shared" si="3"/>
        <x:v>0</x:v>
      </x:c>
      <x:c r="AA101" s="230">
        <x:f t="shared" si="3"/>
        <x:v>0</x:v>
      </x:c>
      <x:c r="AB101" s="230">
        <x:f t="shared" si="3"/>
        <x:v>0</x:v>
      </x:c>
      <x:c r="AC101" s="230">
        <x:f t="shared" si="3"/>
        <x:v>0</x:v>
      </x:c>
      <x:c r="AD101" s="230">
        <x:f t="shared" si="3"/>
        <x:v>0</x:v>
      </x:c>
      <x:c r="AE101" s="230">
        <x:f t="shared" si="3"/>
        <x:v>0</x:v>
      </x:c>
      <x:c r="AF101" s="230">
        <x:f t="shared" si="3"/>
        <x:v>0</x:v>
      </x:c>
      <x:c r="AG101" s="230">
        <x:f t="shared" si="3"/>
        <x:v>0</x:v>
      </x:c>
      <x:c r="AH101" s="230">
        <x:f t="shared" si="3"/>
        <x:v>0</x:v>
      </x:c>
      <x:c r="AI101" s="230">
        <x:f t="shared" si="3"/>
        <x:v>0</x:v>
      </x:c>
      <x:c r="AJ101" s="230">
        <x:f t="shared" si="3"/>
        <x:v>0</x:v>
      </x:c>
      <x:c r="AK101" s="230">
        <x:f t="shared" si="3"/>
        <x:v>0</x:v>
      </x:c>
      <x:c r="AL101" s="230">
        <x:f t="shared" si="3"/>
        <x:v>0</x:v>
      </x:c>
      <x:c r="AM101" s="230">
        <x:f t="shared" si="3"/>
        <x:v>0</x:v>
      </x:c>
      <x:c r="AN101" s="230">
        <x:f t="shared" si="3"/>
        <x:v>0</x:v>
      </x:c>
      <x:c r="AO101" s="230">
        <x:f t="shared" si="3"/>
        <x:v>0</x:v>
      </x:c>
      <x:c r="AP101" s="230">
        <x:f t="shared" si="3"/>
        <x:v>0</x:v>
      </x:c>
    </x:row>
    <x:row r="102" spans="1:42" ht="12.75" customHeight="1" x14ac:dyDescent="0.2">
      <x:c r="B102" s="150"/>
      <x:c r="C102" s="778"/>
      <x:c r="D102" s="776"/>
      <x:c r="E102" s="229" t="s">
        <x:v>73</x:v>
      </x:c>
      <x:c r="F102" s="230">
        <x:f>F59</x:f>
        <x:v>0</x:v>
      </x:c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</x:row>
    <x:row r="103" spans="1:42" ht="12.75" customHeight="1" x14ac:dyDescent="0.2">
      <x:c r="A103" s="89"/>
      <x:c r="C103" s="97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</x:row>
    <x:row r="104" spans="1:42" ht="12.75" customHeight="1" x14ac:dyDescent="0.2">
      <x:c r="C104" s="779" t="s">
        <x:v>326</x:v>
      </x:c>
      <x:c r="D104" s="776" t="s">
        <x:v>132</x:v>
      </x:c>
      <x:c r="E104" s="373" t="s">
        <x:v>70</x:v>
      </x:c>
      <x:c r="F104" s="374">
        <x:f>F76+F44-L44</x:f>
        <x:v>0</x:v>
      </x:c>
      <x:c r="G104" s="374">
        <x:f>G44</x:f>
        <x:v>0</x:v>
      </x:c>
      <x:c r="H104" s="374">
        <x:f t="shared" ref="H104:AO104" si="4">H44</x:f>
        <x:v>0</x:v>
      </x:c>
      <x:c r="I104" s="374">
        <x:f t="shared" si="4"/>
        <x:v>0</x:v>
      </x:c>
      <x:c r="J104" s="374">
        <x:f t="shared" si="4"/>
        <x:v>0</x:v>
      </x:c>
      <x:c r="K104" s="374">
        <x:f t="shared" si="4"/>
        <x:v>0</x:v>
      </x:c>
      <x:c r="L104" s="374">
        <x:f t="shared" si="4"/>
        <x:v>0</x:v>
      </x:c>
      <x:c r="M104" s="374">
        <x:f t="shared" si="4"/>
        <x:v>0</x:v>
      </x:c>
      <x:c r="N104" s="374">
        <x:f t="shared" si="4"/>
        <x:v>0</x:v>
      </x:c>
      <x:c r="O104" s="374">
        <x:f t="shared" si="4"/>
        <x:v>0</x:v>
      </x:c>
      <x:c r="P104" s="374">
        <x:f t="shared" si="4"/>
        <x:v>0</x:v>
      </x:c>
      <x:c r="Q104" s="374">
        <x:f t="shared" si="4"/>
        <x:v>0</x:v>
      </x:c>
      <x:c r="R104" s="374">
        <x:f t="shared" si="4"/>
        <x:v>0</x:v>
      </x:c>
      <x:c r="S104" s="374">
        <x:f t="shared" si="4"/>
        <x:v>0</x:v>
      </x:c>
      <x:c r="T104" s="374">
        <x:f t="shared" si="4"/>
        <x:v>0</x:v>
      </x:c>
      <x:c r="U104" s="374">
        <x:f t="shared" si="4"/>
        <x:v>0</x:v>
      </x:c>
      <x:c r="V104" s="374">
        <x:f t="shared" si="4"/>
        <x:v>0</x:v>
      </x:c>
      <x:c r="W104" s="374">
        <x:f t="shared" si="4"/>
        <x:v>0</x:v>
      </x:c>
      <x:c r="X104" s="374">
        <x:f t="shared" si="4"/>
        <x:v>0</x:v>
      </x:c>
      <x:c r="Y104" s="374">
        <x:f t="shared" si="4"/>
        <x:v>0</x:v>
      </x:c>
      <x:c r="Z104" s="374">
        <x:f t="shared" si="4"/>
        <x:v>0</x:v>
      </x:c>
      <x:c r="AA104" s="374">
        <x:f t="shared" si="4"/>
        <x:v>0</x:v>
      </x:c>
      <x:c r="AB104" s="374">
        <x:f t="shared" si="4"/>
        <x:v>0</x:v>
      </x:c>
      <x:c r="AC104" s="374">
        <x:f t="shared" si="4"/>
        <x:v>0</x:v>
      </x:c>
      <x:c r="AD104" s="374">
        <x:f t="shared" si="4"/>
        <x:v>0</x:v>
      </x:c>
      <x:c r="AE104" s="374">
        <x:f t="shared" si="4"/>
        <x:v>0</x:v>
      </x:c>
      <x:c r="AF104" s="374">
        <x:f t="shared" si="4"/>
        <x:v>0</x:v>
      </x:c>
      <x:c r="AG104" s="374">
        <x:f t="shared" si="4"/>
        <x:v>0</x:v>
      </x:c>
      <x:c r="AH104" s="374">
        <x:f t="shared" si="4"/>
        <x:v>0</x:v>
      </x:c>
      <x:c r="AI104" s="374">
        <x:f t="shared" si="4"/>
        <x:v>0</x:v>
      </x:c>
      <x:c r="AJ104" s="374">
        <x:f t="shared" si="4"/>
        <x:v>0</x:v>
      </x:c>
      <x:c r="AK104" s="374">
        <x:f t="shared" si="4"/>
        <x:v>0</x:v>
      </x:c>
      <x:c r="AL104" s="374">
        <x:f t="shared" si="4"/>
        <x:v>0</x:v>
      </x:c>
      <x:c r="AM104" s="374">
        <x:f t="shared" si="4"/>
        <x:v>0</x:v>
      </x:c>
      <x:c r="AN104" s="374">
        <x:f t="shared" si="4"/>
        <x:v>0</x:v>
      </x:c>
      <x:c r="AO104" s="374">
        <x:f t="shared" si="4"/>
        <x:v>0</x:v>
      </x:c>
    </x:row>
    <x:row r="105" spans="1:42" ht="12.75" customHeight="1" x14ac:dyDescent="0.2">
      <x:c r="C105" s="779"/>
      <x:c r="D105" s="776"/>
      <x:c r="E105" s="373" t="s">
        <x:v>73</x:v>
      </x:c>
      <x:c r="F105" s="374">
        <x:f>F76</x:f>
        <x:v>0</x:v>
      </x:c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</x:row>
    <x:row r="106" spans="1:42" ht="12.75" customHeight="1" x14ac:dyDescent="0.2">
      <x:c r="C106" s="779"/>
      <x:c r="D106" s="776" t="s">
        <x:v>133</x:v>
      </x:c>
      <x:c r="E106" s="242" t="s">
        <x:v>70</x:v>
      </x:c>
      <x:c r="F106" s="243">
        <x:f>F62+F25-L25</x:f>
        <x:v>0</x:v>
      </x:c>
      <x:c r="G106" s="243">
        <x:f>G25</x:f>
        <x:v>0</x:v>
      </x:c>
      <x:c r="H106" s="243">
        <x:f t="shared" ref="H106:AO106" si="5">H25</x:f>
        <x:v>0</x:v>
      </x:c>
      <x:c r="I106" s="243">
        <x:f t="shared" si="5"/>
        <x:v>0</x:v>
      </x:c>
      <x:c r="J106" s="243">
        <x:f t="shared" si="5"/>
        <x:v>0</x:v>
      </x:c>
      <x:c r="K106" s="243">
        <x:f t="shared" si="5"/>
        <x:v>0</x:v>
      </x:c>
      <x:c r="L106" s="243">
        <x:f t="shared" si="5"/>
        <x:v>0</x:v>
      </x:c>
      <x:c r="M106" s="243">
        <x:f t="shared" si="5"/>
        <x:v>0</x:v>
      </x:c>
      <x:c r="N106" s="243">
        <x:f t="shared" si="5"/>
        <x:v>0</x:v>
      </x:c>
      <x:c r="O106" s="243">
        <x:f t="shared" si="5"/>
        <x:v>0</x:v>
      </x:c>
      <x:c r="P106" s="243">
        <x:f t="shared" si="5"/>
        <x:v>0</x:v>
      </x:c>
      <x:c r="Q106" s="243">
        <x:f t="shared" si="5"/>
        <x:v>0</x:v>
      </x:c>
      <x:c r="R106" s="243">
        <x:f t="shared" si="5"/>
        <x:v>0</x:v>
      </x:c>
      <x:c r="S106" s="243">
        <x:f t="shared" si="5"/>
        <x:v>0</x:v>
      </x:c>
      <x:c r="T106" s="243">
        <x:f t="shared" si="5"/>
        <x:v>0</x:v>
      </x:c>
      <x:c r="U106" s="243">
        <x:f t="shared" si="5"/>
        <x:v>0</x:v>
      </x:c>
      <x:c r="V106" s="243">
        <x:f t="shared" si="5"/>
        <x:v>0</x:v>
      </x:c>
      <x:c r="W106" s="243">
        <x:f t="shared" si="5"/>
        <x:v>0</x:v>
      </x:c>
      <x:c r="X106" s="243">
        <x:f t="shared" si="5"/>
        <x:v>0</x:v>
      </x:c>
      <x:c r="Y106" s="243">
        <x:f t="shared" si="5"/>
        <x:v>0</x:v>
      </x:c>
      <x:c r="Z106" s="243">
        <x:f t="shared" si="5"/>
        <x:v>0</x:v>
      </x:c>
      <x:c r="AA106" s="243">
        <x:f t="shared" si="5"/>
        <x:v>0</x:v>
      </x:c>
      <x:c r="AB106" s="243">
        <x:f t="shared" si="5"/>
        <x:v>0</x:v>
      </x:c>
      <x:c r="AC106" s="243">
        <x:f t="shared" si="5"/>
        <x:v>0</x:v>
      </x:c>
      <x:c r="AD106" s="243">
        <x:f t="shared" si="5"/>
        <x:v>0</x:v>
      </x:c>
      <x:c r="AE106" s="243">
        <x:f t="shared" si="5"/>
        <x:v>0</x:v>
      </x:c>
      <x:c r="AF106" s="243">
        <x:f t="shared" si="5"/>
        <x:v>0</x:v>
      </x:c>
      <x:c r="AG106" s="243">
        <x:f t="shared" si="5"/>
        <x:v>0</x:v>
      </x:c>
      <x:c r="AH106" s="243">
        <x:f t="shared" si="5"/>
        <x:v>0</x:v>
      </x:c>
      <x:c r="AI106" s="243">
        <x:f t="shared" si="5"/>
        <x:v>0</x:v>
      </x:c>
      <x:c r="AJ106" s="243">
        <x:f t="shared" si="5"/>
        <x:v>0</x:v>
      </x:c>
      <x:c r="AK106" s="243">
        <x:f t="shared" si="5"/>
        <x:v>0</x:v>
      </x:c>
      <x:c r="AL106" s="243">
        <x:f t="shared" si="5"/>
        <x:v>0</x:v>
      </x:c>
      <x:c r="AM106" s="243">
        <x:f t="shared" si="5"/>
        <x:v>0</x:v>
      </x:c>
      <x:c r="AN106" s="243">
        <x:f t="shared" si="5"/>
        <x:v>0</x:v>
      </x:c>
      <x:c r="AO106" s="243">
        <x:f t="shared" si="5"/>
        <x:v>0</x:v>
      </x:c>
    </x:row>
    <x:row r="107" spans="1:42" ht="12.75" customHeight="1" x14ac:dyDescent="0.2">
      <x:c r="C107" s="779"/>
      <x:c r="D107" s="776"/>
      <x:c r="E107" s="242" t="s">
        <x:v>73</x:v>
      </x:c>
      <x:c r="F107" s="243">
        <x:f>F62</x:f>
        <x:v>0</x:v>
      </x:c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</x:row>
    <x:row r="108" spans="1:42" ht="12.75" customHeight="1" x14ac:dyDescent="0.2">
      <x:c r="A108" s="89"/>
      <x:c r="C108" s="97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</x:row>
    <x:row r="109" spans="1:42" ht="12.75" customHeight="1" x14ac:dyDescent="0.2">
      <x:c r="C109" s="778" t="s">
        <x:v>119</x:v>
      </x:c>
      <x:c r="D109" s="776" t="s">
        <x:v>132</x:v>
      </x:c>
      <x:c r="E109" s="101" t="s">
        <x:v>70</x:v>
      </x:c>
      <x:c r="F109" s="93">
        <x:f>F83+F54+F15-L15-L54</x:f>
        <x:v>0</x:v>
      </x:c>
      <x:c r="G109" s="93">
        <x:f t="shared" ref="G109:AP109" si="6">G54+G15</x:f>
        <x:v>0</x:v>
      </x:c>
      <x:c r="H109" s="93">
        <x:f t="shared" si="6"/>
        <x:v>0</x:v>
      </x:c>
      <x:c r="I109" s="93">
        <x:f t="shared" si="6"/>
        <x:v>0</x:v>
      </x:c>
      <x:c r="J109" s="93">
        <x:f t="shared" si="6"/>
        <x:v>0</x:v>
      </x:c>
      <x:c r="K109" s="93">
        <x:f t="shared" si="6"/>
        <x:v>0</x:v>
      </x:c>
      <x:c r="L109" s="93">
        <x:f t="shared" si="6"/>
        <x:v>0</x:v>
      </x:c>
      <x:c r="M109" s="93">
        <x:f t="shared" si="6"/>
        <x:v>0</x:v>
      </x:c>
      <x:c r="N109" s="93">
        <x:f t="shared" si="6"/>
        <x:v>0</x:v>
      </x:c>
      <x:c r="O109" s="93">
        <x:f t="shared" si="6"/>
        <x:v>0</x:v>
      </x:c>
      <x:c r="P109" s="93">
        <x:f t="shared" si="6"/>
        <x:v>0</x:v>
      </x:c>
      <x:c r="Q109" s="93">
        <x:f t="shared" si="6"/>
        <x:v>0</x:v>
      </x:c>
      <x:c r="R109" s="93">
        <x:f t="shared" si="6"/>
        <x:v>0</x:v>
      </x:c>
      <x:c r="S109" s="93">
        <x:f t="shared" si="6"/>
        <x:v>0</x:v>
      </x:c>
      <x:c r="T109" s="93">
        <x:f t="shared" si="6"/>
        <x:v>0</x:v>
      </x:c>
      <x:c r="U109" s="93">
        <x:f t="shared" si="6"/>
        <x:v>0</x:v>
      </x:c>
      <x:c r="V109" s="93">
        <x:f t="shared" si="6"/>
        <x:v>0</x:v>
      </x:c>
      <x:c r="W109" s="93">
        <x:f t="shared" si="6"/>
        <x:v>0</x:v>
      </x:c>
      <x:c r="X109" s="93">
        <x:f t="shared" si="6"/>
        <x:v>0</x:v>
      </x:c>
      <x:c r="Y109" s="93">
        <x:f t="shared" si="6"/>
        <x:v>0</x:v>
      </x:c>
      <x:c r="Z109" s="93">
        <x:f t="shared" si="6"/>
        <x:v>0</x:v>
      </x:c>
      <x:c r="AA109" s="93">
        <x:f t="shared" si="6"/>
        <x:v>0</x:v>
      </x:c>
      <x:c r="AB109" s="93">
        <x:f t="shared" si="6"/>
        <x:v>0</x:v>
      </x:c>
      <x:c r="AC109" s="93">
        <x:f t="shared" si="6"/>
        <x:v>0</x:v>
      </x:c>
      <x:c r="AD109" s="93">
        <x:f t="shared" si="6"/>
        <x:v>0</x:v>
      </x:c>
      <x:c r="AE109" s="93">
        <x:f t="shared" si="6"/>
        <x:v>0</x:v>
      </x:c>
      <x:c r="AF109" s="93">
        <x:f t="shared" si="6"/>
        <x:v>0</x:v>
      </x:c>
      <x:c r="AG109" s="93">
        <x:f t="shared" si="6"/>
        <x:v>0</x:v>
      </x:c>
      <x:c r="AH109" s="93">
        <x:f t="shared" si="6"/>
        <x:v>0</x:v>
      </x:c>
      <x:c r="AI109" s="93">
        <x:f t="shared" si="6"/>
        <x:v>0</x:v>
      </x:c>
      <x:c r="AJ109" s="93">
        <x:f t="shared" si="6"/>
        <x:v>0</x:v>
      </x:c>
      <x:c r="AK109" s="93">
        <x:f t="shared" si="6"/>
        <x:v>0</x:v>
      </x:c>
      <x:c r="AL109" s="93">
        <x:f t="shared" si="6"/>
        <x:v>0</x:v>
      </x:c>
      <x:c r="AM109" s="93">
        <x:f t="shared" si="6"/>
        <x:v>0</x:v>
      </x:c>
      <x:c r="AN109" s="93">
        <x:f t="shared" si="6"/>
        <x:v>0</x:v>
      </x:c>
      <x:c r="AO109" s="93">
        <x:f t="shared" si="6"/>
        <x:v>0</x:v>
      </x:c>
      <x:c r="AP109" s="93">
        <x:f t="shared" si="6"/>
        <x:v>0</x:v>
      </x:c>
    </x:row>
    <x:row r="110" spans="1:42" ht="12.75" customHeight="1" x14ac:dyDescent="0.2">
      <x:c r="C110" s="778"/>
      <x:c r="D110" s="776"/>
      <x:c r="E110" s="101" t="s">
        <x:v>73</x:v>
      </x:c>
      <x:c r="F110" s="93">
        <x:f>F83</x:f>
        <x:v>0</x:v>
      </x:c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</x:row>
    <x:row r="111" spans="1:42" ht="12.75" customHeight="1" x14ac:dyDescent="0.2">
      <x:c r="C111" s="778"/>
      <x:c r="D111" s="776" t="s">
        <x:v>133</x:v>
      </x:c>
      <x:c r="E111" s="235" t="s">
        <x:v>70</x:v>
      </x:c>
      <x:c r="F111" s="236">
        <x:f>F69+F35-L35</x:f>
        <x:v>0</x:v>
      </x:c>
      <x:c r="G111" s="236">
        <x:f t="shared" ref="G111:AP111" si="7">G35</x:f>
        <x:v>0</x:v>
      </x:c>
      <x:c r="H111" s="236">
        <x:f t="shared" si="7"/>
        <x:v>0</x:v>
      </x:c>
      <x:c r="I111" s="236">
        <x:f t="shared" si="7"/>
        <x:v>0</x:v>
      </x:c>
      <x:c r="J111" s="236">
        <x:f t="shared" si="7"/>
        <x:v>0</x:v>
      </x:c>
      <x:c r="K111" s="236">
        <x:f t="shared" si="7"/>
        <x:v>0</x:v>
      </x:c>
      <x:c r="L111" s="236">
        <x:f t="shared" si="7"/>
        <x:v>0</x:v>
      </x:c>
      <x:c r="M111" s="236">
        <x:f t="shared" si="7"/>
        <x:v>0</x:v>
      </x:c>
      <x:c r="N111" s="236">
        <x:f t="shared" si="7"/>
        <x:v>0</x:v>
      </x:c>
      <x:c r="O111" s="236">
        <x:f t="shared" si="7"/>
        <x:v>0</x:v>
      </x:c>
      <x:c r="P111" s="236">
        <x:f t="shared" si="7"/>
        <x:v>0</x:v>
      </x:c>
      <x:c r="Q111" s="236">
        <x:f t="shared" si="7"/>
        <x:v>0</x:v>
      </x:c>
      <x:c r="R111" s="236">
        <x:f t="shared" si="7"/>
        <x:v>0</x:v>
      </x:c>
      <x:c r="S111" s="236">
        <x:f t="shared" si="7"/>
        <x:v>0</x:v>
      </x:c>
      <x:c r="T111" s="236">
        <x:f t="shared" si="7"/>
        <x:v>0</x:v>
      </x:c>
      <x:c r="U111" s="236">
        <x:f t="shared" si="7"/>
        <x:v>0</x:v>
      </x:c>
      <x:c r="V111" s="236">
        <x:f t="shared" si="7"/>
        <x:v>0</x:v>
      </x:c>
      <x:c r="W111" s="236">
        <x:f t="shared" si="7"/>
        <x:v>0</x:v>
      </x:c>
      <x:c r="X111" s="236">
        <x:f t="shared" si="7"/>
        <x:v>0</x:v>
      </x:c>
      <x:c r="Y111" s="236">
        <x:f t="shared" si="7"/>
        <x:v>0</x:v>
      </x:c>
      <x:c r="Z111" s="236">
        <x:f t="shared" si="7"/>
        <x:v>0</x:v>
      </x:c>
      <x:c r="AA111" s="236">
        <x:f t="shared" si="7"/>
        <x:v>0</x:v>
      </x:c>
      <x:c r="AB111" s="236">
        <x:f t="shared" si="7"/>
        <x:v>0</x:v>
      </x:c>
      <x:c r="AC111" s="236">
        <x:f t="shared" si="7"/>
        <x:v>0</x:v>
      </x:c>
      <x:c r="AD111" s="236">
        <x:f t="shared" si="7"/>
        <x:v>0</x:v>
      </x:c>
      <x:c r="AE111" s="236">
        <x:f t="shared" si="7"/>
        <x:v>0</x:v>
      </x:c>
      <x:c r="AF111" s="236">
        <x:f t="shared" si="7"/>
        <x:v>0</x:v>
      </x:c>
      <x:c r="AG111" s="236">
        <x:f t="shared" si="7"/>
        <x:v>0</x:v>
      </x:c>
      <x:c r="AH111" s="236">
        <x:f t="shared" si="7"/>
        <x:v>0</x:v>
      </x:c>
      <x:c r="AI111" s="236">
        <x:f t="shared" si="7"/>
        <x:v>0</x:v>
      </x:c>
      <x:c r="AJ111" s="236">
        <x:f t="shared" si="7"/>
        <x:v>0</x:v>
      </x:c>
      <x:c r="AK111" s="236">
        <x:f t="shared" si="7"/>
        <x:v>0</x:v>
      </x:c>
      <x:c r="AL111" s="236">
        <x:f t="shared" si="7"/>
        <x:v>0</x:v>
      </x:c>
      <x:c r="AM111" s="236">
        <x:f t="shared" si="7"/>
        <x:v>0</x:v>
      </x:c>
      <x:c r="AN111" s="236">
        <x:f t="shared" si="7"/>
        <x:v>0</x:v>
      </x:c>
      <x:c r="AO111" s="236">
        <x:f t="shared" si="7"/>
        <x:v>0</x:v>
      </x:c>
      <x:c r="AP111" s="236">
        <x:f t="shared" si="7"/>
        <x:v>0</x:v>
      </x:c>
    </x:row>
    <x:row r="112" spans="1:42" ht="12.75" customHeight="1" x14ac:dyDescent="0.2">
      <x:c r="C112" s="778"/>
      <x:c r="D112" s="776"/>
      <x:c r="E112" s="235" t="s">
        <x:v>73</x:v>
      </x:c>
      <x:c r="F112" s="236">
        <x:f>F69</x:f>
        <x:v>0</x:v>
      </x:c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</x:row>
    <x:row r="113" spans="1:42" ht="12.75" customHeight="1" x14ac:dyDescent="0.2">
      <x:c r="A113" s="89"/>
      <x:c r="C113" s="97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</x:row>
    <x:row r="114" spans="1:42" ht="12.75" customHeight="1" x14ac:dyDescent="0.2">
      <x:c r="C114" s="777" t="s">
        <x:v>161</x:v>
      </x:c>
      <x:c r="D114" s="776" t="s">
        <x:v>132</x:v>
      </x:c>
      <x:c r="E114" s="231" t="s">
        <x:v>70</x:v>
      </x:c>
      <x:c r="F114" s="232">
        <x:v>0</x:v>
      </x:c>
      <x:c r="G114" s="232">
        <x:v>0</x:v>
      </x:c>
      <x:c r="H114" s="232">
        <x:v>0</x:v>
      </x:c>
      <x:c r="I114" s="232">
        <x:v>0</x:v>
      </x:c>
      <x:c r="J114" s="232">
        <x:v>0</x:v>
      </x:c>
      <x:c r="K114" s="232">
        <x:v>0</x:v>
      </x:c>
      <x:c r="L114" s="232">
        <x:v>0</x:v>
      </x:c>
      <x:c r="M114" s="232">
        <x:v>0</x:v>
      </x:c>
      <x:c r="N114" s="232">
        <x:v>0</x:v>
      </x:c>
      <x:c r="O114" s="232">
        <x:v>0</x:v>
      </x:c>
      <x:c r="P114" s="232">
        <x:v>0</x:v>
      </x:c>
      <x:c r="Q114" s="232">
        <x:v>0</x:v>
      </x:c>
      <x:c r="R114" s="232">
        <x:v>0</x:v>
      </x:c>
      <x:c r="S114" s="232">
        <x:v>0</x:v>
      </x:c>
      <x:c r="T114" s="232">
        <x:v>0</x:v>
      </x:c>
      <x:c r="U114" s="232">
        <x:v>0</x:v>
      </x:c>
      <x:c r="V114" s="232">
        <x:v>0</x:v>
      </x:c>
      <x:c r="W114" s="232">
        <x:v>0</x:v>
      </x:c>
      <x:c r="X114" s="232">
        <x:v>0</x:v>
      </x:c>
      <x:c r="Y114" s="232">
        <x:v>0</x:v>
      </x:c>
      <x:c r="Z114" s="232">
        <x:v>0</x:v>
      </x:c>
      <x:c r="AA114" s="232">
        <x:v>0</x:v>
      </x:c>
      <x:c r="AB114" s="232">
        <x:v>0</x:v>
      </x:c>
      <x:c r="AC114" s="232">
        <x:v>0</x:v>
      </x:c>
      <x:c r="AD114" s="232">
        <x:v>0</x:v>
      </x:c>
      <x:c r="AE114" s="232">
        <x:v>0</x:v>
      </x:c>
      <x:c r="AF114" s="232">
        <x:v>0</x:v>
      </x:c>
      <x:c r="AG114" s="232">
        <x:v>0</x:v>
      </x:c>
      <x:c r="AH114" s="232">
        <x:v>0</x:v>
      </x:c>
      <x:c r="AI114" s="232">
        <x:v>0</x:v>
      </x:c>
      <x:c r="AJ114" s="232">
        <x:v>0</x:v>
      </x:c>
      <x:c r="AK114" s="232">
        <x:v>0</x:v>
      </x:c>
      <x:c r="AL114" s="232">
        <x:v>0</x:v>
      </x:c>
      <x:c r="AM114" s="232">
        <x:v>0</x:v>
      </x:c>
      <x:c r="AN114" s="232">
        <x:v>0</x:v>
      </x:c>
      <x:c r="AO114" s="232">
        <x:v>0</x:v>
      </x:c>
      <x:c r="AP114" s="232">
        <x:v>0</x:v>
      </x:c>
    </x:row>
    <x:row r="115" spans="1:42" ht="12.75" customHeight="1" x14ac:dyDescent="0.2">
      <x:c r="C115" s="777"/>
      <x:c r="D115" s="776"/>
      <x:c r="E115" s="231" t="s">
        <x:v>73</x:v>
      </x:c>
      <x:c r="F115" s="232">
        <x:v>0</x:v>
      </x:c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42" ht="12.75" customHeight="1" x14ac:dyDescent="0.2">
      <x:c r="C116" s="777"/>
      <x:c r="D116" s="776" t="s">
        <x:v>133</x:v>
      </x:c>
      <x:c r="E116" s="148" t="s">
        <x:v>70</x:v>
      </x:c>
      <x:c r="F116" s="149">
        <x:v>0</x:v>
      </x:c>
      <x:c r="G116" s="149">
        <x:v>0</x:v>
      </x:c>
      <x:c r="H116" s="149">
        <x:v>0</x:v>
      </x:c>
      <x:c r="I116" s="149">
        <x:v>0</x:v>
      </x:c>
      <x:c r="J116" s="149">
        <x:v>0</x:v>
      </x:c>
      <x:c r="K116" s="149">
        <x:v>0</x:v>
      </x:c>
      <x:c r="L116" s="149">
        <x:v>0</x:v>
      </x:c>
      <x:c r="M116" s="149">
        <x:v>0</x:v>
      </x:c>
      <x:c r="N116" s="149">
        <x:v>0</x:v>
      </x:c>
      <x:c r="O116" s="149">
        <x:v>0</x:v>
      </x:c>
      <x:c r="P116" s="149">
        <x:v>0</x:v>
      </x:c>
      <x:c r="Q116" s="149">
        <x:v>0</x:v>
      </x:c>
      <x:c r="R116" s="149">
        <x:v>0</x:v>
      </x:c>
      <x:c r="S116" s="149">
        <x:v>0</x:v>
      </x:c>
      <x:c r="T116" s="149">
        <x:v>0</x:v>
      </x:c>
      <x:c r="U116" s="149">
        <x:v>0</x:v>
      </x:c>
      <x:c r="V116" s="149">
        <x:v>0</x:v>
      </x:c>
      <x:c r="W116" s="149">
        <x:v>0</x:v>
      </x:c>
      <x:c r="X116" s="149">
        <x:v>0</x:v>
      </x:c>
      <x:c r="Y116" s="149">
        <x:v>0</x:v>
      </x:c>
      <x:c r="Z116" s="149">
        <x:v>0</x:v>
      </x:c>
      <x:c r="AA116" s="149">
        <x:v>0</x:v>
      </x:c>
      <x:c r="AB116" s="149">
        <x:v>0</x:v>
      </x:c>
      <x:c r="AC116" s="149">
        <x:v>0</x:v>
      </x:c>
      <x:c r="AD116" s="149">
        <x:v>0</x:v>
      </x:c>
      <x:c r="AE116" s="149">
        <x:v>0</x:v>
      </x:c>
      <x:c r="AF116" s="149">
        <x:v>0</x:v>
      </x:c>
      <x:c r="AG116" s="149">
        <x:v>0</x:v>
      </x:c>
      <x:c r="AH116" s="149">
        <x:v>0</x:v>
      </x:c>
      <x:c r="AI116" s="149">
        <x:v>0</x:v>
      </x:c>
      <x:c r="AJ116" s="149">
        <x:v>0</x:v>
      </x:c>
      <x:c r="AK116" s="149">
        <x:v>0</x:v>
      </x:c>
      <x:c r="AL116" s="149">
        <x:v>0</x:v>
      </x:c>
      <x:c r="AM116" s="149">
        <x:v>0</x:v>
      </x:c>
      <x:c r="AN116" s="149">
        <x:v>0</x:v>
      </x:c>
      <x:c r="AO116" s="149">
        <x:v>0</x:v>
      </x:c>
      <x:c r="AP116" s="149">
        <x:v>0</x:v>
      </x:c>
    </x:row>
    <x:row r="117" spans="1:42" ht="12.75" customHeight="1" x14ac:dyDescent="0.2">
      <x:c r="C117" s="777"/>
      <x:c r="D117" s="776"/>
      <x:c r="E117" s="148" t="s">
        <x:v>73</x:v>
      </x:c>
      <x:c r="F117" s="149">
        <x:v>0</x:v>
      </x:c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</x:row>
    <x:row r="118" spans="1:42" ht="12.75" customHeight="1" x14ac:dyDescent="0.2">
      <x:c r="C118" s="388"/>
      <x:c r="D118" s="220"/>
      <x:c r="E118" s="89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</x:row>
    <x:row r="119" spans="1:42" ht="12.75" customHeight="1" x14ac:dyDescent="0.2">
      <x:c r="D119" s="458" t="s">
        <x:v>186</x:v>
      </x:c>
      <x:c r="E119" s="459" t="s">
        <x:v>70</x:v>
      </x:c>
      <x:c r="F119" s="460">
        <x:f>F16</x:f>
        <x:v>0</x:v>
      </x:c>
      <x:c r="G119" s="460">
        <x:f t="shared" ref="G119:AP119" si="8">G16</x:f>
        <x:v>0</x:v>
      </x:c>
      <x:c r="H119" s="460">
        <x:f t="shared" si="8"/>
        <x:v>0</x:v>
      </x:c>
      <x:c r="I119" s="460">
        <x:f t="shared" si="8"/>
        <x:v>0</x:v>
      </x:c>
      <x:c r="J119" s="460">
        <x:f t="shared" si="8"/>
        <x:v>0</x:v>
      </x:c>
      <x:c r="K119" s="460">
        <x:f t="shared" si="8"/>
        <x:v>0</x:v>
      </x:c>
      <x:c r="L119" s="460">
        <x:f t="shared" si="8"/>
        <x:v>0</x:v>
      </x:c>
      <x:c r="M119" s="460">
        <x:f t="shared" si="8"/>
        <x:v>0</x:v>
      </x:c>
      <x:c r="N119" s="460">
        <x:f t="shared" si="8"/>
        <x:v>0</x:v>
      </x:c>
      <x:c r="O119" s="460">
        <x:f t="shared" si="8"/>
        <x:v>0</x:v>
      </x:c>
      <x:c r="P119" s="460">
        <x:f t="shared" si="8"/>
        <x:v>0</x:v>
      </x:c>
      <x:c r="Q119" s="460">
        <x:f t="shared" si="8"/>
        <x:v>0</x:v>
      </x:c>
      <x:c r="R119" s="460">
        <x:f t="shared" si="8"/>
        <x:v>0</x:v>
      </x:c>
      <x:c r="S119" s="460">
        <x:f t="shared" si="8"/>
        <x:v>0</x:v>
      </x:c>
      <x:c r="T119" s="460">
        <x:f t="shared" si="8"/>
        <x:v>0</x:v>
      </x:c>
      <x:c r="U119" s="460">
        <x:f t="shared" si="8"/>
        <x:v>0</x:v>
      </x:c>
      <x:c r="V119" s="460">
        <x:f t="shared" si="8"/>
        <x:v>0</x:v>
      </x:c>
      <x:c r="W119" s="460">
        <x:f t="shared" si="8"/>
        <x:v>0</x:v>
      </x:c>
      <x:c r="X119" s="460">
        <x:f t="shared" si="8"/>
        <x:v>0</x:v>
      </x:c>
      <x:c r="Y119" s="460">
        <x:f t="shared" si="8"/>
        <x:v>0</x:v>
      </x:c>
      <x:c r="Z119" s="460">
        <x:f t="shared" si="8"/>
        <x:v>0</x:v>
      </x:c>
      <x:c r="AA119" s="460">
        <x:f t="shared" si="8"/>
        <x:v>0</x:v>
      </x:c>
      <x:c r="AB119" s="460">
        <x:f t="shared" si="8"/>
        <x:v>0</x:v>
      </x:c>
      <x:c r="AC119" s="460">
        <x:f t="shared" si="8"/>
        <x:v>0</x:v>
      </x:c>
      <x:c r="AD119" s="460">
        <x:f t="shared" si="8"/>
        <x:v>0</x:v>
      </x:c>
      <x:c r="AE119" s="460">
        <x:f t="shared" si="8"/>
        <x:v>0</x:v>
      </x:c>
      <x:c r="AF119" s="460">
        <x:f t="shared" si="8"/>
        <x:v>0</x:v>
      </x:c>
      <x:c r="AG119" s="460">
        <x:f t="shared" si="8"/>
        <x:v>0</x:v>
      </x:c>
      <x:c r="AH119" s="460">
        <x:f t="shared" si="8"/>
        <x:v>0</x:v>
      </x:c>
      <x:c r="AI119" s="460">
        <x:f t="shared" si="8"/>
        <x:v>0</x:v>
      </x:c>
      <x:c r="AJ119" s="460">
        <x:f t="shared" si="8"/>
        <x:v>0</x:v>
      </x:c>
      <x:c r="AK119" s="460">
        <x:f t="shared" si="8"/>
        <x:v>0</x:v>
      </x:c>
      <x:c r="AL119" s="460">
        <x:f t="shared" si="8"/>
        <x:v>0</x:v>
      </x:c>
      <x:c r="AM119" s="460">
        <x:f t="shared" si="8"/>
        <x:v>0</x:v>
      </x:c>
      <x:c r="AN119" s="460">
        <x:f t="shared" si="8"/>
        <x:v>0</x:v>
      </x:c>
      <x:c r="AO119" s="460">
        <x:f t="shared" si="8"/>
        <x:v>0</x:v>
      </x:c>
      <x:c r="AP119" s="460">
        <x:f t="shared" si="8"/>
        <x:v>0</x:v>
      </x:c>
    </x:row>
    <x:row r="120" spans="1:42" ht="12.75" customHeight="1" x14ac:dyDescent="0.2">
      <x:c r="C120" s="388"/>
      <x:c r="D120" s="220"/>
      <x:c r="E120" s="89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</x:row>
    <x:row r="121" spans="1:42" s="238" customFormat="1" ht="12.75" customHeight="1" x14ac:dyDescent="0.2">
      <x:c r="B121" s="239"/>
      <x:c r="C121" s="239"/>
      <x:c r="E121" s="240"/>
      <x:c r="F121" s="240"/>
      <x:c r="G121" s="240"/>
      <x:c r="H121" s="240"/>
      <x:c r="I121" s="240"/>
      <x:c r="J121" s="240"/>
      <x:c r="K121" s="240"/>
      <x:c r="L121" s="240"/>
      <x:c r="M121" s="240"/>
      <x:c r="N121" s="240"/>
      <x:c r="O121" s="240"/>
      <x:c r="P121" s="240"/>
      <x:c r="Q121" s="240"/>
      <x:c r="R121" s="240"/>
    </x:row>
    <x:row r="122" spans="1:42" ht="12" customHeight="1" x14ac:dyDescent="0.2">
      <x:c r="A122" s="89"/>
      <x:c r="B122" s="97" t="s">
        <x:v>75</x:v>
      </x:c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</x:row>
    <x:row r="123" spans="1:42" ht="12.6" customHeight="1" x14ac:dyDescent="0.2">
      <x:c r="F123" s="89" t="s">
        <x:v>70</x:v>
      </x:c>
      <x:c r="G123" s="89" t="s">
        <x:v>64</x:v>
      </x:c>
      <x:c r="H123" s="89" t="s">
        <x:v>65</x:v>
      </x:c>
      <x:c r="I123" s="218" t="s">
        <x:v>164</x:v>
      </x:c>
      <x:c r="J123" s="89" t="s">
        <x:v>69</x:v>
      </x:c>
      <x:c r="K123" s="89" t="s">
        <x:v>68</x:v>
      </x:c>
      <x:c r="L123" s="89" t="s">
        <x:v>71</x:v>
      </x:c>
      <x:c r="M123" s="89" t="s">
        <x:v>66</x:v>
      </x:c>
      <x:c r="N123" s="89" t="s">
        <x:v>63</x:v>
      </x:c>
      <x:c r="O123" s="89" t="s">
        <x:v>61</x:v>
      </x:c>
      <x:c r="P123" s="89" t="s">
        <x:v>62</x:v>
      </x:c>
      <x:c r="Q123" s="89" t="s">
        <x:v>67</x:v>
      </x:c>
      <x:c r="R123" s="89" t="s">
        <x:v>77</x:v>
      </x:c>
      <x:c r="S123" s="89" t="s">
        <x:v>80</x:v>
      </x:c>
      <x:c r="T123" s="89" t="s">
        <x:v>135</x:v>
      </x:c>
      <x:c r="U123" s="89" t="s">
        <x:v>173</x:v>
      </x:c>
      <x:c r="V123" s="89" t="s">
        <x:v>222</x:v>
      </x:c>
      <x:c r="W123" s="89" t="s">
        <x:v>173</x:v>
      </x:c>
      <x:c r="X123" t="s">
        <x:v>173</x:v>
      </x:c>
      <x:c r="Y123" s="89" t="s">
        <x:v>135</x:v>
      </x:c>
      <x:c r="Z123" s="89" t="s">
        <x:v>167</x:v>
      </x:c>
    </x:row>
    <x:row r="124" spans="1:42" ht="12.75" customHeight="1" x14ac:dyDescent="0.2">
      <x:c r="E124" t="s">
        <x:v>72</x:v>
      </x:c>
      <x:c r="F124" s="384" t="n">
        <x:v>-959960.05</x:v>
      </x:c>
      <x:c r="G124" s="89" t="n">
        <x:v>-83596.03</x:v>
      </x:c>
      <x:c r="H124" s="89" t="n">
        <x:v>-35513.93</x:v>
      </x:c>
      <x:c r="I124" s="664" t="n">
        <x:v>-15509.04</x:v>
      </x:c>
      <x:c r="J124" s="89" t="n">
        <x:v>-193649.93</x:v>
      </x:c>
      <x:c r="K124" s="89" t="n">
        <x:v>-8005.36</x:v>
      </x:c>
      <x:c r="L124" s="89" t="n">
        <x:v>0</x:v>
      </x:c>
      <x:c r="M124" s="89" t="n">
        <x:v>-70404.88</x:v>
      </x:c>
      <x:c r="N124" s="89" t="n">
        <x:v>-88042.57</x:v>
      </x:c>
      <x:c r="O124" s="89" t="n">
        <x:v>-295676.04</x:v>
      </x:c>
      <x:c r="P124" s="89" t="n">
        <x:v>-156499.38</x:v>
      </x:c>
      <x:c r="Q124" s="89" t="n">
        <x:v>-13062.89</x:v>
      </x:c>
      <x:c r="R124" s="89" t="n">
        <x:v>0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42" ht="12.75" customHeight="1" x14ac:dyDescent="0.2">
      <x:c r="D125" t="s">
        <x:v>156</x:v>
      </x:c>
      <x:c r="E125" t="s">
        <x:v>70</x:v>
      </x:c>
      <x:c r="F125" s="384" t="n">
        <x:v>-959960.05</x:v>
      </x:c>
      <x:c r="G125" s="89" t="n">
        <x:v>-83596.03</x:v>
      </x:c>
      <x:c r="H125" s="89" t="n">
        <x:v>-35513.93</x:v>
      </x:c>
      <x:c r="I125" s="664" t="n">
        <x:v>-15509.04</x:v>
      </x:c>
      <x:c r="J125" s="89" t="n">
        <x:v>-193649.93</x:v>
      </x:c>
      <x:c r="K125" s="89" t="n">
        <x:v>-8005.36</x:v>
      </x:c>
      <x:c r="L125" s="89" t="n">
        <x:v>0</x:v>
      </x:c>
      <x:c r="M125" s="89" t="n">
        <x:v>-70404.88</x:v>
      </x:c>
      <x:c r="N125" s="89" t="n">
        <x:v>-88042.57</x:v>
      </x:c>
      <x:c r="O125" s="89" t="n">
        <x:v>-295676.04</x:v>
      </x:c>
      <x:c r="P125" s="89" t="n">
        <x:v>-156499.38</x:v>
      </x:c>
      <x:c r="Q125" s="89" t="n">
        <x:v>-13062.89</x:v>
      </x:c>
      <x:c r="R125" s="89" t="n">
        <x:v>0</x:v>
      </x:c>
      <x:c r="S125" s="89" t="n">
        <x:v>0</x:v>
      </x:c>
      <x:c r="T125" s="89" t="n">
        <x:v>0</x:v>
      </x:c>
      <x:c r="U125" s="89">
        <x:v>0</x:v>
      </x:c>
      <x:c r="V125" s="89">
        <x:v>0</x:v>
      </x:c>
      <x:c r="W125" s="89">
        <x:v>0</x:v>
      </x:c>
      <x:c r="X125">
        <x:v>0</x:v>
      </x:c>
      <x:c r="Y125" s="89">
        <x:v>0</x:v>
      </x:c>
      <x:c r="Z125" s="89" t="n">
        <x:v>0</x:v>
      </x:c>
    </x:row>
    <x:row r="126" spans="1:42" s="656" customFormat="1" ht="12.75" customHeight="1" x14ac:dyDescent="0.2">
      <x:c r="C126" s="656" t="s">
        <x:v>155</x:v>
      </x:c>
      <x:c r="D126" s="656" t="s">
        <x:v>70</x:v>
      </x:c>
      <x:c r="F126" s="736" t="n">
        <x:v>-959960.05</x:v>
      </x:c>
      <x:c r="G126" s="657" t="n">
        <x:v>-83596.03</x:v>
      </x:c>
      <x:c r="H126" s="657" t="n">
        <x:v>-35513.93</x:v>
      </x:c>
      <x:c r="I126" s="737" t="n">
        <x:v>-15509.04</x:v>
      </x:c>
      <x:c r="J126" s="657" t="n">
        <x:v>-193649.93</x:v>
      </x:c>
      <x:c r="K126" s="657" t="n">
        <x:v>-8005.36</x:v>
      </x:c>
      <x:c r="L126" s="657" t="n">
        <x:v>0</x:v>
      </x:c>
      <x:c r="M126" s="657" t="n">
        <x:v>-70404.88</x:v>
      </x:c>
      <x:c r="N126" s="657" t="n">
        <x:v>-88042.57</x:v>
      </x:c>
      <x:c r="O126" s="657" t="n">
        <x:v>-295676.04</x:v>
      </x:c>
      <x:c r="P126" s="657" t="n">
        <x:v>-156499.38</x:v>
      </x:c>
      <x:c r="Q126" s="657" t="n">
        <x:v>-13062.89</x:v>
      </x:c>
      <x:c r="R126" s="657" t="n">
        <x:v>0</x:v>
      </x:c>
      <x:c r="S126" s="657" t="n">
        <x:v>0</x:v>
      </x:c>
      <x:c r="T126" s="657" t="n">
        <x:v>0</x:v>
      </x:c>
      <x:c r="U126" s="657">
        <x:v>0</x:v>
      </x:c>
      <x:c r="V126" s="657">
        <x:v>0</x:v>
      </x:c>
      <x:c r="W126" s="657">
        <x:v>0</x:v>
      </x:c>
      <x:c r="X126" s="656">
        <x:v>0</x:v>
      </x:c>
      <x:c r="Y126" s="657">
        <x:v>0</x:v>
      </x:c>
      <x:c r="Z126" s="657" t="n">
        <x:v>0</x:v>
      </x:c>
    </x:row>
    <x:row r="127" spans="1:42" x14ac:dyDescent="0.2">
      <x:c r="E127" t="s">
        <x:v>72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42" x14ac:dyDescent="0.2">
      <x:c r="D128" t="s">
        <x:v>115</x:v>
      </x:c>
      <x:c r="E128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x14ac:dyDescent="0.2">
      <x:c r="E12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x14ac:dyDescent="0.2">
      <x:c r="D130" t="s">
        <x:v>116</x:v>
      </x:c>
      <x:c r="E130" t="s">
        <x:v>70</x:v>
      </x:c>
      <x:c r="F130" s="371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x14ac:dyDescent="0.2">
      <x:c r="E131" t="s">
        <x:v>72</x:v>
      </x:c>
      <x:c r="F131" s="371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x14ac:dyDescent="0.2">
      <x:c r="D132" s="772">
        <x:v>3</x:v>
      </x:c>
      <x:c r="E132" t="s">
        <x:v>70</x:v>
      </x:c>
      <x:c r="F132" s="371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x14ac:dyDescent="0.2">
      <x:c r="D133" s="772"/>
      <x:c r="E133" t="s">
        <x:v>72</x:v>
      </x:c>
      <x:c r="F133" s="371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x14ac:dyDescent="0.2">
      <x:c r="D134" s="772">
        <x:v>4</x:v>
      </x:c>
      <x:c r="E134" t="s">
        <x:v>70</x:v>
      </x:c>
      <x:c r="F134" s="371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x14ac:dyDescent="0.2">
      <x:c r="E135" t="s">
        <x:v>72</x:v>
      </x:c>
      <x:c r="F135" s="371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 s="90">
        <x:v>0</x:v>
      </x:c>
      <x:c r="S135" s="90">
        <x:v>0</x:v>
      </x:c>
      <x:c r="T135" s="90">
        <x:v>0</x:v>
      </x:c>
      <x:c r="U135" s="90">
        <x:v>0</x:v>
      </x:c>
      <x:c r="V135" s="90">
        <x:v>0</x:v>
      </x:c>
      <x:c r="W135" s="90">
        <x:v>0</x:v>
      </x:c>
      <x:c r="X135">
        <x:v>0</x:v>
      </x:c>
      <x:c r="Y135">
        <x:v>0</x:v>
      </x:c>
      <x:c r="Z135">
        <x:v>0</x:v>
      </x:c>
    </x:row>
    <x:row r="136" spans="3:26" x14ac:dyDescent="0.2">
      <x:c r="D136" t="s">
        <x:v>118</x:v>
      </x:c>
      <x:c r="E136" t="s">
        <x:v>70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x14ac:dyDescent="0.2">
      <x:c r="E137" t="s">
        <x:v>72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x14ac:dyDescent="0.2">
      <x:c r="D138" s="772">
        <x:v>6</x:v>
      </x:c>
      <x:c r="E138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x14ac:dyDescent="0.2">
      <x:c r="C139" s="89"/>
      <x:c r="D139" s="89"/>
      <x:c r="E139" t="s">
        <x:v>72</x:v>
      </x:c>
      <x:c r="F139" s="90">
        <x:v>0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>
        <x:v>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x14ac:dyDescent="0.2">
      <x:c r="D140" s="772">
        <x:v>9</x:v>
      </x:c>
      <x:c r="E140" t="s">
        <x:v>70</x:v>
      </x:c>
      <x:c r="F140" s="384">
        <x:v>0</x:v>
      </x:c>
      <x:c r="G140" s="89">
        <x:v>0</x:v>
      </x:c>
      <x:c r="H140" s="89">
        <x:v>0</x:v>
      </x:c>
      <x:c r="I140" s="664">
        <x:v>0</x:v>
      </x:c>
      <x:c r="J140" s="89">
        <x:v>0</x:v>
      </x:c>
      <x:c r="K140" s="89">
        <x:v>0</x:v>
      </x:c>
      <x:c r="L140" s="89">
        <x:v>0</x:v>
      </x:c>
      <x:c r="M140" s="89">
        <x:v>0</x:v>
      </x:c>
      <x:c r="N140" s="89">
        <x:v>0</x:v>
      </x:c>
      <x:c r="O140" s="89">
        <x:v>0</x:v>
      </x:c>
      <x:c r="P140" s="89">
        <x:v>0</x:v>
      </x:c>
      <x:c r="Q140" s="89">
        <x:v>0</x:v>
      </x:c>
      <x:c r="R140" s="89">
        <x:v>0</x:v>
      </x:c>
      <x:c r="S140" s="89">
        <x:v>0</x:v>
      </x:c>
      <x:c r="T140" s="89">
        <x:v>0</x:v>
      </x:c>
      <x:c r="U140" s="89">
        <x:v>0</x:v>
      </x:c>
      <x:c r="V140" s="89">
        <x:v>0</x:v>
      </x:c>
      <x:c r="W140" s="89">
        <x:v>0</x:v>
      </x:c>
      <x:c r="X140">
        <x:v>0</x:v>
      </x:c>
      <x:c r="Y140" s="89">
        <x:v>0</x:v>
      </x:c>
      <x:c r="Z140" s="89">
        <x:v>0</x:v>
      </x:c>
    </x:row>
    <x:row r="141" spans="3:26" s="224" customFormat="1" x14ac:dyDescent="0.2">
      <x:c r="C141" s="223" t="s">
        <x:v>120</x:v>
      </x:c>
      <x:c r="D141" s="223" t="s">
        <x:v>70</x:v>
      </x:c>
      <x:c r="F141" s="225">
        <x:v>0</x:v>
      </x:c>
      <x:c r="G141" s="225">
        <x:v>0</x:v>
      </x:c>
      <x:c r="H141" s="225">
        <x:v>0</x:v>
      </x:c>
      <x:c r="I141" s="225">
        <x:v>0</x:v>
      </x:c>
      <x:c r="J141" s="225">
        <x:v>0</x:v>
      </x:c>
      <x:c r="K141" s="225">
        <x:v>0</x:v>
      </x:c>
      <x:c r="L141" s="225">
        <x:v>0</x:v>
      </x:c>
      <x:c r="M141" s="225">
        <x:v>0</x:v>
      </x:c>
      <x:c r="N141" s="225">
        <x:v>0</x:v>
      </x:c>
      <x:c r="O141" s="225">
        <x:v>0</x:v>
      </x:c>
      <x:c r="P141" s="225">
        <x:v>0</x:v>
      </x:c>
      <x:c r="Q141" s="225">
        <x:v>0</x:v>
      </x:c>
      <x:c r="R141" s="225">
        <x:v>0</x:v>
      </x:c>
      <x:c r="S141" s="225">
        <x:v>0</x:v>
      </x:c>
      <x:c r="T141" s="225">
        <x:v>0</x:v>
      </x:c>
      <x:c r="U141" s="225">
        <x:v>0</x:v>
      </x:c>
      <x:c r="V141" s="225">
        <x:v>0</x:v>
      </x:c>
      <x:c r="W141" s="225">
        <x:v>0</x:v>
      </x:c>
      <x:c r="X141" s="224">
        <x:v>0</x:v>
      </x:c>
      <x:c r="Y141" s="224">
        <x:v>0</x:v>
      </x:c>
      <x:c r="Z141" s="224">
        <x:v>0</x:v>
      </x:c>
    </x:row>
    <x:row r="142" spans="3:26" ht="12.75" customHeight="1" x14ac:dyDescent="0.2">
      <x:c r="E142" s="89" t="s">
        <x:v>72</x:v>
      </x:c>
      <x:c r="F142" s="90" t="n">
        <x:v>-7651.9</x:v>
      </x:c>
      <x:c r="G142" s="90" t="n">
        <x:v>-673.86</x:v>
      </x:c>
      <x:c r="H142" s="90" t="n">
        <x:v>-286.29</x:v>
      </x:c>
      <x:c r="I142" s="90" t="n">
        <x:v>-125.01</x:v>
      </x:c>
      <x:c r="J142" s="90" t="n">
        <x:v>-1539.2</x:v>
      </x:c>
      <x:c r="K142" s="90" t="n">
        <x:v>-63.42</x:v>
      </x:c>
      <x:c r="L142" s="90" t="n">
        <x:v>0</x:v>
      </x:c>
      <x:c r="M142" s="90" t="n">
        <x:v>-556.32</x:v>
      </x:c>
      <x:c r="N142" s="90" t="n">
        <x:v>-697.37</x:v>
      </x:c>
      <x:c r="O142" s="90" t="n">
        <x:v>-2342.4</x:v>
      </x:c>
      <x:c r="P142" s="90" t="n">
        <x:v>-1264.56</x:v>
      </x:c>
      <x:c r="Q142" s="90" t="n">
        <x:v>-103.47</x:v>
      </x:c>
      <x:c r="R142" s="90" t="n">
        <x:v>0</x:v>
      </x:c>
      <x:c r="S142" s="90" t="n">
        <x:v>0</x:v>
      </x:c>
      <x:c r="T142" s="90" t="n">
        <x:v>0</x:v>
      </x:c>
      <x:c r="U142" s="90">
        <x:v>0</x:v>
      </x:c>
      <x:c r="V142" s="90">
        <x:v>0</x:v>
      </x:c>
      <x:c r="W142" s="90">
        <x:v>0</x:v>
      </x:c>
      <x:c r="X142">
        <x:v>0</x:v>
      </x:c>
      <x:c r="Y142">
        <x:v>0</x:v>
      </x:c>
      <x:c r="Z142" t="n">
        <x:v>0</x:v>
      </x:c>
    </x:row>
    <x:row r="143" spans="3:26" ht="12.75" customHeight="1" x14ac:dyDescent="0.2">
      <x:c r="D143" t="s">
        <x:v>82</x:v>
      </x:c>
      <x:c r="E143" s="89" t="s">
        <x:v>70</x:v>
      </x:c>
      <x:c r="F143" s="371" t="n">
        <x:v>-7651.9</x:v>
      </x:c>
      <x:c r="G143" s="90" t="n">
        <x:v>-673.86</x:v>
      </x:c>
      <x:c r="H143" s="90" t="n">
        <x:v>-286.29</x:v>
      </x:c>
      <x:c r="I143" s="90" t="n">
        <x:v>-125.01</x:v>
      </x:c>
      <x:c r="J143" s="90" t="n">
        <x:v>-1539.2</x:v>
      </x:c>
      <x:c r="K143" s="90" t="n">
        <x:v>-63.42</x:v>
      </x:c>
      <x:c r="L143" s="90" t="n">
        <x:v>0</x:v>
      </x:c>
      <x:c r="M143" s="90" t="n">
        <x:v>-556.32</x:v>
      </x:c>
      <x:c r="N143" s="90" t="n">
        <x:v>-697.37</x:v>
      </x:c>
      <x:c r="O143" s="90" t="n">
        <x:v>-2342.4</x:v>
      </x:c>
      <x:c r="P143" s="90" t="n">
        <x:v>-1264.56</x:v>
      </x:c>
      <x:c r="Q143" s="90" t="n">
        <x:v>-103.47</x:v>
      </x:c>
      <x:c r="R143" s="90" t="n">
        <x:v>0</x:v>
      </x:c>
      <x:c r="S143" s="90" t="n">
        <x:v>0</x:v>
      </x:c>
      <x:c r="T143" s="90" t="n">
        <x:v>0</x:v>
      </x:c>
      <x:c r="U143" s="90">
        <x:v>0</x:v>
      </x:c>
      <x:c r="V143" s="90">
        <x:v>0</x:v>
      </x:c>
      <x:c r="W143" s="90">
        <x:v>0</x:v>
      </x:c>
      <x:c r="X143">
        <x:v>0</x:v>
      </x:c>
      <x:c r="Y143">
        <x:v>0</x:v>
      </x:c>
      <x:c r="Z143" t="n">
        <x:v>0</x:v>
      </x:c>
    </x:row>
    <x:row r="144" spans="3:26" ht="12.75" customHeight="1" x14ac:dyDescent="0.2">
      <x:c r="E144" s="89" t="s">
        <x:v>72</x:v>
      </x:c>
      <x:c r="F144" s="371" t="n">
        <x:v>-25906.78</x:v>
      </x:c>
      <x:c r="G144" s="90" t="n">
        <x:v>-2297.68</x:v>
      </x:c>
      <x:c r="H144" s="90" t="n">
        <x:v>-976.11</x:v>
      </x:c>
      <x:c r="I144" s="90" t="n">
        <x:v>-426.3</x:v>
      </x:c>
      <x:c r="J144" s="90" t="n">
        <x:v>-5194.83</x:v>
      </x:c>
      <x:c r="K144" s="90" t="n">
        <x:v>-214.04</x:v>
      </x:c>
      <x:c r="L144" s="90" t="n">
        <x:v>0</x:v>
      </x:c>
      <x:c r="M144" s="90" t="n">
        <x:v>-1877.6</x:v>
      </x:c>
      <x:c r="N144" s="90" t="n">
        <x:v>-2353.6</x:v>
      </x:c>
      <x:c r="O144" s="90" t="n">
        <x:v>-7905.6</x:v>
      </x:c>
      <x:c r="P144" s="90" t="n">
        <x:v>-4311.78</x:v>
      </x:c>
      <x:c r="Q144" s="90" t="n">
        <x:v>-349.24</x:v>
      </x:c>
      <x:c r="R144" s="90" t="n">
        <x:v>0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>
        <x:v>0</x:v>
      </x:c>
      <x:c r="Y144">
        <x:v>0</x:v>
      </x:c>
      <x:c r="Z144" t="n">
        <x:v>0</x:v>
      </x:c>
    </x:row>
    <x:row r="145" spans="1:26" ht="12.75" customHeight="1" x14ac:dyDescent="0.2">
      <x:c r="D145" t="s">
        <x:v>86</x:v>
      </x:c>
      <x:c r="E145" s="89" t="s">
        <x:v>70</x:v>
      </x:c>
      <x:c r="F145" s="371" t="n">
        <x:v>-25906.78</x:v>
      </x:c>
      <x:c r="G145" s="90" t="n">
        <x:v>-2297.68</x:v>
      </x:c>
      <x:c r="H145" s="90" t="n">
        <x:v>-976.11</x:v>
      </x:c>
      <x:c r="I145" s="90" t="n">
        <x:v>-426.3</x:v>
      </x:c>
      <x:c r="J145" s="90" t="n">
        <x:v>-5194.83</x:v>
      </x:c>
      <x:c r="K145" s="90" t="n">
        <x:v>-214.04</x:v>
      </x:c>
      <x:c r="L145" s="90" t="n">
        <x:v>0</x:v>
      </x:c>
      <x:c r="M145" s="90" t="n">
        <x:v>-1877.6</x:v>
      </x:c>
      <x:c r="N145" s="90" t="n">
        <x:v>-2353.6</x:v>
      </x:c>
      <x:c r="O145" s="90" t="n">
        <x:v>-7905.6</x:v>
      </x:c>
      <x:c r="P145" s="90" t="n">
        <x:v>-4311.78</x:v>
      </x:c>
      <x:c r="Q145" s="90" t="n">
        <x:v>-349.24</x:v>
      </x:c>
      <x:c r="R145" s="90" t="n">
        <x:v>0</x:v>
      </x:c>
      <x:c r="S145" s="90" t="n">
        <x:v>0</x:v>
      </x:c>
      <x:c r="T145" s="90" t="n">
        <x:v>0</x:v>
      </x:c>
      <x:c r="U145" s="90">
        <x:v>0</x:v>
      </x:c>
      <x:c r="V145" s="90">
        <x:v>0</x:v>
      </x:c>
      <x:c r="W145" s="90">
        <x:v>0</x:v>
      </x:c>
      <x:c r="X145">
        <x:v>0</x:v>
      </x:c>
      <x:c r="Y145">
        <x:v>0</x:v>
      </x:c>
      <x:c r="Z145" t="n">
        <x:v>0</x:v>
      </x:c>
    </x:row>
    <x:row r="146" spans="1:26" ht="12.75" customHeight="1" x14ac:dyDescent="0.2">
      <x:c r="E146" s="89" t="s">
        <x:v>72</x:v>
      </x:c>
      <x:c r="F146" s="371">
        <x:v>0</x:v>
      </x:c>
      <x:c r="G146" s="90">
        <x:v>0</x:v>
      </x:c>
      <x:c r="H146" s="90">
        <x:v>0</x:v>
      </x:c>
      <x:c r="I146" s="90">
        <x:v>0</x:v>
      </x:c>
      <x:c r="J146" s="90">
        <x:v>0</x:v>
      </x:c>
      <x:c r="K146" s="90">
        <x:v>0</x:v>
      </x:c>
      <x:c r="L146" s="90">
        <x:v>0</x:v>
      </x:c>
      <x:c r="M146" s="90">
        <x:v>0</x:v>
      </x:c>
      <x:c r="N146" s="90">
        <x:v>0</x:v>
      </x:c>
      <x:c r="O146" s="90">
        <x:v>0</x:v>
      </x:c>
      <x:c r="P146" s="90">
        <x:v>0</x:v>
      </x:c>
      <x:c r="Q146" s="90">
        <x:v>0</x:v>
      </x:c>
      <x:c r="R146" s="90">
        <x:v>0</x:v>
      </x:c>
      <x:c r="S146" s="90">
        <x:v>0</x:v>
      </x:c>
      <x:c r="T146" s="90">
        <x:v>0</x:v>
      </x:c>
      <x:c r="U146" s="90">
        <x:v>0</x:v>
      </x:c>
      <x:c r="V146" s="90">
        <x:v>0</x:v>
      </x:c>
      <x:c r="W146" s="90">
        <x:v>0</x:v>
      </x:c>
      <x:c r="X146" s="90">
        <x:v>0</x:v>
      </x:c>
      <x:c r="Y146" s="90">
        <x:v>0</x:v>
      </x:c>
      <x:c r="Z146" s="90">
        <x:v>0</x:v>
      </x:c>
    </x:row>
    <x:row r="147" spans="1:26" ht="12.75" customHeight="1" x14ac:dyDescent="0.2">
      <x:c r="D147" t="s">
        <x:v>87</x:v>
      </x:c>
      <x:c r="E147" s="89" t="s">
        <x:v>70</x:v>
      </x:c>
      <x:c r="F147" s="371">
        <x:v>0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>
        <x:v>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 s="90">
        <x:v>0</x:v>
      </x:c>
      <x:c r="Y147" s="90">
        <x:v>0</x:v>
      </x:c>
      <x:c r="Z147" s="90">
        <x:v>0</x:v>
      </x:c>
    </x:row>
    <x:row r="148" spans="1:26" s="94" customFormat="1" ht="12.75" customHeight="1" x14ac:dyDescent="0.2">
      <x:c r="C148" s="94" t="s">
        <x:v>119</x:v>
      </x:c>
      <x:c r="D148" s="94" t="s">
        <x:v>70</x:v>
      </x:c>
      <x:c r="E148" s="101"/>
      <x:c r="F148" s="93" t="n">
        <x:v>-33558.68</x:v>
      </x:c>
      <x:c r="G148" s="93" t="n">
        <x:v>-2971.54</x:v>
      </x:c>
      <x:c r="H148" s="93" t="n">
        <x:v>-1262.4</x:v>
      </x:c>
      <x:c r="I148" s="93" t="n">
        <x:v>-551.31</x:v>
      </x:c>
      <x:c r="J148" s="93" t="n">
        <x:v>-6734.03</x:v>
      </x:c>
      <x:c r="K148" s="93" t="n">
        <x:v>-277.46</x:v>
      </x:c>
      <x:c r="L148" s="93" t="n">
        <x:v>0</x:v>
      </x:c>
      <x:c r="M148" s="93" t="n">
        <x:v>-2433.92</x:v>
      </x:c>
      <x:c r="N148" s="93" t="n">
        <x:v>-3050.97</x:v>
      </x:c>
      <x:c r="O148" s="93" t="n">
        <x:v>-10248</x:v>
      </x:c>
      <x:c r="P148" s="93" t="n">
        <x:v>-5576.34</x:v>
      </x:c>
      <x:c r="Q148" s="93" t="n">
        <x:v>-452.71</x:v>
      </x:c>
      <x:c r="R148" s="93" t="n">
        <x:v>0</x:v>
      </x:c>
      <x:c r="S148" s="93" t="n">
        <x:v>0</x:v>
      </x:c>
      <x:c r="T148" s="93" t="n">
        <x:v>0</x:v>
      </x:c>
      <x:c r="U148" s="93">
        <x:v>0</x:v>
      </x:c>
      <x:c r="V148" s="93">
        <x:v>0</x:v>
      </x:c>
      <x:c r="W148" s="93">
        <x:v>0</x:v>
      </x:c>
      <x:c r="X148" s="94">
        <x:v>0</x:v>
      </x:c>
      <x:c r="Y148" s="94">
        <x:v>0</x:v>
      </x:c>
      <x:c r="Z148" s="94" t="n">
        <x:v>0</x:v>
      </x:c>
    </x:row>
    <x:row r="149" spans="1:26" ht="12.75" customHeight="1" x14ac:dyDescent="0.2">
      <x:c r="B149" s="89" t="s">
        <x:v>112</x:v>
      </x:c>
      <x:c r="C149" s="89" t="s">
        <x:v>70</x:v>
      </x:c>
      <x:c r="F149" s="90" t="n">
        <x:v>-993518.73</x:v>
      </x:c>
      <x:c r="G149" s="90" t="n">
        <x:v>-86567.57</x:v>
      </x:c>
      <x:c r="H149" s="90" t="n">
        <x:v>-36776.33</x:v>
      </x:c>
      <x:c r="I149" s="90" t="n">
        <x:v>-16060.35</x:v>
      </x:c>
      <x:c r="J149" s="90" t="n">
        <x:v>-200383.96</x:v>
      </x:c>
      <x:c r="K149" s="90" t="n">
        <x:v>-8282.82</x:v>
      </x:c>
      <x:c r="L149" s="90" t="n">
        <x:v>0</x:v>
      </x:c>
      <x:c r="M149" s="90" t="n">
        <x:v>-72838.8</x:v>
      </x:c>
      <x:c r="N149" s="90" t="n">
        <x:v>-91093.54</x:v>
      </x:c>
      <x:c r="O149" s="90" t="n">
        <x:v>-305924.04</x:v>
      </x:c>
      <x:c r="P149" s="90" t="n">
        <x:v>-162075.72</x:v>
      </x:c>
      <x:c r="Q149" s="90" t="n">
        <x:v>-13515.6</x:v>
      </x:c>
      <x:c r="R149" s="90" t="n">
        <x:v>0</x:v>
      </x:c>
      <x:c r="S149" s="90" t="n">
        <x:v>0</x:v>
      </x:c>
      <x:c r="T149" t="n">
        <x:v>0</x:v>
      </x:c>
      <x:c r="U149">
        <x:v>0</x:v>
      </x:c>
      <x:c r="V149">
        <x:v>0</x:v>
      </x:c>
      <x:c r="W149">
        <x:v>0</x:v>
      </x:c>
      <x:c r="X149">
        <x:v>0</x:v>
      </x:c>
      <x:c r="Y149" s="90">
        <x:v>0</x:v>
      </x:c>
      <x:c r="Z149" t="n">
        <x:v>0</x:v>
      </x:c>
    </x:row>
    <x:row r="150" spans="1:26" s="458" customFormat="1" x14ac:dyDescent="0.2">
      <x:c r="A150" s="458" t="s">
        <x:v>186</x:v>
      </x:c>
      <x:c r="B150" s="459" t="s">
        <x:v>70</x:v>
      </x:c>
      <x:c r="C150" s="459"/>
      <x:c r="F150" s="460" t="n">
        <x:v>-993518.73</x:v>
      </x:c>
      <x:c r="G150" s="460" t="n">
        <x:v>-86567.57</x:v>
      </x:c>
      <x:c r="H150" s="460" t="n">
        <x:v>-36776.33</x:v>
      </x:c>
      <x:c r="I150" s="460" t="n">
        <x:v>-16060.35</x:v>
      </x:c>
      <x:c r="J150" s="460" t="n">
        <x:v>-200383.96</x:v>
      </x:c>
      <x:c r="K150" s="460" t="n">
        <x:v>-8282.82</x:v>
      </x:c>
      <x:c r="L150" s="460" t="n">
        <x:v>0</x:v>
      </x:c>
      <x:c r="M150" s="460" t="n">
        <x:v>-72838.8</x:v>
      </x:c>
      <x:c r="N150" s="460" t="n">
        <x:v>-91093.54</x:v>
      </x:c>
      <x:c r="O150" s="460" t="n">
        <x:v>-305924.04</x:v>
      </x:c>
      <x:c r="P150" s="460" t="n">
        <x:v>-162075.72</x:v>
      </x:c>
      <x:c r="Q150" s="460" t="n">
        <x:v>-13515.6</x:v>
      </x:c>
      <x:c r="R150" s="460" t="n">
        <x:v>0</x:v>
      </x:c>
      <x:c r="S150" s="460" t="n">
        <x:v>0</x:v>
      </x:c>
      <x:c r="T150" s="460" t="n">
        <x:v>0</x:v>
      </x:c>
      <x:c r="U150" s="460">
        <x:v>0</x:v>
      </x:c>
      <x:c r="V150" s="460">
        <x:v>0</x:v>
      </x:c>
      <x:c r="W150" s="460">
        <x:v>0</x:v>
      </x:c>
      <x:c r="X150" s="460">
        <x:v>0</x:v>
      </x:c>
      <x:c r="Y150" s="460">
        <x:v>0</x:v>
      </x:c>
      <x:c r="Z150" s="460" t="n">
        <x:v>0</x:v>
      </x:c>
    </x:row>
    <x:row r="151" spans="1:26" ht="12.75" customHeight="1" x14ac:dyDescent="0.2">
      <x:c r="E151" s="89" t="s">
        <x:v>72</x:v>
      </x:c>
      <x:c r="F151" s="371" t="n">
        <x:v>20283554.12</x:v>
      </x:c>
      <x:c r="G151" s="90" t="n">
        <x:v>1111927.34</x:v>
      </x:c>
      <x:c r="H151" s="90" t="n">
        <x:v>624122.92</x:v>
      </x:c>
      <x:c r="I151" s="90" t="n">
        <x:v>331325.92</x:v>
      </x:c>
      <x:c r="J151" s="90" t="n">
        <x:v>5227826.37</x:v>
      </x:c>
      <x:c r="K151" s="90" t="n">
        <x:v>136781.71</x:v>
      </x:c>
      <x:c r="L151" s="90" t="n">
        <x:v>0</x:v>
      </x:c>
      <x:c r="M151" s="90" t="n">
        <x:v>1200936.31</x:v>
      </x:c>
      <x:c r="N151" s="90" t="n">
        <x:v>1600252.62</x:v>
      </x:c>
      <x:c r="O151" s="90" t="n">
        <x:v>7637862.92</x:v>
      </x:c>
      <x:c r="P151" s="90" t="n">
        <x:v>2189262.93</x:v>
      </x:c>
      <x:c r="Q151" s="90" t="n">
        <x:v>223377.17</x:v>
      </x:c>
      <x:c r="R151" s="90" t="n">
        <x:v>-122.09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1:26" ht="12.75" customHeight="1" x14ac:dyDescent="0.2">
      <x:c r="E152" s="89" t="s">
        <x:v>81</x:v>
      </x:c>
      <x:c r="F152" s="371" t="n">
        <x:v>526203.15</x:v>
      </x:c>
      <x:c r="G152" s="90" t="n">
        <x:v>45415.85</x:v>
      </x:c>
      <x:c r="H152" s="90" t="n">
        <x:v>24830.95</x:v>
      </x:c>
      <x:c r="I152" s="90" t="n">
        <x:v>13349.41</x:v>
      </x:c>
      <x:c r="J152" s="90" t="n">
        <x:v>116506.52</x:v>
      </x:c>
      <x:c r="K152" s="90" t="n">
        <x:v>2879.8</x:v>
      </x:c>
      <x:c r="L152" s="90" t="n">
        <x:v>0</x:v>
      </x:c>
      <x:c r="M152" s="90" t="n">
        <x:v>25262.63</x:v>
      </x:c>
      <x:c r="N152" s="90" t="n">
        <x:v>35551.81</x:v>
      </x:c>
      <x:c r="O152" s="90" t="n">
        <x:v>166823.52</x:v>
      </x:c>
      <x:c r="P152" s="90" t="n">
        <x:v>90885.25</x:v>
      </x:c>
      <x:c r="Q152" s="90" t="n">
        <x:v>4698.7</x:v>
      </x:c>
      <x:c r="R152" s="90" t="n">
        <x:v>-1.29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0</x:v>
      </x:c>
    </x:row>
    <x:row r="153" spans="1:26" ht="12.75" customHeight="1" x14ac:dyDescent="0.2">
      <x:c r="D153" t="s">
        <x:v>156</x:v>
      </x:c>
      <x:c r="E153" t="s">
        <x:v>70</x:v>
      </x:c>
      <x:c r="F153" s="384" t="n">
        <x:v>20809757.27</x:v>
      </x:c>
      <x:c r="G153" s="89" t="n">
        <x:v>1157343.19</x:v>
      </x:c>
      <x:c r="H153" s="89" t="n">
        <x:v>648953.87</x:v>
      </x:c>
      <x:c r="I153" s="664" t="n">
        <x:v>344675.33</x:v>
      </x:c>
      <x:c r="J153" s="89" t="n">
        <x:v>5344332.89</x:v>
      </x:c>
      <x:c r="K153" s="89" t="n">
        <x:v>139661.51</x:v>
      </x:c>
      <x:c r="L153" s="89" t="n">
        <x:v>0</x:v>
      </x:c>
      <x:c r="M153" s="89" t="n">
        <x:v>1226198.94</x:v>
      </x:c>
      <x:c r="N153" s="89" t="n">
        <x:v>1635804.43</x:v>
      </x:c>
      <x:c r="O153" s="89" t="n">
        <x:v>7804686.44</x:v>
      </x:c>
      <x:c r="P153" s="89" t="n">
        <x:v>2280148.18</x:v>
      </x:c>
      <x:c r="Q153" s="89" t="n">
        <x:v>228075.87</x:v>
      </x:c>
      <x:c r="R153" s="89" t="n">
        <x:v>-123.38</x:v>
      </x:c>
      <x:c r="S153" s="89" t="n">
        <x:v>0</x:v>
      </x:c>
      <x:c r="T153" s="89" t="n">
        <x:v>0</x:v>
      </x:c>
      <x:c r="U153" s="89">
        <x:v>0</x:v>
      </x:c>
      <x:c r="V153" s="89">
        <x:v>0</x:v>
      </x:c>
      <x:c r="W153" s="89">
        <x:v>0</x:v>
      </x:c>
      <x:c r="X153">
        <x:v>0</x:v>
      </x:c>
      <x:c r="Y153" s="89">
        <x:v>0</x:v>
      </x:c>
      <x:c r="Z153" s="89" t="n">
        <x:v>0</x:v>
      </x:c>
    </x:row>
    <x:row r="154" spans="1:26" s="656" customFormat="1" ht="12.75" customHeight="1" x14ac:dyDescent="0.2">
      <x:c r="C154" s="656" t="s">
        <x:v>155</x:v>
      </x:c>
      <x:c r="D154" s="656" t="s">
        <x:v>70</x:v>
      </x:c>
      <x:c r="F154" s="736" t="n">
        <x:v>20809757.27</x:v>
      </x:c>
      <x:c r="G154" s="657" t="n">
        <x:v>1157343.19</x:v>
      </x:c>
      <x:c r="H154" s="657" t="n">
        <x:v>648953.87</x:v>
      </x:c>
      <x:c r="I154" s="737" t="n">
        <x:v>344675.33</x:v>
      </x:c>
      <x:c r="J154" s="657" t="n">
        <x:v>5344332.89</x:v>
      </x:c>
      <x:c r="K154" s="657" t="n">
        <x:v>139661.51</x:v>
      </x:c>
      <x:c r="L154" s="657" t="n">
        <x:v>0</x:v>
      </x:c>
      <x:c r="M154" s="657" t="n">
        <x:v>1226198.94</x:v>
      </x:c>
      <x:c r="N154" s="657" t="n">
        <x:v>1635804.43</x:v>
      </x:c>
      <x:c r="O154" s="657" t="n">
        <x:v>7804686.44</x:v>
      </x:c>
      <x:c r="P154" s="657" t="n">
        <x:v>2280148.18</x:v>
      </x:c>
      <x:c r="Q154" s="657" t="n">
        <x:v>228075.87</x:v>
      </x:c>
      <x:c r="R154" s="657" t="n">
        <x:v>-123.38</x:v>
      </x:c>
      <x:c r="S154" s="657" t="n">
        <x:v>0</x:v>
      </x:c>
      <x:c r="T154" s="657" t="n">
        <x:v>0</x:v>
      </x:c>
      <x:c r="U154" s="657">
        <x:v>0</x:v>
      </x:c>
      <x:c r="V154" s="657">
        <x:v>0</x:v>
      </x:c>
      <x:c r="W154" s="657">
        <x:v>0</x:v>
      </x:c>
      <x:c r="X154" s="656">
        <x:v>0</x:v>
      </x:c>
      <x:c r="Y154" s="657">
        <x:v>0</x:v>
      </x:c>
      <x:c r="Z154" s="657" t="n">
        <x:v>0</x:v>
      </x:c>
    </x:row>
    <x:row r="155" spans="1:26" ht="12.75" customHeight="1" x14ac:dyDescent="0.2">
      <x:c r="D155" s="89"/>
      <x:c r="E155" s="89" t="s">
        <x:v>72</x:v>
      </x:c>
      <x:c r="F155" s="371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1:26" ht="12.75" customHeight="1" x14ac:dyDescent="0.2">
      <x:c r="D156" s="89"/>
      <x:c r="E156" s="89" t="s">
        <x:v>81</x:v>
      </x:c>
      <x:c r="F156" s="371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1:26" ht="12.75" customHeight="1" x14ac:dyDescent="0.2">
      <x:c r="D157" s="89" t="s">
        <x:v>115</x:v>
      </x:c>
      <x:c r="E157" s="89" t="s">
        <x:v>70</x:v>
      </x:c>
      <x:c r="F157" s="371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1:26" ht="12.75" customHeight="1" x14ac:dyDescent="0.2">
      <x:c r="D158" s="89"/>
      <x:c r="E158" s="89" t="s">
        <x:v>72</x:v>
      </x:c>
      <x:c r="F158" s="371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1:26" ht="12.75" customHeight="1" x14ac:dyDescent="0.2">
      <x:c r="D159" s="89"/>
      <x:c r="E159" s="89" t="s">
        <x:v>81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1:26" ht="12.75" customHeight="1" x14ac:dyDescent="0.2">
      <x:c r="D160" t="s">
        <x:v>116</x:v>
      </x:c>
      <x:c r="E160" s="89" t="s">
        <x:v>70</x:v>
      </x:c>
      <x:c r="F160" s="90">
        <x:v>0</x:v>
      </x:c>
      <x:c r="G160" s="90">
        <x:v>0</x:v>
      </x:c>
      <x:c r="H160" s="90">
        <x:v>0</x:v>
      </x:c>
      <x:c r="I160" s="90">
        <x:v>0</x:v>
      </x:c>
      <x:c r="J160" s="90">
        <x:v>0</x:v>
      </x:c>
      <x:c r="K160" s="90">
        <x:v>0</x:v>
      </x:c>
      <x:c r="L160" s="90">
        <x:v>0</x:v>
      </x:c>
      <x:c r="M160" s="90">
        <x:v>0</x:v>
      </x:c>
      <x:c r="N160" s="90">
        <x:v>0</x:v>
      </x:c>
      <x:c r="O160" s="90">
        <x:v>0</x:v>
      </x:c>
      <x:c r="P160" s="90">
        <x:v>0</x:v>
      </x:c>
      <x:c r="Q160" s="90">
        <x:v>0</x:v>
      </x:c>
      <x:c r="R160" s="90">
        <x:v>0</x:v>
      </x:c>
      <x:c r="S160" s="90">
        <x:v>0</x:v>
      </x:c>
      <x:c r="T160" s="90">
        <x:v>0</x:v>
      </x:c>
      <x:c r="U160" s="90">
        <x:v>0</x:v>
      </x:c>
      <x:c r="V160" s="90">
        <x:v>0</x:v>
      </x:c>
      <x:c r="W160" s="90">
        <x:v>0</x:v>
      </x:c>
      <x:c r="X160">
        <x:v>0</x:v>
      </x:c>
      <x:c r="Y160">
        <x:v>0</x:v>
      </x:c>
      <x:c r="Z160">
        <x:v>0</x:v>
      </x:c>
    </x:row>
    <x:row r="161" spans="3:26" ht="12.75" customHeight="1" x14ac:dyDescent="0.2">
      <x:c r="D161" s="89"/>
      <x:c r="E161" s="89" t="s">
        <x:v>72</x:v>
      </x:c>
      <x:c r="F161" s="371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3:26" ht="12.75" customHeight="1" x14ac:dyDescent="0.2">
      <x:c r="D162" s="89"/>
      <x:c r="E162" s="89" t="s">
        <x:v>81</x:v>
      </x:c>
      <x:c r="F162" s="371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3:26" ht="12.75" customHeight="1" x14ac:dyDescent="0.2">
      <x:c r="D163" s="773">
        <x:v>3</x:v>
      </x:c>
      <x:c r="E163" s="89" t="s">
        <x:v>70</x:v>
      </x:c>
      <x:c r="F163" s="371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3:26" ht="12.75" customHeight="1" x14ac:dyDescent="0.2">
      <x:c r="D164" s="89"/>
      <x:c r="E164" s="89" t="s">
        <x:v>72</x:v>
      </x:c>
      <x:c r="F164" s="371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3:26" ht="12.75" customHeight="1" x14ac:dyDescent="0.2">
      <x:c r="D165" s="89"/>
      <x:c r="E165" s="89" t="s">
        <x:v>81</x:v>
      </x:c>
      <x:c r="F165" s="371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3:26" ht="12.75" customHeight="1" x14ac:dyDescent="0.2">
      <x:c r="D166" s="773">
        <x:v>4</x:v>
      </x:c>
      <x:c r="E166" s="89" t="s">
        <x:v>70</x:v>
      </x:c>
      <x:c r="F166" s="371">
        <x:v>0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>
        <x:v>0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3:26" ht="12.75" customHeight="1" x14ac:dyDescent="0.2">
      <x:c r="D167" s="89"/>
      <x:c r="E167" s="89" t="s">
        <x:v>72</x:v>
      </x:c>
      <x:c r="F167" s="371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3:26" ht="12.75" customHeight="1" x14ac:dyDescent="0.2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3:26" ht="12.75" customHeight="1" x14ac:dyDescent="0.2">
      <x:c r="D169" t="s">
        <x:v>118</x:v>
      </x:c>
      <x:c r="E169" s="89" t="s">
        <x:v>70</x:v>
      </x:c>
      <x:c r="F169" s="90">
        <x:v>0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3:26" ht="12.75" customHeight="1" x14ac:dyDescent="0.2">
      <x:c r="D170" s="89"/>
      <x:c r="E170" s="89" t="s">
        <x:v>72</x:v>
      </x:c>
      <x:c r="F170" s="371">
        <x:v>0</x:v>
      </x:c>
      <x:c r="G170" s="90">
        <x:v>0</x:v>
      </x:c>
      <x:c r="H170" s="90">
        <x:v>0</x:v>
      </x:c>
      <x:c r="I170" s="90">
        <x:v>0</x:v>
      </x:c>
      <x:c r="J170" s="90">
        <x:v>0</x:v>
      </x:c>
      <x:c r="K170" s="90">
        <x:v>0</x:v>
      </x:c>
      <x:c r="L170" s="90">
        <x:v>0</x:v>
      </x:c>
      <x:c r="M170" s="90">
        <x:v>0</x:v>
      </x:c>
      <x:c r="N170" s="90">
        <x:v>0</x:v>
      </x:c>
      <x:c r="O170" s="90">
        <x:v>0</x:v>
      </x:c>
      <x:c r="P170" s="90">
        <x:v>0</x:v>
      </x:c>
      <x:c r="Q170" s="90">
        <x:v>0</x:v>
      </x:c>
      <x:c r="R170" s="90">
        <x:v>0</x:v>
      </x:c>
      <x:c r="S170" s="90">
        <x:v>0</x:v>
      </x:c>
      <x:c r="T170" s="90">
        <x:v>0</x:v>
      </x:c>
      <x:c r="U170" s="90">
        <x:v>0</x:v>
      </x:c>
      <x:c r="V170" s="90">
        <x:v>0</x:v>
      </x:c>
      <x:c r="W170" s="90">
        <x:v>0</x:v>
      </x:c>
      <x:c r="X170">
        <x:v>0</x:v>
      </x:c>
      <x:c r="Y170">
        <x:v>0</x:v>
      </x:c>
      <x:c r="Z170">
        <x:v>0</x:v>
      </x:c>
    </x:row>
    <x:row r="171" spans="3:26" ht="12.75" customHeight="1" x14ac:dyDescent="0.2">
      <x:c r="D171" s="89"/>
      <x:c r="E171" s="89" t="s">
        <x:v>81</x:v>
      </x:c>
      <x:c r="F171" s="90">
        <x:v>0</x:v>
      </x:c>
      <x:c r="G171" s="90">
        <x:v>0</x:v>
      </x:c>
      <x:c r="H171" s="90">
        <x:v>0</x:v>
      </x:c>
      <x:c r="I171" s="90">
        <x:v>0</x:v>
      </x:c>
      <x:c r="J171" s="90">
        <x:v>0</x:v>
      </x:c>
      <x:c r="K171" s="90">
        <x:v>0</x:v>
      </x:c>
      <x:c r="L171" s="90">
        <x:v>0</x:v>
      </x:c>
      <x:c r="M171" s="90">
        <x:v>0</x:v>
      </x:c>
      <x:c r="N171" s="90">
        <x:v>0</x:v>
      </x:c>
      <x:c r="O171" s="90">
        <x:v>0</x:v>
      </x:c>
      <x:c r="P171" s="90">
        <x:v>0</x:v>
      </x:c>
      <x:c r="Q171" s="90">
        <x:v>0</x:v>
      </x:c>
      <x:c r="R171" s="90">
        <x:v>0</x:v>
      </x:c>
      <x:c r="S171" s="90">
        <x:v>0</x:v>
      </x:c>
      <x:c r="T171" s="90">
        <x:v>0</x:v>
      </x:c>
      <x:c r="U171" s="90">
        <x:v>0</x:v>
      </x:c>
      <x:c r="V171" s="90">
        <x:v>0</x:v>
      </x:c>
      <x:c r="W171" s="90">
        <x:v>0</x:v>
      </x:c>
      <x:c r="X171">
        <x:v>0</x:v>
      </x:c>
      <x:c r="Y171">
        <x:v>0</x:v>
      </x:c>
      <x:c r="Z171">
        <x:v>0</x:v>
      </x:c>
    </x:row>
    <x:row r="172" spans="3:26" ht="12.75" customHeight="1" x14ac:dyDescent="0.2">
      <x:c r="D172" s="772">
        <x:v>6</x:v>
      </x:c>
      <x:c r="E172" s="89" t="s">
        <x:v>70</x:v>
      </x:c>
      <x:c r="F172" s="90">
        <x:v>0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>
        <x:v>0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3:26" ht="12.75" customHeight="1" x14ac:dyDescent="0.2">
      <x:c r="D173" s="89"/>
      <x:c r="E173" s="89" t="s">
        <x:v>72</x:v>
      </x:c>
      <x:c r="F173" s="90">
        <x:v>0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3:26" ht="12.75" customHeight="1" x14ac:dyDescent="0.2">
      <x:c r="E174" s="89" t="s">
        <x:v>81</x:v>
      </x:c>
      <x:c r="F174" s="90">
        <x:v>0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3:26" ht="12.75" customHeight="1" x14ac:dyDescent="0.2">
      <x:c r="D175" s="772">
        <x:v>9</x:v>
      </x:c>
      <x:c r="E175" s="89" t="s">
        <x:v>70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 s="90">
        <x:v>0</x:v>
      </x:c>
      <x:c r="S175" s="90">
        <x:v>0</x:v>
      </x:c>
      <x:c r="T175" s="90">
        <x:v>0</x:v>
      </x:c>
      <x:c r="U175" s="90">
        <x:v>0</x:v>
      </x:c>
      <x:c r="V175" s="90">
        <x:v>0</x:v>
      </x:c>
      <x:c r="W175" s="90">
        <x:v>0</x:v>
      </x:c>
      <x:c r="X175">
        <x:v>0</x:v>
      </x:c>
      <x:c r="Y175">
        <x:v>0</x:v>
      </x:c>
      <x:c r="Z175">
        <x:v>0</x:v>
      </x:c>
    </x:row>
    <x:row r="176" spans="3:26" s="224" customFormat="1" ht="12.75" customHeight="1" x14ac:dyDescent="0.2">
      <x:c r="C176" s="223" t="s">
        <x:v>120</x:v>
      </x:c>
      <x:c r="D176" s="223" t="s">
        <x:v>70</x:v>
      </x:c>
      <x:c r="F176" s="225">
        <x:v>0</x:v>
      </x:c>
      <x:c r="G176" s="225">
        <x:v>0</x:v>
      </x:c>
      <x:c r="H176" s="225">
        <x:v>0</x:v>
      </x:c>
      <x:c r="I176" s="225">
        <x:v>0</x:v>
      </x:c>
      <x:c r="J176" s="225">
        <x:v>0</x:v>
      </x:c>
      <x:c r="K176" s="225">
        <x:v>0</x:v>
      </x:c>
      <x:c r="L176" s="225">
        <x:v>0</x:v>
      </x:c>
      <x:c r="M176" s="225">
        <x:v>0</x:v>
      </x:c>
      <x:c r="N176" s="225">
        <x:v>0</x:v>
      </x:c>
      <x:c r="O176" s="225">
        <x:v>0</x:v>
      </x:c>
      <x:c r="P176" s="225">
        <x:v>0</x:v>
      </x:c>
      <x:c r="Q176" s="225">
        <x:v>0</x:v>
      </x:c>
      <x:c r="R176" s="225">
        <x:v>0</x:v>
      </x:c>
      <x:c r="S176" s="225">
        <x:v>0</x:v>
      </x:c>
      <x:c r="T176" s="224">
        <x:v>0</x:v>
      </x:c>
      <x:c r="U176" s="224">
        <x:v>0</x:v>
      </x:c>
      <x:c r="V176" s="224">
        <x:v>0</x:v>
      </x:c>
      <x:c r="W176" s="224">
        <x:v>0</x:v>
      </x:c>
      <x:c r="X176" s="224">
        <x:v>0</x:v>
      </x:c>
      <x:c r="Y176" s="225">
        <x:v>0</x:v>
      </x:c>
      <x:c r="Z176" s="224">
        <x:v>0</x:v>
      </x:c>
    </x:row>
    <x:row r="177" spans="2:26" ht="12.75" customHeight="1" x14ac:dyDescent="0.2">
      <x:c r="E177" s="89" t="s">
        <x:v>72</x:v>
      </x:c>
      <x:c r="F177" s="371" t="n">
        <x:v>535407.43</x:v>
      </x:c>
      <x:c r="G177" s="90" t="n">
        <x:v>24186.79</x:v>
      </x:c>
      <x:c r="H177" s="90" t="n">
        <x:v>13571.57</x:v>
      </x:c>
      <x:c r="I177" s="90" t="n">
        <x:v>7188.58</x:v>
      </x:c>
      <x:c r="J177" s="90" t="n">
        <x:v>127199.44</x:v>
      </x:c>
      <x:c r="K177" s="90" t="n">
        <x:v>4331.32</x:v>
      </x:c>
      <x:c r="L177" s="90" t="n">
        <x:v>0</x:v>
      </x:c>
      <x:c r="M177" s="90" t="n">
        <x:v>37993.92</x:v>
      </x:c>
      <x:c r="N177" s="90" t="n">
        <x:v>38162.29</x:v>
      </x:c>
      <x:c r="O177" s="90" t="n">
        <x:v>227538.79</x:v>
      </x:c>
      <x:c r="P177" s="90" t="n">
        <x:v>48172.01</x:v>
      </x:c>
      <x:c r="Q177" s="90" t="n">
        <x:v>7066.9</x:v>
      </x:c>
      <x:c r="R177" s="90" t="n">
        <x:v>-4.18</x:v>
      </x:c>
      <x:c r="S177" s="90" t="n">
        <x:v>0</x:v>
      </x:c>
      <x:c r="T177" s="90" t="n">
        <x:v>0</x:v>
      </x:c>
      <x:c r="U177" s="90">
        <x:v>0</x:v>
      </x:c>
      <x:c r="V177" s="90">
        <x:v>0</x:v>
      </x:c>
      <x:c r="W177" s="90">
        <x:v>0</x:v>
      </x:c>
      <x:c r="X177">
        <x:v>0</x:v>
      </x:c>
      <x:c r="Y177">
        <x:v>0</x:v>
      </x:c>
      <x:c r="Z177" t="n">
        <x:v>0</x:v>
      </x:c>
    </x:row>
    <x:row r="178" spans="2:26" ht="12.75" customHeight="1" x14ac:dyDescent="0.2">
      <x:c r="E178" s="89" t="s">
        <x:v>81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 s="90">
        <x:v>0</x:v>
      </x:c>
      <x:c r="U178" s="90">
        <x:v>0</x:v>
      </x:c>
      <x:c r="V178" s="90">
        <x:v>0</x:v>
      </x:c>
      <x:c r="W178" s="90">
        <x:v>0</x:v>
      </x:c>
      <x:c r="X178">
        <x:v>0</x:v>
      </x:c>
      <x:c r="Y178">
        <x:v>0</x:v>
      </x:c>
      <x:c r="Z178">
        <x:v>0</x:v>
      </x:c>
    </x:row>
    <x:row r="179" spans="2:26" ht="12.75" customHeight="1" x14ac:dyDescent="0.2">
      <x:c r="D179" t="s">
        <x:v>82</x:v>
      </x:c>
      <x:c r="E179" s="89" t="s">
        <x:v>70</x:v>
      </x:c>
      <x:c r="F179" s="371" t="n">
        <x:v>535407.43</x:v>
      </x:c>
      <x:c r="G179" s="90" t="n">
        <x:v>24186.79</x:v>
      </x:c>
      <x:c r="H179" s="90" t="n">
        <x:v>13571.57</x:v>
      </x:c>
      <x:c r="I179" s="90" t="n">
        <x:v>7188.58</x:v>
      </x:c>
      <x:c r="J179" s="90" t="n">
        <x:v>127199.44</x:v>
      </x:c>
      <x:c r="K179" s="90" t="n">
        <x:v>4331.32</x:v>
      </x:c>
      <x:c r="L179" s="90" t="n">
        <x:v>0</x:v>
      </x:c>
      <x:c r="M179" s="90" t="n">
        <x:v>37993.92</x:v>
      </x:c>
      <x:c r="N179" s="90" t="n">
        <x:v>38162.29</x:v>
      </x:c>
      <x:c r="O179" s="90" t="n">
        <x:v>227538.79</x:v>
      </x:c>
      <x:c r="P179" s="90" t="n">
        <x:v>48172.01</x:v>
      </x:c>
      <x:c r="Q179" s="90" t="n">
        <x:v>7066.9</x:v>
      </x:c>
      <x:c r="R179" s="90" t="n">
        <x:v>-4.18</x:v>
      </x:c>
      <x:c r="S179" s="90" t="n">
        <x:v>0</x:v>
      </x:c>
      <x:c r="T179" s="90" t="n">
        <x:v>0</x:v>
      </x:c>
      <x:c r="U179" s="90">
        <x:v>0</x:v>
      </x:c>
      <x:c r="V179" s="90">
        <x:v>0</x:v>
      </x:c>
      <x:c r="W179" s="90">
        <x:v>0</x:v>
      </x:c>
      <x:c r="X179">
        <x:v>0</x:v>
      </x:c>
      <x:c r="Y179">
        <x:v>0</x:v>
      </x:c>
      <x:c r="Z179" t="n">
        <x:v>0</x:v>
      </x:c>
    </x:row>
    <x:row r="180" spans="2:26" ht="12.75" customHeight="1" x14ac:dyDescent="0.2">
      <x:c r="E180" s="89" t="s">
        <x:v>72</x:v>
      </x:c>
      <x:c r="F180" s="371" t="n">
        <x:v>807630.46</x:v>
      </x:c>
      <x:c r="G180" s="90" t="n">
        <x:v>42543.54</x:v>
      </x:c>
      <x:c r="H180" s="90" t="n">
        <x:v>24154.99</x:v>
      </x:c>
      <x:c r="I180" s="90" t="n">
        <x:v>16130.43</x:v>
      </x:c>
      <x:c r="J180" s="90" t="n">
        <x:v>196483.81</x:v>
      </x:c>
      <x:c r="K180" s="90" t="n">
        <x:v>6280.06</x:v>
      </x:c>
      <x:c r="L180" s="90" t="n">
        <x:v>0</x:v>
      </x:c>
      <x:c r="M180" s="90" t="n">
        <x:v>46445.85</x:v>
      </x:c>
      <x:c r="N180" s="90" t="n">
        <x:v>57673.1</x:v>
      </x:c>
      <x:c r="O180" s="90" t="n">
        <x:v>315970.56</x:v>
      </x:c>
      <x:c r="P180" s="90" t="n">
        <x:v>92573.74</x:v>
      </x:c>
      <x:c r="Q180" s="90" t="n">
        <x:v>9352.13</x:v>
      </x:c>
      <x:c r="R180" s="90" t="n">
        <x:v>22.25</x:v>
      </x:c>
      <x:c r="S180" s="90" t="n">
        <x:v>0</x:v>
      </x:c>
      <x:c r="T180" s="90" t="n">
        <x:v>0</x:v>
      </x:c>
      <x:c r="U180" s="90">
        <x:v>0</x:v>
      </x:c>
      <x:c r="V180" s="90">
        <x:v>0</x:v>
      </x:c>
      <x:c r="W180" s="90">
        <x:v>0</x:v>
      </x:c>
      <x:c r="X180">
        <x:v>0</x:v>
      </x:c>
      <x:c r="Y180">
        <x:v>0</x:v>
      </x:c>
      <x:c r="Z180" t="n">
        <x:v>0</x:v>
      </x:c>
    </x:row>
    <x:row r="181" spans="2:26" ht="12.75" customHeight="1" x14ac:dyDescent="0.2">
      <x:c r="E181" s="89" t="s">
        <x:v>81</x:v>
      </x:c>
      <x:c r="F181" s="371" t="n">
        <x:v>-3314.17</x:v>
      </x:c>
      <x:c r="G181" s="90" t="n">
        <x:v>-505.6</x:v>
      </x:c>
      <x:c r="H181" s="90" t="n">
        <x:v>-284.11</x:v>
      </x:c>
      <x:c r="I181" s="90" t="n">
        <x:v>-149.05</x:v>
      </x:c>
      <x:c r="J181" s="90" t="n">
        <x:v>-401.57</x:v>
      </x:c>
      <x:c r="K181" s="90" t="n">
        <x:v>-7.96</x:v>
      </x:c>
      <x:c r="L181" s="90" t="n">
        <x:v>0</x:v>
      </x:c>
      <x:c r="M181" s="90" t="n">
        <x:v>-70.24</x:v>
      </x:c>
      <x:c r="N181" s="90" t="n">
        <x:v>-146.01</x:v>
      </x:c>
      <x:c r="O181" s="90" t="n">
        <x:v>-735.95</x:v>
      </x:c>
      <x:c r="P181" s="90" t="n">
        <x:v>-1000.68</x:v>
      </x:c>
      <x:c r="Q181" s="90" t="n">
        <x:v>-13.1</x:v>
      </x:c>
      <x:c r="R181" s="90" t="n">
        <x:v>0.04</x:v>
      </x:c>
      <x:c r="S181" s="90" t="n">
        <x:v>0.06</x:v>
      </x:c>
      <x:c r="T181" s="90" t="n">
        <x:v>0</x:v>
      </x:c>
      <x:c r="U181" s="90">
        <x:v>0</x:v>
      </x:c>
      <x:c r="V181" s="90">
        <x:v>0</x:v>
      </x:c>
      <x:c r="W181" s="90">
        <x:v>0</x:v>
      </x:c>
      <x:c r="X181">
        <x:v>0</x:v>
      </x:c>
      <x:c r="Y181">
        <x:v>0</x:v>
      </x:c>
      <x:c r="Z181" t="n">
        <x:v>0</x:v>
      </x:c>
    </x:row>
    <x:row r="182" spans="2:26" ht="12.75" customHeight="1" x14ac:dyDescent="0.2">
      <x:c r="D182" t="s">
        <x:v>86</x:v>
      </x:c>
      <x:c r="E182" s="89" t="s">
        <x:v>70</x:v>
      </x:c>
      <x:c r="F182" s="371" t="n">
        <x:v>804316.29</x:v>
      </x:c>
      <x:c r="G182" s="90" t="n">
        <x:v>42037.94</x:v>
      </x:c>
      <x:c r="H182" s="90" t="n">
        <x:v>23870.88</x:v>
      </x:c>
      <x:c r="I182" s="90" t="n">
        <x:v>15981.38</x:v>
      </x:c>
      <x:c r="J182" s="90" t="n">
        <x:v>196082.24</x:v>
      </x:c>
      <x:c r="K182" s="90" t="n">
        <x:v>6272.1</x:v>
      </x:c>
      <x:c r="L182" s="90" t="n">
        <x:v>0</x:v>
      </x:c>
      <x:c r="M182" s="90" t="n">
        <x:v>46375.61</x:v>
      </x:c>
      <x:c r="N182" s="90" t="n">
        <x:v>57527.09</x:v>
      </x:c>
      <x:c r="O182" s="90" t="n">
        <x:v>315234.61</x:v>
      </x:c>
      <x:c r="P182" s="90" t="n">
        <x:v>91573.06</x:v>
      </x:c>
      <x:c r="Q182" s="90" t="n">
        <x:v>9339.03</x:v>
      </x:c>
      <x:c r="R182" s="90" t="n">
        <x:v>22.29</x:v>
      </x:c>
      <x:c r="S182" s="90" t="n">
        <x:v>0.06</x:v>
      </x:c>
      <x:c r="T182" s="90" t="n">
        <x:v>0</x:v>
      </x:c>
      <x:c r="U182" s="90">
        <x:v>0</x:v>
      </x:c>
      <x:c r="V182" s="90">
        <x:v>0</x:v>
      </x:c>
      <x:c r="W182" s="90">
        <x:v>0</x:v>
      </x:c>
      <x:c r="X182">
        <x:v>0</x:v>
      </x:c>
      <x:c r="Y182">
        <x:v>0</x:v>
      </x:c>
      <x:c r="Z182" t="n">
        <x:v>0</x:v>
      </x:c>
    </x:row>
    <x:row r="183" spans="2:26" ht="12.75" customHeight="1" x14ac:dyDescent="0.2">
      <x:c r="E183" s="89" t="s">
        <x:v>72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 s="90">
        <x:v>0</x:v>
      </x:c>
      <x:c r="Y183" s="90">
        <x:v>0</x:v>
      </x:c>
      <x:c r="Z183" s="90">
        <x:v>0</x:v>
      </x:c>
    </x:row>
    <x:row r="184" spans="2:26" x14ac:dyDescent="0.2">
      <x:c r="E184" t="s">
        <x:v>81</x:v>
      </x:c>
      <x:c r="F184" s="90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>
        <x:v>0</x:v>
      </x:c>
      <x:c r="V184">
        <x:v>0</x:v>
      </x:c>
      <x:c r="W184">
        <x:v>0</x:v>
      </x:c>
      <x:c r="X184">
        <x:v>0</x:v>
      </x:c>
      <x:c r="Y184">
        <x:v>0</x:v>
      </x:c>
      <x:c r="Z184" s="90">
        <x:v>0</x:v>
      </x:c>
    </x:row>
    <x:row r="185" spans="2:26" ht="12.75" customHeight="1" x14ac:dyDescent="0.2">
      <x:c r="D185" t="s">
        <x:v>87</x:v>
      </x:c>
      <x:c r="E185" s="89" t="s">
        <x:v>70</x:v>
      </x:c>
      <x:c r="F185" s="371">
        <x:v>0</x:v>
      </x:c>
      <x:c r="G185" s="90">
        <x:v>0</x:v>
      </x:c>
      <x:c r="H185" s="90">
        <x:v>0</x:v>
      </x:c>
      <x:c r="I185" s="90">
        <x:v>0</x:v>
      </x:c>
      <x:c r="J185" s="90">
        <x:v>0</x:v>
      </x:c>
      <x:c r="K185" s="90">
        <x:v>0</x:v>
      </x:c>
      <x:c r="L185" s="90">
        <x:v>0</x:v>
      </x:c>
      <x:c r="M185" s="90">
        <x:v>0</x:v>
      </x:c>
      <x:c r="N185" s="90">
        <x:v>0</x:v>
      </x:c>
      <x:c r="O185" s="90">
        <x:v>0</x:v>
      </x:c>
      <x:c r="P185" s="90">
        <x:v>0</x:v>
      </x:c>
      <x:c r="Q185" s="90">
        <x:v>0</x:v>
      </x:c>
      <x:c r="R185" s="90">
        <x:v>0</x:v>
      </x:c>
      <x:c r="S185" s="90">
        <x:v>0</x:v>
      </x:c>
      <x:c r="T185" s="90">
        <x:v>0</x:v>
      </x:c>
      <x:c r="U185" s="90">
        <x:v>0</x:v>
      </x:c>
      <x:c r="V185" s="90">
        <x:v>0</x:v>
      </x:c>
      <x:c r="W185" s="90">
        <x:v>0</x:v>
      </x:c>
      <x:c r="X185" s="90">
        <x:v>0</x:v>
      </x:c>
      <x:c r="Y185" s="90">
        <x:v>0</x:v>
      </x:c>
      <x:c r="Z185" s="90">
        <x:v>0</x:v>
      </x:c>
    </x:row>
    <x:row r="186" spans="2:26" s="94" customFormat="1" ht="12.75" customHeight="1" x14ac:dyDescent="0.2">
      <x:c r="C186" s="94" t="s">
        <x:v>119</x:v>
      </x:c>
      <x:c r="D186" s="94" t="s">
        <x:v>70</x:v>
      </x:c>
      <x:c r="E186" s="101"/>
      <x:c r="F186" s="93" t="n">
        <x:v>1339723.72</x:v>
      </x:c>
      <x:c r="G186" s="93" t="n">
        <x:v>66224.73</x:v>
      </x:c>
      <x:c r="H186" s="93" t="n">
        <x:v>37442.45</x:v>
      </x:c>
      <x:c r="I186" s="93" t="n">
        <x:v>23169.96</x:v>
      </x:c>
      <x:c r="J186" s="93" t="n">
        <x:v>323281.68</x:v>
      </x:c>
      <x:c r="K186" s="93" t="n">
        <x:v>10603.42</x:v>
      </x:c>
      <x:c r="L186" s="93" t="n">
        <x:v>0</x:v>
      </x:c>
      <x:c r="M186" s="93" t="n">
        <x:v>84369.53</x:v>
      </x:c>
      <x:c r="N186" s="93" t="n">
        <x:v>95689.38</x:v>
      </x:c>
      <x:c r="O186" s="93" t="n">
        <x:v>542773.4</x:v>
      </x:c>
      <x:c r="P186" s="93" t="n">
        <x:v>139745.07</x:v>
      </x:c>
      <x:c r="Q186" s="93" t="n">
        <x:v>16405.93</x:v>
      </x:c>
      <x:c r="R186" s="93" t="n">
        <x:v>18.11</x:v>
      </x:c>
      <x:c r="S186" s="93" t="n">
        <x:v>0.06</x:v>
      </x:c>
      <x:c r="T186" s="93" t="n">
        <x:v>0</x:v>
      </x:c>
      <x:c r="U186" s="93">
        <x:v>0</x:v>
      </x:c>
      <x:c r="V186" s="93">
        <x:v>0</x:v>
      </x:c>
      <x:c r="W186" s="93">
        <x:v>0</x:v>
      </x:c>
      <x:c r="X186" s="94">
        <x:v>0</x:v>
      </x:c>
      <x:c r="Y186" s="94">
        <x:v>0</x:v>
      </x:c>
      <x:c r="Z186" s="94" t="n">
        <x:v>0</x:v>
      </x:c>
    </x:row>
    <x:row r="187" spans="2:26" s="378" customFormat="1" ht="12.75" customHeight="1" x14ac:dyDescent="0.2">
      <x:c r="B187" s="378" t="s">
        <x:v>122</x:v>
      </x:c>
      <x:c r="C187" s="378" t="s">
        <x:v>70</x:v>
      </x:c>
      <x:c r="E187" s="376"/>
      <x:c r="F187" s="710" t="n">
        <x:v>22149480.99</x:v>
      </x:c>
      <x:c r="G187" s="377" t="n">
        <x:v>1223567.92</x:v>
      </x:c>
      <x:c r="H187" s="377" t="n">
        <x:v>686396.32</x:v>
      </x:c>
      <x:c r="I187" s="377" t="n">
        <x:v>367845.29</x:v>
      </x:c>
      <x:c r="J187" s="377" t="n">
        <x:v>5667614.57</x:v>
      </x:c>
      <x:c r="K187" s="377" t="n">
        <x:v>150264.93</x:v>
      </x:c>
      <x:c r="L187" s="377" t="n">
        <x:v>0</x:v>
      </x:c>
      <x:c r="M187" s="377" t="n">
        <x:v>1310568.47</x:v>
      </x:c>
      <x:c r="N187" s="377" t="n">
        <x:v>1731493.81</x:v>
      </x:c>
      <x:c r="O187" s="377" t="n">
        <x:v>8347459.84</x:v>
      </x:c>
      <x:c r="P187" s="377" t="n">
        <x:v>2419893.25</x:v>
      </x:c>
      <x:c r="Q187" s="377" t="n">
        <x:v>244481.8</x:v>
      </x:c>
      <x:c r="R187" s="377" t="n">
        <x:v>-105.27</x:v>
      </x:c>
      <x:c r="S187" s="377" t="n">
        <x:v>0.06</x:v>
      </x:c>
      <x:c r="T187" s="377" t="n">
        <x:v>0</x:v>
      </x:c>
      <x:c r="U187" s="377">
        <x:v>0</x:v>
      </x:c>
      <x:c r="V187" s="377">
        <x:v>0</x:v>
      </x:c>
      <x:c r="W187" s="377">
        <x:v>0</x:v>
      </x:c>
      <x:c r="X187" s="378">
        <x:v>0</x:v>
      </x:c>
      <x:c r="Y187" s="378">
        <x:v>0</x:v>
      </x:c>
      <x:c r="Z187" s="378" t="n">
        <x:v>0</x:v>
      </x:c>
    </x:row>
    <x:row r="188" spans="2:26" ht="12.75" customHeight="1" x14ac:dyDescent="0.2">
      <x:c r="E188" s="89" t="s">
        <x:v>72</x:v>
      </x:c>
      <x:c r="F188" s="371" t="n">
        <x:v>25851948039.25</x:v>
      </x:c>
      <x:c r="G188" s="90" t="n">
        <x:v>1436782353.39</x:v>
      </x:c>
      <x:c r="H188" s="90" t="n">
        <x:v>795463243.4</x:v>
      </x:c>
      <x:c r="I188" s="90" t="n">
        <x:v>421454135.09</x:v>
      </x:c>
      <x:c r="J188" s="90" t="n">
        <x:v>6499438729.01</x:v>
      </x:c>
      <x:c r="K188" s="90" t="n">
        <x:v>229700785.21</x:v>
      </x:c>
      <x:c r="L188" s="90" t="n">
        <x:v>23565663.05</x:v>
      </x:c>
      <x:c r="M188" s="90" t="n">
        <x:v>2012871369.13</x:v>
      </x:c>
      <x:c r="N188" s="90" t="n">
        <x:v>1971626165.74</x:v>
      </x:c>
      <x:c r="O188" s="90" t="n">
        <x:v>9258862969.43</x:v>
      </x:c>
      <x:c r="P188" s="90" t="n">
        <x:v>2826878061.87</x:v>
      </x:c>
      <x:c r="Q188" s="90" t="n">
        <x:v>375147339.78</x:v>
      </x:c>
      <x:c r="R188" s="90" t="n">
        <x:v>157224.15</x:v>
      </x:c>
      <x:c r="S188" s="90" t="n">
        <x:v>0</x:v>
      </x:c>
      <x:c r="T188" s="90" t="n">
        <x:v>0</x:v>
      </x:c>
      <x:c r="U188" s="90">
        <x:v>0</x:v>
      </x:c>
      <x:c r="V188" s="90">
        <x:v>0</x:v>
      </x:c>
      <x:c r="W188" s="90">
        <x:v>0</x:v>
      </x:c>
      <x:c r="X188">
        <x:v>0</x:v>
      </x:c>
      <x:c r="Y188">
        <x:v>0</x:v>
      </x:c>
      <x:c r="Z188" t="n">
        <x:v>0</x:v>
      </x:c>
    </x:row>
    <x:row r="189" spans="2:26" ht="12.75" customHeight="1" x14ac:dyDescent="0.2">
      <x:c r="E189" s="89" t="s">
        <x:v>81</x:v>
      </x:c>
      <x:c r="F189" s="90" t="n">
        <x:v>99110271.44</x:v>
      </x:c>
      <x:c r="G189" s="90" t="n">
        <x:v>11931367.85</x:v>
      </x:c>
      <x:c r="H189" s="90" t="n">
        <x:v>5570660.54</x:v>
      </x:c>
      <x:c r="I189" s="90" t="n">
        <x:v>2431228.61</x:v>
      </x:c>
      <x:c r="J189" s="90" t="n">
        <x:v>18080590.59</x:v>
      </x:c>
      <x:c r="K189" s="90" t="n">
        <x:v>634164.61</x:v>
      </x:c>
      <x:c r="L189" s="90" t="n">
        <x:v>17997.02</x:v>
      </x:c>
      <x:c r="M189" s="90" t="n">
        <x:v>5560988.8</x:v>
      </x:c>
      <x:c r="N189" s="90" t="n">
        <x:v>6623487.18</x:v>
      </x:c>
      <x:c r="O189" s="90" t="n">
        <x:v>23793879.52</x:v>
      </x:c>
      <x:c r="P189" s="90" t="n">
        <x:v>23428727.21</x:v>
      </x:c>
      <x:c r="Q189" s="90" t="n">
        <x:v>1034817.91</x:v>
      </x:c>
      <x:c r="R189" s="90" t="n">
        <x:v>2403.55</x:v>
      </x:c>
      <x:c r="S189" s="90" t="n">
        <x:v>-39.87</x:v>
      </x:c>
      <x:c r="T189" s="90" t="n">
        <x:v>0.46</x:v>
      </x:c>
      <x:c r="U189" s="90">
        <x:v>0</x:v>
      </x:c>
      <x:c r="V189" s="90">
        <x:v>0</x:v>
      </x:c>
      <x:c r="W189" s="90">
        <x:v>0</x:v>
      </x:c>
      <x:c r="X189">
        <x:v>0</x:v>
      </x:c>
      <x:c r="Y189">
        <x:v>0</x:v>
      </x:c>
      <x:c r="Z189" t="n">
        <x:v>-2.54</x:v>
      </x:c>
    </x:row>
    <x:row r="190" spans="2:26" ht="12.75" customHeight="1" x14ac:dyDescent="0.2">
      <x:c r="D190" t="s">
        <x:v>156</x:v>
      </x:c>
      <x:c r="E190" s="89" t="s">
        <x:v>70</x:v>
      </x:c>
      <x:c r="F190" s="90" t="n">
        <x:v>25951058310.69</x:v>
      </x:c>
      <x:c r="G190" s="90" t="n">
        <x:v>1448713721.24</x:v>
      </x:c>
      <x:c r="H190" s="90" t="n">
        <x:v>801033903.94</x:v>
      </x:c>
      <x:c r="I190" s="90" t="n">
        <x:v>423885363.7</x:v>
      </x:c>
      <x:c r="J190" s="90" t="n">
        <x:v>6517519319.6</x:v>
      </x:c>
      <x:c r="K190" s="90" t="n">
        <x:v>230334949.82</x:v>
      </x:c>
      <x:c r="L190" s="90" t="n">
        <x:v>23583660.07</x:v>
      </x:c>
      <x:c r="M190" s="90" t="n">
        <x:v>2018432357.93</x:v>
      </x:c>
      <x:c r="N190" s="90" t="n">
        <x:v>1978249652.92</x:v>
      </x:c>
      <x:c r="O190" s="90" t="n">
        <x:v>9282656848.95</x:v>
      </x:c>
      <x:c r="P190" s="90" t="n">
        <x:v>2850306789.08</x:v>
      </x:c>
      <x:c r="Q190" s="90" t="n">
        <x:v>376182157.69</x:v>
      </x:c>
      <x:c r="R190" s="90" t="n">
        <x:v>159627.7</x:v>
      </x:c>
      <x:c r="S190" s="90" t="n">
        <x:v>-39.87</x:v>
      </x:c>
      <x:c r="T190" s="90" t="n">
        <x:v>0.46</x:v>
      </x:c>
      <x:c r="U190" s="90">
        <x:v>0</x:v>
      </x:c>
      <x:c r="V190" s="90">
        <x:v>0</x:v>
      </x:c>
      <x:c r="W190" s="90">
        <x:v>0</x:v>
      </x:c>
      <x:c r="X190">
        <x:v>0</x:v>
      </x:c>
      <x:c r="Y190">
        <x:v>0</x:v>
      </x:c>
      <x:c r="Z190" t="n">
        <x:v>-2.54</x:v>
      </x:c>
    </x:row>
    <x:row r="191" spans="2:26" s="656" customFormat="1" ht="12.75" customHeight="1" x14ac:dyDescent="0.2">
      <x:c r="C191" s="656" t="s">
        <x:v>155</x:v>
      </x:c>
      <x:c r="D191" s="657" t="s">
        <x:v>70</x:v>
      </x:c>
      <x:c r="E191" s="657"/>
      <x:c r="F191" s="658" t="n">
        <x:v>25951058310.69</x:v>
      </x:c>
      <x:c r="G191" s="658" t="n">
        <x:v>1448713721.24</x:v>
      </x:c>
      <x:c r="H191" s="658" t="n">
        <x:v>801033903.94</x:v>
      </x:c>
      <x:c r="I191" s="658" t="n">
        <x:v>423885363.7</x:v>
      </x:c>
      <x:c r="J191" s="658" t="n">
        <x:v>6517519319.6</x:v>
      </x:c>
      <x:c r="K191" s="658" t="n">
        <x:v>230334949.82</x:v>
      </x:c>
      <x:c r="L191" s="658" t="n">
        <x:v>23583660.07</x:v>
      </x:c>
      <x:c r="M191" s="658" t="n">
        <x:v>2018432357.93</x:v>
      </x:c>
      <x:c r="N191" s="658" t="n">
        <x:v>1978249652.92</x:v>
      </x:c>
      <x:c r="O191" s="658" t="n">
        <x:v>9282656848.95</x:v>
      </x:c>
      <x:c r="P191" s="658" t="n">
        <x:v>2850306789.08</x:v>
      </x:c>
      <x:c r="Q191" s="658" t="n">
        <x:v>376182157.69</x:v>
      </x:c>
      <x:c r="R191" s="658" t="n">
        <x:v>159627.7</x:v>
      </x:c>
      <x:c r="S191" s="658" t="n">
        <x:v>-39.87</x:v>
      </x:c>
      <x:c r="T191" s="658" t="n">
        <x:v>0.46</x:v>
      </x:c>
      <x:c r="U191" s="658">
        <x:v>0</x:v>
      </x:c>
      <x:c r="V191" s="658">
        <x:v>0</x:v>
      </x:c>
      <x:c r="W191" s="658">
        <x:v>0</x:v>
      </x:c>
      <x:c r="X191" s="656">
        <x:v>0</x:v>
      </x:c>
      <x:c r="Y191" s="656">
        <x:v>0</x:v>
      </x:c>
      <x:c r="Z191" s="656" t="n">
        <x:v>-2.54</x:v>
      </x:c>
    </x:row>
    <x:row r="192" spans="2:26" ht="12.75" customHeight="1" x14ac:dyDescent="0.2">
      <x:c r="D192" s="89"/>
      <x:c r="E192" s="89" t="s">
        <x:v>72</x:v>
      </x:c>
      <x:c r="F192" s="371" t="n">
        <x:v>107199.99</x:v>
      </x:c>
      <x:c r="G192" s="90" t="n">
        <x:v>3814.07</x:v>
      </x:c>
      <x:c r="H192" s="90" t="n">
        <x:v>2013.23</x:v>
      </x:c>
      <x:c r="I192" s="90" t="n">
        <x:v>1075.31</x:v>
      </x:c>
      <x:c r="J192" s="90" t="n">
        <x:v>31633.35</x:v>
      </x:c>
      <x:c r="K192" s="90" t="n">
        <x:v>963.04</x:v>
      </x:c>
      <x:c r="L192" s="90" t="n">
        <x:v>0</x:v>
      </x:c>
      <x:c r="M192" s="90" t="n">
        <x:v>8447.81</x:v>
      </x:c>
      <x:c r="N192" s="90" t="n">
        <x:v>8872.4</x:v>
      </x:c>
      <x:c r="O192" s="90" t="n">
        <x:v>41178.56</x:v>
      </x:c>
      <x:c r="P192" s="90" t="n">
        <x:v>7627.22</x:v>
      </x:c>
      <x:c r="Q192" s="90" t="n">
        <x:v>1571.3</x:v>
      </x:c>
      <x:c r="R192" s="90" t="n">
        <x:v>3.7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4:26" ht="12.75" customHeight="1" x14ac:dyDescent="0.2">
      <x:c r="D193" s="89"/>
      <x:c r="E193" s="89" t="s">
        <x:v>81</x:v>
      </x:c>
      <x:c r="F193" s="371" t="n">
        <x:v>54.32</x:v>
      </x:c>
      <x:c r="G193" s="90" t="n">
        <x:v>1.66</x:v>
      </x:c>
      <x:c r="H193" s="90" t="n">
        <x:v>0.84</x:v>
      </x:c>
      <x:c r="I193" s="90" t="n">
        <x:v>0.45</x:v>
      </x:c>
      <x:c r="J193" s="90" t="n">
        <x:v>16.67</x:v>
      </x:c>
      <x:c r="K193" s="90" t="n">
        <x:v>0.48</x:v>
      </x:c>
      <x:c r="L193" s="90" t="n">
        <x:v>0</x:v>
      </x:c>
      <x:c r="M193" s="90" t="n">
        <x:v>4.2</x:v>
      </x:c>
      <x:c r="N193" s="90" t="n">
        <x:v>4.63</x:v>
      </x:c>
      <x:c r="O193" s="90" t="n">
        <x:v>21.26</x:v>
      </x:c>
      <x:c r="P193" s="90" t="n">
        <x:v>3.35</x:v>
      </x:c>
      <x:c r="Q193" s="90" t="n">
        <x:v>0.78</x:v>
      </x:c>
      <x:c r="R193" s="90" t="n">
        <x:v>0</x:v>
      </x:c>
      <x:c r="S193" s="90" t="n">
        <x:v>0</x:v>
      </x:c>
      <x:c r="T193" s="90" t="n">
        <x:v>0</x:v>
      </x:c>
      <x:c r="U193" s="90">
        <x:v>0</x:v>
      </x:c>
      <x:c r="V193" s="90">
        <x:v>0</x:v>
      </x:c>
      <x:c r="W193" s="90">
        <x:v>0</x:v>
      </x:c>
      <x:c r="X193">
        <x:v>0</x:v>
      </x:c>
      <x:c r="Y193">
        <x:v>0</x:v>
      </x:c>
      <x:c r="Z193" t="n">
        <x:v>0</x:v>
      </x:c>
    </x:row>
    <x:row r="194" spans="4:26" ht="12.75" customHeight="1" x14ac:dyDescent="0.2">
      <x:c r="D194" s="89" t="s">
        <x:v>115</x:v>
      </x:c>
      <x:c r="E194" s="89" t="s">
        <x:v>70</x:v>
      </x:c>
      <x:c r="F194" s="371" t="n">
        <x:v>107254.31</x:v>
      </x:c>
      <x:c r="G194" s="90" t="n">
        <x:v>3815.73</x:v>
      </x:c>
      <x:c r="H194" s="90" t="n">
        <x:v>2014.07</x:v>
      </x:c>
      <x:c r="I194" s="90" t="n">
        <x:v>1075.76</x:v>
      </x:c>
      <x:c r="J194" s="90" t="n">
        <x:v>31650.02</x:v>
      </x:c>
      <x:c r="K194" s="90" t="n">
        <x:v>963.52</x:v>
      </x:c>
      <x:c r="L194" s="90" t="n">
        <x:v>0</x:v>
      </x:c>
      <x:c r="M194" s="90" t="n">
        <x:v>8452.01</x:v>
      </x:c>
      <x:c r="N194" s="90" t="n">
        <x:v>8877.03</x:v>
      </x:c>
      <x:c r="O194" s="90" t="n">
        <x:v>41199.82</x:v>
      </x:c>
      <x:c r="P194" s="90" t="n">
        <x:v>7630.57</x:v>
      </x:c>
      <x:c r="Q194" s="90" t="n">
        <x:v>1572.08</x:v>
      </x:c>
      <x:c r="R194" s="90" t="n">
        <x:v>3.7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0</x:v>
      </x:c>
    </x:row>
    <x:row r="195" spans="4:26" ht="12.75" customHeight="1" x14ac:dyDescent="0.2">
      <x:c r="D195" s="89"/>
      <x:c r="E195" s="89" t="s">
        <x:v>72</x:v>
      </x:c>
      <x:c r="F195" s="371" t="n">
        <x:v>127520.62</x:v>
      </x:c>
      <x:c r="G195" s="90" t="n">
        <x:v>12427.88</x:v>
      </x:c>
      <x:c r="H195" s="90" t="n">
        <x:v>6940.45</x:v>
      </x:c>
      <x:c r="I195" s="90" t="n">
        <x:v>3682.61</x:v>
      </x:c>
      <x:c r="J195" s="90" t="n">
        <x:v>25758.06</x:v>
      </x:c>
      <x:c r="K195" s="90" t="n">
        <x:v>896.24</x:v>
      </x:c>
      <x:c r="L195" s="90" t="n">
        <x:v>0</x:v>
      </x:c>
      <x:c r="M195" s="90" t="n">
        <x:v>7861.73</x:v>
      </x:c>
      <x:c r="N195" s="90" t="n">
        <x:v>7686.33</x:v>
      </x:c>
      <x:c r="O195" s="90" t="n">
        <x:v>36125.75</x:v>
      </x:c>
      <x:c r="P195" s="90" t="n">
        <x:v>24674.37</x:v>
      </x:c>
      <x:c r="Q195" s="90" t="n">
        <x:v>1462.28</x:v>
      </x:c>
      <x:c r="R195" s="90" t="n">
        <x:v>4.92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4:26" ht="12.75" customHeight="1" x14ac:dyDescent="0.2">
      <x:c r="D196" s="89"/>
      <x:c r="E196" s="89" t="s">
        <x:v>81</x:v>
      </x:c>
      <x:c r="F196" s="90" t="n">
        <x:v>801.46</x:v>
      </x:c>
      <x:c r="G196" s="90" t="n">
        <x:v>76.94</x:v>
      </x:c>
      <x:c r="H196" s="90" t="n">
        <x:v>43.44</x:v>
      </x:c>
      <x:c r="I196" s="90" t="n">
        <x:v>22.8</x:v>
      </x:c>
      <x:c r="J196" s="90" t="n">
        <x:v>170.64</x:v>
      </x:c>
      <x:c r="K196" s="90" t="n">
        <x:v>5.56</x:v>
      </x:c>
      <x:c r="L196" s="90" t="n">
        <x:v>0</x:v>
      </x:c>
      <x:c r="M196" s="90" t="n">
        <x:v>48.79</x:v>
      </x:c>
      <x:c r="N196" s="90" t="n">
        <x:v>47.34</x:v>
      </x:c>
      <x:c r="O196" s="90" t="n">
        <x:v>224.13</x:v>
      </x:c>
      <x:c r="P196" s="90" t="n">
        <x:v>152.75</x:v>
      </x:c>
      <x:c r="Q196" s="90" t="n">
        <x:v>9.07</x:v>
      </x:c>
      <x:c r="R196" s="90" t="n">
        <x:v>0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4:26" ht="12.75" customHeight="1" x14ac:dyDescent="0.2">
      <x:c r="D197" t="s">
        <x:v>116</x:v>
      </x:c>
      <x:c r="E197" s="89" t="s">
        <x:v>70</x:v>
      </x:c>
      <x:c r="F197" s="90" t="n">
        <x:v>128322.08</x:v>
      </x:c>
      <x:c r="G197" s="90" t="n">
        <x:v>12504.82</x:v>
      </x:c>
      <x:c r="H197" s="90" t="n">
        <x:v>6983.89</x:v>
      </x:c>
      <x:c r="I197" s="90" t="n">
        <x:v>3705.41</x:v>
      </x:c>
      <x:c r="J197" s="90" t="n">
        <x:v>25928.7</x:v>
      </x:c>
      <x:c r="K197" s="90" t="n">
        <x:v>901.8</x:v>
      </x:c>
      <x:c r="L197" s="90" t="n">
        <x:v>0</x:v>
      </x:c>
      <x:c r="M197" s="90" t="n">
        <x:v>7910.52</x:v>
      </x:c>
      <x:c r="N197" s="90" t="n">
        <x:v>7733.67</x:v>
      </x:c>
      <x:c r="O197" s="90" t="n">
        <x:v>36349.88</x:v>
      </x:c>
      <x:c r="P197" s="90" t="n">
        <x:v>24827.12</x:v>
      </x:c>
      <x:c r="Q197" s="90" t="n">
        <x:v>1471.35</x:v>
      </x:c>
      <x:c r="R197" s="90" t="n">
        <x:v>4.92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4:26" ht="12.75" customHeight="1" x14ac:dyDescent="0.2">
      <x:c r="D198" s="89"/>
      <x:c r="E198" s="89" t="s">
        <x:v>72</x:v>
      </x:c>
      <x:c r="F198" s="371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4:26" ht="12.75" customHeight="1" x14ac:dyDescent="0.2">
      <x:c r="D199" s="89"/>
      <x:c r="E199" s="89" t="s">
        <x:v>81</x:v>
      </x:c>
      <x:c r="F199" s="371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4:26" ht="12.75" customHeight="1" x14ac:dyDescent="0.2">
      <x:c r="D200" s="773">
        <x:v>3</x:v>
      </x:c>
      <x:c r="E200" s="89" t="s">
        <x:v>70</x:v>
      </x:c>
      <x:c r="F200" s="371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 s="90">
        <x:v>0</x:v>
      </x:c>
      <x:c r="S200" s="90">
        <x:v>0</x:v>
      </x:c>
      <x:c r="T200" s="90">
        <x:v>0</x:v>
      </x:c>
      <x:c r="U200" s="90">
        <x:v>0</x:v>
      </x:c>
      <x:c r="V200" s="90">
        <x:v>0</x:v>
      </x:c>
      <x:c r="W200" s="90">
        <x:v>0</x:v>
      </x:c>
      <x:c r="X200">
        <x:v>0</x:v>
      </x:c>
      <x:c r="Y200">
        <x:v>0</x:v>
      </x:c>
      <x:c r="Z200">
        <x:v>0</x:v>
      </x:c>
    </x:row>
    <x:row r="201" spans="4:26" ht="12.75" customHeight="1" x14ac:dyDescent="0.2">
      <x:c r="D201" s="89"/>
      <x:c r="E201" s="89" t="s">
        <x:v>72</x:v>
      </x:c>
      <x:c r="F201" s="371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4:26" ht="12.75" customHeight="1" x14ac:dyDescent="0.2">
      <x:c r="D202" s="89"/>
      <x:c r="E202" s="89" t="s">
        <x:v>81</x:v>
      </x:c>
      <x:c r="F202" s="371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4:26" ht="12.75" customHeight="1" x14ac:dyDescent="0.2">
      <x:c r="D203" s="773">
        <x:v>4</x:v>
      </x:c>
      <x:c r="E203" s="89" t="s">
        <x:v>70</x:v>
      </x:c>
      <x:c r="F203" s="371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4:26" ht="12.75" customHeight="1" x14ac:dyDescent="0.2">
      <x:c r="D204" s="89"/>
      <x:c r="E204" s="89" t="s">
        <x:v>72</x:v>
      </x:c>
      <x:c r="F204" s="371" t="n">
        <x:v>2484432.4</x:v>
      </x:c>
      <x:c r="G204" s="90" t="n">
        <x:v>117509.34</x:v>
      </x:c>
      <x:c r="H204" s="90" t="n">
        <x:v>65623.65</x:v>
      </x:c>
      <x:c r="I204" s="90" t="n">
        <x:v>35147.19</x:v>
      </x:c>
      <x:c r="J204" s="90" t="n">
        <x:v>651490.81</x:v>
      </x:c>
      <x:c r="K204" s="90" t="n">
        <x:v>23203.85</x:v>
      </x:c>
      <x:c r="L204" s="90" t="n">
        <x:v>0</x:v>
      </x:c>
      <x:c r="M204" s="90" t="n">
        <x:v>195200.05</x:v>
      </x:c>
      <x:c r="N204" s="90" t="n">
        <x:v>196745.88</x:v>
      </x:c>
      <x:c r="O204" s="90" t="n">
        <x:v>931730.47</x:v>
      </x:c>
      <x:c r="P204" s="90" t="n">
        <x:v>231035.27</x:v>
      </x:c>
      <x:c r="Q204" s="90" t="n">
        <x:v>36732.97</x:v>
      </x:c>
      <x:c r="R204" s="90" t="n">
        <x:v>12.92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4:26" ht="12.75" customHeight="1" x14ac:dyDescent="0.2">
      <x:c r="D205" s="89"/>
      <x:c r="E205" s="89" t="s">
        <x:v>81</x:v>
      </x:c>
      <x:c r="F205" s="90" t="n">
        <x:v>3226.7</x:v>
      </x:c>
      <x:c r="G205" s="90" t="n">
        <x:v>166.13</x:v>
      </x:c>
      <x:c r="H205" s="90" t="n">
        <x:v>93.91</x:v>
      </x:c>
      <x:c r="I205" s="90" t="n">
        <x:v>48.63</x:v>
      </x:c>
      <x:c r="J205" s="90" t="n">
        <x:v>856.89</x:v>
      </x:c>
      <x:c r="K205" s="90" t="n">
        <x:v>21.56</x:v>
      </x:c>
      <x:c r="L205" s="90" t="n">
        <x:v>0</x:v>
      </x:c>
      <x:c r="M205" s="90" t="n">
        <x:v>195.95</x:v>
      </x:c>
      <x:c r="N205" s="90" t="n">
        <x:v>262.5</x:v>
      </x:c>
      <x:c r="O205" s="90" t="n">
        <x:v>1212.37</x:v>
      </x:c>
      <x:c r="P205" s="90" t="n">
        <x:v>333.63</x:v>
      </x:c>
      <x:c r="Q205" s="90" t="n">
        <x:v>35.19</x:v>
      </x:c>
      <x:c r="R205" s="90" t="n">
        <x:v>-0.06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4:26" ht="12.75" customHeight="1" x14ac:dyDescent="0.2">
      <x:c r="D206" t="s">
        <x:v>118</x:v>
      </x:c>
      <x:c r="E206" s="89" t="s">
        <x:v>70</x:v>
      </x:c>
      <x:c r="F206" s="90" t="n">
        <x:v>2487659.1</x:v>
      </x:c>
      <x:c r="G206" s="90" t="n">
        <x:v>117675.47</x:v>
      </x:c>
      <x:c r="H206" s="90" t="n">
        <x:v>65717.56</x:v>
      </x:c>
      <x:c r="I206" s="90" t="n">
        <x:v>35195.82</x:v>
      </x:c>
      <x:c r="J206" s="90" t="n">
        <x:v>652347.7</x:v>
      </x:c>
      <x:c r="K206" s="90" t="n">
        <x:v>23225.41</x:v>
      </x:c>
      <x:c r="L206" s="90" t="n">
        <x:v>0</x:v>
      </x:c>
      <x:c r="M206" s="90" t="n">
        <x:v>195396</x:v>
      </x:c>
      <x:c r="N206" s="90" t="n">
        <x:v>197008.38</x:v>
      </x:c>
      <x:c r="O206" s="90" t="n">
        <x:v>932942.84</x:v>
      </x:c>
      <x:c r="P206" s="90" t="n">
        <x:v>231368.9</x:v>
      </x:c>
      <x:c r="Q206" s="90" t="n">
        <x:v>36768.16</x:v>
      </x:c>
      <x:c r="R206" s="90" t="n">
        <x:v>12.86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4:26" ht="12.75" customHeight="1" x14ac:dyDescent="0.2">
      <x:c r="D207" s="89"/>
      <x:c r="E207" s="89" t="s">
        <x:v>72</x:v>
      </x:c>
      <x:c r="F207" s="371">
        <x:v>0</x:v>
      </x:c>
      <x:c r="G207" s="90">
        <x:v>0</x:v>
      </x:c>
      <x:c r="H207" s="90">
        <x:v>0</x:v>
      </x:c>
      <x:c r="I207" s="90">
        <x:v>0</x:v>
      </x:c>
      <x:c r="J207" s="90">
        <x:v>0</x:v>
      </x:c>
      <x:c r="K207" s="90">
        <x:v>0</x:v>
      </x:c>
      <x:c r="L207" s="90">
        <x:v>0</x:v>
      </x:c>
      <x:c r="M207" s="90">
        <x:v>0</x:v>
      </x:c>
      <x:c r="N207" s="90">
        <x:v>0</x:v>
      </x:c>
      <x:c r="O207" s="90">
        <x:v>0</x:v>
      </x:c>
      <x:c r="P207" s="90">
        <x:v>0</x:v>
      </x:c>
      <x:c r="Q207" s="90">
        <x:v>0</x:v>
      </x:c>
      <x:c r="R207" s="90">
        <x:v>0</x:v>
      </x:c>
      <x:c r="S207" s="90">
        <x:v>0</x:v>
      </x:c>
      <x:c r="T207" s="90">
        <x:v>0</x:v>
      </x:c>
      <x:c r="U207" s="90">
        <x:v>0</x:v>
      </x:c>
      <x:c r="V207" s="90">
        <x:v>0</x:v>
      </x:c>
      <x:c r="W207" s="90">
        <x:v>0</x:v>
      </x:c>
      <x:c r="X207">
        <x:v>0</x:v>
      </x:c>
      <x:c r="Y207">
        <x:v>0</x:v>
      </x:c>
      <x:c r="Z207">
        <x:v>0</x:v>
      </x:c>
    </x:row>
    <x:row r="208" spans="4:26" ht="12.75" customHeight="1" x14ac:dyDescent="0.2">
      <x:c r="D208" s="89"/>
      <x:c r="E208" s="89" t="s">
        <x:v>81</x:v>
      </x:c>
      <x:c r="F208" s="90">
        <x:v>0</x:v>
      </x:c>
      <x:c r="G208" s="90">
        <x:v>0</x:v>
      </x:c>
      <x:c r="H208" s="90">
        <x:v>0</x:v>
      </x:c>
      <x:c r="I208" s="90">
        <x:v>0</x:v>
      </x:c>
      <x:c r="J208" s="90">
        <x:v>0</x:v>
      </x:c>
      <x:c r="K208" s="90">
        <x:v>0</x:v>
      </x:c>
      <x:c r="L208" s="90">
        <x:v>0</x:v>
      </x:c>
      <x:c r="M208" s="90">
        <x:v>0</x:v>
      </x:c>
      <x:c r="N208" s="90">
        <x:v>0</x:v>
      </x:c>
      <x:c r="O208" s="90">
        <x:v>0</x:v>
      </x:c>
      <x:c r="P208" s="90">
        <x:v>0</x:v>
      </x:c>
      <x:c r="Q208" s="90">
        <x:v>0</x:v>
      </x:c>
      <x:c r="R208" s="90">
        <x:v>0</x:v>
      </x:c>
      <x:c r="S208" s="90">
        <x:v>0</x:v>
      </x:c>
      <x:c r="T208" s="90">
        <x:v>0</x:v>
      </x:c>
      <x:c r="U208" s="90">
        <x:v>0</x:v>
      </x:c>
      <x:c r="V208" s="90">
        <x:v>0</x:v>
      </x:c>
      <x:c r="W208" s="90">
        <x:v>0</x:v>
      </x:c>
      <x:c r="X208">
        <x:v>0</x:v>
      </x:c>
      <x:c r="Y208">
        <x:v>0</x:v>
      </x:c>
      <x:c r="Z208">
        <x:v>0</x:v>
      </x:c>
    </x:row>
    <x:row r="209" spans="2:26" ht="12.75" customHeight="1" x14ac:dyDescent="0.2">
      <x:c r="D209" s="772">
        <x:v>6</x:v>
      </x:c>
      <x:c r="E209" s="89" t="s">
        <x:v>70</x:v>
      </x:c>
      <x:c r="F209" s="90">
        <x:v>0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2:26" ht="12.75" customHeight="1" x14ac:dyDescent="0.2">
      <x:c r="D210" s="89"/>
      <x:c r="E210" s="89" t="s">
        <x:v>72</x:v>
      </x:c>
      <x:c r="F210" s="90">
        <x:v>0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>
        <x:v>0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2:26" ht="12.75" customHeight="1" x14ac:dyDescent="0.2">
      <x:c r="E211" s="89" t="s">
        <x:v>81</x:v>
      </x:c>
      <x:c r="F211" s="90">
        <x:v>0</x:v>
      </x:c>
      <x:c r="G211" s="90">
        <x:v>0</x:v>
      </x:c>
      <x:c r="H211" s="90">
        <x:v>0</x:v>
      </x:c>
      <x:c r="I211" s="90">
        <x:v>0</x:v>
      </x:c>
      <x:c r="J211" s="90">
        <x:v>0</x:v>
      </x:c>
      <x:c r="K211" s="90">
        <x:v>0</x:v>
      </x:c>
      <x:c r="L211" s="90">
        <x:v>0</x:v>
      </x:c>
      <x:c r="M211" s="90">
        <x:v>0</x:v>
      </x:c>
      <x:c r="N211" s="90">
        <x:v>0</x:v>
      </x:c>
      <x:c r="O211" s="90">
        <x:v>0</x:v>
      </x:c>
      <x:c r="P211" s="90">
        <x:v>0</x:v>
      </x:c>
      <x:c r="Q211" s="90">
        <x:v>0</x:v>
      </x:c>
      <x:c r="R211" s="90">
        <x:v>0</x:v>
      </x:c>
      <x:c r="S211" s="90">
        <x:v>0</x:v>
      </x:c>
      <x:c r="T211" s="90">
        <x:v>0</x:v>
      </x:c>
      <x:c r="U211" s="90">
        <x:v>0</x:v>
      </x:c>
      <x:c r="V211" s="90">
        <x:v>0</x:v>
      </x:c>
      <x:c r="W211" s="90">
        <x:v>0</x:v>
      </x:c>
      <x:c r="X211">
        <x:v>0</x:v>
      </x:c>
      <x:c r="Y211">
        <x:v>0</x:v>
      </x:c>
      <x:c r="Z211">
        <x:v>0</x:v>
      </x:c>
    </x:row>
    <x:row r="212" spans="2:26" ht="12.75" customHeight="1" x14ac:dyDescent="0.2">
      <x:c r="D212" s="772">
        <x:v>9</x:v>
      </x:c>
      <x:c r="E212" s="89" t="s">
        <x:v>70</x:v>
      </x:c>
      <x:c r="F212" s="90">
        <x:v>0</x:v>
      </x:c>
      <x:c r="G212" s="90">
        <x:v>0</x:v>
      </x:c>
      <x:c r="H212" s="90">
        <x:v>0</x:v>
      </x:c>
      <x:c r="I212" s="90">
        <x:v>0</x:v>
      </x:c>
      <x:c r="J212" s="90">
        <x:v>0</x:v>
      </x:c>
      <x:c r="K212" s="90">
        <x:v>0</x:v>
      </x:c>
      <x:c r="L212" s="90">
        <x:v>0</x:v>
      </x:c>
      <x:c r="M212" s="90">
        <x:v>0</x:v>
      </x:c>
      <x:c r="N212" s="90">
        <x:v>0</x:v>
      </x:c>
      <x:c r="O212" s="90">
        <x:v>0</x:v>
      </x:c>
      <x:c r="P212" s="90">
        <x:v>0</x:v>
      </x:c>
      <x:c r="Q212" s="90">
        <x:v>0</x:v>
      </x:c>
      <x:c r="R212" s="90">
        <x:v>0</x:v>
      </x:c>
      <x:c r="S212" s="90">
        <x:v>0</x:v>
      </x:c>
      <x:c r="T212" s="90">
        <x:v>0</x:v>
      </x:c>
      <x:c r="U212" s="90">
        <x:v>0</x:v>
      </x:c>
      <x:c r="V212" s="90">
        <x:v>0</x:v>
      </x:c>
      <x:c r="W212" s="90">
        <x:v>0</x:v>
      </x:c>
      <x:c r="X212">
        <x:v>0</x:v>
      </x:c>
      <x:c r="Y212">
        <x:v>0</x:v>
      </x:c>
      <x:c r="Z212">
        <x:v>0</x:v>
      </x:c>
    </x:row>
    <x:row r="213" spans="2:26" s="224" customFormat="1" ht="12.75" customHeight="1" x14ac:dyDescent="0.2">
      <x:c r="C213" s="223" t="s">
        <x:v>120</x:v>
      </x:c>
      <x:c r="D213" s="223" t="s">
        <x:v>70</x:v>
      </x:c>
      <x:c r="F213" s="225" t="n">
        <x:v>2723235.49</x:v>
      </x:c>
      <x:c r="G213" s="225" t="n">
        <x:v>133996.02</x:v>
      </x:c>
      <x:c r="H213" s="225" t="n">
        <x:v>74715.52</x:v>
      </x:c>
      <x:c r="I213" s="225" t="n">
        <x:v>39976.99</x:v>
      </x:c>
      <x:c r="J213" s="225" t="n">
        <x:v>709926.42</x:v>
      </x:c>
      <x:c r="K213" s="225" t="n">
        <x:v>25090.73</x:v>
      </x:c>
      <x:c r="L213" s="225" t="n">
        <x:v>0</x:v>
      </x:c>
      <x:c r="M213" s="225" t="n">
        <x:v>211758.53</x:v>
      </x:c>
      <x:c r="N213" s="225" t="n">
        <x:v>213619.08</x:v>
      </x:c>
      <x:c r="O213" s="225" t="n">
        <x:v>1010492.54</x:v>
      </x:c>
      <x:c r="P213" s="225" t="n">
        <x:v>263826.59</x:v>
      </x:c>
      <x:c r="Q213" s="225" t="n">
        <x:v>39811.59</x:v>
      </x:c>
      <x:c r="R213" s="225" t="n">
        <x:v>21.48</x:v>
      </x:c>
      <x:c r="S213" s="225" t="n">
        <x:v>0</x:v>
      </x:c>
      <x:c r="T213" s="224" t="n">
        <x:v>0</x:v>
      </x:c>
      <x:c r="U213" s="224">
        <x:v>0</x:v>
      </x:c>
      <x:c r="V213" s="224">
        <x:v>0</x:v>
      </x:c>
      <x:c r="W213" s="224">
        <x:v>0</x:v>
      </x:c>
      <x:c r="X213" s="224">
        <x:v>0</x:v>
      </x:c>
      <x:c r="Y213" s="225">
        <x:v>0</x:v>
      </x:c>
      <x:c r="Z213" s="224" t="n">
        <x:v>0</x:v>
      </x:c>
    </x:row>
    <x:row r="214" spans="2:26" ht="12.75" customHeight="1" x14ac:dyDescent="0.2">
      <x:c r="E214" s="89" t="s">
        <x:v>72</x:v>
      </x:c>
      <x:c r="F214" s="90" t="n">
        <x:v>694514284.59</x:v>
      </x:c>
      <x:c r="G214" s="90" t="n">
        <x:v>43648940.74</x:v>
      </x:c>
      <x:c r="H214" s="90" t="n">
        <x:v>24528624.43</x:v>
      </x:c>
      <x:c r="I214" s="90" t="n">
        <x:v>12966293.9</x:v>
      </x:c>
      <x:c r="J214" s="90" t="n">
        <x:v>172890097.13</x:v>
      </x:c>
      <x:c r="K214" s="90" t="n">
        <x:v>4235635.46</x:v>
      </x:c>
      <x:c r="L214" s="90" t="n">
        <x:v>169000</x:v>
      </x:c>
      <x:c r="M214" s="90" t="n">
        <x:v>37189348.4</x:v>
      </x:c>
      <x:c r="N214" s="90" t="n">
        <x:v>52286715.92</x:v>
      </x:c>
      <x:c r="O214" s="90" t="n">
        <x:v>253471637.76</x:v>
      </x:c>
      <x:c r="P214" s="90" t="n">
        <x:v>86178940.52</x:v>
      </x:c>
      <x:c r="Q214" s="90" t="n">
        <x:v>6949275.73</x:v>
      </x:c>
      <x:c r="R214" s="90" t="n">
        <x:v>-225.4</x:v>
      </x:c>
      <x:c r="S214" s="90" t="n">
        <x:v>0</x:v>
      </x:c>
      <x:c r="T214" s="90" t="n">
        <x:v>0</x:v>
      </x:c>
      <x:c r="U214" s="90">
        <x:v>0</x:v>
      </x:c>
      <x:c r="V214" s="90">
        <x:v>0</x:v>
      </x:c>
      <x:c r="W214" s="90">
        <x:v>0</x:v>
      </x:c>
      <x:c r="X214">
        <x:v>0</x:v>
      </x:c>
      <x:c r="Y214">
        <x:v>0</x:v>
      </x:c>
      <x:c r="Z214" t="n">
        <x:v>0</x:v>
      </x:c>
    </x:row>
    <x:row r="215" spans="2:26" ht="12.75" customHeight="1" x14ac:dyDescent="0.2">
      <x:c r="C215" s="89"/>
      <x:c r="D215" s="89"/>
      <x:c r="E215" t="s">
        <x:v>81</x:v>
      </x:c>
      <x:c r="F215" s="90" t="n">
        <x:v>6883429.21</x:v>
      </x:c>
      <x:c r="G215" s="90" t="n">
        <x:v>673329.14</x:v>
      </x:c>
      <x:c r="H215" s="90" t="n">
        <x:v>377189.03</x:v>
      </x:c>
      <x:c r="I215" s="90" t="n">
        <x:v>197995.96</x:v>
      </x:c>
      <x:c r="J215" s="90" t="n">
        <x:v>1406777.04</x:v>
      </x:c>
      <x:c r="K215" s="90" t="n">
        <x:v>35108.4</x:v>
      </x:c>
      <x:c r="L215" s="90" t="n">
        <x:v>4129.16</x:v>
      </x:c>
      <x:c r="M215" s="90" t="n">
        <x:v>308075.95</x:v>
      </x:c>
      <x:c r="N215" s="90" t="n">
        <x:v>437609.26</x:v>
      </x:c>
      <x:c r="O215" s="90" t="n">
        <x:v>2048037.13</x:v>
      </x:c>
      <x:c r="P215" s="90" t="n">
        <x:v>1337696.69</x:v>
      </x:c>
      <x:c r="Q215" s="90" t="n">
        <x:v>57486.73</x:v>
      </x:c>
      <x:c r="R215" s="90" t="n">
        <x:v>3.47</x:v>
      </x:c>
      <x:c r="S215" s="90" t="n">
        <x:v>-8.56</x:v>
      </x:c>
      <x:c r="T215" s="90" t="n">
        <x:v>0</x:v>
      </x:c>
      <x:c r="U215" s="90">
        <x:v>0</x:v>
      </x:c>
      <x:c r="V215" s="90">
        <x:v>0</x:v>
      </x:c>
      <x:c r="W215" s="90">
        <x:v>0</x:v>
      </x:c>
      <x:c r="X215">
        <x:v>0</x:v>
      </x:c>
      <x:c r="Y215">
        <x:v>0</x:v>
      </x:c>
      <x:c r="Z215" t="n">
        <x:v>-0.19</x:v>
      </x:c>
    </x:row>
    <x:row r="216" spans="2:26" ht="12.75" customHeight="1" x14ac:dyDescent="0.2">
      <x:c r="D216" t="s">
        <x:v>82</x:v>
      </x:c>
      <x:c r="E216" s="89" t="s">
        <x:v>70</x:v>
      </x:c>
      <x:c r="F216" s="90" t="n">
        <x:v>701397713.8</x:v>
      </x:c>
      <x:c r="G216" s="90" t="n">
        <x:v>44322269.88</x:v>
      </x:c>
      <x:c r="H216" s="90" t="n">
        <x:v>24905813.46</x:v>
      </x:c>
      <x:c r="I216" s="90" t="n">
        <x:v>13164289.86</x:v>
      </x:c>
      <x:c r="J216" s="90" t="n">
        <x:v>174296874.17</x:v>
      </x:c>
      <x:c r="K216" s="90" t="n">
        <x:v>4270743.86</x:v>
      </x:c>
      <x:c r="L216" s="90" t="n">
        <x:v>173129.16</x:v>
      </x:c>
      <x:c r="M216" s="90" t="n">
        <x:v>37497424.35</x:v>
      </x:c>
      <x:c r="N216" s="90" t="n">
        <x:v>52724325.18</x:v>
      </x:c>
      <x:c r="O216" s="90" t="n">
        <x:v>255519674.89</x:v>
      </x:c>
      <x:c r="P216" s="90" t="n">
        <x:v>87516637.21</x:v>
      </x:c>
      <x:c r="Q216" s="90" t="n">
        <x:v>7006762.46</x:v>
      </x:c>
      <x:c r="R216" s="90" t="n">
        <x:v>-221.93</x:v>
      </x:c>
      <x:c r="S216" s="90" t="n">
        <x:v>-8.56</x:v>
      </x:c>
      <x:c r="T216" s="90" t="n">
        <x:v>0</x:v>
      </x:c>
      <x:c r="U216" s="90">
        <x:v>0</x:v>
      </x:c>
      <x:c r="V216" s="90">
        <x:v>0</x:v>
      </x:c>
      <x:c r="W216" s="90">
        <x:v>0</x:v>
      </x:c>
      <x:c r="X216">
        <x:v>0</x:v>
      </x:c>
      <x:c r="Y216">
        <x:v>0</x:v>
      </x:c>
      <x:c r="Z216" t="n">
        <x:v>-0.19</x:v>
      </x:c>
    </x:row>
    <x:row r="217" spans="2:26" ht="12.75" customHeight="1" x14ac:dyDescent="0.2">
      <x:c r="E217" s="89" t="s">
        <x:v>72</x:v>
      </x:c>
      <x:c r="F217" s="90" t="n">
        <x:v>342879876.92</x:v>
      </x:c>
      <x:c r="G217" s="90" t="n">
        <x:v>41248490.39</x:v>
      </x:c>
      <x:c r="H217" s="90" t="n">
        <x:v>22841659.14</x:v>
      </x:c>
      <x:c r="I217" s="90" t="n">
        <x:v>12030206.76</x:v>
      </x:c>
      <x:c r="J217" s="90" t="n">
        <x:v>53761356.04</x:v>
      </x:c>
      <x:c r="K217" s="90" t="n">
        <x:v>1531383.97</x:v>
      </x:c>
      <x:c r="L217" s="90" t="n">
        <x:v>23084584.89</x:v>
      </x:c>
      <x:c r="M217" s="90" t="n">
        <x:v>13398033.61</x:v>
      </x:c>
      <x:c r="N217" s="90" t="n">
        <x:v>16796778.25</x:v>
      </x:c>
      <x:c r="O217" s="90" t="n">
        <x:v>78310154.48</x:v>
      </x:c>
      <x:c r="P217" s="90" t="n">
        <x:v>77366467.36</x:v>
      </x:c>
      <x:c r="Q217" s="90" t="n">
        <x:v>2511335.13</x:v>
      </x:c>
      <x:c r="R217" s="90" t="n">
        <x:v>-573.1</x:v>
      </x:c>
      <x:c r="S217" s="90" t="n">
        <x:v>0</x:v>
      </x:c>
      <x:c r="T217" s="90" t="n">
        <x:v>0</x:v>
      </x:c>
      <x:c r="U217" s="90">
        <x:v>0</x:v>
      </x:c>
      <x:c r="V217" s="90">
        <x:v>0</x:v>
      </x:c>
      <x:c r="W217" s="90">
        <x:v>0</x:v>
      </x:c>
      <x:c r="X217">
        <x:v>0</x:v>
      </x:c>
      <x:c r="Y217">
        <x:v>0</x:v>
      </x:c>
      <x:c r="Z217" t="n">
        <x:v>0</x:v>
      </x:c>
    </x:row>
    <x:row r="218" spans="2:26" ht="12.75" customHeight="1" x14ac:dyDescent="0.2">
      <x:c r="D218" s="89"/>
      <x:c r="E218" s="89" t="s">
        <x:v>81</x:v>
      </x:c>
      <x:c r="F218" s="90" t="n">
        <x:v>13269957.25</x:v>
      </x:c>
      <x:c r="G218" s="90" t="n">
        <x:v>2267005.74</x:v>
      </x:c>
      <x:c r="H218" s="90" t="n">
        <x:v>1179135.51</x:v>
      </x:c>
      <x:c r="I218" s="90" t="n">
        <x:v>634890.42</x:v>
      </x:c>
      <x:c r="J218" s="90" t="n">
        <x:v>1289055.33</x:v>
      </x:c>
      <x:c r="K218" s="90" t="n">
        <x:v>39661.26</x:v>
      </x:c>
      <x:c r="L218" s="90" t="n">
        <x:v>687466.44</x:v>
      </x:c>
      <x:c r="M218" s="90" t="n">
        <x:v>347213.78</x:v>
      </x:c>
      <x:c r="N218" s="90" t="n">
        <x:v>442531.15</x:v>
      </x:c>
      <x:c r="O218" s="90" t="n">
        <x:v>1771509.48</x:v>
      </x:c>
      <x:c r="P218" s="90" t="n">
        <x:v>4546744.19</x:v>
      </x:c>
      <x:c r="Q218" s="90" t="n">
        <x:v>64735.93</x:v>
      </x:c>
      <x:c r="R218" s="90" t="n">
        <x:v>-18.05</x:v>
      </x:c>
      <x:c r="S218" s="90" t="n">
        <x:v>26.32</x:v>
      </x:c>
      <x:c r="T218" s="90" t="n">
        <x:v>0.01</x:v>
      </x:c>
      <x:c r="U218" s="90">
        <x:v>0</x:v>
      </x:c>
      <x:c r="V218" s="90">
        <x:v>0</x:v>
      </x:c>
      <x:c r="W218" s="90">
        <x:v>0</x:v>
      </x:c>
      <x:c r="X218">
        <x:v>0</x:v>
      </x:c>
      <x:c r="Y218">
        <x:v>0</x:v>
      </x:c>
      <x:c r="Z218" t="n">
        <x:v>-0.26</x:v>
      </x:c>
    </x:row>
    <x:row r="219" spans="2:26" ht="12.75" customHeight="1" x14ac:dyDescent="0.2">
      <x:c r="D219" t="s">
        <x:v>86</x:v>
      </x:c>
      <x:c r="E219" s="89" t="s">
        <x:v>70</x:v>
      </x:c>
      <x:c r="F219" s="90" t="n">
        <x:v>356149834.17</x:v>
      </x:c>
      <x:c r="G219" s="90" t="n">
        <x:v>43515496.13</x:v>
      </x:c>
      <x:c r="H219" s="90" t="n">
        <x:v>24020794.65</x:v>
      </x:c>
      <x:c r="I219" s="90" t="n">
        <x:v>12665097.18</x:v>
      </x:c>
      <x:c r="J219" s="90" t="n">
        <x:v>55050411.37</x:v>
      </x:c>
      <x:c r="K219" s="90" t="n">
        <x:v>1571045.23</x:v>
      </x:c>
      <x:c r="L219" s="90" t="n">
        <x:v>23772051.33</x:v>
      </x:c>
      <x:c r="M219" s="90" t="n">
        <x:v>13745247.39</x:v>
      </x:c>
      <x:c r="N219" s="90" t="n">
        <x:v>17239309.4</x:v>
      </x:c>
      <x:c r="O219" s="90" t="n">
        <x:v>80081663.96</x:v>
      </x:c>
      <x:c r="P219" s="90" t="n">
        <x:v>81913211.55</x:v>
      </x:c>
      <x:c r="Q219" s="90" t="n">
        <x:v>2576071.06</x:v>
      </x:c>
      <x:c r="R219" s="90" t="n">
        <x:v>-591.15</x:v>
      </x:c>
      <x:c r="S219" s="90" t="n">
        <x:v>26.32</x:v>
      </x:c>
      <x:c r="T219" s="90" t="n">
        <x:v>0.01</x:v>
      </x:c>
      <x:c r="U219" s="90">
        <x:v>0</x:v>
      </x:c>
      <x:c r="V219" s="90">
        <x:v>0</x:v>
      </x:c>
      <x:c r="W219" s="90">
        <x:v>0</x:v>
      </x:c>
      <x:c r="X219">
        <x:v>0</x:v>
      </x:c>
      <x:c r="Y219">
        <x:v>0</x:v>
      </x:c>
      <x:c r="Z219" t="n">
        <x:v>-0.26</x:v>
      </x:c>
    </x:row>
    <x:row r="220" spans="2:26" ht="12.75" customHeight="1" x14ac:dyDescent="0.2">
      <x:c r="E220" s="89" t="s">
        <x:v>72</x:v>
      </x:c>
      <x:c r="F220" s="90" t="n">
        <x:v>802308928.47</x:v>
      </x:c>
      <x:c r="G220" s="90" t="n">
        <x:v>144734413.26</x:v>
      </x:c>
      <x:c r="H220" s="90" t="n">
        <x:v>81490473.12</x:v>
      </x:c>
      <x:c r="I220" s="90" t="n">
        <x:v>42731858.55</x:v>
      </x:c>
      <x:c r="J220" s="90" t="n">
        <x:v>72751039.77</x:v>
      </x:c>
      <x:c r="K220" s="90" t="n">
        <x:v>1790768.11</x:v>
      </x:c>
      <x:c r="L220" s="90" t="n">
        <x:v>25623000</x:v>
      </x:c>
      <x:c r="M220" s="90" t="n">
        <x:v>15645740.16</x:v>
      </x:c>
      <x:c r="N220" s="90" t="n">
        <x:v>22248025.24</x:v>
      </x:c>
      <x:c r="O220" s="90" t="n">
        <x:v>107767479.69</x:v>
      </x:c>
      <x:c r="P220" s="90" t="n">
        <x:v>284574819.37</x:v>
      </x:c>
      <x:c r="Q220" s="90" t="n">
        <x:v>2952786.67</x:v>
      </x:c>
      <x:c r="R220" s="90" t="n">
        <x:v>-1475.47</x:v>
      </x:c>
      <x:c r="S220" s="90" t="n">
        <x:v>0</x:v>
      </x:c>
      <x:c r="T220" s="90" t="n">
        <x:v>0</x:v>
      </x:c>
      <x:c r="U220" s="90">
        <x:v>0</x:v>
      </x:c>
      <x:c r="V220" s="90">
        <x:v>0</x:v>
      </x:c>
      <x:c r="W220" s="90">
        <x:v>0</x:v>
      </x:c>
      <x:c r="X220">
        <x:v>0</x:v>
      </x:c>
      <x:c r="Y220">
        <x:v>0</x:v>
      </x:c>
      <x:c r="Z220" t="n">
        <x:v>0</x:v>
      </x:c>
    </x:row>
    <x:row r="221" spans="2:26" ht="12.75" customHeight="1" x14ac:dyDescent="0.2">
      <x:c r="D221" s="89"/>
      <x:c r="E221" s="89" t="s">
        <x:v>81</x:v>
      </x:c>
      <x:c r="F221" s="90" t="n">
        <x:v>17589081.67</x:v>
      </x:c>
      <x:c r="G221" s="90" t="n">
        <x:v>3496902.32</x:v>
      </x:c>
      <x:c r="H221" s="90" t="n">
        <x:v>1966690.3</x:v>
      </x:c>
      <x:c r="I221" s="90" t="n">
        <x:v>1041921.4</x:v>
      </x:c>
      <x:c r="J221" s="90" t="n">
        <x:v>1088894.64</x:v>
      </x:c>
      <x:c r="K221" s="90" t="n">
        <x:v>26866.9</x:v>
      </x:c>
      <x:c r="L221" s="90" t="n">
        <x:v>775642</x:v>
      </x:c>
      <x:c r="M221" s="90" t="n">
        <x:v>233260.21</x:v>
      </x:c>
      <x:c r="N221" s="90" t="n">
        <x:v>332151.79</x:v>
      </x:c>
      <x:c r="O221" s="90" t="n">
        <x:v>1585172.4</x:v>
      </x:c>
      <x:c r="P221" s="90" t="n">
        <x:v>6997672.3</x:v>
      </x:c>
      <x:c r="Q221" s="90" t="n">
        <x:v>43911.56</x:v>
      </x:c>
      <x:c r="R221" s="90" t="n">
        <x:v>-4.73</x:v>
      </x:c>
      <x:c r="S221" s="90" t="n">
        <x:v>0.58</x:v>
      </x:c>
      <x:c r="T221" s="90" t="n">
        <x:v>0</x:v>
      </x:c>
      <x:c r="U221" s="90">
        <x:v>0</x:v>
      </x:c>
      <x:c r="V221" s="90">
        <x:v>0</x:v>
      </x:c>
      <x:c r="W221" s="90">
        <x:v>0</x:v>
      </x:c>
      <x:c r="X221">
        <x:v>0</x:v>
      </x:c>
      <x:c r="Y221">
        <x:v>0</x:v>
      </x:c>
      <x:c r="Z221" t="n">
        <x:v>0</x:v>
      </x:c>
    </x:row>
    <x:row r="222" spans="2:26" ht="12.75" customHeight="1" x14ac:dyDescent="0.2">
      <x:c r="D222" t="s">
        <x:v>87</x:v>
      </x:c>
      <x:c r="E222" s="89" t="s">
        <x:v>70</x:v>
      </x:c>
      <x:c r="F222" s="90" t="n">
        <x:v>819898010.14</x:v>
      </x:c>
      <x:c r="G222" s="90" t="n">
        <x:v>148231315.58</x:v>
      </x:c>
      <x:c r="H222" s="90" t="n">
        <x:v>83457163.42</x:v>
      </x:c>
      <x:c r="I222" s="90" t="n">
        <x:v>43773779.95</x:v>
      </x:c>
      <x:c r="J222" s="90" t="n">
        <x:v>73839934.41</x:v>
      </x:c>
      <x:c r="K222" s="90" t="n">
        <x:v>1817635.01</x:v>
      </x:c>
      <x:c r="L222" s="90" t="n">
        <x:v>26398642</x:v>
      </x:c>
      <x:c r="M222" s="90" t="n">
        <x:v>15879000.37</x:v>
      </x:c>
      <x:c r="N222" s="90" t="n">
        <x:v>22580177.03</x:v>
      </x:c>
      <x:c r="O222" s="90" t="n">
        <x:v>109352652.09</x:v>
      </x:c>
      <x:c r="P222" s="90" t="n">
        <x:v>291572491.67</x:v>
      </x:c>
      <x:c r="Q222" s="90" t="n">
        <x:v>2996698.23</x:v>
      </x:c>
      <x:c r="R222" s="90" t="n">
        <x:v>-1480.2</x:v>
      </x:c>
      <x:c r="S222" s="90" t="n">
        <x:v>0.58</x:v>
      </x:c>
      <x:c r="T222" s="90" t="n">
        <x:v>0</x:v>
      </x:c>
      <x:c r="U222" s="90">
        <x:v>0</x:v>
      </x:c>
      <x:c r="V222" s="90">
        <x:v>0</x:v>
      </x:c>
      <x:c r="W222" s="90">
        <x:v>0</x:v>
      </x:c>
      <x:c r="X222">
        <x:v>0</x:v>
      </x:c>
      <x:c r="Y222">
        <x:v>0</x:v>
      </x:c>
      <x:c r="Z222" t="n">
        <x:v>0</x:v>
      </x:c>
    </x:row>
    <x:row r="223" spans="2:26" s="94" customFormat="1" ht="12.75" customHeight="1" x14ac:dyDescent="0.2">
      <x:c r="C223" s="94" t="s">
        <x:v>119</x:v>
      </x:c>
      <x:c r="D223" s="94" t="s">
        <x:v>70</x:v>
      </x:c>
      <x:c r="E223" s="101"/>
      <x:c r="F223" s="93" t="n">
        <x:v>1877445558.11</x:v>
      </x:c>
      <x:c r="G223" s="93" t="n">
        <x:v>236069081.59</x:v>
      </x:c>
      <x:c r="H223" s="93" t="n">
        <x:v>132383771.53</x:v>
      </x:c>
      <x:c r="I223" s="93" t="n">
        <x:v>69603166.99</x:v>
      </x:c>
      <x:c r="J223" s="93" t="n">
        <x:v>303187219.95</x:v>
      </x:c>
      <x:c r="K223" s="93" t="n">
        <x:v>7659424.1</x:v>
      </x:c>
      <x:c r="L223" s="93" t="n">
        <x:v>50343822.49</x:v>
      </x:c>
      <x:c r="M223" s="93" t="n">
        <x:v>67121672.11</x:v>
      </x:c>
      <x:c r="N223" s="93" t="n">
        <x:v>92543811.61</x:v>
      </x:c>
      <x:c r="O223" s="93" t="n">
        <x:v>444953990.94</x:v>
      </x:c>
      <x:c r="P223" s="93" t="n">
        <x:v>461002340.43</x:v>
      </x:c>
      <x:c r="Q223" s="93" t="n">
        <x:v>12579531.75</x:v>
      </x:c>
      <x:c r="R223" s="93" t="n">
        <x:v>-2293.28</x:v>
      </x:c>
      <x:c r="S223" s="93" t="n">
        <x:v>18.34</x:v>
      </x:c>
      <x:c r="T223" s="93" t="n">
        <x:v>0.01</x:v>
      </x:c>
      <x:c r="U223" s="93">
        <x:v>0</x:v>
      </x:c>
      <x:c r="V223" s="93">
        <x:v>0</x:v>
      </x:c>
      <x:c r="W223" s="93">
        <x:v>0</x:v>
      </x:c>
      <x:c r="X223" s="94">
        <x:v>0</x:v>
      </x:c>
      <x:c r="Y223" s="94">
        <x:v>0</x:v>
      </x:c>
      <x:c r="Z223" s="94" t="n">
        <x:v>-0.45</x:v>
      </x:c>
    </x:row>
    <x:row r="224" spans="2:26" s="226" customFormat="1" ht="12.75" customHeight="1" x14ac:dyDescent="0.2">
      <x:c r="B224" s="98" t="s">
        <x:v>112</x:v>
      </x:c>
      <x:c r="C224" s="98" t="s">
        <x:v>70</x:v>
      </x:c>
      <x:c r="F224" s="100" t="n">
        <x:v>27831227104.29</x:v>
      </x:c>
      <x:c r="G224" s="100" t="n">
        <x:v>1684916798.85</x:v>
      </x:c>
      <x:c r="H224" s="100" t="n">
        <x:v>933492390.99</x:v>
      </x:c>
      <x:c r="I224" s="100" t="n">
        <x:v>493528507.68</x:v>
      </x:c>
      <x:c r="J224" s="100" t="n">
        <x:v>6821416465.97</x:v>
      </x:c>
      <x:c r="K224" s="100" t="n">
        <x:v>238019464.65</x:v>
      </x:c>
      <x:c r="L224" s="100" t="n">
        <x:v>73927482.56</x:v>
      </x:c>
      <x:c r="M224" s="100" t="n">
        <x:v>2085765788.57</x:v>
      </x:c>
      <x:c r="N224" s="100" t="n">
        <x:v>2071007083.61</x:v>
      </x:c>
      <x:c r="O224" s="100" t="n">
        <x:v>9728621332.43</x:v>
      </x:c>
      <x:c r="P224" s="100" t="n">
        <x:v>3311572956.1</x:v>
      </x:c>
      <x:c r="Q224" s="100" t="n">
        <x:v>388801501.03</x:v>
      </x:c>
      <x:c r="R224" s="100" t="n">
        <x:v>157355.9</x:v>
      </x:c>
      <x:c r="S224" s="100" t="n">
        <x:v>-21.53</x:v>
      </x:c>
      <x:c r="T224" s="100" t="n">
        <x:v>0.47</x:v>
      </x:c>
      <x:c r="U224" s="100">
        <x:v>0</x:v>
      </x:c>
      <x:c r="V224" s="100">
        <x:v>0</x:v>
      </x:c>
      <x:c r="W224" s="100">
        <x:v>0</x:v>
      </x:c>
      <x:c r="X224" s="226">
        <x:v>0</x:v>
      </x:c>
      <x:c r="Y224" s="226">
        <x:v>0</x:v>
      </x:c>
      <x:c r="Z224" s="226" t="n">
        <x:v>-2.99</x:v>
      </x:c>
    </x:row>
    <x:row r="225" spans="1:26" ht="12.75" customHeight="1" x14ac:dyDescent="0.2">
      <x:c r="A225" t="s">
        <x:v>78</x:v>
      </x:c>
      <x:c r="B225" s="89" t="s">
        <x:v>70</x:v>
      </x:c>
      <x:c r="C225" s="89"/>
      <x:c r="F225" s="90" t="n">
        <x:v>27853376585.28</x:v>
      </x:c>
      <x:c r="G225" s="90" t="n">
        <x:v>1686140366.77</x:v>
      </x:c>
      <x:c r="H225" s="90" t="n">
        <x:v>934178787.31</x:v>
      </x:c>
      <x:c r="I225" s="90" t="n">
        <x:v>493896352.97</x:v>
      </x:c>
      <x:c r="J225" s="90" t="n">
        <x:v>6827084080.54</x:v>
      </x:c>
      <x:c r="K225" s="90" t="n">
        <x:v>238169729.58</x:v>
      </x:c>
      <x:c r="L225" s="90" t="n">
        <x:v>73927482.56</x:v>
      </x:c>
      <x:c r="M225" s="90" t="n">
        <x:v>2087076357.04</x:v>
      </x:c>
      <x:c r="N225" s="90" t="n">
        <x:v>2072738577.42</x:v>
      </x:c>
      <x:c r="O225" s="90" t="n">
        <x:v>9736968792.27</x:v>
      </x:c>
      <x:c r="P225" s="90" t="n">
        <x:v>3313992849.35</x:v>
      </x:c>
      <x:c r="Q225" s="90" t="n">
        <x:v>389045982.83</x:v>
      </x:c>
      <x:c r="R225" s="90" t="n">
        <x:v>157250.63</x:v>
      </x:c>
      <x:c r="S225" s="90" t="n">
        <x:v>-21.47</x:v>
      </x:c>
      <x:c r="T225" s="90" t="n">
        <x:v>0.47</x:v>
      </x:c>
      <x:c r="U225" s="90">
        <x:v>0</x:v>
      </x:c>
      <x:c r="V225" s="90">
        <x:v>0</x:v>
      </x:c>
      <x:c r="W225" s="90">
        <x:v>0</x:v>
      </x:c>
      <x:c r="X225">
        <x:v>0</x:v>
      </x:c>
      <x:c r="Y225">
        <x:v>0</x:v>
      </x:c>
      <x:c r="Z225" t="n">
        <x:v>-2.99</x:v>
      </x:c>
    </x:row>
    <x:row r="226" spans="1:26" ht="12.75" customHeight="1" x14ac:dyDescent="0.2">
      <x:c r="B226" s="89"/>
      <x:c r="C226" s="89"/>
      <x:c r="E226" t="s">
        <x:v>73</x:v>
      </x:c>
      <x:c r="F226" s="90" t="n">
        <x:v>-3799555.27</x:v>
      </x:c>
      <x:c r="G226" s="90" t="n">
        <x:v>-107309.72</x:v>
      </x:c>
      <x:c r="H226" s="90" t="n">
        <x:v>-61496.51</x:v>
      </x:c>
      <x:c r="I226" s="90" t="n">
        <x:v>-32530.16</x:v>
      </x:c>
      <x:c r="J226" s="90" t="n">
        <x:v>-1090724.74</x:v>
      </x:c>
      <x:c r="K226" s="90" t="n">
        <x:v>-29853.77</x:v>
      </x:c>
      <x:c r="L226" s="90" t="n">
        <x:v>0</x:v>
      </x:c>
      <x:c r="M226" s="90" t="n">
        <x:v>-261881.36</x:v>
      </x:c>
      <x:c r="N226" s="90" t="n">
        <x:v>-339241.63</x:v>
      </x:c>
      <x:c r="O226" s="90" t="n">
        <x:v>-1623783.79</x:v>
      </x:c>
      <x:c r="P226" s="90" t="n">
        <x:v>-204023.98</x:v>
      </x:c>
      <x:c r="Q226" s="90" t="n">
        <x:v>-48709.61</x:v>
      </x:c>
      <x:c r="R226" s="90" t="n">
        <x:v>0</x:v>
      </x:c>
      <x:c r="S226" s="90" t="n">
        <x:v>0</x:v>
      </x:c>
      <x:c r="T226" s="90" t="n">
        <x:v>0</x:v>
      </x:c>
      <x:c r="U226" s="90">
        <x:v>0</x:v>
      </x:c>
      <x:c r="V226" s="90">
        <x:v>0</x:v>
      </x:c>
      <x:c r="W226" s="90">
        <x:v>0</x:v>
      </x:c>
      <x:c r="X226">
        <x:v>0</x:v>
      </x:c>
      <x:c r="Y226">
        <x:v>0</x:v>
      </x:c>
      <x:c r="Z226" t="n">
        <x:v>0</x:v>
      </x:c>
    </x:row>
    <x:row r="227" spans="1:26" ht="12.75" customHeight="1" x14ac:dyDescent="0.2">
      <x:c r="B227" s="89"/>
      <x:c r="C227" s="89"/>
      <x:c r="D227" t="s">
        <x:v>156</x:v>
      </x:c>
      <x:c r="E227" t="s">
        <x:v>70</x:v>
      </x:c>
      <x:c r="F227" s="90" t="n">
        <x:v>-3799555.27</x:v>
      </x:c>
      <x:c r="G227" s="90" t="n">
        <x:v>-107309.72</x:v>
      </x:c>
      <x:c r="H227" s="90" t="n">
        <x:v>-61496.51</x:v>
      </x:c>
      <x:c r="I227" s="90" t="n">
        <x:v>-32530.16</x:v>
      </x:c>
      <x:c r="J227" s="90" t="n">
        <x:v>-1090724.74</x:v>
      </x:c>
      <x:c r="K227" s="90" t="n">
        <x:v>-29853.77</x:v>
      </x:c>
      <x:c r="L227" s="90" t="n">
        <x:v>0</x:v>
      </x:c>
      <x:c r="M227" s="90" t="n">
        <x:v>-261881.36</x:v>
      </x:c>
      <x:c r="N227" s="90" t="n">
        <x:v>-339241.63</x:v>
      </x:c>
      <x:c r="O227" s="90" t="n">
        <x:v>-1623783.79</x:v>
      </x:c>
      <x:c r="P227" s="90" t="n">
        <x:v>-204023.98</x:v>
      </x:c>
      <x:c r="Q227" s="90" t="n">
        <x:v>-48709.61</x:v>
      </x:c>
      <x:c r="R227" s="90" t="n">
        <x:v>0</x:v>
      </x:c>
      <x:c r="S227" s="90" t="n">
        <x:v>0</x:v>
      </x:c>
      <x:c r="T227" s="90" t="n">
        <x:v>0</x:v>
      </x:c>
      <x:c r="U227" s="90">
        <x:v>0</x:v>
      </x:c>
      <x:c r="V227" s="90">
        <x:v>0</x:v>
      </x:c>
      <x:c r="W227" s="90">
        <x:v>0</x:v>
      </x:c>
      <x:c r="X227">
        <x:v>0</x:v>
      </x:c>
      <x:c r="Y227">
        <x:v>0</x:v>
      </x:c>
      <x:c r="Z227" t="n">
        <x:v>0</x:v>
      </x:c>
    </x:row>
    <x:row r="228" spans="1:26" s="656" customFormat="1" ht="12.75" customHeight="1" x14ac:dyDescent="0.2">
      <x:c r="C228" s="656" t="s">
        <x:v>155</x:v>
      </x:c>
      <x:c r="D228" s="657" t="s">
        <x:v>70</x:v>
      </x:c>
      <x:c r="E228" s="657"/>
      <x:c r="F228" s="658" t="n">
        <x:v>-3799555.27</x:v>
      </x:c>
      <x:c r="G228" s="658" t="n">
        <x:v>-107309.72</x:v>
      </x:c>
      <x:c r="H228" s="658" t="n">
        <x:v>-61496.51</x:v>
      </x:c>
      <x:c r="I228" s="658" t="n">
        <x:v>-32530.16</x:v>
      </x:c>
      <x:c r="J228" s="658" t="n">
        <x:v>-1090724.74</x:v>
      </x:c>
      <x:c r="K228" s="658" t="n">
        <x:v>-29853.77</x:v>
      </x:c>
      <x:c r="L228" s="658" t="n">
        <x:v>0</x:v>
      </x:c>
      <x:c r="M228" s="658" t="n">
        <x:v>-261881.36</x:v>
      </x:c>
      <x:c r="N228" s="658" t="n">
        <x:v>-339241.63</x:v>
      </x:c>
      <x:c r="O228" s="658" t="n">
        <x:v>-1623783.79</x:v>
      </x:c>
      <x:c r="P228" s="658" t="n">
        <x:v>-204023.98</x:v>
      </x:c>
      <x:c r="Q228" s="658" t="n">
        <x:v>-48709.61</x:v>
      </x:c>
      <x:c r="R228" s="658" t="n">
        <x:v>0</x:v>
      </x:c>
      <x:c r="S228" s="658" t="n">
        <x:v>0</x:v>
      </x:c>
      <x:c r="T228" s="658" t="n">
        <x:v>0</x:v>
      </x:c>
      <x:c r="U228" s="658">
        <x:v>0</x:v>
      </x:c>
      <x:c r="V228" s="658">
        <x:v>0</x:v>
      </x:c>
      <x:c r="W228" s="658">
        <x:v>0</x:v>
      </x:c>
      <x:c r="X228" s="656">
        <x:v>0</x:v>
      </x:c>
      <x:c r="Y228" s="656">
        <x:v>0</x:v>
      </x:c>
      <x:c r="Z228" s="656" t="n">
        <x:v>0</x:v>
      </x:c>
    </x:row>
    <x:row r="229" spans="1:26" ht="12.75" customHeight="1" x14ac:dyDescent="0.2">
      <x:c r="E229" s="89" t="s">
        <x:v>73</x:v>
      </x:c>
      <x:c r="F229" s="90">
        <x:v>0</x:v>
      </x:c>
      <x:c r="G229" s="90">
        <x:v>0</x:v>
      </x:c>
      <x:c r="H229" s="90">
        <x:v>0</x:v>
      </x:c>
      <x:c r="I229" s="90">
        <x:v>0</x:v>
      </x:c>
      <x:c r="J229" s="90">
        <x:v>0</x:v>
      </x:c>
      <x:c r="K229" s="90">
        <x:v>0</x:v>
      </x:c>
      <x:c r="L229" s="90">
        <x:v>0</x:v>
      </x:c>
      <x:c r="M229" s="90">
        <x:v>0</x:v>
      </x:c>
      <x:c r="N229" s="90">
        <x:v>0</x:v>
      </x:c>
      <x:c r="O229" s="90">
        <x:v>0</x:v>
      </x:c>
      <x:c r="P229" s="90">
        <x:v>0</x:v>
      </x:c>
      <x:c r="Q229" s="90">
        <x:v>0</x:v>
      </x:c>
      <x:c r="R229" s="90">
        <x:v>0</x:v>
      </x:c>
      <x:c r="S229" s="90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0</x:v>
      </x:c>
      <x:c r="Y229" s="90">
        <x:v>0</x:v>
      </x:c>
      <x:c r="Z229">
        <x:v>0</x:v>
      </x:c>
    </x:row>
    <x:row r="230" spans="1:26" ht="12.75" customHeight="1" x14ac:dyDescent="0.2">
      <x:c r="D230" t="s">
        <x:v>115</x:v>
      </x:c>
      <x:c r="E230" s="89" t="s">
        <x:v>70</x:v>
      </x:c>
      <x:c r="F230" s="371">
        <x:v>0</x:v>
      </x:c>
      <x:c r="G230" s="90">
        <x:v>0</x:v>
      </x:c>
      <x:c r="H230" s="90">
        <x:v>0</x:v>
      </x:c>
      <x:c r="I230" s="90">
        <x:v>0</x:v>
      </x:c>
      <x:c r="J230" s="90">
        <x:v>0</x:v>
      </x:c>
      <x:c r="K230" s="90">
        <x:v>0</x:v>
      </x:c>
      <x:c r="L230" s="90">
        <x:v>0</x:v>
      </x:c>
      <x:c r="M230" s="90">
        <x:v>0</x:v>
      </x:c>
      <x:c r="N230" s="90">
        <x:v>0</x:v>
      </x:c>
      <x:c r="O230" s="90">
        <x:v>0</x:v>
      </x:c>
      <x:c r="P230" s="90">
        <x:v>0</x:v>
      </x:c>
      <x:c r="Q230" s="90">
        <x:v>0</x:v>
      </x:c>
      <x:c r="R230" s="90">
        <x:v>0</x:v>
      </x:c>
      <x:c r="S230" s="9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0</x:v>
      </x:c>
      <x:c r="Y230" s="90">
        <x:v>0</x:v>
      </x:c>
      <x:c r="Z230">
        <x:v>0</x:v>
      </x:c>
    </x:row>
    <x:row r="231" spans="1:26" ht="12.75" customHeight="1" x14ac:dyDescent="0.2">
      <x:c r="E231" s="89" t="s">
        <x:v>73</x:v>
      </x:c>
      <x:c r="F231" s="371">
        <x:v>0</x:v>
      </x:c>
      <x:c r="G231" s="90">
        <x:v>0</x:v>
      </x:c>
      <x:c r="H231" s="90">
        <x:v>0</x:v>
      </x:c>
      <x:c r="I231" s="90">
        <x:v>0</x:v>
      </x:c>
      <x:c r="J231" s="90">
        <x:v>0</x:v>
      </x:c>
      <x:c r="K231" s="90">
        <x:v>0</x:v>
      </x:c>
      <x:c r="L231" s="90">
        <x:v>0</x:v>
      </x:c>
      <x:c r="M231" s="90">
        <x:v>0</x:v>
      </x:c>
      <x:c r="N231" s="90">
        <x:v>0</x:v>
      </x:c>
      <x:c r="O231" s="90">
        <x:v>0</x:v>
      </x:c>
      <x:c r="P231" s="90">
        <x:v>0</x:v>
      </x:c>
      <x:c r="Q231" s="90">
        <x:v>0</x:v>
      </x:c>
      <x:c r="R231" s="90">
        <x:v>0</x:v>
      </x:c>
      <x:c r="S231" s="90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0</x:v>
      </x:c>
      <x:c r="Y231" s="90">
        <x:v>0</x:v>
      </x:c>
      <x:c r="Z231">
        <x:v>0</x:v>
      </x:c>
    </x:row>
    <x:row r="232" spans="1:26" ht="12.75" customHeight="1" x14ac:dyDescent="0.2">
      <x:c r="D232" s="772">
        <x:v>2</x:v>
      </x:c>
      <x:c r="E232" s="89" t="s">
        <x:v>70</x:v>
      </x:c>
      <x:c r="F232" s="371">
        <x:v>0</x:v>
      </x:c>
      <x:c r="G232" s="90">
        <x:v>0</x:v>
      </x:c>
      <x:c r="H232" s="90">
        <x:v>0</x:v>
      </x:c>
      <x:c r="I232" s="90">
        <x:v>0</x:v>
      </x:c>
      <x:c r="J232" s="90">
        <x:v>0</x:v>
      </x:c>
      <x:c r="K232" s="90">
        <x:v>0</x:v>
      </x:c>
      <x:c r="L232" s="90">
        <x:v>0</x:v>
      </x:c>
      <x:c r="M232" s="90">
        <x:v>0</x:v>
      </x:c>
      <x:c r="N232" s="90">
        <x:v>0</x:v>
      </x:c>
      <x:c r="O232" s="90">
        <x:v>0</x:v>
      </x:c>
      <x:c r="P232" s="90">
        <x:v>0</x:v>
      </x:c>
      <x:c r="Q232" s="90">
        <x:v>0</x:v>
      </x:c>
      <x:c r="R232" s="90">
        <x:v>0</x:v>
      </x:c>
      <x:c r="S232" s="90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0</x:v>
      </x:c>
      <x:c r="Y232" s="90">
        <x:v>0</x:v>
      </x:c>
      <x:c r="Z232">
        <x:v>0</x:v>
      </x:c>
    </x:row>
    <x:row r="233" spans="1:26" ht="12.75" customHeight="1" x14ac:dyDescent="0.2">
      <x:c r="E233" s="89" t="s">
        <x:v>73</x:v>
      </x:c>
      <x:c r="F233" s="371">
        <x:v>0</x:v>
      </x:c>
      <x:c r="G233" s="90">
        <x:v>0</x:v>
      </x:c>
      <x:c r="H233" s="90">
        <x:v>0</x:v>
      </x:c>
      <x:c r="I233" s="90">
        <x:v>0</x:v>
      </x:c>
      <x:c r="J233" s="90">
        <x:v>0</x:v>
      </x:c>
      <x:c r="K233" s="90">
        <x:v>0</x:v>
      </x:c>
      <x:c r="L233" s="90">
        <x:v>0</x:v>
      </x:c>
      <x:c r="M233" s="90">
        <x:v>0</x:v>
      </x:c>
      <x:c r="N233" s="90">
        <x:v>0</x:v>
      </x:c>
      <x:c r="O233" s="90">
        <x:v>0</x:v>
      </x:c>
      <x:c r="P233" s="90">
        <x:v>0</x:v>
      </x:c>
      <x:c r="Q233" s="90">
        <x:v>0</x:v>
      </x:c>
      <x:c r="R233" s="90">
        <x:v>0</x:v>
      </x:c>
      <x:c r="S233" s="90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0</x:v>
      </x:c>
      <x:c r="Y233" s="90">
        <x:v>0</x:v>
      </x:c>
      <x:c r="Z233">
        <x:v>0</x:v>
      </x:c>
    </x:row>
    <x:row r="234" spans="1:26" ht="12.75" customHeight="1" x14ac:dyDescent="0.2">
      <x:c r="D234" s="772">
        <x:v>3</x:v>
      </x:c>
      <x:c r="E234" s="89" t="s">
        <x:v>70</x:v>
      </x:c>
      <x:c r="F234" s="371">
        <x:v>0</x:v>
      </x:c>
      <x:c r="G234" s="90">
        <x:v>0</x:v>
      </x:c>
      <x:c r="H234" s="90">
        <x:v>0</x:v>
      </x:c>
      <x:c r="I234" s="90">
        <x:v>0</x:v>
      </x:c>
      <x:c r="J234" s="90">
        <x:v>0</x:v>
      </x:c>
      <x:c r="K234" s="90">
        <x:v>0</x:v>
      </x:c>
      <x:c r="L234" s="90">
        <x:v>0</x:v>
      </x:c>
      <x:c r="M234" s="90">
        <x:v>0</x:v>
      </x:c>
      <x:c r="N234" s="90">
        <x:v>0</x:v>
      </x:c>
      <x:c r="O234" s="90">
        <x:v>0</x:v>
      </x:c>
      <x:c r="P234" s="90">
        <x:v>0</x:v>
      </x:c>
      <x:c r="Q234" s="90">
        <x:v>0</x:v>
      </x:c>
      <x:c r="R234" s="90">
        <x:v>0</x:v>
      </x:c>
      <x:c r="S234" s="90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0</x:v>
      </x:c>
      <x:c r="Y234" s="90">
        <x:v>0</x:v>
      </x:c>
      <x:c r="Z234">
        <x:v>0</x:v>
      </x:c>
    </x:row>
    <x:row r="235" spans="1:26" ht="12.75" customHeight="1" x14ac:dyDescent="0.2">
      <x:c r="D235" s="772"/>
      <x:c r="E235" s="89" t="s">
        <x:v>73</x:v>
      </x:c>
      <x:c r="F235" s="90">
        <x:v>0</x:v>
      </x:c>
      <x:c r="G235" s="90">
        <x:v>0</x:v>
      </x:c>
      <x:c r="H235" s="90">
        <x:v>0</x:v>
      </x:c>
      <x:c r="I235" s="90">
        <x:v>0</x:v>
      </x:c>
      <x:c r="J235" s="90">
        <x:v>0</x:v>
      </x:c>
      <x:c r="K235" s="90">
        <x:v>0</x:v>
      </x:c>
      <x:c r="L235" s="90">
        <x:v>0</x:v>
      </x:c>
      <x:c r="M235" s="90">
        <x:v>0</x:v>
      </x:c>
      <x:c r="N235" s="90">
        <x:v>0</x:v>
      </x:c>
      <x:c r="O235" s="90">
        <x:v>0</x:v>
      </x:c>
      <x:c r="P235" s="90">
        <x:v>0</x:v>
      </x:c>
      <x:c r="Q235" s="90">
        <x:v>0</x:v>
      </x:c>
      <x:c r="R235" s="90">
        <x:v>0</x:v>
      </x:c>
      <x:c r="S235" s="90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0</x:v>
      </x:c>
      <x:c r="Y235" s="90">
        <x:v>0</x:v>
      </x:c>
      <x:c r="Z235">
        <x:v>0</x:v>
      </x:c>
    </x:row>
    <x:row r="236" spans="1:26" ht="12.75" customHeight="1" x14ac:dyDescent="0.2">
      <x:c r="D236" s="772">
        <x:v>4</x:v>
      </x:c>
      <x:c r="E236" s="89" t="s">
        <x:v>70</x:v>
      </x:c>
      <x:c r="F236" s="371">
        <x:v>0</x:v>
      </x:c>
      <x:c r="G236" s="90">
        <x:v>0</x:v>
      </x:c>
      <x:c r="H236" s="90">
        <x:v>0</x:v>
      </x:c>
      <x:c r="I236" s="90">
        <x:v>0</x:v>
      </x:c>
      <x:c r="J236" s="90">
        <x:v>0</x:v>
      </x:c>
      <x:c r="K236" s="90">
        <x:v>0</x:v>
      </x:c>
      <x:c r="L236" s="90">
        <x:v>0</x:v>
      </x:c>
      <x:c r="M236" s="90">
        <x:v>0</x:v>
      </x:c>
      <x:c r="N236" s="90">
        <x:v>0</x:v>
      </x:c>
      <x:c r="O236" s="90">
        <x:v>0</x:v>
      </x:c>
      <x:c r="P236" s="90">
        <x:v>0</x:v>
      </x:c>
      <x:c r="Q236" s="90">
        <x:v>0</x:v>
      </x:c>
      <x:c r="R236" s="90">
        <x:v>0</x:v>
      </x:c>
      <x:c r="S236" s="90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0</x:v>
      </x:c>
      <x:c r="Y236" s="90">
        <x:v>0</x:v>
      </x:c>
      <x:c r="Z236">
        <x:v>0</x:v>
      </x:c>
    </x:row>
    <x:row r="237" spans="1:26" ht="12.75" customHeight="1" x14ac:dyDescent="0.2">
      <x:c r="D237" s="772"/>
      <x:c r="E237" s="89" t="s">
        <x:v>73</x:v>
      </x:c>
      <x:c r="F237" s="371">
        <x:v>0</x:v>
      </x:c>
      <x:c r="G237" s="90">
        <x:v>0</x:v>
      </x:c>
      <x:c r="H237" s="90">
        <x:v>0</x:v>
      </x:c>
      <x:c r="I237" s="90">
        <x:v>0</x:v>
      </x:c>
      <x:c r="J237" s="90">
        <x:v>0</x:v>
      </x:c>
      <x:c r="K237" s="90">
        <x:v>0</x:v>
      </x:c>
      <x:c r="L237" s="90">
        <x:v>0</x:v>
      </x:c>
      <x:c r="M237" s="90">
        <x:v>0</x:v>
      </x:c>
      <x:c r="N237" s="90">
        <x:v>0</x:v>
      </x:c>
      <x:c r="O237" s="90">
        <x:v>0</x:v>
      </x:c>
      <x:c r="P237" s="90">
        <x:v>0</x:v>
      </x:c>
      <x:c r="Q237" s="90">
        <x:v>0</x:v>
      </x:c>
      <x:c r="R237" s="90">
        <x:v>0</x:v>
      </x:c>
      <x:c r="S237" s="90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0</x:v>
      </x:c>
      <x:c r="Y237" s="90">
        <x:v>0</x:v>
      </x:c>
      <x:c r="Z237">
        <x:v>0</x:v>
      </x:c>
    </x:row>
    <x:row r="238" spans="1:26" ht="12.75" customHeight="1" x14ac:dyDescent="0.2">
      <x:c r="D238" s="772" t="s">
        <x:v>118</x:v>
      </x:c>
      <x:c r="E238" s="89" t="s">
        <x:v>70</x:v>
      </x:c>
      <x:c r="F238" s="371">
        <x:v>0</x:v>
      </x:c>
      <x:c r="G238" s="90">
        <x:v>0</x:v>
      </x:c>
      <x:c r="H238" s="90">
        <x:v>0</x:v>
      </x:c>
      <x:c r="I238" s="90">
        <x:v>0</x:v>
      </x:c>
      <x:c r="J238" s="90">
        <x:v>0</x:v>
      </x:c>
      <x:c r="K238" s="90">
        <x:v>0</x:v>
      </x:c>
      <x:c r="L238" s="90">
        <x:v>0</x:v>
      </x:c>
      <x:c r="M238" s="90">
        <x:v>0</x:v>
      </x:c>
      <x:c r="N238" s="90">
        <x:v>0</x:v>
      </x:c>
      <x:c r="O238" s="90">
        <x:v>0</x:v>
      </x:c>
      <x:c r="P238" s="90">
        <x:v>0</x:v>
      </x:c>
      <x:c r="Q238" s="90">
        <x:v>0</x:v>
      </x:c>
      <x:c r="R238" s="90">
        <x:v>0</x:v>
      </x:c>
      <x:c r="S238" s="90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0</x:v>
      </x:c>
      <x:c r="Y238" s="90">
        <x:v>0</x:v>
      </x:c>
      <x:c r="Z238">
        <x:v>0</x:v>
      </x:c>
    </x:row>
    <x:row r="239" spans="1:26" ht="12.75" customHeight="1" x14ac:dyDescent="0.2">
      <x:c r="D239" s="772"/>
      <x:c r="E239" s="89" t="s">
        <x:v>73</x:v>
      </x:c>
      <x:c r="F239" s="371">
        <x:v>0</x:v>
      </x:c>
      <x:c r="G239" s="90">
        <x:v>0</x:v>
      </x:c>
      <x:c r="H239" s="90">
        <x:v>0</x:v>
      </x:c>
      <x:c r="I239" s="90">
        <x:v>0</x:v>
      </x:c>
      <x:c r="J239" s="90">
        <x:v>0</x:v>
      </x:c>
      <x:c r="K239" s="90">
        <x:v>0</x:v>
      </x:c>
      <x:c r="L239" s="90">
        <x:v>0</x:v>
      </x:c>
      <x:c r="M239" s="90">
        <x:v>0</x:v>
      </x:c>
      <x:c r="N239" s="90">
        <x:v>0</x:v>
      </x:c>
      <x:c r="O239" s="90">
        <x:v>0</x:v>
      </x:c>
      <x:c r="P239" s="90">
        <x:v>0</x:v>
      </x:c>
      <x:c r="Q239" s="90">
        <x:v>0</x:v>
      </x:c>
      <x:c r="R239" s="90">
        <x:v>0</x:v>
      </x:c>
      <x:c r="S239" s="90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0</x:v>
      </x:c>
      <x:c r="Y239" s="90">
        <x:v>0</x:v>
      </x:c>
      <x:c r="Z239">
        <x:v>0</x:v>
      </x:c>
    </x:row>
    <x:row r="240" spans="1:26" ht="12.75" customHeight="1" x14ac:dyDescent="0.2">
      <x:c r="D240" s="772">
        <x:v>6</x:v>
      </x:c>
      <x:c r="E240" s="89" t="s">
        <x:v>70</x:v>
      </x:c>
      <x:c r="F240" s="371">
        <x:v>0</x:v>
      </x:c>
      <x:c r="G240" s="90">
        <x:v>0</x:v>
      </x:c>
      <x:c r="H240" s="90">
        <x:v>0</x:v>
      </x:c>
      <x:c r="I240" s="90">
        <x:v>0</x:v>
      </x:c>
      <x:c r="J240" s="90">
        <x:v>0</x:v>
      </x:c>
      <x:c r="K240" s="90">
        <x:v>0</x:v>
      </x:c>
      <x:c r="L240" s="90">
        <x:v>0</x:v>
      </x:c>
      <x:c r="M240" s="90">
        <x:v>0</x:v>
      </x:c>
      <x:c r="N240" s="90">
        <x:v>0</x:v>
      </x:c>
      <x:c r="O240" s="90">
        <x:v>0</x:v>
      </x:c>
      <x:c r="P240" s="90">
        <x:v>0</x:v>
      </x:c>
      <x:c r="Q240" s="90">
        <x:v>0</x:v>
      </x:c>
      <x:c r="R240" s="90">
        <x:v>0</x:v>
      </x:c>
      <x:c r="S240" s="9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0</x:v>
      </x:c>
      <x:c r="Y240" s="90">
        <x:v>0</x:v>
      </x:c>
      <x:c r="Z240">
        <x:v>0</x:v>
      </x:c>
    </x:row>
    <x:row r="241" spans="2:26" ht="12.75" customHeight="1" x14ac:dyDescent="0.2">
      <x:c r="E241" s="89" t="s">
        <x:v>73</x:v>
      </x:c>
      <x:c r="F241" s="371">
        <x:v>0</x:v>
      </x:c>
      <x:c r="G241" s="90">
        <x:v>0</x:v>
      </x:c>
      <x:c r="H241" s="90">
        <x:v>0</x:v>
      </x:c>
      <x:c r="I241" s="90">
        <x:v>0</x:v>
      </x:c>
      <x:c r="J241" s="90">
        <x:v>0</x:v>
      </x:c>
      <x:c r="K241" s="90">
        <x:v>0</x:v>
      </x:c>
      <x:c r="L241" s="90">
        <x:v>0</x:v>
      </x:c>
      <x:c r="M241" s="90">
        <x:v>0</x:v>
      </x:c>
      <x:c r="N241" s="90">
        <x:v>0</x:v>
      </x:c>
      <x:c r="O241" s="90">
        <x:v>0</x:v>
      </x:c>
      <x:c r="P241" s="90">
        <x:v>0</x:v>
      </x:c>
      <x:c r="Q241" s="90">
        <x:v>0</x:v>
      </x:c>
      <x:c r="R241" s="90">
        <x:v>0</x:v>
      </x:c>
      <x:c r="S241" s="90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 s="90">
        <x:v>0</x:v>
      </x:c>
      <x:c r="Z241">
        <x:v>0</x:v>
      </x:c>
    </x:row>
    <x:row r="242" spans="2:26" ht="12.75" customHeight="1" x14ac:dyDescent="0.2">
      <x:c r="D242" s="772">
        <x:v>9</x:v>
      </x:c>
      <x:c r="E242" s="89" t="s">
        <x:v>70</x:v>
      </x:c>
      <x:c r="F242" s="371">
        <x:v>0</x:v>
      </x:c>
      <x:c r="G242" s="90">
        <x:v>0</x:v>
      </x:c>
      <x:c r="H242" s="90">
        <x:v>0</x:v>
      </x:c>
      <x:c r="I242" s="90">
        <x:v>0</x:v>
      </x:c>
      <x:c r="J242" s="90">
        <x:v>0</x:v>
      </x:c>
      <x:c r="K242" s="90">
        <x:v>0</x:v>
      </x:c>
      <x:c r="L242" s="90">
        <x:v>0</x:v>
      </x:c>
      <x:c r="M242" s="90">
        <x:v>0</x:v>
      </x:c>
      <x:c r="N242" s="90">
        <x:v>0</x:v>
      </x:c>
      <x:c r="O242" s="90">
        <x:v>0</x:v>
      </x:c>
      <x:c r="P242" s="90">
        <x:v>0</x:v>
      </x:c>
      <x:c r="Q242" s="90">
        <x:v>0</x:v>
      </x:c>
      <x:c r="R242" s="90">
        <x:v>0</x:v>
      </x:c>
      <x:c r="S242" s="90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0</x:v>
      </x:c>
      <x:c r="Y242" s="90">
        <x:v>0</x:v>
      </x:c>
      <x:c r="Z242">
        <x:v>0</x:v>
      </x:c>
    </x:row>
    <x:row r="243" spans="2:26" s="224" customFormat="1" ht="12.75" customHeight="1" x14ac:dyDescent="0.2">
      <x:c r="C243" s="223" t="s">
        <x:v>120</x:v>
      </x:c>
      <x:c r="D243" s="223" t="s">
        <x:v>70</x:v>
      </x:c>
      <x:c r="F243" s="225">
        <x:v>0</x:v>
      </x:c>
      <x:c r="G243" s="225">
        <x:v>0</x:v>
      </x:c>
      <x:c r="H243" s="225">
        <x:v>0</x:v>
      </x:c>
      <x:c r="I243" s="225">
        <x:v>0</x:v>
      </x:c>
      <x:c r="J243" s="225">
        <x:v>0</x:v>
      </x:c>
      <x:c r="K243" s="225">
        <x:v>0</x:v>
      </x:c>
      <x:c r="L243" s="225">
        <x:v>0</x:v>
      </x:c>
      <x:c r="M243" s="225">
        <x:v>0</x:v>
      </x:c>
      <x:c r="N243" s="225">
        <x:v>0</x:v>
      </x:c>
      <x:c r="O243" s="225">
        <x:v>0</x:v>
      </x:c>
      <x:c r="P243" s="225">
        <x:v>0</x:v>
      </x:c>
      <x:c r="Q243" s="225">
        <x:v>0</x:v>
      </x:c>
      <x:c r="R243" s="225">
        <x:v>0</x:v>
      </x:c>
      <x:c r="S243" s="225">
        <x:v>0</x:v>
      </x:c>
      <x:c r="T243" s="224">
        <x:v>0</x:v>
      </x:c>
      <x:c r="U243" s="224">
        <x:v>0</x:v>
      </x:c>
      <x:c r="V243" s="224">
        <x:v>0</x:v>
      </x:c>
      <x:c r="W243" s="224">
        <x:v>0</x:v>
      </x:c>
      <x:c r="X243" s="224">
        <x:v>0</x:v>
      </x:c>
      <x:c r="Y243" s="225">
        <x:v>0</x:v>
      </x:c>
      <x:c r="Z243" s="224">
        <x:v>0</x:v>
      </x:c>
    </x:row>
    <x:row r="244" spans="2:26" ht="12.75" customHeight="1" x14ac:dyDescent="0.2">
      <x:c r="D244" s="89"/>
      <x:c r="E244" s="89" t="s">
        <x:v>73</x:v>
      </x:c>
      <x:c r="F244" s="371" t="n">
        <x:v>-116867.43</x:v>
      </x:c>
      <x:c r="G244" s="90" t="n">
        <x:v>-5847.47</x:v>
      </x:c>
      <x:c r="H244" s="90" t="n">
        <x:v>-3288.84</x:v>
      </x:c>
      <x:c r="I244" s="90" t="n">
        <x:v>-1735.82</x:v>
      </x:c>
      <x:c r="J244" s="90" t="n">
        <x:v>-30275.48</x:v>
      </x:c>
      <x:c r="K244" s="90" t="n">
        <x:v>-1051.12</x:v>
      </x:c>
      <x:c r="L244" s="90" t="n">
        <x:v>0</x:v>
      </x:c>
      <x:c r="M244" s="90" t="n">
        <x:v>-9219.98</x:v>
      </x:c>
      <x:c r="N244" s="90" t="n">
        <x:v>-9165.23</x:v>
      </x:c>
      <x:c r="O244" s="90" t="n">
        <x:v>-42936.39</x:v>
      </x:c>
      <x:c r="P244" s="90" t="n">
        <x:v>-11632.19</x:v>
      </x:c>
      <x:c r="Q244" s="90" t="n">
        <x:v>-1714.91</x:v>
      </x:c>
      <x:c r="R244" s="90" t="n">
        <x:v>0</x:v>
      </x:c>
      <x:c r="S244" s="90" t="n">
        <x:v>0</x:v>
      </x:c>
      <x:c r="T244" s="90" t="n">
        <x:v>0</x:v>
      </x:c>
      <x:c r="U244" s="90">
        <x:v>0</x:v>
      </x:c>
      <x:c r="V244" s="90">
        <x:v>0</x:v>
      </x:c>
      <x:c r="W244" s="90">
        <x:v>0</x:v>
      </x:c>
      <x:c r="X244">
        <x:v>0</x:v>
      </x:c>
      <x:c r="Y244">
        <x:v>0</x:v>
      </x:c>
      <x:c r="Z244" t="n">
        <x:v>0</x:v>
      </x:c>
    </x:row>
    <x:row r="245" spans="2:26" ht="12.75" customHeight="1" x14ac:dyDescent="0.2">
      <x:c r="D245" s="89" t="s">
        <x:v>82</x:v>
      </x:c>
      <x:c r="E245" s="89" t="s">
        <x:v>70</x:v>
      </x:c>
      <x:c r="F245" s="371" t="n">
        <x:v>-116867.43</x:v>
      </x:c>
      <x:c r="G245" s="90" t="n">
        <x:v>-5847.47</x:v>
      </x:c>
      <x:c r="H245" s="90" t="n">
        <x:v>-3288.84</x:v>
      </x:c>
      <x:c r="I245" s="90" t="n">
        <x:v>-1735.82</x:v>
      </x:c>
      <x:c r="J245" s="90" t="n">
        <x:v>-30275.48</x:v>
      </x:c>
      <x:c r="K245" s="90" t="n">
        <x:v>-1051.12</x:v>
      </x:c>
      <x:c r="L245" s="90" t="n">
        <x:v>0</x:v>
      </x:c>
      <x:c r="M245" s="90" t="n">
        <x:v>-9219.98</x:v>
      </x:c>
      <x:c r="N245" s="90" t="n">
        <x:v>-9165.23</x:v>
      </x:c>
      <x:c r="O245" s="90" t="n">
        <x:v>-42936.39</x:v>
      </x:c>
      <x:c r="P245" s="90" t="n">
        <x:v>-11632.19</x:v>
      </x:c>
      <x:c r="Q245" s="90" t="n">
        <x:v>-1714.91</x:v>
      </x:c>
      <x:c r="R245" s="90" t="n">
        <x:v>0</x:v>
      </x:c>
      <x:c r="S245" s="90" t="n">
        <x:v>0</x:v>
      </x:c>
      <x:c r="T245" s="90" t="n">
        <x:v>0</x:v>
      </x:c>
      <x:c r="U245" s="90">
        <x:v>0</x:v>
      </x:c>
      <x:c r="V245" s="90">
        <x:v>0</x:v>
      </x:c>
      <x:c r="W245" s="90">
        <x:v>0</x:v>
      </x:c>
      <x:c r="X245">
        <x:v>0</x:v>
      </x:c>
      <x:c r="Y245">
        <x:v>0</x:v>
      </x:c>
      <x:c r="Z245" t="n">
        <x:v>0</x:v>
      </x:c>
    </x:row>
    <x:row r="246" spans="2:26" ht="12.75" customHeight="1" x14ac:dyDescent="0.2">
      <x:c r="D246" s="89"/>
      <x:c r="E246" s="89" t="s">
        <x:v>73</x:v>
      </x:c>
      <x:c r="F246" s="371" t="n">
        <x:v>-218890.29</x:v>
      </x:c>
      <x:c r="G246" s="90" t="n">
        <x:v>-10407.36</x:v>
      </x:c>
      <x:c r="H246" s="90" t="n">
        <x:v>-5905.96</x:v>
      </x:c>
      <x:c r="I246" s="90" t="n">
        <x:v>-3077.68</x:v>
      </x:c>
      <x:c r="J246" s="90" t="n">
        <x:v>-58603.93</x:v>
      </x:c>
      <x:c r="K246" s="90" t="n">
        <x:v>-1465.63</x:v>
      </x:c>
      <x:c r="L246" s="90" t="n">
        <x:v>0</x:v>
      </x:c>
      <x:c r="M246" s="90" t="n">
        <x:v>-12856.5</x:v>
      </x:c>
      <x:c r="N246" s="90" t="n">
        <x:v>-18280.25</x:v>
      </x:c>
      <x:c r="O246" s="90" t="n">
        <x:v>-85978.29</x:v>
      </x:c>
      <x:c r="P246" s="90" t="n">
        <x:v>-19923.36</x:v>
      </x:c>
      <x:c r="Q246" s="90" t="n">
        <x:v>-2391.33</x:v>
      </x:c>
      <x:c r="R246" s="90" t="n">
        <x:v>0</x:v>
      </x:c>
      <x:c r="S246" s="90" t="n">
        <x:v>0</x:v>
      </x:c>
      <x:c r="T246" s="90" t="n">
        <x:v>0</x:v>
      </x:c>
      <x:c r="U246" s="90">
        <x:v>0</x:v>
      </x:c>
      <x:c r="V246" s="90">
        <x:v>0</x:v>
      </x:c>
      <x:c r="W246" s="90">
        <x:v>0</x:v>
      </x:c>
      <x:c r="X246">
        <x:v>0</x:v>
      </x:c>
      <x:c r="Y246">
        <x:v>0</x:v>
      </x:c>
      <x:c r="Z246" t="n">
        <x:v>0</x:v>
      </x:c>
    </x:row>
    <x:row r="247" spans="2:26" ht="12.75" customHeight="1" x14ac:dyDescent="0.2">
      <x:c r="D247" s="89" t="s">
        <x:v>86</x:v>
      </x:c>
      <x:c r="E247" s="89" t="s">
        <x:v>70</x:v>
      </x:c>
      <x:c r="F247" s="371" t="n">
        <x:v>-218890.29</x:v>
      </x:c>
      <x:c r="G247" s="90" t="n">
        <x:v>-10407.36</x:v>
      </x:c>
      <x:c r="H247" s="90" t="n">
        <x:v>-5905.96</x:v>
      </x:c>
      <x:c r="I247" s="90" t="n">
        <x:v>-3077.68</x:v>
      </x:c>
      <x:c r="J247" s="90" t="n">
        <x:v>-58603.93</x:v>
      </x:c>
      <x:c r="K247" s="90" t="n">
        <x:v>-1465.63</x:v>
      </x:c>
      <x:c r="L247" s="90" t="n">
        <x:v>0</x:v>
      </x:c>
      <x:c r="M247" s="90" t="n">
        <x:v>-12856.5</x:v>
      </x:c>
      <x:c r="N247" s="90" t="n">
        <x:v>-18280.25</x:v>
      </x:c>
      <x:c r="O247" s="90" t="n">
        <x:v>-85978.29</x:v>
      </x:c>
      <x:c r="P247" s="90" t="n">
        <x:v>-19923.36</x:v>
      </x:c>
      <x:c r="Q247" s="90" t="n">
        <x:v>-2391.33</x:v>
      </x:c>
      <x:c r="R247" s="90" t="n">
        <x:v>0</x:v>
      </x:c>
      <x:c r="S247" s="90" t="n">
        <x:v>0</x:v>
      </x:c>
      <x:c r="T247" s="90" t="n">
        <x:v>0</x:v>
      </x:c>
      <x:c r="U247" s="90">
        <x:v>0</x:v>
      </x:c>
      <x:c r="V247" s="90">
        <x:v>0</x:v>
      </x:c>
      <x:c r="W247" s="90">
        <x:v>0</x:v>
      </x:c>
      <x:c r="X247">
        <x:v>0</x:v>
      </x:c>
      <x:c r="Y247">
        <x:v>0</x:v>
      </x:c>
      <x:c r="Z247" t="n">
        <x:v>0</x:v>
      </x:c>
    </x:row>
    <x:row r="248" spans="2:26" x14ac:dyDescent="0.2">
      <x:c r="E248" t="s">
        <x:v>73</x:v>
      </x:c>
      <x:c r="F248" s="90">
        <x:v>0</x:v>
      </x:c>
      <x:c r="G248" s="90">
        <x:v>0</x:v>
      </x:c>
      <x:c r="H248" s="90">
        <x:v>0</x:v>
      </x:c>
      <x:c r="I248" s="90">
        <x:v>0</x:v>
      </x:c>
      <x:c r="J248" s="90">
        <x:v>0</x:v>
      </x:c>
      <x:c r="K248" s="90">
        <x:v>0</x:v>
      </x:c>
      <x:c r="L248" s="90">
        <x:v>0</x:v>
      </x:c>
      <x:c r="M248" s="90">
        <x:v>0</x:v>
      </x:c>
      <x:c r="N248" s="90">
        <x:v>0</x:v>
      </x:c>
      <x:c r="O248" s="90">
        <x:v>0</x:v>
      </x:c>
      <x:c r="P248" s="90">
        <x:v>0</x:v>
      </x:c>
      <x:c r="Q248" s="90">
        <x:v>0</x:v>
      </x:c>
      <x:c r="R248" s="90">
        <x:v>0</x:v>
      </x:c>
      <x:c r="S248" s="90">
        <x:v>0</x:v>
      </x:c>
      <x:c r="T248" s="90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 s="90">
        <x:v>0</x:v>
      </x:c>
    </x:row>
    <x:row r="249" spans="2:26" x14ac:dyDescent="0.2">
      <x:c r="D249" t="s">
        <x:v>87</x:v>
      </x:c>
      <x:c r="E249" t="s">
        <x:v>70</x:v>
      </x:c>
      <x:c r="F249" s="90">
        <x:v>0</x:v>
      </x:c>
      <x:c r="G249" s="90">
        <x:v>0</x:v>
      </x:c>
      <x:c r="H249" s="90">
        <x:v>0</x:v>
      </x:c>
      <x:c r="I249" s="90">
        <x:v>0</x:v>
      </x:c>
      <x:c r="J249" s="90">
        <x:v>0</x:v>
      </x:c>
      <x:c r="K249" s="90">
        <x:v>0</x:v>
      </x:c>
      <x:c r="L249" s="90">
        <x:v>0</x:v>
      </x:c>
      <x:c r="M249" s="90">
        <x:v>0</x:v>
      </x:c>
      <x:c r="N249" s="90">
        <x:v>0</x:v>
      </x:c>
      <x:c r="O249" s="90">
        <x:v>0</x:v>
      </x:c>
      <x:c r="P249" s="90">
        <x:v>0</x:v>
      </x:c>
      <x:c r="Q249" s="90">
        <x:v>0</x:v>
      </x:c>
      <x:c r="R249" s="90">
        <x:v>0</x:v>
      </x:c>
      <x:c r="S249" s="90">
        <x:v>0</x:v>
      </x:c>
      <x:c r="T249" s="90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 s="90">
        <x:v>0</x:v>
      </x:c>
    </x:row>
    <x:row r="250" spans="2:26" s="94" customFormat="1" ht="12.75" customHeight="1" x14ac:dyDescent="0.2">
      <x:c r="C250" s="94" t="s">
        <x:v>119</x:v>
      </x:c>
      <x:c r="D250" s="94" t="s">
        <x:v>70</x:v>
      </x:c>
      <x:c r="E250" s="101"/>
      <x:c r="F250" s="93" t="n">
        <x:v>-335757.72</x:v>
      </x:c>
      <x:c r="G250" s="93" t="n">
        <x:v>-16254.83</x:v>
      </x:c>
      <x:c r="H250" s="93" t="n">
        <x:v>-9194.8</x:v>
      </x:c>
      <x:c r="I250" s="93" t="n">
        <x:v>-4813.5</x:v>
      </x:c>
      <x:c r="J250" s="93" t="n">
        <x:v>-88879.41</x:v>
      </x:c>
      <x:c r="K250" s="93" t="n">
        <x:v>-2516.75</x:v>
      </x:c>
      <x:c r="L250" s="93" t="n">
        <x:v>0</x:v>
      </x:c>
      <x:c r="M250" s="93" t="n">
        <x:v>-22076.48</x:v>
      </x:c>
      <x:c r="N250" s="93" t="n">
        <x:v>-27445.48</x:v>
      </x:c>
      <x:c r="O250" s="93" t="n">
        <x:v>-128914.68</x:v>
      </x:c>
      <x:c r="P250" s="93" t="n">
        <x:v>-31555.55</x:v>
      </x:c>
      <x:c r="Q250" s="93" t="n">
        <x:v>-4106.24</x:v>
      </x:c>
      <x:c r="R250" s="93" t="n">
        <x:v>0</x:v>
      </x:c>
      <x:c r="S250" s="93" t="n">
        <x:v>0</x:v>
      </x:c>
      <x:c r="T250" s="93" t="n">
        <x:v>0</x:v>
      </x:c>
      <x:c r="U250" s="93">
        <x:v>0</x:v>
      </x:c>
      <x:c r="V250" s="93">
        <x:v>0</x:v>
      </x:c>
      <x:c r="W250" s="93">
        <x:v>0</x:v>
      </x:c>
      <x:c r="X250" s="94">
        <x:v>0</x:v>
      </x:c>
      <x:c r="Y250" s="94">
        <x:v>0</x:v>
      </x:c>
      <x:c r="Z250" s="94" t="n">
        <x:v>0</x:v>
      </x:c>
    </x:row>
    <x:row r="251" spans="2:26" s="378" customFormat="1" ht="12.75" customHeight="1" x14ac:dyDescent="0.2">
      <x:c r="B251" s="378" t="s">
        <x:v>122</x:v>
      </x:c>
      <x:c r="C251" s="378" t="s">
        <x:v>70</x:v>
      </x:c>
      <x:c r="E251" s="376"/>
      <x:c r="F251" s="710" t="n">
        <x:v>-4135312.99</x:v>
      </x:c>
      <x:c r="G251" s="377" t="n">
        <x:v>-123564.55</x:v>
      </x:c>
      <x:c r="H251" s="377" t="n">
        <x:v>-70691.31</x:v>
      </x:c>
      <x:c r="I251" s="377" t="n">
        <x:v>-37343.66</x:v>
      </x:c>
      <x:c r="J251" s="377" t="n">
        <x:v>-1179604.15</x:v>
      </x:c>
      <x:c r="K251" s="377" t="n">
        <x:v>-32370.52</x:v>
      </x:c>
      <x:c r="L251" s="377" t="n">
        <x:v>0</x:v>
      </x:c>
      <x:c r="M251" s="377" t="n">
        <x:v>-283957.84</x:v>
      </x:c>
      <x:c r="N251" s="377" t="n">
        <x:v>-366687.11</x:v>
      </x:c>
      <x:c r="O251" s="377" t="n">
        <x:v>-1752698.47</x:v>
      </x:c>
      <x:c r="P251" s="377" t="n">
        <x:v>-235579.53</x:v>
      </x:c>
      <x:c r="Q251" s="377" t="n">
        <x:v>-52815.85</x:v>
      </x:c>
      <x:c r="R251" s="377" t="n">
        <x:v>0</x:v>
      </x:c>
      <x:c r="S251" s="377" t="n">
        <x:v>0</x:v>
      </x:c>
      <x:c r="T251" s="377" t="n">
        <x:v>0</x:v>
      </x:c>
      <x:c r="U251" s="377">
        <x:v>0</x:v>
      </x:c>
      <x:c r="V251" s="377">
        <x:v>0</x:v>
      </x:c>
      <x:c r="W251" s="377">
        <x:v>0</x:v>
      </x:c>
      <x:c r="X251" s="378">
        <x:v>0</x:v>
      </x:c>
      <x:c r="Y251" s="378">
        <x:v>0</x:v>
      </x:c>
      <x:c r="Z251" s="378" t="n">
        <x:v>0</x:v>
      </x:c>
    </x:row>
    <x:row r="252" spans="2:26" ht="12.75" customHeight="1" x14ac:dyDescent="0.2">
      <x:c r="E252" s="89" t="s">
        <x:v>73</x:v>
      </x:c>
      <x:c r="F252" s="90" t="n">
        <x:v>-5743743719.64</x:v>
      </x:c>
      <x:c r="G252" s="90" t="n">
        <x:v>-138696529.16</x:v>
      </x:c>
      <x:c r="H252" s="90" t="n">
        <x:v>-76042310.69</x:v>
      </x:c>
      <x:c r="I252" s="90" t="n">
        <x:v>-40347142.43</x:v>
      </x:c>
      <x:c r="J252" s="90" t="n">
        <x:v>-1669973422.72</x:v>
      </x:c>
      <x:c r="K252" s="90" t="n">
        <x:v>-58878907.94</x:v>
      </x:c>
      <x:c r="L252" s="90" t="n">
        <x:v>0</x:v>
      </x:c>
      <x:c r="M252" s="90" t="n">
        <x:v>-516563215.82</x:v>
      </x:c>
      <x:c r="N252" s="90" t="n">
        <x:v>-507335576.2</x:v>
      </x:c>
      <x:c r="O252" s="90" t="n">
        <x:v>-2372148551.27</x:v>
      </x:c>
      <x:c r="P252" s="90" t="n">
        <x:v>-267700453.02</x:v>
      </x:c>
      <x:c r="Q252" s="90" t="n">
        <x:v>-96057610.39</x:v>
      </x:c>
      <x:c r="R252" s="90" t="n">
        <x:v>0</x:v>
      </x:c>
      <x:c r="S252" s="90" t="n">
        <x:v>0</x:v>
      </x:c>
      <x:c r="T252" s="90" t="n">
        <x:v>0</x:v>
      </x:c>
      <x:c r="U252" s="90">
        <x:v>0</x:v>
      </x:c>
      <x:c r="V252" s="90">
        <x:v>0</x:v>
      </x:c>
      <x:c r="W252" s="90">
        <x:v>0</x:v>
      </x:c>
      <x:c r="X252">
        <x:v>0</x:v>
      </x:c>
      <x:c r="Y252">
        <x:v>0</x:v>
      </x:c>
      <x:c r="Z252" t="n">
        <x:v>0</x:v>
      </x:c>
    </x:row>
    <x:row r="253" spans="2:26" ht="12.75" customHeight="1" x14ac:dyDescent="0.2">
      <x:c r="D253" s="89" t="s">
        <x:v>156</x:v>
      </x:c>
      <x:c r="E253" s="89" t="s">
        <x:v>70</x:v>
      </x:c>
      <x:c r="F253" s="90" t="n">
        <x:v>-5743743719.64</x:v>
      </x:c>
      <x:c r="G253" s="90" t="n">
        <x:v>-138696529.16</x:v>
      </x:c>
      <x:c r="H253" s="90" t="n">
        <x:v>-76042310.69</x:v>
      </x:c>
      <x:c r="I253" s="90" t="n">
        <x:v>-40347142.43</x:v>
      </x:c>
      <x:c r="J253" s="90" t="n">
        <x:v>-1669973422.72</x:v>
      </x:c>
      <x:c r="K253" s="90" t="n">
        <x:v>-58878907.94</x:v>
      </x:c>
      <x:c r="L253" s="90" t="n">
        <x:v>0</x:v>
      </x:c>
      <x:c r="M253" s="90" t="n">
        <x:v>-516563215.82</x:v>
      </x:c>
      <x:c r="N253" s="90" t="n">
        <x:v>-507335576.2</x:v>
      </x:c>
      <x:c r="O253" s="90" t="n">
        <x:v>-2372148551.27</x:v>
      </x:c>
      <x:c r="P253" s="90" t="n">
        <x:v>-267700453.02</x:v>
      </x:c>
      <x:c r="Q253" s="90" t="n">
        <x:v>-96057610.39</x:v>
      </x:c>
      <x:c r="R253" s="90" t="n">
        <x:v>0</x:v>
      </x:c>
      <x:c r="S253" s="90" t="n">
        <x:v>0</x:v>
      </x:c>
      <x:c r="T253" s="90" t="n">
        <x:v>0</x:v>
      </x:c>
      <x:c r="U253" s="90">
        <x:v>0</x:v>
      </x:c>
      <x:c r="V253" s="90">
        <x:v>0</x:v>
      </x:c>
      <x:c r="W253" s="90">
        <x:v>0</x:v>
      </x:c>
      <x:c r="X253">
        <x:v>0</x:v>
      </x:c>
      <x:c r="Y253">
        <x:v>0</x:v>
      </x:c>
      <x:c r="Z253" t="n">
        <x:v>0</x:v>
      </x:c>
    </x:row>
    <x:row r="254" spans="2:26" s="656" customFormat="1" ht="12.75" customHeight="1" x14ac:dyDescent="0.2">
      <x:c r="C254" s="656" t="s">
        <x:v>155</x:v>
      </x:c>
      <x:c r="D254" s="657" t="s">
        <x:v>70</x:v>
      </x:c>
      <x:c r="E254" s="657"/>
      <x:c r="F254" s="738" t="n">
        <x:v>-5743743719.64</x:v>
      </x:c>
      <x:c r="G254" s="658" t="n">
        <x:v>-138696529.16</x:v>
      </x:c>
      <x:c r="H254" s="658" t="n">
        <x:v>-76042310.69</x:v>
      </x:c>
      <x:c r="I254" s="658" t="n">
        <x:v>-40347142.43</x:v>
      </x:c>
      <x:c r="J254" s="658" t="n">
        <x:v>-1669973422.72</x:v>
      </x:c>
      <x:c r="K254" s="658" t="n">
        <x:v>-58878907.94</x:v>
      </x:c>
      <x:c r="L254" s="658" t="n">
        <x:v>0</x:v>
      </x:c>
      <x:c r="M254" s="658" t="n">
        <x:v>-516563215.82</x:v>
      </x:c>
      <x:c r="N254" s="658" t="n">
        <x:v>-507335576.2</x:v>
      </x:c>
      <x:c r="O254" s="658" t="n">
        <x:v>-2372148551.27</x:v>
      </x:c>
      <x:c r="P254" s="658" t="n">
        <x:v>-267700453.02</x:v>
      </x:c>
      <x:c r="Q254" s="658" t="n">
        <x:v>-96057610.39</x:v>
      </x:c>
      <x:c r="R254" s="658" t="n">
        <x:v>0</x:v>
      </x:c>
      <x:c r="S254" s="658" t="n">
        <x:v>0</x:v>
      </x:c>
      <x:c r="T254" s="658" t="n">
        <x:v>0</x:v>
      </x:c>
      <x:c r="U254" s="658">
        <x:v>0</x:v>
      </x:c>
      <x:c r="V254" s="658">
        <x:v>0</x:v>
      </x:c>
      <x:c r="W254" s="658">
        <x:v>0</x:v>
      </x:c>
      <x:c r="X254" s="656">
        <x:v>0</x:v>
      </x:c>
      <x:c r="Y254" s="656">
        <x:v>0</x:v>
      </x:c>
      <x:c r="Z254" s="656" t="n">
        <x:v>0</x:v>
      </x:c>
    </x:row>
    <x:row r="255" spans="2:26" ht="12.75" customHeight="1" x14ac:dyDescent="0.2">
      <x:c r="D255" s="89"/>
      <x:c r="E255" s="89" t="s">
        <x:v>73</x:v>
      </x:c>
      <x:c r="F255" s="371" t="n">
        <x:v>-5664.31</x:v>
      </x:c>
      <x:c r="G255" s="90" t="n">
        <x:v>-156.89</x:v>
      </x:c>
      <x:c r="H255" s="90" t="n">
        <x:v>-87.79</x:v>
      </x:c>
      <x:c r="I255" s="90" t="n">
        <x:v>-46.47</x:v>
      </x:c>
      <x:c r="J255" s="90" t="n">
        <x:v>-1676.61</x:v>
      </x:c>
      <x:c r="K255" s="90" t="n">
        <x:v>-56.2</x:v>
      </x:c>
      <x:c r="L255" s="90" t="n">
        <x:v>0</x:v>
      </x:c>
      <x:c r="M255" s="90" t="n">
        <x:v>-492.96</x:v>
      </x:c>
      <x:c r="N255" s="90" t="n">
        <x:v>-480.83</x:v>
      </x:c>
      <x:c r="O255" s="90" t="n">
        <x:v>-2263.38</x:v>
      </x:c>
      <x:c r="P255" s="90" t="n">
        <x:v>-311.49</x:v>
      </x:c>
      <x:c r="Q255" s="90" t="n">
        <x:v>-91.69</x:v>
      </x:c>
      <x:c r="R255" s="90" t="n">
        <x:v>0</x:v>
      </x:c>
      <x:c r="S255" s="90" t="n">
        <x:v>0</x:v>
      </x:c>
      <x:c r="T255" s="90" t="n">
        <x:v>0</x:v>
      </x:c>
      <x:c r="U255" s="90">
        <x:v>0</x:v>
      </x:c>
      <x:c r="V255" s="90">
        <x:v>0</x:v>
      </x:c>
      <x:c r="W255" s="90">
        <x:v>0</x:v>
      </x:c>
      <x:c r="X255">
        <x:v>0</x:v>
      </x:c>
      <x:c r="Y255">
        <x:v>0</x:v>
      </x:c>
      <x:c r="Z255" t="n">
        <x:v>0</x:v>
      </x:c>
    </x:row>
    <x:row r="256" spans="2:26" ht="12.75" customHeight="1" x14ac:dyDescent="0.2">
      <x:c r="D256" s="89" t="s">
        <x:v>115</x:v>
      </x:c>
      <x:c r="E256" s="89" t="s">
        <x:v>70</x:v>
      </x:c>
      <x:c r="F256" s="371" t="n">
        <x:v>-5664.31</x:v>
      </x:c>
      <x:c r="G256" s="90" t="n">
        <x:v>-156.89</x:v>
      </x:c>
      <x:c r="H256" s="90" t="n">
        <x:v>-87.79</x:v>
      </x:c>
      <x:c r="I256" s="90" t="n">
        <x:v>-46.47</x:v>
      </x:c>
      <x:c r="J256" s="90" t="n">
        <x:v>-1676.61</x:v>
      </x:c>
      <x:c r="K256" s="90" t="n">
        <x:v>-56.2</x:v>
      </x:c>
      <x:c r="L256" s="90" t="n">
        <x:v>0</x:v>
      </x:c>
      <x:c r="M256" s="90" t="n">
        <x:v>-492.96</x:v>
      </x:c>
      <x:c r="N256" s="90" t="n">
        <x:v>-480.83</x:v>
      </x:c>
      <x:c r="O256" s="90" t="n">
        <x:v>-2263.38</x:v>
      </x:c>
      <x:c r="P256" s="90" t="n">
        <x:v>-311.49</x:v>
      </x:c>
      <x:c r="Q256" s="90" t="n">
        <x:v>-91.69</x:v>
      </x:c>
      <x:c r="R256" s="90" t="n">
        <x:v>0</x:v>
      </x:c>
      <x:c r="S256" s="90" t="n">
        <x:v>0</x:v>
      </x:c>
      <x:c r="T256" s="90" t="n">
        <x:v>0</x:v>
      </x:c>
      <x:c r="U256" s="90">
        <x:v>0</x:v>
      </x:c>
      <x:c r="V256" s="90">
        <x:v>0</x:v>
      </x:c>
      <x:c r="W256" s="90">
        <x:v>0</x:v>
      </x:c>
      <x:c r="X256">
        <x:v>0</x:v>
      </x:c>
      <x:c r="Y256">
        <x:v>0</x:v>
      </x:c>
      <x:c r="Z256" t="n">
        <x:v>0</x:v>
      </x:c>
    </x:row>
    <x:row r="257" spans="3:26" ht="12.75" customHeight="1" x14ac:dyDescent="0.2">
      <x:c r="D257" s="89"/>
      <x:c r="E257" s="89" t="s">
        <x:v>73</x:v>
      </x:c>
      <x:c r="F257" s="371" t="n">
        <x:v>4197.92</x:v>
      </x:c>
      <x:c r="G257" s="90" t="n">
        <x:v>405.95</x:v>
      </x:c>
      <x:c r="H257" s="90" t="n">
        <x:v>226.19</x:v>
      </x:c>
      <x:c r="I257" s="90" t="n">
        <x:v>120.29</x:v>
      </x:c>
      <x:c r="J257" s="90" t="n">
        <x:v>861</x:v>
      </x:c>
      <x:c r="K257" s="90" t="n">
        <x:v>29.51</x:v>
      </x:c>
      <x:c r="L257" s="90" t="n">
        <x:v>0</x:v>
      </x:c>
      <x:c r="M257" s="90" t="n">
        <x:v>258.9</x:v>
      </x:c>
      <x:c r="N257" s="90" t="n">
        <x:v>253.24</x:v>
      </x:c>
      <x:c r="O257" s="90" t="n">
        <x:v>1188.7</x:v>
      </x:c>
      <x:c r="P257" s="90" t="n">
        <x:v>805.98</x:v>
      </x:c>
      <x:c r="Q257" s="90" t="n">
        <x:v>48.16</x:v>
      </x:c>
      <x:c r="R257" s="90" t="n">
        <x:v>0</x:v>
      </x:c>
      <x:c r="S257" s="90" t="n">
        <x:v>0</x:v>
      </x:c>
      <x:c r="T257" s="90" t="n">
        <x:v>0</x:v>
      </x:c>
      <x:c r="U257" s="90">
        <x:v>0</x:v>
      </x:c>
      <x:c r="V257" s="90">
        <x:v>0</x:v>
      </x:c>
      <x:c r="W257" s="90">
        <x:v>0</x:v>
      </x:c>
      <x:c r="X257">
        <x:v>0</x:v>
      </x:c>
      <x:c r="Y257">
        <x:v>0</x:v>
      </x:c>
      <x:c r="Z257" t="n">
        <x:v>0</x:v>
      </x:c>
    </x:row>
    <x:row r="258" spans="3:26" ht="12.75" customHeight="1" x14ac:dyDescent="0.2">
      <x:c r="D258" s="89" t="s">
        <x:v>116</x:v>
      </x:c>
      <x:c r="E258" s="89" t="s">
        <x:v>70</x:v>
      </x:c>
      <x:c r="F258" s="371" t="n">
        <x:v>4197.92</x:v>
      </x:c>
      <x:c r="G258" s="90" t="n">
        <x:v>405.95</x:v>
      </x:c>
      <x:c r="H258" s="90" t="n">
        <x:v>226.19</x:v>
      </x:c>
      <x:c r="I258" s="90" t="n">
        <x:v>120.29</x:v>
      </x:c>
      <x:c r="J258" s="90" t="n">
        <x:v>861</x:v>
      </x:c>
      <x:c r="K258" s="90" t="n">
        <x:v>29.51</x:v>
      </x:c>
      <x:c r="L258" s="90" t="n">
        <x:v>0</x:v>
      </x:c>
      <x:c r="M258" s="90" t="n">
        <x:v>258.9</x:v>
      </x:c>
      <x:c r="N258" s="90" t="n">
        <x:v>253.24</x:v>
      </x:c>
      <x:c r="O258" s="90" t="n">
        <x:v>1188.7</x:v>
      </x:c>
      <x:c r="P258" s="90" t="n">
        <x:v>805.98</x:v>
      </x:c>
      <x:c r="Q258" s="90" t="n">
        <x:v>48.16</x:v>
      </x:c>
      <x:c r="R258" s="90" t="n">
        <x:v>0</x:v>
      </x:c>
      <x:c r="S258" s="90" t="n">
        <x:v>0</x:v>
      </x:c>
      <x:c r="T258" s="90" t="n">
        <x:v>0</x:v>
      </x:c>
      <x:c r="U258" s="90">
        <x:v>0</x:v>
      </x:c>
      <x:c r="V258" s="90">
        <x:v>0</x:v>
      </x:c>
      <x:c r="W258" s="90">
        <x:v>0</x:v>
      </x:c>
      <x:c r="X258">
        <x:v>0</x:v>
      </x:c>
      <x:c r="Y258">
        <x:v>0</x:v>
      </x:c>
      <x:c r="Z258" t="n">
        <x:v>0</x:v>
      </x:c>
    </x:row>
    <x:row r="259" spans="3:26" ht="12.75" customHeight="1" x14ac:dyDescent="0.2">
      <x:c r="D259" s="89"/>
      <x:c r="E259" s="89" t="s">
        <x:v>73</x:v>
      </x:c>
      <x:c r="F259" s="371">
        <x:v>0</x:v>
      </x:c>
      <x:c r="G259" s="90">
        <x:v>0</x:v>
      </x:c>
      <x:c r="H259" s="90">
        <x:v>0</x:v>
      </x:c>
      <x:c r="I259" s="90">
        <x:v>0</x:v>
      </x:c>
      <x:c r="J259" s="90">
        <x:v>0</x:v>
      </x:c>
      <x:c r="K259" s="90">
        <x:v>0</x:v>
      </x:c>
      <x:c r="L259" s="90">
        <x:v>0</x:v>
      </x:c>
      <x:c r="M259" s="90">
        <x:v>0</x:v>
      </x:c>
      <x:c r="N259" s="90">
        <x:v>0</x:v>
      </x:c>
      <x:c r="O259" s="90">
        <x:v>0</x:v>
      </x:c>
      <x:c r="P259" s="90">
        <x:v>0</x:v>
      </x:c>
      <x:c r="Q259" s="90">
        <x:v>0</x:v>
      </x:c>
      <x:c r="R259" s="90">
        <x:v>0</x:v>
      </x:c>
      <x:c r="S259" s="90">
        <x:v>0</x:v>
      </x:c>
      <x:c r="T259" s="90">
        <x:v>0</x:v>
      </x:c>
      <x:c r="U259" s="90">
        <x:v>0</x:v>
      </x:c>
      <x:c r="V259" s="90">
        <x:v>0</x:v>
      </x:c>
      <x:c r="W259" s="90">
        <x:v>0</x:v>
      </x:c>
      <x:c r="X259">
        <x:v>0</x:v>
      </x:c>
      <x:c r="Y259">
        <x:v>0</x:v>
      </x:c>
      <x:c r="Z259">
        <x:v>0</x:v>
      </x:c>
    </x:row>
    <x:row r="260" spans="3:26" ht="12.75" customHeight="1" x14ac:dyDescent="0.2">
      <x:c r="D260" s="773">
        <x:v>3</x:v>
      </x:c>
      <x:c r="E260" s="89" t="s">
        <x:v>70</x:v>
      </x:c>
      <x:c r="F260" s="371">
        <x:v>0</x:v>
      </x:c>
      <x:c r="G260" s="90">
        <x:v>0</x:v>
      </x:c>
      <x:c r="H260" s="90">
        <x:v>0</x:v>
      </x:c>
      <x:c r="I260" s="90">
        <x:v>0</x:v>
      </x:c>
      <x:c r="J260" s="90">
        <x:v>0</x:v>
      </x:c>
      <x:c r="K260" s="90">
        <x:v>0</x:v>
      </x:c>
      <x:c r="L260" s="90">
        <x:v>0</x:v>
      </x:c>
      <x:c r="M260" s="90">
        <x:v>0</x:v>
      </x:c>
      <x:c r="N260" s="90">
        <x:v>0</x:v>
      </x:c>
      <x:c r="O260" s="90">
        <x:v>0</x:v>
      </x:c>
      <x:c r="P260" s="90">
        <x:v>0</x:v>
      </x:c>
      <x:c r="Q260" s="90">
        <x:v>0</x:v>
      </x:c>
      <x:c r="R260" s="90">
        <x:v>0</x:v>
      </x:c>
      <x:c r="S260" s="90">
        <x:v>0</x:v>
      </x:c>
      <x:c r="T260" s="90">
        <x:v>0</x:v>
      </x:c>
      <x:c r="U260" s="90">
        <x:v>0</x:v>
      </x:c>
      <x:c r="V260" s="90">
        <x:v>0</x:v>
      </x:c>
      <x:c r="W260" s="90">
        <x:v>0</x:v>
      </x:c>
      <x:c r="X260">
        <x:v>0</x:v>
      </x:c>
      <x:c r="Y260">
        <x:v>0</x:v>
      </x:c>
      <x:c r="Z260">
        <x:v>0</x:v>
      </x:c>
    </x:row>
    <x:row r="261" spans="3:26" ht="12.75" customHeight="1" x14ac:dyDescent="0.2">
      <x:c r="D261" s="89"/>
      <x:c r="E261" s="89" t="s">
        <x:v>73</x:v>
      </x:c>
      <x:c r="F261" s="371">
        <x:v>0</x:v>
      </x:c>
      <x:c r="G261" s="90">
        <x:v>0</x:v>
      </x:c>
      <x:c r="H261" s="90">
        <x:v>0</x:v>
      </x:c>
      <x:c r="I261" s="90">
        <x:v>0</x:v>
      </x:c>
      <x:c r="J261" s="90">
        <x:v>0</x:v>
      </x:c>
      <x:c r="K261" s="90">
        <x:v>0</x:v>
      </x:c>
      <x:c r="L261" s="90">
        <x:v>0</x:v>
      </x:c>
      <x:c r="M261" s="90">
        <x:v>0</x:v>
      </x:c>
      <x:c r="N261" s="90">
        <x:v>0</x:v>
      </x:c>
      <x:c r="O261" s="90">
        <x:v>0</x:v>
      </x:c>
      <x:c r="P261" s="90">
        <x:v>0</x:v>
      </x:c>
      <x:c r="Q261" s="90">
        <x:v>0</x:v>
      </x:c>
      <x:c r="R261" s="90">
        <x:v>0</x:v>
      </x:c>
      <x:c r="S261" s="90">
        <x:v>0</x:v>
      </x:c>
      <x:c r="T261" s="90">
        <x:v>0</x:v>
      </x:c>
      <x:c r="U261" s="90">
        <x:v>0</x:v>
      </x:c>
      <x:c r="V261" s="90">
        <x:v>0</x:v>
      </x:c>
      <x:c r="W261" s="90">
        <x:v>0</x:v>
      </x:c>
      <x:c r="X261">
        <x:v>0</x:v>
      </x:c>
      <x:c r="Y261">
        <x:v>0</x:v>
      </x:c>
      <x:c r="Z261">
        <x:v>0</x:v>
      </x:c>
    </x:row>
    <x:row r="262" spans="3:26" ht="12.75" customHeight="1" x14ac:dyDescent="0.2">
      <x:c r="D262" s="773">
        <x:v>4</x:v>
      </x:c>
      <x:c r="E262" s="89" t="s">
        <x:v>70</x:v>
      </x:c>
      <x:c r="F262" s="371">
        <x:v>0</x:v>
      </x:c>
      <x:c r="G262" s="90">
        <x:v>0</x:v>
      </x:c>
      <x:c r="H262" s="90">
        <x:v>0</x:v>
      </x:c>
      <x:c r="I262" s="90">
        <x:v>0</x:v>
      </x:c>
      <x:c r="J262" s="90">
        <x:v>0</x:v>
      </x:c>
      <x:c r="K262" s="90">
        <x:v>0</x:v>
      </x:c>
      <x:c r="L262" s="90">
        <x:v>0</x:v>
      </x:c>
      <x:c r="M262" s="90">
        <x:v>0</x:v>
      </x:c>
      <x:c r="N262" s="90">
        <x:v>0</x:v>
      </x:c>
      <x:c r="O262" s="90">
        <x:v>0</x:v>
      </x:c>
      <x:c r="P262" s="90">
        <x:v>0</x:v>
      </x:c>
      <x:c r="Q262" s="90">
        <x:v>0</x:v>
      </x:c>
      <x:c r="R262" s="90">
        <x:v>0</x:v>
      </x:c>
      <x:c r="S262" s="90">
        <x:v>0</x:v>
      </x:c>
      <x:c r="T262" s="90">
        <x:v>0</x:v>
      </x:c>
      <x:c r="U262" s="90">
        <x:v>0</x:v>
      </x:c>
      <x:c r="V262" s="90">
        <x:v>0</x:v>
      </x:c>
      <x:c r="W262" s="90">
        <x:v>0</x:v>
      </x:c>
      <x:c r="X262">
        <x:v>0</x:v>
      </x:c>
      <x:c r="Y262">
        <x:v>0</x:v>
      </x:c>
      <x:c r="Z262">
        <x:v>0</x:v>
      </x:c>
    </x:row>
    <x:row r="263" spans="3:26" ht="12.75" customHeight="1" x14ac:dyDescent="0.2">
      <x:c r="D263" s="89"/>
      <x:c r="E263" s="89" t="s">
        <x:v>73</x:v>
      </x:c>
      <x:c r="F263" s="371" t="n">
        <x:v>-943629.1</x:v>
      </x:c>
      <x:c r="G263" s="90" t="n">
        <x:v>-42097.2</x:v>
      </x:c>
      <x:c r="H263" s="90" t="n">
        <x:v>-23514.68</x:v>
      </x:c>
      <x:c r="I263" s="90" t="n">
        <x:v>-12483.97</x:v>
      </x:c>
      <x:c r="J263" s="90" t="n">
        <x:v>-251540.97</x:v>
      </x:c>
      <x:c r="K263" s="90" t="n">
        <x:v>-8666.96</x:v>
      </x:c>
      <x:c r="L263" s="90" t="n">
        <x:v>0</x:v>
      </x:c>
      <x:c r="M263" s="90" t="n">
        <x:v>-76025.59</x:v>
      </x:c>
      <x:c r="N263" s="90" t="n">
        <x:v>-75704.53</x:v>
      </x:c>
      <x:c r="O263" s="90" t="n">
        <x:v>-357359.55</x:v>
      </x:c>
      <x:c r="P263" s="90" t="n">
        <x:v>-82094.86</x:v>
      </x:c>
      <x:c r="Q263" s="90" t="n">
        <x:v>-14140.79</x:v>
      </x:c>
      <x:c r="R263" s="90" t="n">
        <x:v>0</x:v>
      </x:c>
      <x:c r="S263" s="90" t="n">
        <x:v>0</x:v>
      </x:c>
      <x:c r="T263" s="90" t="n">
        <x:v>0</x:v>
      </x:c>
      <x:c r="U263" s="90">
        <x:v>0</x:v>
      </x:c>
      <x:c r="V263" s="90">
        <x:v>0</x:v>
      </x:c>
      <x:c r="W263" s="90">
        <x:v>0</x:v>
      </x:c>
      <x:c r="X263">
        <x:v>0</x:v>
      </x:c>
      <x:c r="Y263">
        <x:v>0</x:v>
      </x:c>
      <x:c r="Z263" t="n">
        <x:v>0</x:v>
      </x:c>
    </x:row>
    <x:row r="264" spans="3:26" ht="12.75" customHeight="1" x14ac:dyDescent="0.2">
      <x:c r="D264" s="89" t="s">
        <x:v>118</x:v>
      </x:c>
      <x:c r="E264" s="89" t="s">
        <x:v>70</x:v>
      </x:c>
      <x:c r="F264" s="371" t="n">
        <x:v>-943629.1</x:v>
      </x:c>
      <x:c r="G264" s="90" t="n">
        <x:v>-42097.2</x:v>
      </x:c>
      <x:c r="H264" s="90" t="n">
        <x:v>-23514.68</x:v>
      </x:c>
      <x:c r="I264" s="90" t="n">
        <x:v>-12483.97</x:v>
      </x:c>
      <x:c r="J264" s="90" t="n">
        <x:v>-251540.97</x:v>
      </x:c>
      <x:c r="K264" s="90" t="n">
        <x:v>-8666.96</x:v>
      </x:c>
      <x:c r="L264" s="90" t="n">
        <x:v>0</x:v>
      </x:c>
      <x:c r="M264" s="90" t="n">
        <x:v>-76025.59</x:v>
      </x:c>
      <x:c r="N264" s="90" t="n">
        <x:v>-75704.53</x:v>
      </x:c>
      <x:c r="O264" s="90" t="n">
        <x:v>-357359.55</x:v>
      </x:c>
      <x:c r="P264" s="90" t="n">
        <x:v>-82094.86</x:v>
      </x:c>
      <x:c r="Q264" s="90" t="n">
        <x:v>-14140.79</x:v>
      </x:c>
      <x:c r="R264" s="90" t="n">
        <x:v>0</x:v>
      </x:c>
      <x:c r="S264" s="90" t="n">
        <x:v>0</x:v>
      </x:c>
      <x:c r="T264" s="90" t="n">
        <x:v>0</x:v>
      </x:c>
      <x:c r="U264" s="90">
        <x:v>0</x:v>
      </x:c>
      <x:c r="V264" s="90">
        <x:v>0</x:v>
      </x:c>
      <x:c r="W264" s="90">
        <x:v>0</x:v>
      </x:c>
      <x:c r="X264">
        <x:v>0</x:v>
      </x:c>
      <x:c r="Y264">
        <x:v>0</x:v>
      </x:c>
      <x:c r="Z264" t="n">
        <x:v>0</x:v>
      </x:c>
    </x:row>
    <x:row r="265" spans="3:26" ht="12.75" customHeight="1" x14ac:dyDescent="0.2">
      <x:c r="D265" s="89"/>
      <x:c r="E265" s="89" t="s">
        <x:v>73</x:v>
      </x:c>
      <x:c r="F265" s="371">
        <x:v>0</x:v>
      </x:c>
      <x:c r="G265" s="90">
        <x:v>0</x:v>
      </x:c>
      <x:c r="H265" s="90">
        <x:v>0</x:v>
      </x:c>
      <x:c r="I265" s="90">
        <x:v>0</x:v>
      </x:c>
      <x:c r="J265" s="90">
        <x:v>0</x:v>
      </x:c>
      <x:c r="K265" s="90">
        <x:v>0</x:v>
      </x:c>
      <x:c r="L265" s="90">
        <x:v>0</x:v>
      </x:c>
      <x:c r="M265" s="90">
        <x:v>0</x:v>
      </x:c>
      <x:c r="N265" s="90">
        <x:v>0</x:v>
      </x:c>
      <x:c r="O265" s="90">
        <x:v>0</x:v>
      </x:c>
      <x:c r="P265" s="90">
        <x:v>0</x:v>
      </x:c>
      <x:c r="Q265" s="90">
        <x:v>0</x:v>
      </x:c>
      <x:c r="R265" s="90">
        <x:v>0</x:v>
      </x:c>
      <x:c r="S265" s="90">
        <x:v>0</x:v>
      </x:c>
      <x:c r="T265" s="90">
        <x:v>0</x:v>
      </x:c>
      <x:c r="U265" s="90">
        <x:v>0</x:v>
      </x:c>
      <x:c r="V265" s="90">
        <x:v>0</x:v>
      </x:c>
      <x:c r="W265" s="90">
        <x:v>0</x:v>
      </x:c>
      <x:c r="X265">
        <x:v>0</x:v>
      </x:c>
      <x:c r="Y265">
        <x:v>0</x:v>
      </x:c>
      <x:c r="Z265">
        <x:v>0</x:v>
      </x:c>
    </x:row>
    <x:row r="266" spans="3:26" ht="12.75" customHeight="1" x14ac:dyDescent="0.2">
      <x:c r="D266" s="773">
        <x:v>6</x:v>
      </x:c>
      <x:c r="E266" s="89" t="s">
        <x:v>70</x:v>
      </x:c>
      <x:c r="F266" s="371">
        <x:v>0</x:v>
      </x:c>
      <x:c r="G266" s="90">
        <x:v>0</x:v>
      </x:c>
      <x:c r="H266" s="90">
        <x:v>0</x:v>
      </x:c>
      <x:c r="I266" s="90">
        <x:v>0</x:v>
      </x:c>
      <x:c r="J266" s="90">
        <x:v>0</x:v>
      </x:c>
      <x:c r="K266" s="90">
        <x:v>0</x:v>
      </x:c>
      <x:c r="L266" s="90">
        <x:v>0</x:v>
      </x:c>
      <x:c r="M266" s="90">
        <x:v>0</x:v>
      </x:c>
      <x:c r="N266" s="90">
        <x:v>0</x:v>
      </x:c>
      <x:c r="O266" s="90">
        <x:v>0</x:v>
      </x:c>
      <x:c r="P266" s="90">
        <x:v>0</x:v>
      </x:c>
      <x:c r="Q266" s="90">
        <x:v>0</x:v>
      </x:c>
      <x:c r="R266" s="90">
        <x:v>0</x:v>
      </x:c>
      <x:c r="S266" s="90">
        <x:v>0</x:v>
      </x:c>
      <x:c r="T266" s="90">
        <x:v>0</x:v>
      </x:c>
      <x:c r="U266" s="90">
        <x:v>0</x:v>
      </x:c>
      <x:c r="V266" s="90">
        <x:v>0</x:v>
      </x:c>
      <x:c r="W266" s="90">
        <x:v>0</x:v>
      </x:c>
      <x:c r="X266">
        <x:v>0</x:v>
      </x:c>
      <x:c r="Y266">
        <x:v>0</x:v>
      </x:c>
      <x:c r="Z266">
        <x:v>0</x:v>
      </x:c>
    </x:row>
    <x:row r="267" spans="3:26" ht="12.75" customHeight="1" x14ac:dyDescent="0.2">
      <x:c r="D267" s="89"/>
      <x:c r="E267" s="89" t="s">
        <x:v>73</x:v>
      </x:c>
      <x:c r="F267" s="371">
        <x:v>0</x:v>
      </x:c>
      <x:c r="G267" s="90">
        <x:v>0</x:v>
      </x:c>
      <x:c r="H267" s="90">
        <x:v>0</x:v>
      </x:c>
      <x:c r="I267" s="90">
        <x:v>0</x:v>
      </x:c>
      <x:c r="J267" s="90">
        <x:v>0</x:v>
      </x:c>
      <x:c r="K267" s="90">
        <x:v>0</x:v>
      </x:c>
      <x:c r="L267" s="90">
        <x:v>0</x:v>
      </x:c>
      <x:c r="M267" s="90">
        <x:v>0</x:v>
      </x:c>
      <x:c r="N267" s="90">
        <x:v>0</x:v>
      </x:c>
      <x:c r="O267" s="90">
        <x:v>0</x:v>
      </x:c>
      <x:c r="P267" s="90">
        <x:v>0</x:v>
      </x:c>
      <x:c r="Q267" s="90">
        <x:v>0</x:v>
      </x:c>
      <x:c r="R267" s="90">
        <x:v>0</x:v>
      </x:c>
      <x:c r="S267" s="90">
        <x:v>0</x:v>
      </x:c>
      <x:c r="T267" s="90">
        <x:v>0</x:v>
      </x:c>
      <x:c r="U267" s="90">
        <x:v>0</x:v>
      </x:c>
      <x:c r="V267" s="90">
        <x:v>0</x:v>
      </x:c>
      <x:c r="W267" s="90">
        <x:v>0</x:v>
      </x:c>
      <x:c r="X267">
        <x:v>0</x:v>
      </x:c>
      <x:c r="Y267">
        <x:v>0</x:v>
      </x:c>
      <x:c r="Z267">
        <x:v>0</x:v>
      </x:c>
    </x:row>
    <x:row r="268" spans="3:26" ht="12.75" customHeight="1" x14ac:dyDescent="0.2">
      <x:c r="D268" s="773">
        <x:v>9</x:v>
      </x:c>
      <x:c r="E268" s="89" t="s">
        <x:v>70</x:v>
      </x:c>
      <x:c r="F268" s="371">
        <x:v>0</x:v>
      </x:c>
      <x:c r="G268" s="90">
        <x:v>0</x:v>
      </x:c>
      <x:c r="H268" s="90">
        <x:v>0</x:v>
      </x:c>
      <x:c r="I268" s="90">
        <x:v>0</x:v>
      </x:c>
      <x:c r="J268" s="90">
        <x:v>0</x:v>
      </x:c>
      <x:c r="K268" s="90">
        <x:v>0</x:v>
      </x:c>
      <x:c r="L268" s="90">
        <x:v>0</x:v>
      </x:c>
      <x:c r="M268" s="90">
        <x:v>0</x:v>
      </x:c>
      <x:c r="N268" s="90">
        <x:v>0</x:v>
      </x:c>
      <x:c r="O268" s="90">
        <x:v>0</x:v>
      </x:c>
      <x:c r="P268" s="90">
        <x:v>0</x:v>
      </x:c>
      <x:c r="Q268" s="90">
        <x:v>0</x:v>
      </x:c>
      <x:c r="R268" s="90">
        <x:v>0</x:v>
      </x:c>
      <x:c r="S268" s="90">
        <x:v>0</x:v>
      </x:c>
      <x:c r="T268" s="90">
        <x:v>0</x:v>
      </x:c>
      <x:c r="U268" s="90">
        <x:v>0</x:v>
      </x:c>
      <x:c r="V268" s="90">
        <x:v>0</x:v>
      </x:c>
      <x:c r="W268" s="90">
        <x:v>0</x:v>
      </x:c>
      <x:c r="X268">
        <x:v>0</x:v>
      </x:c>
      <x:c r="Y268">
        <x:v>0</x:v>
      </x:c>
      <x:c r="Z268">
        <x:v>0</x:v>
      </x:c>
    </x:row>
    <x:row r="269" spans="3:26" s="224" customFormat="1" ht="12.75" customHeight="1" x14ac:dyDescent="0.2">
      <x:c r="C269" s="223" t="s">
        <x:v>120</x:v>
      </x:c>
      <x:c r="D269" s="223" t="s">
        <x:v>70</x:v>
      </x:c>
      <x:c r="F269" s="225" t="n">
        <x:v>-945095.49</x:v>
      </x:c>
      <x:c r="G269" s="225" t="n">
        <x:v>-41848.14</x:v>
      </x:c>
      <x:c r="H269" s="225" t="n">
        <x:v>-23376.28</x:v>
      </x:c>
      <x:c r="I269" s="225" t="n">
        <x:v>-12410.15</x:v>
      </x:c>
      <x:c r="J269" s="225" t="n">
        <x:v>-252356.58</x:v>
      </x:c>
      <x:c r="K269" s="225" t="n">
        <x:v>-8693.65</x:v>
      </x:c>
      <x:c r="L269" s="225" t="n">
        <x:v>0</x:v>
      </x:c>
      <x:c r="M269" s="225" t="n">
        <x:v>-76259.65</x:v>
      </x:c>
      <x:c r="N269" s="225" t="n">
        <x:v>-75932.12</x:v>
      </x:c>
      <x:c r="O269" s="225" t="n">
        <x:v>-358434.23</x:v>
      </x:c>
      <x:c r="P269" s="225" t="n">
        <x:v>-81600.37</x:v>
      </x:c>
      <x:c r="Q269" s="225" t="n">
        <x:v>-14184.32</x:v>
      </x:c>
      <x:c r="R269" s="225" t="n">
        <x:v>0</x:v>
      </x:c>
      <x:c r="S269" s="225" t="n">
        <x:v>0</x:v>
      </x:c>
      <x:c r="T269" s="225" t="n">
        <x:v>0</x:v>
      </x:c>
      <x:c r="U269" s="225">
        <x:v>0</x:v>
      </x:c>
      <x:c r="V269" s="225">
        <x:v>0</x:v>
      </x:c>
      <x:c r="W269" s="225">
        <x:v>0</x:v>
      </x:c>
      <x:c r="X269" s="224">
        <x:v>0</x:v>
      </x:c>
      <x:c r="Y269" s="224">
        <x:v>0</x:v>
      </x:c>
      <x:c r="Z269" s="224" t="n">
        <x:v>0</x:v>
      </x:c>
    </x:row>
    <x:row r="270" spans="3:26" ht="12.75" customHeight="1" x14ac:dyDescent="0.2">
      <x:c r="E270" s="89" t="s">
        <x:v>73</x:v>
      </x:c>
      <x:c r="F270" s="90" t="n">
        <x:v>-93350641.9</x:v>
      </x:c>
      <x:c r="G270" s="90" t="n">
        <x:v>1142309.42</x:v>
      </x:c>
      <x:c r="H270" s="90" t="n">
        <x:v>673872.28</x:v>
      </x:c>
      <x:c r="I270" s="90" t="n">
        <x:v>359448.15</x:v>
      </x:c>
      <x:c r="J270" s="90" t="n">
        <x:v>-32360568.66</x:v>
      </x:c>
      <x:c r="K270" s="90" t="n">
        <x:v>-788309.33</x:v>
      </x:c>
      <x:c r="L270" s="90" t="n">
        <x:v>0</x:v>
      </x:c>
      <x:c r="M270" s="90" t="n">
        <x:v>-6926748.06</x:v>
      </x:c>
      <x:c r="N270" s="90" t="n">
        <x:v>-9723813.82</x:v>
      </x:c>
      <x:c r="O270" s="90" t="n">
        <x:v>-46789809.98</x:v>
      </x:c>
      <x:c r="P270" s="90" t="n">
        <x:v>2349370.4</x:v>
      </x:c>
      <x:c r="Q270" s="90" t="n">
        <x:v>-1286392.3</x:v>
      </x:c>
      <x:c r="R270" s="90" t="n">
        <x:v>0</x:v>
      </x:c>
      <x:c r="S270" s="90" t="n">
        <x:v>0</x:v>
      </x:c>
      <x:c r="T270" s="90" t="n">
        <x:v>0</x:v>
      </x:c>
      <x:c r="U270" s="90">
        <x:v>0</x:v>
      </x:c>
      <x:c r="V270" s="90">
        <x:v>0</x:v>
      </x:c>
      <x:c r="W270" s="90">
        <x:v>0</x:v>
      </x:c>
      <x:c r="X270">
        <x:v>0</x:v>
      </x:c>
      <x:c r="Y270">
        <x:v>0</x:v>
      </x:c>
      <x:c r="Z270" t="n">
        <x:v>0</x:v>
      </x:c>
    </x:row>
    <x:row r="271" spans="3:26" ht="12.75" customHeight="1" x14ac:dyDescent="0.2">
      <x:c r="D271" s="89" t="s">
        <x:v>82</x:v>
      </x:c>
      <x:c r="E271" s="89" t="s">
        <x:v>70</x:v>
      </x:c>
      <x:c r="F271" s="90" t="n">
        <x:v>-93350641.9</x:v>
      </x:c>
      <x:c r="G271" s="90" t="n">
        <x:v>1142309.42</x:v>
      </x:c>
      <x:c r="H271" s="90" t="n">
        <x:v>673872.28</x:v>
      </x:c>
      <x:c r="I271" s="90" t="n">
        <x:v>359448.15</x:v>
      </x:c>
      <x:c r="J271" s="90" t="n">
        <x:v>-32360568.66</x:v>
      </x:c>
      <x:c r="K271" s="90" t="n">
        <x:v>-788309.33</x:v>
      </x:c>
      <x:c r="L271" s="90" t="n">
        <x:v>0</x:v>
      </x:c>
      <x:c r="M271" s="90" t="n">
        <x:v>-6926748.06</x:v>
      </x:c>
      <x:c r="N271" s="90" t="n">
        <x:v>-9723813.82</x:v>
      </x:c>
      <x:c r="O271" s="90" t="n">
        <x:v>-46789809.98</x:v>
      </x:c>
      <x:c r="P271" s="90" t="n">
        <x:v>2349370.4</x:v>
      </x:c>
      <x:c r="Q271" s="90" t="n">
        <x:v>-1286392.3</x:v>
      </x:c>
      <x:c r="R271" s="90" t="n">
        <x:v>0</x:v>
      </x:c>
      <x:c r="S271" s="90" t="n">
        <x:v>0</x:v>
      </x:c>
      <x:c r="T271" s="90" t="n">
        <x:v>0</x:v>
      </x:c>
      <x:c r="U271" s="90">
        <x:v>0</x:v>
      </x:c>
      <x:c r="V271" s="90">
        <x:v>0</x:v>
      </x:c>
      <x:c r="W271" s="90">
        <x:v>0</x:v>
      </x:c>
      <x:c r="X271">
        <x:v>0</x:v>
      </x:c>
      <x:c r="Y271">
        <x:v>0</x:v>
      </x:c>
      <x:c r="Z271" t="n">
        <x:v>0</x:v>
      </x:c>
    </x:row>
    <x:row r="272" spans="3:26" ht="12.75" customHeight="1" x14ac:dyDescent="0.2">
      <x:c r="E272" s="89" t="s">
        <x:v>73</x:v>
      </x:c>
      <x:c r="F272" s="90" t="n">
        <x:v>71323760.47</x:v>
      </x:c>
      <x:c r="G272" s="90" t="n">
        <x:v>23751698.55</x:v>
      </x:c>
      <x:c r="H272" s="90" t="n">
        <x:v>13115739.99</x:v>
      </x:c>
      <x:c r="I272" s="90" t="n">
        <x:v>7137291.22</x:v>
      </x:c>
      <x:c r="J272" s="90" t="n">
        <x:v>-7232792.23</x:v>
      </x:c>
      <x:c r="K272" s="90" t="n">
        <x:v>-196776.48</x:v>
      </x:c>
      <x:c r="L272" s="90" t="n">
        <x:v>0</x:v>
      </x:c>
      <x:c r="M272" s="90" t="n">
        <x:v>-1724466.77</x:v>
      </x:c>
      <x:c r="N272" s="90" t="n">
        <x:v>-2030674.62</x:v>
      </x:c>
      <x:c r="O272" s="90" t="n">
        <x:v>-9077663.73</x:v>
      </x:c>
      <x:c r="P272" s="90" t="n">
        <x:v>47902839.09</x:v>
      </x:c>
      <x:c r="Q272" s="90" t="n">
        <x:v>-321434.55</x:v>
      </x:c>
      <x:c r="R272" s="90" t="n">
        <x:v>0</x:v>
      </x:c>
      <x:c r="S272" s="90" t="n">
        <x:v>0</x:v>
      </x:c>
      <x:c r="T272" s="90" t="n">
        <x:v>0</x:v>
      </x:c>
      <x:c r="U272" s="90">
        <x:v>0</x:v>
      </x:c>
      <x:c r="V272" s="90">
        <x:v>0</x:v>
      </x:c>
      <x:c r="W272" s="90">
        <x:v>0</x:v>
      </x:c>
      <x:c r="X272">
        <x:v>0</x:v>
      </x:c>
      <x:c r="Y272">
        <x:v>0</x:v>
      </x:c>
      <x:c r="Z272" t="n">
        <x:v>0</x:v>
      </x:c>
    </x:row>
    <x:row r="273" spans="1:26" ht="12.75" customHeight="1" x14ac:dyDescent="0.2">
      <x:c r="D273" s="89" t="s">
        <x:v>86</x:v>
      </x:c>
      <x:c r="E273" s="89" t="s">
        <x:v>70</x:v>
      </x:c>
      <x:c r="F273" s="90" t="n">
        <x:v>71323760.47</x:v>
      </x:c>
      <x:c r="G273" s="90" t="n">
        <x:v>23751698.55</x:v>
      </x:c>
      <x:c r="H273" s="90" t="n">
        <x:v>13115739.99</x:v>
      </x:c>
      <x:c r="I273" s="90" t="n">
        <x:v>7137291.22</x:v>
      </x:c>
      <x:c r="J273" s="90" t="n">
        <x:v>-7232792.23</x:v>
      </x:c>
      <x:c r="K273" s="90" t="n">
        <x:v>-196776.48</x:v>
      </x:c>
      <x:c r="L273" s="90" t="n">
        <x:v>0</x:v>
      </x:c>
      <x:c r="M273" s="90" t="n">
        <x:v>-1724466.77</x:v>
      </x:c>
      <x:c r="N273" s="90" t="n">
        <x:v>-2030674.62</x:v>
      </x:c>
      <x:c r="O273" s="90" t="n">
        <x:v>-9077663.73</x:v>
      </x:c>
      <x:c r="P273" s="90" t="n">
        <x:v>47902839.09</x:v>
      </x:c>
      <x:c r="Q273" s="90" t="n">
        <x:v>-321434.55</x:v>
      </x:c>
      <x:c r="R273" s="90" t="n">
        <x:v>0</x:v>
      </x:c>
      <x:c r="S273" s="90" t="n">
        <x:v>0</x:v>
      </x:c>
      <x:c r="T273" s="90" t="n">
        <x:v>0</x:v>
      </x:c>
      <x:c r="U273" s="90">
        <x:v>0</x:v>
      </x:c>
      <x:c r="V273" s="90">
        <x:v>0</x:v>
      </x:c>
      <x:c r="W273" s="90">
        <x:v>0</x:v>
      </x:c>
      <x:c r="X273">
        <x:v>0</x:v>
      </x:c>
      <x:c r="Y273">
        <x:v>0</x:v>
      </x:c>
      <x:c r="Z273" t="n">
        <x:v>0</x:v>
      </x:c>
    </x:row>
    <x:row r="274" spans="1:26" ht="12.75" customHeight="1" x14ac:dyDescent="0.2">
      <x:c r="E274" s="89" t="s">
        <x:v>73</x:v>
      </x:c>
      <x:c r="F274" s="90" t="n">
        <x:v>201971483.99</x:v>
      </x:c>
      <x:c r="G274" s="90" t="n">
        <x:v>50988711.23</x:v>
      </x:c>
      <x:c r="H274" s="90" t="n">
        <x:v>28791284.11</x:v>
      </x:c>
      <x:c r="I274" s="90" t="n">
        <x:v>15194680.06</x:v>
      </x:c>
      <x:c r="J274" s="90" t="n">
        <x:v>2830410.62</x:v>
      </x:c>
      <x:c r="K274" s="90" t="n">
        <x:v>51431.66</x:v>
      </x:c>
      <x:c r="L274" s="90" t="n">
        <x:v>0</x:v>
      </x:c>
      <x:c r="M274" s="90" t="n">
        <x:v>410824.37</x:v>
      </x:c>
      <x:c r="N274" s="90" t="n">
        <x:v>599101.04</x:v>
      </x:c>
      <x:c r="O274" s="90" t="n">
        <x:v>2857724.84</x:v>
      </x:c>
      <x:c r="P274" s="90" t="n">
        <x:v>100163920.34</x:v>
      </x:c>
      <x:c r="Q274" s="90" t="n">
        <x:v>83395.72</x:v>
      </x:c>
      <x:c r="R274" s="90" t="n">
        <x:v>0</x:v>
      </x:c>
      <x:c r="S274" s="90" t="n">
        <x:v>0</x:v>
      </x:c>
      <x:c r="T274" s="90" t="n">
        <x:v>0</x:v>
      </x:c>
      <x:c r="U274" s="90">
        <x:v>0</x:v>
      </x:c>
      <x:c r="V274" s="90">
        <x:v>0</x:v>
      </x:c>
      <x:c r="W274" s="90">
        <x:v>0</x:v>
      </x:c>
      <x:c r="X274">
        <x:v>0</x:v>
      </x:c>
      <x:c r="Y274">
        <x:v>0</x:v>
      </x:c>
      <x:c r="Z274" t="n">
        <x:v>0</x:v>
      </x:c>
    </x:row>
    <x:row r="275" spans="1:26" ht="12.75" customHeight="1" x14ac:dyDescent="0.2">
      <x:c r="D275" s="89" t="s">
        <x:v>87</x:v>
      </x:c>
      <x:c r="E275" s="89" t="s">
        <x:v>70</x:v>
      </x:c>
      <x:c r="F275" s="90" t="n">
        <x:v>201971483.99</x:v>
      </x:c>
      <x:c r="G275" s="90" t="n">
        <x:v>50988711.23</x:v>
      </x:c>
      <x:c r="H275" s="90" t="n">
        <x:v>28791284.11</x:v>
      </x:c>
      <x:c r="I275" s="90" t="n">
        <x:v>15194680.06</x:v>
      </x:c>
      <x:c r="J275" s="90" t="n">
        <x:v>2830410.62</x:v>
      </x:c>
      <x:c r="K275" s="90" t="n">
        <x:v>51431.66</x:v>
      </x:c>
      <x:c r="L275" s="90" t="n">
        <x:v>0</x:v>
      </x:c>
      <x:c r="M275" s="90" t="n">
        <x:v>410824.37</x:v>
      </x:c>
      <x:c r="N275" s="90" t="n">
        <x:v>599101.04</x:v>
      </x:c>
      <x:c r="O275" s="90" t="n">
        <x:v>2857724.84</x:v>
      </x:c>
      <x:c r="P275" s="90" t="n">
        <x:v>100163920.34</x:v>
      </x:c>
      <x:c r="Q275" s="90" t="n">
        <x:v>83395.72</x:v>
      </x:c>
      <x:c r="R275" s="90" t="n">
        <x:v>0</x:v>
      </x:c>
      <x:c r="S275" s="90" t="n">
        <x:v>0</x:v>
      </x:c>
      <x:c r="T275" s="90" t="n">
        <x:v>0</x:v>
      </x:c>
      <x:c r="U275" s="90">
        <x:v>0</x:v>
      </x:c>
      <x:c r="V275" s="90">
        <x:v>0</x:v>
      </x:c>
      <x:c r="W275" s="90">
        <x:v>0</x:v>
      </x:c>
      <x:c r="X275">
        <x:v>0</x:v>
      </x:c>
      <x:c r="Y275">
        <x:v>0</x:v>
      </x:c>
      <x:c r="Z275" t="n">
        <x:v>0</x:v>
      </x:c>
    </x:row>
    <x:row r="276" spans="1:26" s="94" customFormat="1" ht="12.75" customHeight="1" x14ac:dyDescent="0.2">
      <x:c r="C276" s="101" t="s">
        <x:v>119</x:v>
      </x:c>
      <x:c r="D276" s="101" t="s">
        <x:v>70</x:v>
      </x:c>
      <x:c r="F276" s="93" t="n">
        <x:v>179944602.56</x:v>
      </x:c>
      <x:c r="G276" s="93" t="n">
        <x:v>75882719.2</x:v>
      </x:c>
      <x:c r="H276" s="93" t="n">
        <x:v>42580896.38</x:v>
      </x:c>
      <x:c r="I276" s="93" t="n">
        <x:v>22691419.43</x:v>
      </x:c>
      <x:c r="J276" s="93" t="n">
        <x:v>-36762950.27</x:v>
      </x:c>
      <x:c r="K276" s="93" t="n">
        <x:v>-933654.15</x:v>
      </x:c>
      <x:c r="L276" s="93" t="n">
        <x:v>0</x:v>
      </x:c>
      <x:c r="M276" s="93" t="n">
        <x:v>-8240390.46</x:v>
      </x:c>
      <x:c r="N276" s="93" t="n">
        <x:v>-11155387.4</x:v>
      </x:c>
      <x:c r="O276" s="93" t="n">
        <x:v>-53009748.87</x:v>
      </x:c>
      <x:c r="P276" s="93" t="n">
        <x:v>150416129.83</x:v>
      </x:c>
      <x:c r="Q276" s="93" t="n">
        <x:v>-1524431.13</x:v>
      </x:c>
      <x:c r="R276" s="93" t="n">
        <x:v>0</x:v>
      </x:c>
      <x:c r="S276" s="93" t="n">
        <x:v>0</x:v>
      </x:c>
      <x:c r="T276" s="93" t="n">
        <x:v>0</x:v>
      </x:c>
      <x:c r="U276" s="93">
        <x:v>0</x:v>
      </x:c>
      <x:c r="V276" s="93">
        <x:v>0</x:v>
      </x:c>
      <x:c r="W276" s="93">
        <x:v>0</x:v>
      </x:c>
      <x:c r="X276" s="94">
        <x:v>0</x:v>
      </x:c>
      <x:c r="Y276" s="94">
        <x:v>0</x:v>
      </x:c>
      <x:c r="Z276" s="94" t="n">
        <x:v>0</x:v>
      </x:c>
    </x:row>
    <x:row r="277" spans="1:26" s="226" customFormat="1" ht="12.75" customHeight="1" x14ac:dyDescent="0.2">
      <x:c r="B277" s="98" t="s">
        <x:v>112</x:v>
      </x:c>
      <x:c r="C277" s="98" t="s">
        <x:v>70</x:v>
      </x:c>
      <x:c r="F277" s="100" t="n">
        <x:v>-5564744212.57</x:v>
      </x:c>
      <x:c r="G277" s="100" t="n">
        <x:v>-62855658.1</x:v>
      </x:c>
      <x:c r="H277" s="100" t="n">
        <x:v>-33484790.59</x:v>
      </x:c>
      <x:c r="I277" s="100" t="n">
        <x:v>-17668133.15</x:v>
      </x:c>
      <x:c r="J277" s="100" t="n">
        <x:v>-1706988729.57</x:v>
      </x:c>
      <x:c r="K277" s="100" t="n">
        <x:v>-59821255.74</x:v>
      </x:c>
      <x:c r="L277" s="100" t="n">
        <x:v>0</x:v>
      </x:c>
      <x:c r="M277" s="100" t="n">
        <x:v>-524879865.93</x:v>
      </x:c>
      <x:c r="N277" s="100" t="n">
        <x:v>-518566895.72</x:v>
      </x:c>
      <x:c r="O277" s="100" t="n">
        <x:v>-2425516734.37</x:v>
      </x:c>
      <x:c r="P277" s="100" t="n">
        <x:v>-117365923.56</x:v>
      </x:c>
      <x:c r="Q277" s="100" t="n">
        <x:v>-97596225.84</x:v>
      </x:c>
      <x:c r="R277" s="100" t="n">
        <x:v>0</x:v>
      </x:c>
      <x:c r="S277" s="100" t="n">
        <x:v>0</x:v>
      </x:c>
      <x:c r="T277" s="100" t="n">
        <x:v>0</x:v>
      </x:c>
      <x:c r="U277" s="100">
        <x:v>0</x:v>
      </x:c>
      <x:c r="V277" s="100">
        <x:v>0</x:v>
      </x:c>
      <x:c r="W277" s="100">
        <x:v>0</x:v>
      </x:c>
      <x:c r="X277" s="226">
        <x:v>0</x:v>
      </x:c>
      <x:c r="Y277" s="226">
        <x:v>0</x:v>
      </x:c>
      <x:c r="Z277" s="226" t="n">
        <x:v>0</x:v>
      </x:c>
    </x:row>
    <x:row r="278" spans="1:26" ht="12.75" customHeight="1" x14ac:dyDescent="0.2">
      <x:c r="A278" s="89" t="s">
        <x:v>79</x:v>
      </x:c>
      <x:c r="B278" s="89" t="s">
        <x:v>70</x:v>
      </x:c>
      <x:c r="F278" s="90" t="n">
        <x:v>-5568879525.56</x:v>
      </x:c>
      <x:c r="G278" s="90" t="n">
        <x:v>-62979222.65</x:v>
      </x:c>
      <x:c r="H278" s="90" t="n">
        <x:v>-33555481.9</x:v>
      </x:c>
      <x:c r="I278" s="90" t="n">
        <x:v>-17705476.81</x:v>
      </x:c>
      <x:c r="J278" s="90" t="n">
        <x:v>-1708168333.72</x:v>
      </x:c>
      <x:c r="K278" s="90" t="n">
        <x:v>-59853626.26</x:v>
      </x:c>
      <x:c r="L278" s="90" t="n">
        <x:v>0</x:v>
      </x:c>
      <x:c r="M278" s="90" t="n">
        <x:v>-525163823.77</x:v>
      </x:c>
      <x:c r="N278" s="90" t="n">
        <x:v>-518933582.83</x:v>
      </x:c>
      <x:c r="O278" s="90" t="n">
        <x:v>-2427269432.84</x:v>
      </x:c>
      <x:c r="P278" s="90" t="n">
        <x:v>-117601503.09</x:v>
      </x:c>
      <x:c r="Q278" s="90" t="n">
        <x:v>-97649041.69</x:v>
      </x:c>
      <x:c r="R278" s="90" t="n">
        <x:v>0</x:v>
      </x:c>
      <x:c r="S278" s="90" t="n">
        <x:v>0</x:v>
      </x:c>
      <x:c r="T278" s="90" t="n">
        <x:v>0</x:v>
      </x:c>
      <x:c r="U278" s="90">
        <x:v>0</x:v>
      </x:c>
      <x:c r="V278" s="90">
        <x:v>0</x:v>
      </x:c>
      <x:c r="W278" s="90">
        <x:v>0</x:v>
      </x:c>
      <x:c r="X278">
        <x:v>0</x:v>
      </x:c>
      <x:c r="Y278">
        <x:v>0</x:v>
      </x:c>
      <x:c r="Z278" t="n">
        <x:v>0</x:v>
      </x:c>
    </x:row>
    <x:row r="279" spans="1:26" ht="12.75" customHeight="1" x14ac:dyDescent="0.2">
      <x:c r="A279" s="89" t="s">
        <x:v>70</x:v>
      </x:c>
      <x:c r="F279" s="90" t="n">
        <x:v>22283503540.99</x:v>
      </x:c>
      <x:c r="G279" s="90" t="n">
        <x:v>1623074576.55</x:v>
      </x:c>
      <x:c r="H279" s="90" t="n">
        <x:v>900586529.08</x:v>
      </x:c>
      <x:c r="I279" s="90" t="n">
        <x:v>476174815.81</x:v>
      </x:c>
      <x:c r="J279" s="90" t="n">
        <x:v>5118715362.86</x:v>
      </x:c>
      <x:c r="K279" s="90" t="n">
        <x:v>178307820.5</x:v>
      </x:c>
      <x:c r="L279" s="90" t="n">
        <x:v>73927482.56</x:v>
      </x:c>
      <x:c r="M279" s="90" t="n">
        <x:v>1561839694.47</x:v>
      </x:c>
      <x:c r="N279" s="90" t="n">
        <x:v>1553713901.05</x:v>
      </x:c>
      <x:c r="O279" s="90" t="n">
        <x:v>7309393435.39</x:v>
      </x:c>
      <x:c r="P279" s="90" t="n">
        <x:v>3196229270.54</x:v>
      </x:c>
      <x:c r="Q279" s="90" t="n">
        <x:v>291383425.54</x:v>
      </x:c>
      <x:c r="R279" s="90" t="n">
        <x:v>157250.63</x:v>
      </x:c>
      <x:c r="S279" s="90" t="n">
        <x:v>-21.47</x:v>
      </x:c>
      <x:c r="T279" s="90" t="n">
        <x:v>0.47</x:v>
      </x:c>
      <x:c r="U279" s="90">
        <x:v>0</x:v>
      </x:c>
      <x:c r="V279" s="90">
        <x:v>0</x:v>
      </x:c>
      <x:c r="W279" s="90">
        <x:v>0</x:v>
      </x:c>
      <x:c r="X279">
        <x:v>0</x:v>
      </x:c>
      <x:c r="Y279">
        <x:v>0</x:v>
      </x:c>
      <x:c r="Z279" t="n">
        <x:v>-2.99</x:v>
      </x:c>
    </x:row>
    <x:row r="280" spans="1:26" ht="12.75" customHeight="1" x14ac:dyDescent="0.2">
      <x:c r="A280" s="89"/>
      <x:c r="D280" s="89"/>
      <x:c r="E280" s="89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26" ht="12.75" customHeight="1" x14ac:dyDescent="0.2">
      <x:c r="A281" s="89"/>
      <x:c r="C281" s="89"/>
      <x:c r="D281" s="89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</x:row>
    <x:row r="282" spans="1:26" ht="12.75" hidden="1" customHeight="1" x14ac:dyDescent="0.2">
      <x:c r="A282" s="89"/>
      <x:c r="E282" s="89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</x:row>
    <x:row r="283" spans="1:26" ht="12.75" hidden="1" customHeight="1" x14ac:dyDescent="0.2">
      <x:c r="A283" s="89"/>
      <x:c r="D283" s="89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</x:row>
    <x:row r="284" spans="1:26" ht="12.75" hidden="1" customHeight="1" x14ac:dyDescent="0.2">
      <x:c r="A284" s="89"/>
      <x:c r="E284" s="89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</x:row>
    <x:row r="285" spans="1:26" ht="12.75" hidden="1" customHeight="1" x14ac:dyDescent="0.2">
      <x:c r="A285" s="89"/>
      <x:c r="D285" s="89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</x:row>
    <x:row r="286" spans="1:26" ht="12.75" hidden="1" customHeight="1" x14ac:dyDescent="0.2">
      <x:c r="A286" s="89"/>
      <x:c r="E286" s="89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</x:row>
    <x:row r="287" spans="1:26" ht="12.75" hidden="1" customHeight="1" x14ac:dyDescent="0.2">
      <x:c r="A287" s="89"/>
      <x:c r="D287" s="89"/>
      <x:c r="E287" s="89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</x:row>
    <x:row r="288" spans="1:26" ht="12.75" hidden="1" customHeight="1" x14ac:dyDescent="0.2">
      <x:c r="A288" s="89"/>
      <x:c r="C288" s="89"/>
      <x:c r="D288" s="89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</x:row>
    <x:row r="289" spans="1:19" ht="12.75" hidden="1" customHeight="1" x14ac:dyDescent="0.2">
      <x:c r="A289" s="89"/>
      <x:c r="B289" s="89"/>
      <x:c r="C289" s="89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</x:row>
    <x:row r="290" spans="1:19" ht="12.75" hidden="1" customHeight="1" x14ac:dyDescent="0.2">
      <x:c r="A290" s="89"/>
      <x:c r="B290" s="89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</x:row>
    <x:row r="291" spans="1:19" ht="12.75" hidden="1" customHeight="1" x14ac:dyDescent="0.2">
      <x:c r="A291" s="89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</x:row>
    <x:row r="292" spans="1:19" ht="12.75" hidden="1" customHeight="1" x14ac:dyDescent="0.2">
      <x:c r="A292" s="89"/>
      <x:c r="B292" s="89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</x:row>
    <x:row r="293" spans="1:19" ht="12.75" hidden="1" customHeight="1" x14ac:dyDescent="0.2">
      <x:c r="A293" s="89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</x:row>
    <x:row r="294" spans="1:19" ht="12.75" hidden="1" customHeight="1" x14ac:dyDescent="0.2">
      <x:c r="A294" s="89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</x:row>
    <x:row r="295" spans="1:19" ht="12.75" hidden="1" customHeight="1" x14ac:dyDescent="0.2">
      <x:c r="A295" s="89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</x:row>
    <x:row r="296" spans="1:19" ht="12.75" hidden="1" customHeight="1" x14ac:dyDescent="0.2">
      <x:c r="A296" s="89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</x:row>
    <x:row r="297" spans="1:19" ht="12.75" hidden="1" customHeight="1" x14ac:dyDescent="0.2">
      <x:c r="A297" s="89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</x:row>
    <x:row r="298" spans="1:19" ht="12.75" hidden="1" customHeight="1" x14ac:dyDescent="0.2">
      <x:c r="A298" s="89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</x:row>
    <x:row r="299" spans="1:19" ht="12.75" hidden="1" customHeight="1" x14ac:dyDescent="0.2">
      <x:c r="A299" s="89"/>
      <x:c r="F299" s="90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</x:row>
    <x:row r="300" spans="1:19" ht="12.75" hidden="1" customHeight="1" x14ac:dyDescent="0.2">
      <x:c r="A300" s="89"/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</x:row>
    <x:row r="301" spans="1:19" ht="12.75" hidden="1" customHeight="1" x14ac:dyDescent="0.2">
      <x:c r="A301" s="89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</x:row>
    <x:row r="302" spans="1:19" ht="12.75" hidden="1" customHeight="1" x14ac:dyDescent="0.2">
      <x:c r="A302" s="89"/>
      <x:c r="F302" s="90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</x:row>
    <x:row r="303" spans="1:19" ht="12.75" hidden="1" customHeight="1" x14ac:dyDescent="0.2">
      <x:c r="A303" s="89"/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</x:row>
    <x:row r="304" spans="1:19" ht="12.75" hidden="1" customHeight="1" x14ac:dyDescent="0.2">
      <x:c r="A304" s="89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</x:row>
    <x:row r="305" spans="1:19" ht="12.75" hidden="1" customHeight="1" x14ac:dyDescent="0.2">
      <x:c r="A305" s="89"/>
      <x:c r="F305" s="90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</x:row>
    <x:row r="306" spans="1:19" ht="12.75" hidden="1" customHeight="1" x14ac:dyDescent="0.2">
      <x:c r="A306" s="89"/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</x:row>
    <x:row r="307" spans="1:19" ht="12.75" hidden="1" customHeight="1" x14ac:dyDescent="0.2">
      <x:c r="A307" s="89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</x:row>
    <x:row r="308" spans="1:19" ht="12.75" hidden="1" customHeight="1" x14ac:dyDescent="0.2">
      <x:c r="A308" s="89"/>
      <x:c r="F308" s="90"/>
      <x:c r="G308" s="90"/>
      <x:c r="H308" s="90"/>
      <x:c r="I308" s="90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</x:row>
    <x:row r="309" spans="1:19" ht="12.75" hidden="1" customHeight="1" x14ac:dyDescent="0.2">
      <x:c r="A309" s="89"/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</x:row>
    <x:row r="310" spans="1:19" ht="12.75" hidden="1" customHeight="1" x14ac:dyDescent="0.2">
      <x:c r="A310" s="89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</x:row>
    <x:row r="311" spans="1:19" ht="12.75" hidden="1" customHeight="1" x14ac:dyDescent="0.2">
      <x:c r="A311" s="89"/>
      <x:c r="F311" s="90"/>
      <x:c r="G311" s="90"/>
      <x:c r="H311" s="90"/>
      <x:c r="I311" s="90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</x:row>
    <x:row r="312" spans="1:19" ht="12.75" hidden="1" customHeight="1" x14ac:dyDescent="0.2">
      <x:c r="A312" s="89"/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</x:row>
    <x:row r="313" spans="1:19" ht="12.75" hidden="1" customHeight="1" x14ac:dyDescent="0.2">
      <x:c r="A313" s="89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</x:row>
    <x:row r="314" spans="1:19" ht="12.75" hidden="1" customHeight="1" x14ac:dyDescent="0.2">
      <x:c r="A314" s="89"/>
      <x:c r="F314" s="90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</x:row>
    <x:row r="315" spans="1:19" ht="12.75" hidden="1" customHeight="1" x14ac:dyDescent="0.2">
      <x:c r="A315" s="89"/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</x:row>
    <x:row r="316" spans="1:19" ht="12.75" hidden="1" customHeight="1" x14ac:dyDescent="0.2">
      <x:c r="A316" s="89"/>
      <x:c r="F316" s="90"/>
      <x:c r="G316" s="90"/>
      <x:c r="H316" s="90"/>
      <x:c r="I316" s="90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</x:row>
    <x:row r="317" spans="1:19" ht="12.75" hidden="1" customHeight="1" x14ac:dyDescent="0.2">
      <x:c r="A317" s="89"/>
      <x:c r="F317" s="90"/>
      <x:c r="G317" s="90"/>
      <x:c r="H317" s="90"/>
      <x:c r="I317" s="90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</x:row>
    <x:row r="318" spans="1:19" ht="12.75" hidden="1" customHeight="1" x14ac:dyDescent="0.2">
      <x:c r="A318" s="89"/>
      <x:c r="F318" s="90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</x:row>
    <x:row r="319" spans="1:19" ht="12.75" hidden="1" customHeight="1" x14ac:dyDescent="0.2">
      <x:c r="A319" s="89"/>
      <x:c r="F319" s="90"/>
      <x:c r="G319" s="90"/>
      <x:c r="H319" s="90"/>
      <x:c r="I319" s="90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</x:row>
    <x:row r="320" spans="1:19" ht="12.75" hidden="1" customHeight="1" x14ac:dyDescent="0.2">
      <x:c r="A320" s="89"/>
      <x:c r="F320" s="90"/>
      <x:c r="G320" s="90"/>
      <x:c r="H320" s="90"/>
      <x:c r="I320" s="90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</x:row>
    <x:row r="321" spans="1:42" ht="12.75" customHeight="1" x14ac:dyDescent="0.2">
      <x:c r="A321" s="89"/>
      <x:c r="F321" s="90"/>
      <x:c r="G321" s="90"/>
      <x:c r="H321" s="90"/>
      <x:c r="I321" s="90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</x:row>
    <x:row r="322" spans="1:42" ht="12.75" customHeight="1" x14ac:dyDescent="0.2">
      <x:c r="A322" s="89"/>
      <x:c r="F322" s="90"/>
      <x:c r="G322" s="90"/>
      <x:c r="H322" s="90"/>
      <x:c r="I322" s="90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</x:row>
    <x:row r="323" spans="1:42" ht="12.75" customHeight="1" x14ac:dyDescent="0.2">
      <x:c r="C323" s="778" t="s">
        <x:v>2</x:v>
      </x:c>
      <x:c r="D323" s="776" t="s">
        <x:v>132</x:v>
      </x:c>
      <x:c r="E323" s="98" t="s">
        <x:v>70</x:v>
      </x:c>
      <x:c r="F323" s="100">
        <x:f>F224+F277-L224+F149-L149</x:f>
        <x:v>0</x:v>
      </x:c>
      <x:c r="G323" s="100">
        <x:f>G224+G149</x:f>
        <x:v>0</x:v>
      </x:c>
      <x:c r="H323" s="100">
        <x:f t="shared" ref="H323:AP323" si="9">H224+H149</x:f>
        <x:v>0</x:v>
      </x:c>
      <x:c r="I323" s="100">
        <x:f t="shared" si="9"/>
        <x:v>0</x:v>
      </x:c>
      <x:c r="J323" s="100">
        <x:f t="shared" si="9"/>
        <x:v>0</x:v>
      </x:c>
      <x:c r="K323" s="100">
        <x:f t="shared" si="9"/>
        <x:v>0</x:v>
      </x:c>
      <x:c r="L323" s="100">
        <x:f t="shared" si="9"/>
        <x:v>0</x:v>
      </x:c>
      <x:c r="M323" s="100">
        <x:f t="shared" si="9"/>
        <x:v>0</x:v>
      </x:c>
      <x:c r="N323" s="100">
        <x:f t="shared" si="9"/>
        <x:v>0</x:v>
      </x:c>
      <x:c r="O323" s="100">
        <x:f t="shared" si="9"/>
        <x:v>0</x:v>
      </x:c>
      <x:c r="P323" s="100">
        <x:f t="shared" si="9"/>
        <x:v>0</x:v>
      </x:c>
      <x:c r="Q323" s="100">
        <x:f t="shared" si="9"/>
        <x:v>0</x:v>
      </x:c>
      <x:c r="R323" s="100">
        <x:f t="shared" si="9"/>
        <x:v>0</x:v>
      </x:c>
      <x:c r="S323" s="100">
        <x:f t="shared" si="9"/>
        <x:v>0</x:v>
      </x:c>
      <x:c r="T323" s="100">
        <x:f t="shared" si="9"/>
        <x:v>0</x:v>
      </x:c>
      <x:c r="U323" s="100">
        <x:f t="shared" si="9"/>
        <x:v>0</x:v>
      </x:c>
      <x:c r="V323" s="100">
        <x:f t="shared" si="9"/>
        <x:v>0</x:v>
      </x:c>
      <x:c r="W323" s="100">
        <x:f t="shared" si="9"/>
        <x:v>0</x:v>
      </x:c>
      <x:c r="X323" s="100">
        <x:f t="shared" si="9"/>
        <x:v>0</x:v>
      </x:c>
      <x:c r="Y323" s="100">
        <x:f t="shared" si="9"/>
        <x:v>0</x:v>
      </x:c>
      <x:c r="Z323" s="100">
        <x:f t="shared" si="9"/>
        <x:v>0</x:v>
      </x:c>
      <x:c r="AA323" s="100">
        <x:f t="shared" si="9"/>
        <x:v>0</x:v>
      </x:c>
      <x:c r="AB323" s="100">
        <x:f t="shared" si="9"/>
        <x:v>0</x:v>
      </x:c>
      <x:c r="AC323" s="100">
        <x:f t="shared" si="9"/>
        <x:v>0</x:v>
      </x:c>
      <x:c r="AD323" s="100">
        <x:f t="shared" si="9"/>
        <x:v>0</x:v>
      </x:c>
      <x:c r="AE323" s="100">
        <x:f t="shared" si="9"/>
        <x:v>0</x:v>
      </x:c>
      <x:c r="AF323" s="100">
        <x:f t="shared" si="9"/>
        <x:v>0</x:v>
      </x:c>
      <x:c r="AG323" s="100">
        <x:f t="shared" si="9"/>
        <x:v>0</x:v>
      </x:c>
      <x:c r="AH323" s="100">
        <x:f t="shared" si="9"/>
        <x:v>0</x:v>
      </x:c>
      <x:c r="AI323" s="100">
        <x:f t="shared" si="9"/>
        <x:v>0</x:v>
      </x:c>
      <x:c r="AJ323" s="100">
        <x:f t="shared" si="9"/>
        <x:v>0</x:v>
      </x:c>
      <x:c r="AK323" s="100">
        <x:f t="shared" si="9"/>
        <x:v>0</x:v>
      </x:c>
      <x:c r="AL323" s="100">
        <x:f t="shared" si="9"/>
        <x:v>0</x:v>
      </x:c>
      <x:c r="AM323" s="100">
        <x:f t="shared" si="9"/>
        <x:v>0</x:v>
      </x:c>
      <x:c r="AN323" s="100">
        <x:f t="shared" si="9"/>
        <x:v>0</x:v>
      </x:c>
      <x:c r="AO323" s="100">
        <x:f t="shared" si="9"/>
        <x:v>0</x:v>
      </x:c>
      <x:c r="AP323" s="100">
        <x:f t="shared" si="9"/>
        <x:v>0</x:v>
      </x:c>
    </x:row>
    <x:row r="324" spans="1:42" ht="12.75" customHeight="1" x14ac:dyDescent="0.2">
      <x:c r="C324" s="778"/>
      <x:c r="D324" s="776"/>
      <x:c r="E324" s="98" t="s">
        <x:v>73</x:v>
      </x:c>
      <x:c r="F324" s="100">
        <x:f>F277</x:f>
        <x:v>0</x:v>
      </x:c>
      <x:c r="G324" s="90"/>
      <x:c r="H324" s="90"/>
      <x:c r="I324" s="90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</x:row>
    <x:row r="325" spans="1:42" ht="12.75" customHeight="1" x14ac:dyDescent="0.2">
      <x:c r="C325" s="778"/>
      <x:c r="D325" s="776" t="s">
        <x:v>133</x:v>
      </x:c>
      <x:c r="E325" s="233" t="s">
        <x:v>70</x:v>
      </x:c>
      <x:c r="F325" s="234">
        <x:f>F251+F187-L187</x:f>
        <x:v>0</x:v>
      </x:c>
      <x:c r="G325" s="234">
        <x:f>G187</x:f>
        <x:v>0</x:v>
      </x:c>
      <x:c r="H325" s="234">
        <x:f t="shared" ref="H325:AP325" si="10">H187</x:f>
        <x:v>0</x:v>
      </x:c>
      <x:c r="I325" s="234">
        <x:f t="shared" si="10"/>
        <x:v>0</x:v>
      </x:c>
      <x:c r="J325" s="234">
        <x:f t="shared" si="10"/>
        <x:v>0</x:v>
      </x:c>
      <x:c r="K325" s="234">
        <x:f t="shared" si="10"/>
        <x:v>0</x:v>
      </x:c>
      <x:c r="L325" s="234">
        <x:f t="shared" si="10"/>
        <x:v>0</x:v>
      </x:c>
      <x:c r="M325" s="234">
        <x:f t="shared" si="10"/>
        <x:v>0</x:v>
      </x:c>
      <x:c r="N325" s="234">
        <x:f t="shared" si="10"/>
        <x:v>0</x:v>
      </x:c>
      <x:c r="O325" s="234">
        <x:f t="shared" si="10"/>
        <x:v>0</x:v>
      </x:c>
      <x:c r="P325" s="234">
        <x:f t="shared" si="10"/>
        <x:v>0</x:v>
      </x:c>
      <x:c r="Q325" s="234">
        <x:f t="shared" si="10"/>
        <x:v>0</x:v>
      </x:c>
      <x:c r="R325" s="234">
        <x:f t="shared" si="10"/>
        <x:v>0</x:v>
      </x:c>
      <x:c r="S325" s="234">
        <x:f t="shared" si="10"/>
        <x:v>0</x:v>
      </x:c>
      <x:c r="T325" s="234">
        <x:f t="shared" si="10"/>
        <x:v>0</x:v>
      </x:c>
      <x:c r="U325" s="234">
        <x:f t="shared" si="10"/>
        <x:v>0</x:v>
      </x:c>
      <x:c r="V325" s="234">
        <x:f t="shared" si="10"/>
        <x:v>0</x:v>
      </x:c>
      <x:c r="W325" s="234">
        <x:f t="shared" si="10"/>
        <x:v>0</x:v>
      </x:c>
      <x:c r="X325" s="234">
        <x:f t="shared" si="10"/>
        <x:v>0</x:v>
      </x:c>
      <x:c r="Y325" s="234">
        <x:f t="shared" si="10"/>
        <x:v>0</x:v>
      </x:c>
      <x:c r="Z325" s="234">
        <x:f t="shared" si="10"/>
        <x:v>0</x:v>
      </x:c>
      <x:c r="AA325" s="234">
        <x:f t="shared" si="10"/>
        <x:v>0</x:v>
      </x:c>
      <x:c r="AB325" s="234">
        <x:f t="shared" si="10"/>
        <x:v>0</x:v>
      </x:c>
      <x:c r="AC325" s="234">
        <x:f t="shared" si="10"/>
        <x:v>0</x:v>
      </x:c>
      <x:c r="AD325" s="234">
        <x:f t="shared" si="10"/>
        <x:v>0</x:v>
      </x:c>
      <x:c r="AE325" s="234">
        <x:f t="shared" si="10"/>
        <x:v>0</x:v>
      </x:c>
      <x:c r="AF325" s="234">
        <x:f t="shared" si="10"/>
        <x:v>0</x:v>
      </x:c>
      <x:c r="AG325" s="234">
        <x:f t="shared" si="10"/>
        <x:v>0</x:v>
      </x:c>
      <x:c r="AH325" s="234">
        <x:f t="shared" si="10"/>
        <x:v>0</x:v>
      </x:c>
      <x:c r="AI325" s="234">
        <x:f t="shared" si="10"/>
        <x:v>0</x:v>
      </x:c>
      <x:c r="AJ325" s="234">
        <x:f t="shared" si="10"/>
        <x:v>0</x:v>
      </x:c>
      <x:c r="AK325" s="234">
        <x:f t="shared" si="10"/>
        <x:v>0</x:v>
      </x:c>
      <x:c r="AL325" s="234">
        <x:f t="shared" si="10"/>
        <x:v>0</x:v>
      </x:c>
      <x:c r="AM325" s="234">
        <x:f t="shared" si="10"/>
        <x:v>0</x:v>
      </x:c>
      <x:c r="AN325" s="234">
        <x:f t="shared" si="10"/>
        <x:v>0</x:v>
      </x:c>
      <x:c r="AO325" s="234">
        <x:f t="shared" si="10"/>
        <x:v>0</x:v>
      </x:c>
      <x:c r="AP325" s="234">
        <x:f t="shared" si="10"/>
        <x:v>0</x:v>
      </x:c>
    </x:row>
    <x:row r="326" spans="1:42" ht="12.75" customHeight="1" x14ac:dyDescent="0.2">
      <x:c r="C326" s="778"/>
      <x:c r="D326" s="776"/>
      <x:c r="E326" s="233" t="s">
        <x:v>73</x:v>
      </x:c>
      <x:c r="F326" s="234">
        <x:f>F251</x:f>
        <x:v>0</x:v>
      </x:c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</x:row>
    <x:row r="327" spans="1:42" ht="12.75" customHeight="1" x14ac:dyDescent="0.2">
      <x:c r="A327" s="89"/>
      <x:c r="C327" s="97"/>
      <x:c r="F327" s="90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0"/>
    </x:row>
    <x:row r="328" spans="1:42" ht="12.75" customHeight="1" x14ac:dyDescent="0.2">
      <x:c r="C328" s="778" t="s">
        <x:v>160</x:v>
      </x:c>
      <x:c r="D328" s="776" t="s">
        <x:v>132</x:v>
      </x:c>
      <x:c r="E328" s="223" t="s">
        <x:v>70</x:v>
      </x:c>
      <x:c r="F328" s="225">
        <x:f>F269+F213+F141-L141-L213</x:f>
        <x:v>0</x:v>
      </x:c>
      <x:c r="G328" s="225">
        <x:f>G213+G141</x:f>
        <x:v>0</x:v>
      </x:c>
      <x:c r="H328" s="225">
        <x:f t="shared" ref="H328:AP328" si="11">H213+H141</x:f>
        <x:v>0</x:v>
      </x:c>
      <x:c r="I328" s="225">
        <x:f t="shared" si="11"/>
        <x:v>0</x:v>
      </x:c>
      <x:c r="J328" s="225">
        <x:f t="shared" si="11"/>
        <x:v>0</x:v>
      </x:c>
      <x:c r="K328" s="225">
        <x:f t="shared" si="11"/>
        <x:v>0</x:v>
      </x:c>
      <x:c r="L328" s="225">
        <x:f t="shared" si="11"/>
        <x:v>0</x:v>
      </x:c>
      <x:c r="M328" s="225">
        <x:f t="shared" si="11"/>
        <x:v>0</x:v>
      </x:c>
      <x:c r="N328" s="225">
        <x:f t="shared" si="11"/>
        <x:v>0</x:v>
      </x:c>
      <x:c r="O328" s="225">
        <x:f t="shared" si="11"/>
        <x:v>0</x:v>
      </x:c>
      <x:c r="P328" s="225">
        <x:f t="shared" si="11"/>
        <x:v>0</x:v>
      </x:c>
      <x:c r="Q328" s="225">
        <x:f t="shared" si="11"/>
        <x:v>0</x:v>
      </x:c>
      <x:c r="R328" s="225">
        <x:f t="shared" si="11"/>
        <x:v>0</x:v>
      </x:c>
      <x:c r="S328" s="225">
        <x:f t="shared" si="11"/>
        <x:v>0</x:v>
      </x:c>
      <x:c r="T328" s="225">
        <x:f t="shared" si="11"/>
        <x:v>0</x:v>
      </x:c>
      <x:c r="U328" s="225">
        <x:f t="shared" si="11"/>
        <x:v>0</x:v>
      </x:c>
      <x:c r="V328" s="225">
        <x:f t="shared" si="11"/>
        <x:v>0</x:v>
      </x:c>
      <x:c r="W328" s="225">
        <x:f t="shared" si="11"/>
        <x:v>0</x:v>
      </x:c>
      <x:c r="X328" s="225">
        <x:f t="shared" si="11"/>
        <x:v>0</x:v>
      </x:c>
      <x:c r="Y328" s="225">
        <x:f t="shared" si="11"/>
        <x:v>0</x:v>
      </x:c>
      <x:c r="Z328" s="225">
        <x:f t="shared" si="11"/>
        <x:v>0</x:v>
      </x:c>
      <x:c r="AA328" s="225">
        <x:f t="shared" si="11"/>
        <x:v>0</x:v>
      </x:c>
      <x:c r="AB328" s="225">
        <x:f t="shared" si="11"/>
        <x:v>0</x:v>
      </x:c>
      <x:c r="AC328" s="225">
        <x:f t="shared" si="11"/>
        <x:v>0</x:v>
      </x:c>
      <x:c r="AD328" s="225">
        <x:f t="shared" si="11"/>
        <x:v>0</x:v>
      </x:c>
      <x:c r="AE328" s="225">
        <x:f t="shared" si="11"/>
        <x:v>0</x:v>
      </x:c>
      <x:c r="AF328" s="225">
        <x:f t="shared" si="11"/>
        <x:v>0</x:v>
      </x:c>
      <x:c r="AG328" s="225">
        <x:f t="shared" si="11"/>
        <x:v>0</x:v>
      </x:c>
      <x:c r="AH328" s="225">
        <x:f t="shared" si="11"/>
        <x:v>0</x:v>
      </x:c>
      <x:c r="AI328" s="225">
        <x:f t="shared" si="11"/>
        <x:v>0</x:v>
      </x:c>
      <x:c r="AJ328" s="225">
        <x:f t="shared" si="11"/>
        <x:v>0</x:v>
      </x:c>
      <x:c r="AK328" s="225">
        <x:f t="shared" si="11"/>
        <x:v>0</x:v>
      </x:c>
      <x:c r="AL328" s="225">
        <x:f t="shared" si="11"/>
        <x:v>0</x:v>
      </x:c>
      <x:c r="AM328" s="225">
        <x:f t="shared" si="11"/>
        <x:v>0</x:v>
      </x:c>
      <x:c r="AN328" s="225">
        <x:f t="shared" si="11"/>
        <x:v>0</x:v>
      </x:c>
      <x:c r="AO328" s="225">
        <x:f t="shared" si="11"/>
        <x:v>0</x:v>
      </x:c>
      <x:c r="AP328" s="225">
        <x:f t="shared" si="11"/>
        <x:v>0</x:v>
      </x:c>
    </x:row>
    <x:row r="329" spans="1:42" ht="12.75" customHeight="1" x14ac:dyDescent="0.2">
      <x:c r="C329" s="778"/>
      <x:c r="D329" s="776"/>
      <x:c r="E329" s="223" t="s">
        <x:v>73</x:v>
      </x:c>
      <x:c r="F329" s="225">
        <x:f>F269</x:f>
        <x:v>0</x:v>
      </x:c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</x:row>
    <x:row r="330" spans="1:42" ht="12.75" customHeight="1" x14ac:dyDescent="0.2">
      <x:c r="C330" s="778"/>
      <x:c r="D330" s="776" t="s">
        <x:v>133</x:v>
      </x:c>
      <x:c r="E330" s="227" t="s">
        <x:v>70</x:v>
      </x:c>
      <x:c r="F330" s="228">
        <x:f>F243+F176-L176</x:f>
        <x:v>0</x:v>
      </x:c>
      <x:c r="G330" s="228">
        <x:f>G176</x:f>
        <x:v>0</x:v>
      </x:c>
      <x:c r="H330" s="228">
        <x:f t="shared" ref="H330:AP330" si="12">H176</x:f>
        <x:v>0</x:v>
      </x:c>
      <x:c r="I330" s="228">
        <x:f t="shared" si="12"/>
        <x:v>0</x:v>
      </x:c>
      <x:c r="J330" s="228">
        <x:f t="shared" si="12"/>
        <x:v>0</x:v>
      </x:c>
      <x:c r="K330" s="228">
        <x:f t="shared" si="12"/>
        <x:v>0</x:v>
      </x:c>
      <x:c r="L330" s="228">
        <x:f t="shared" si="12"/>
        <x:v>0</x:v>
      </x:c>
      <x:c r="M330" s="228">
        <x:f t="shared" si="12"/>
        <x:v>0</x:v>
      </x:c>
      <x:c r="N330" s="228">
        <x:f t="shared" si="12"/>
        <x:v>0</x:v>
      </x:c>
      <x:c r="O330" s="228">
        <x:f t="shared" si="12"/>
        <x:v>0</x:v>
      </x:c>
      <x:c r="P330" s="228">
        <x:f t="shared" si="12"/>
        <x:v>0</x:v>
      </x:c>
      <x:c r="Q330" s="228">
        <x:f t="shared" si="12"/>
        <x:v>0</x:v>
      </x:c>
      <x:c r="R330" s="228">
        <x:f t="shared" si="12"/>
        <x:v>0</x:v>
      </x:c>
      <x:c r="S330" s="228">
        <x:f t="shared" si="12"/>
        <x:v>0</x:v>
      </x:c>
      <x:c r="T330" s="228">
        <x:f t="shared" si="12"/>
        <x:v>0</x:v>
      </x:c>
      <x:c r="U330" s="228">
        <x:f t="shared" si="12"/>
        <x:v>0</x:v>
      </x:c>
      <x:c r="V330" s="228">
        <x:f t="shared" si="12"/>
        <x:v>0</x:v>
      </x:c>
      <x:c r="W330" s="228">
        <x:f t="shared" si="12"/>
        <x:v>0</x:v>
      </x:c>
      <x:c r="X330" s="228">
        <x:f t="shared" si="12"/>
        <x:v>0</x:v>
      </x:c>
      <x:c r="Y330" s="228">
        <x:f t="shared" si="12"/>
        <x:v>0</x:v>
      </x:c>
      <x:c r="Z330" s="228">
        <x:f t="shared" si="12"/>
        <x:v>0</x:v>
      </x:c>
      <x:c r="AA330" s="228">
        <x:f t="shared" si="12"/>
        <x:v>0</x:v>
      </x:c>
      <x:c r="AB330" s="228">
        <x:f t="shared" si="12"/>
        <x:v>0</x:v>
      </x:c>
      <x:c r="AC330" s="228">
        <x:f t="shared" si="12"/>
        <x:v>0</x:v>
      </x:c>
      <x:c r="AD330" s="228">
        <x:f t="shared" si="12"/>
        <x:v>0</x:v>
      </x:c>
      <x:c r="AE330" s="228">
        <x:f t="shared" si="12"/>
        <x:v>0</x:v>
      </x:c>
      <x:c r="AF330" s="228">
        <x:f t="shared" si="12"/>
        <x:v>0</x:v>
      </x:c>
      <x:c r="AG330" s="228">
        <x:f t="shared" si="12"/>
        <x:v>0</x:v>
      </x:c>
      <x:c r="AH330" s="228">
        <x:f t="shared" si="12"/>
        <x:v>0</x:v>
      </x:c>
      <x:c r="AI330" s="228">
        <x:f t="shared" si="12"/>
        <x:v>0</x:v>
      </x:c>
      <x:c r="AJ330" s="228">
        <x:f t="shared" si="12"/>
        <x:v>0</x:v>
      </x:c>
      <x:c r="AK330" s="228">
        <x:f t="shared" si="12"/>
        <x:v>0</x:v>
      </x:c>
      <x:c r="AL330" s="228">
        <x:f t="shared" si="12"/>
        <x:v>0</x:v>
      </x:c>
      <x:c r="AM330" s="228">
        <x:f t="shared" si="12"/>
        <x:v>0</x:v>
      </x:c>
      <x:c r="AN330" s="228">
        <x:f t="shared" si="12"/>
        <x:v>0</x:v>
      </x:c>
      <x:c r="AO330" s="228">
        <x:f t="shared" si="12"/>
        <x:v>0</x:v>
      </x:c>
      <x:c r="AP330" s="228">
        <x:f t="shared" si="12"/>
        <x:v>0</x:v>
      </x:c>
    </x:row>
    <x:row r="331" spans="1:42" ht="12.75" customHeight="1" x14ac:dyDescent="0.2">
      <x:c r="C331" s="778"/>
      <x:c r="D331" s="776"/>
      <x:c r="E331" s="227" t="s">
        <x:v>73</x:v>
      </x:c>
      <x:c r="F331" s="228">
        <x:f>F243</x:f>
        <x:v>0</x:v>
      </x:c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  <x:c r="R331" s="90"/>
    </x:row>
    <x:row r="332" spans="1:42" ht="12.75" customHeight="1" x14ac:dyDescent="0.2">
      <x:c r="A332" s="89"/>
      <x:c r="C332" s="97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  <x:c r="R332" s="90"/>
      <x:c r="S332" s="90"/>
    </x:row>
    <x:row r="333" spans="1:42" ht="12.75" customHeight="1" x14ac:dyDescent="0.2">
      <x:c r="C333" s="778" t="s">
        <x:v>155</x:v>
      </x:c>
      <x:c r="D333" s="776" t="s">
        <x:v>132</x:v>
      </x:c>
      <x:c r="E333" s="221" t="s">
        <x:v>70</x:v>
      </x:c>
      <x:c r="F333" s="222">
        <x:f>F254+F191+F126-L126-L191</x:f>
        <x:v>0</x:v>
      </x:c>
      <x:c r="G333" s="222">
        <x:f t="shared" ref="G333:AA333" si="13">G191+G126</x:f>
        <x:v>0</x:v>
      </x:c>
      <x:c r="H333" s="222">
        <x:f t="shared" si="13"/>
        <x:v>0</x:v>
      </x:c>
      <x:c r="I333" s="222">
        <x:f t="shared" si="13"/>
        <x:v>0</x:v>
      </x:c>
      <x:c r="J333" s="222">
        <x:f t="shared" si="13"/>
        <x:v>0</x:v>
      </x:c>
      <x:c r="K333" s="222">
        <x:f t="shared" si="13"/>
        <x:v>0</x:v>
      </x:c>
      <x:c r="L333" s="222">
        <x:f t="shared" si="13"/>
        <x:v>0</x:v>
      </x:c>
      <x:c r="M333" s="222">
        <x:f t="shared" si="13"/>
        <x:v>0</x:v>
      </x:c>
      <x:c r="N333" s="222">
        <x:f t="shared" si="13"/>
        <x:v>0</x:v>
      </x:c>
      <x:c r="O333" s="222">
        <x:f t="shared" si="13"/>
        <x:v>0</x:v>
      </x:c>
      <x:c r="P333" s="222">
        <x:f t="shared" si="13"/>
        <x:v>0</x:v>
      </x:c>
      <x:c r="Q333" s="222">
        <x:f t="shared" si="13"/>
        <x:v>0</x:v>
      </x:c>
      <x:c r="R333" s="222">
        <x:f t="shared" si="13"/>
        <x:v>0</x:v>
      </x:c>
      <x:c r="S333" s="222">
        <x:f t="shared" si="13"/>
        <x:v>0</x:v>
      </x:c>
      <x:c r="T333" s="222">
        <x:f t="shared" si="13"/>
        <x:v>0</x:v>
      </x:c>
      <x:c r="U333" s="222">
        <x:f t="shared" si="13"/>
        <x:v>0</x:v>
      </x:c>
      <x:c r="V333" s="222">
        <x:f t="shared" si="13"/>
        <x:v>0</x:v>
      </x:c>
      <x:c r="W333" s="222">
        <x:f t="shared" si="13"/>
        <x:v>0</x:v>
      </x:c>
      <x:c r="X333" s="222">
        <x:f t="shared" si="13"/>
        <x:v>0</x:v>
      </x:c>
      <x:c r="Y333" s="222">
        <x:f t="shared" si="13"/>
        <x:v>0</x:v>
      </x:c>
      <x:c r="Z333" s="222">
        <x:f t="shared" si="13"/>
        <x:v>0</x:v>
      </x:c>
      <x:c r="AA333" s="222">
        <x:f t="shared" si="13"/>
        <x:v>0</x:v>
      </x:c>
    </x:row>
    <x:row r="334" spans="1:42" ht="12.75" customHeight="1" x14ac:dyDescent="0.2">
      <x:c r="C334" s="778"/>
      <x:c r="D334" s="776"/>
      <x:c r="E334" s="221" t="s">
        <x:v>73</x:v>
      </x:c>
      <x:c r="F334" s="222">
        <x:f>F254</x:f>
        <x:v>0</x:v>
      </x:c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</x:row>
    <x:row r="335" spans="1:42" ht="12.75" customHeight="1" x14ac:dyDescent="0.2">
      <x:c r="C335" s="778"/>
      <x:c r="D335" s="776" t="s">
        <x:v>133</x:v>
      </x:c>
      <x:c r="E335" s="229" t="s">
        <x:v>70</x:v>
      </x:c>
      <x:c r="F335" s="230">
        <x:f>F228+F154-L154</x:f>
        <x:v>0</x:v>
      </x:c>
      <x:c r="G335" s="230">
        <x:f>G154</x:f>
        <x:v>0</x:v>
      </x:c>
      <x:c r="H335" s="230">
        <x:f t="shared" ref="H335:AP335" si="14">H154</x:f>
        <x:v>0</x:v>
      </x:c>
      <x:c r="I335" s="230">
        <x:f t="shared" si="14"/>
        <x:v>0</x:v>
      </x:c>
      <x:c r="J335" s="230">
        <x:f t="shared" si="14"/>
        <x:v>0</x:v>
      </x:c>
      <x:c r="K335" s="230">
        <x:f t="shared" si="14"/>
        <x:v>0</x:v>
      </x:c>
      <x:c r="L335" s="230">
        <x:f t="shared" si="14"/>
        <x:v>0</x:v>
      </x:c>
      <x:c r="M335" s="230">
        <x:f t="shared" si="14"/>
        <x:v>0</x:v>
      </x:c>
      <x:c r="N335" s="230">
        <x:f t="shared" si="14"/>
        <x:v>0</x:v>
      </x:c>
      <x:c r="O335" s="230">
        <x:f t="shared" si="14"/>
        <x:v>0</x:v>
      </x:c>
      <x:c r="P335" s="230">
        <x:f t="shared" si="14"/>
        <x:v>0</x:v>
      </x:c>
      <x:c r="Q335" s="230">
        <x:f t="shared" si="14"/>
        <x:v>0</x:v>
      </x:c>
      <x:c r="R335" s="230">
        <x:f t="shared" si="14"/>
        <x:v>0</x:v>
      </x:c>
      <x:c r="S335" s="230">
        <x:f t="shared" si="14"/>
        <x:v>0</x:v>
      </x:c>
      <x:c r="T335" s="230">
        <x:f t="shared" si="14"/>
        <x:v>0</x:v>
      </x:c>
      <x:c r="U335" s="230">
        <x:f t="shared" si="14"/>
        <x:v>0</x:v>
      </x:c>
      <x:c r="V335" s="230">
        <x:f t="shared" si="14"/>
        <x:v>0</x:v>
      </x:c>
      <x:c r="W335" s="230">
        <x:f t="shared" si="14"/>
        <x:v>0</x:v>
      </x:c>
      <x:c r="X335" s="230">
        <x:f t="shared" si="14"/>
        <x:v>0</x:v>
      </x:c>
      <x:c r="Y335" s="230">
        <x:f t="shared" si="14"/>
        <x:v>0</x:v>
      </x:c>
      <x:c r="Z335" s="230">
        <x:f t="shared" si="14"/>
        <x:v>0</x:v>
      </x:c>
      <x:c r="AA335" s="230">
        <x:f t="shared" si="14"/>
        <x:v>0</x:v>
      </x:c>
      <x:c r="AB335" s="230">
        <x:f t="shared" si="14"/>
        <x:v>0</x:v>
      </x:c>
      <x:c r="AC335" s="230">
        <x:f t="shared" si="14"/>
        <x:v>0</x:v>
      </x:c>
      <x:c r="AD335" s="230">
        <x:f t="shared" si="14"/>
        <x:v>0</x:v>
      </x:c>
      <x:c r="AE335" s="230">
        <x:f t="shared" si="14"/>
        <x:v>0</x:v>
      </x:c>
      <x:c r="AF335" s="230">
        <x:f t="shared" si="14"/>
        <x:v>0</x:v>
      </x:c>
      <x:c r="AG335" s="230">
        <x:f t="shared" si="14"/>
        <x:v>0</x:v>
      </x:c>
      <x:c r="AH335" s="230">
        <x:f t="shared" si="14"/>
        <x:v>0</x:v>
      </x:c>
      <x:c r="AI335" s="230">
        <x:f t="shared" si="14"/>
        <x:v>0</x:v>
      </x:c>
      <x:c r="AJ335" s="230">
        <x:f t="shared" si="14"/>
        <x:v>0</x:v>
      </x:c>
      <x:c r="AK335" s="230">
        <x:f t="shared" si="14"/>
        <x:v>0</x:v>
      </x:c>
      <x:c r="AL335" s="230">
        <x:f t="shared" si="14"/>
        <x:v>0</x:v>
      </x:c>
      <x:c r="AM335" s="230">
        <x:f t="shared" si="14"/>
        <x:v>0</x:v>
      </x:c>
      <x:c r="AN335" s="230">
        <x:f t="shared" si="14"/>
        <x:v>0</x:v>
      </x:c>
      <x:c r="AO335" s="230">
        <x:f t="shared" si="14"/>
        <x:v>0</x:v>
      </x:c>
      <x:c r="AP335" s="230">
        <x:f t="shared" si="14"/>
        <x:v>0</x:v>
      </x:c>
    </x:row>
    <x:row r="336" spans="1:42" ht="12.75" customHeight="1" x14ac:dyDescent="0.2">
      <x:c r="C336" s="778"/>
      <x:c r="D336" s="776"/>
      <x:c r="E336" s="229" t="s">
        <x:v>73</x:v>
      </x:c>
      <x:c r="F336" s="230">
        <x:f>F228</x:f>
        <x:v>0</x:v>
      </x:c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</x:row>
    <x:row r="337" spans="1:42" ht="12.75" customHeight="1" x14ac:dyDescent="0.2">
      <x:c r="A337" s="89"/>
      <x:c r="C337" s="97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  <x:c r="R337" s="90"/>
      <x:c r="S337" s="90"/>
    </x:row>
    <x:row r="338" spans="1:42" ht="12.75" customHeight="1" x14ac:dyDescent="0.2">
      <x:c r="C338" s="779" t="s">
        <x:v>326</x:v>
      </x:c>
      <x:c r="D338" s="776" t="s">
        <x:v>132</x:v>
      </x:c>
      <x:c r="E338" s="373" t="s">
        <x:v>70</x:v>
      </x:c>
      <x:c r="F338" s="374">
        <x:v>0</x:v>
      </x:c>
      <x:c r="G338" s="374">
        <x:v>0</x:v>
      </x:c>
      <x:c r="H338" s="374">
        <x:v>0</x:v>
      </x:c>
      <x:c r="I338" s="374">
        <x:v>0</x:v>
      </x:c>
      <x:c r="J338" s="374">
        <x:v>0</x:v>
      </x:c>
      <x:c r="K338" s="374">
        <x:v>0</x:v>
      </x:c>
      <x:c r="L338" s="374">
        <x:v>0</x:v>
      </x:c>
      <x:c r="M338" s="374">
        <x:v>0</x:v>
      </x:c>
      <x:c r="N338" s="374">
        <x:v>0</x:v>
      </x:c>
      <x:c r="O338" s="374">
        <x:v>0</x:v>
      </x:c>
      <x:c r="P338" s="374">
        <x:v>0</x:v>
      </x:c>
      <x:c r="Q338" s="374">
        <x:v>0</x:v>
      </x:c>
      <x:c r="R338" s="374">
        <x:v>0</x:v>
      </x:c>
      <x:c r="S338" s="374">
        <x:v>0</x:v>
      </x:c>
      <x:c r="T338" s="374">
        <x:v>0</x:v>
      </x:c>
      <x:c r="U338" s="374">
        <x:v>0</x:v>
      </x:c>
      <x:c r="V338" s="374">
        <x:v>0</x:v>
      </x:c>
      <x:c r="W338" s="374">
        <x:v>0</x:v>
      </x:c>
      <x:c r="X338" s="374">
        <x:v>0</x:v>
      </x:c>
      <x:c r="Y338" s="374">
        <x:v>0</x:v>
      </x:c>
      <x:c r="Z338" s="374">
        <x:v>0</x:v>
      </x:c>
      <x:c r="AA338" s="374">
        <x:v>0</x:v>
      </x:c>
      <x:c r="AB338" s="374">
        <x:v>0</x:v>
      </x:c>
      <x:c r="AC338" s="374">
        <x:v>0</x:v>
      </x:c>
      <x:c r="AD338" s="374">
        <x:v>0</x:v>
      </x:c>
      <x:c r="AE338" s="374">
        <x:v>0</x:v>
      </x:c>
      <x:c r="AF338" s="374">
        <x:v>0</x:v>
      </x:c>
      <x:c r="AG338" s="374">
        <x:v>0</x:v>
      </x:c>
      <x:c r="AH338" s="374">
        <x:v>0</x:v>
      </x:c>
      <x:c r="AI338" s="374">
        <x:v>0</x:v>
      </x:c>
      <x:c r="AJ338" s="374">
        <x:v>0</x:v>
      </x:c>
      <x:c r="AK338" s="374">
        <x:v>0</x:v>
      </x:c>
      <x:c r="AL338" s="374">
        <x:v>0</x:v>
      </x:c>
      <x:c r="AM338" s="374">
        <x:v>0</x:v>
      </x:c>
      <x:c r="AN338" s="374">
        <x:v>0</x:v>
      </x:c>
      <x:c r="AO338" s="374">
        <x:v>0</x:v>
      </x:c>
    </x:row>
    <x:row r="339" spans="1:42" ht="12.75" customHeight="1" x14ac:dyDescent="0.2">
      <x:c r="C339" s="779"/>
      <x:c r="D339" s="776"/>
      <x:c r="E339" s="373" t="s">
        <x:v>73</x:v>
      </x:c>
      <x:c r="F339" s="374">
        <x:v>0</x:v>
      </x:c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</x:row>
    <x:row r="340" spans="1:42" ht="12.75" customHeight="1" x14ac:dyDescent="0.2">
      <x:c r="C340" s="779"/>
      <x:c r="D340" s="776" t="s">
        <x:v>133</x:v>
      </x:c>
      <x:c r="E340" s="242" t="s">
        <x:v>70</x:v>
      </x:c>
      <x:c r="F340" s="243">
        <x:v>0</x:v>
      </x:c>
      <x:c r="G340" s="243">
        <x:v>0</x:v>
      </x:c>
      <x:c r="H340" s="243">
        <x:v>0</x:v>
      </x:c>
      <x:c r="I340" s="243">
        <x:v>0</x:v>
      </x:c>
      <x:c r="J340" s="243">
        <x:v>0</x:v>
      </x:c>
      <x:c r="K340" s="243">
        <x:v>0</x:v>
      </x:c>
      <x:c r="L340" s="243">
        <x:v>0</x:v>
      </x:c>
      <x:c r="M340" s="243">
        <x:v>0</x:v>
      </x:c>
      <x:c r="N340" s="243">
        <x:v>0</x:v>
      </x:c>
      <x:c r="O340" s="243">
        <x:v>0</x:v>
      </x:c>
      <x:c r="P340" s="243">
        <x:v>0</x:v>
      </x:c>
      <x:c r="Q340" s="243">
        <x:v>0</x:v>
      </x:c>
      <x:c r="R340" s="243">
        <x:v>0</x:v>
      </x:c>
      <x:c r="S340" s="243">
        <x:v>0</x:v>
      </x:c>
      <x:c r="T340" s="243">
        <x:v>0</x:v>
      </x:c>
      <x:c r="U340" s="243">
        <x:v>0</x:v>
      </x:c>
      <x:c r="V340" s="243">
        <x:v>0</x:v>
      </x:c>
      <x:c r="W340" s="243">
        <x:v>0</x:v>
      </x:c>
      <x:c r="X340" s="243">
        <x:v>0</x:v>
      </x:c>
      <x:c r="Y340" s="243">
        <x:v>0</x:v>
      </x:c>
      <x:c r="Z340" s="243">
        <x:v>0</x:v>
      </x:c>
      <x:c r="AA340" s="243">
        <x:v>0</x:v>
      </x:c>
      <x:c r="AB340" s="243">
        <x:v>0</x:v>
      </x:c>
      <x:c r="AC340" s="243">
        <x:v>0</x:v>
      </x:c>
      <x:c r="AD340" s="243">
        <x:v>0</x:v>
      </x:c>
      <x:c r="AE340" s="243">
        <x:v>0</x:v>
      </x:c>
      <x:c r="AF340" s="243">
        <x:v>0</x:v>
      </x:c>
      <x:c r="AG340" s="243">
        <x:v>0</x:v>
      </x:c>
      <x:c r="AH340" s="243">
        <x:v>0</x:v>
      </x:c>
      <x:c r="AI340" s="243">
        <x:v>0</x:v>
      </x:c>
      <x:c r="AJ340" s="243">
        <x:v>0</x:v>
      </x:c>
      <x:c r="AK340" s="243">
        <x:v>0</x:v>
      </x:c>
      <x:c r="AL340" s="243">
        <x:v>0</x:v>
      </x:c>
      <x:c r="AM340" s="243">
        <x:v>0</x:v>
      </x:c>
      <x:c r="AN340" s="243">
        <x:v>0</x:v>
      </x:c>
      <x:c r="AO340" s="243">
        <x:v>0</x:v>
      </x:c>
    </x:row>
    <x:row r="341" spans="1:42" ht="12.75" customHeight="1" x14ac:dyDescent="0.2">
      <x:c r="C341" s="779"/>
      <x:c r="D341" s="776"/>
      <x:c r="E341" s="242" t="s">
        <x:v>73</x:v>
      </x:c>
      <x:c r="F341" s="243">
        <x:v>0</x:v>
      </x:c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  <x:c r="R341" s="90"/>
    </x:row>
    <x:row r="342" spans="1:42" ht="12.75" customHeight="1" x14ac:dyDescent="0.2">
      <x:c r="A342" s="89"/>
      <x:c r="C342" s="97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  <x:c r="R342" s="90"/>
      <x:c r="S342" s="90"/>
    </x:row>
    <x:row r="343" spans="1:42" ht="12.75" customHeight="1" x14ac:dyDescent="0.2">
      <x:c r="C343" s="778" t="s">
        <x:v>119</x:v>
      </x:c>
      <x:c r="D343" s="776" t="s">
        <x:v>132</x:v>
      </x:c>
      <x:c r="E343" s="101" t="s">
        <x:v>70</x:v>
      </x:c>
      <x:c r="F343" s="93">
        <x:f>F276+F223+F148-L148-L223</x:f>
        <x:v>0</x:v>
      </x:c>
      <x:c r="G343" s="93">
        <x:f t="shared" ref="G343:AP343" si="15">G223+G148</x:f>
        <x:v>0</x:v>
      </x:c>
      <x:c r="H343" s="93">
        <x:f t="shared" si="15"/>
        <x:v>0</x:v>
      </x:c>
      <x:c r="I343" s="93">
        <x:f t="shared" si="15"/>
        <x:v>0</x:v>
      </x:c>
      <x:c r="J343" s="93">
        <x:f t="shared" si="15"/>
        <x:v>0</x:v>
      </x:c>
      <x:c r="K343" s="93">
        <x:f t="shared" si="15"/>
        <x:v>0</x:v>
      </x:c>
      <x:c r="L343" s="93">
        <x:f t="shared" si="15"/>
        <x:v>0</x:v>
      </x:c>
      <x:c r="M343" s="93">
        <x:f t="shared" si="15"/>
        <x:v>0</x:v>
      </x:c>
      <x:c r="N343" s="93">
        <x:f t="shared" si="15"/>
        <x:v>0</x:v>
      </x:c>
      <x:c r="O343" s="93">
        <x:f t="shared" si="15"/>
        <x:v>0</x:v>
      </x:c>
      <x:c r="P343" s="93">
        <x:f t="shared" si="15"/>
        <x:v>0</x:v>
      </x:c>
      <x:c r="Q343" s="93">
        <x:f t="shared" si="15"/>
        <x:v>0</x:v>
      </x:c>
      <x:c r="R343" s="93">
        <x:f t="shared" si="15"/>
        <x:v>0</x:v>
      </x:c>
      <x:c r="S343" s="93">
        <x:f t="shared" si="15"/>
        <x:v>0</x:v>
      </x:c>
      <x:c r="T343" s="93">
        <x:f t="shared" si="15"/>
        <x:v>0</x:v>
      </x:c>
      <x:c r="U343" s="93">
        <x:f t="shared" si="15"/>
        <x:v>0</x:v>
      </x:c>
      <x:c r="V343" s="93">
        <x:f t="shared" si="15"/>
        <x:v>0</x:v>
      </x:c>
      <x:c r="W343" s="93">
        <x:f t="shared" si="15"/>
        <x:v>0</x:v>
      </x:c>
      <x:c r="X343" s="93">
        <x:f t="shared" si="15"/>
        <x:v>0</x:v>
      </x:c>
      <x:c r="Y343" s="93">
        <x:f t="shared" si="15"/>
        <x:v>0</x:v>
      </x:c>
      <x:c r="Z343" s="93">
        <x:f t="shared" si="15"/>
        <x:v>0</x:v>
      </x:c>
      <x:c r="AA343" s="93">
        <x:f t="shared" si="15"/>
        <x:v>0</x:v>
      </x:c>
      <x:c r="AB343" s="93">
        <x:f t="shared" si="15"/>
        <x:v>0</x:v>
      </x:c>
      <x:c r="AC343" s="93">
        <x:f t="shared" si="15"/>
        <x:v>0</x:v>
      </x:c>
      <x:c r="AD343" s="93">
        <x:f t="shared" si="15"/>
        <x:v>0</x:v>
      </x:c>
      <x:c r="AE343" s="93">
        <x:f t="shared" si="15"/>
        <x:v>0</x:v>
      </x:c>
      <x:c r="AF343" s="93">
        <x:f t="shared" si="15"/>
        <x:v>0</x:v>
      </x:c>
      <x:c r="AG343" s="93">
        <x:f t="shared" si="15"/>
        <x:v>0</x:v>
      </x:c>
      <x:c r="AH343" s="93">
        <x:f t="shared" si="15"/>
        <x:v>0</x:v>
      </x:c>
      <x:c r="AI343" s="93">
        <x:f t="shared" si="15"/>
        <x:v>0</x:v>
      </x:c>
      <x:c r="AJ343" s="93">
        <x:f t="shared" si="15"/>
        <x:v>0</x:v>
      </x:c>
      <x:c r="AK343" s="93">
        <x:f t="shared" si="15"/>
        <x:v>0</x:v>
      </x:c>
      <x:c r="AL343" s="93">
        <x:f t="shared" si="15"/>
        <x:v>0</x:v>
      </x:c>
      <x:c r="AM343" s="93">
        <x:f t="shared" si="15"/>
        <x:v>0</x:v>
      </x:c>
      <x:c r="AN343" s="93">
        <x:f t="shared" si="15"/>
        <x:v>0</x:v>
      </x:c>
      <x:c r="AO343" s="93">
        <x:f t="shared" si="15"/>
        <x:v>0</x:v>
      </x:c>
      <x:c r="AP343" s="93">
        <x:f t="shared" si="15"/>
        <x:v>0</x:v>
      </x:c>
    </x:row>
    <x:row r="344" spans="1:42" ht="12.75" customHeight="1" x14ac:dyDescent="0.2">
      <x:c r="C344" s="778"/>
      <x:c r="D344" s="776"/>
      <x:c r="E344" s="101" t="s">
        <x:v>73</x:v>
      </x:c>
      <x:c r="F344" s="93">
        <x:f>F276</x:f>
        <x:v>0</x:v>
      </x:c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</x:row>
    <x:row r="345" spans="1:42" ht="12.75" customHeight="1" x14ac:dyDescent="0.2">
      <x:c r="C345" s="778"/>
      <x:c r="D345" s="776" t="s">
        <x:v>133</x:v>
      </x:c>
      <x:c r="E345" s="235" t="s">
        <x:v>70</x:v>
      </x:c>
      <x:c r="F345" s="236">
        <x:f>F250+F186-L186</x:f>
        <x:v>0</x:v>
      </x:c>
      <x:c r="G345" s="236">
        <x:f>G186</x:f>
        <x:v>0</x:v>
      </x:c>
      <x:c r="H345" s="236">
        <x:f t="shared" ref="H345:AP345" si="16">H186</x:f>
        <x:v>0</x:v>
      </x:c>
      <x:c r="I345" s="236">
        <x:f t="shared" si="16"/>
        <x:v>0</x:v>
      </x:c>
      <x:c r="J345" s="236">
        <x:f t="shared" si="16"/>
        <x:v>0</x:v>
      </x:c>
      <x:c r="K345" s="236">
        <x:f t="shared" si="16"/>
        <x:v>0</x:v>
      </x:c>
      <x:c r="L345" s="236">
        <x:f t="shared" si="16"/>
        <x:v>0</x:v>
      </x:c>
      <x:c r="M345" s="236">
        <x:f t="shared" si="16"/>
        <x:v>0</x:v>
      </x:c>
      <x:c r="N345" s="236">
        <x:f t="shared" si="16"/>
        <x:v>0</x:v>
      </x:c>
      <x:c r="O345" s="236">
        <x:f t="shared" si="16"/>
        <x:v>0</x:v>
      </x:c>
      <x:c r="P345" s="236">
        <x:f t="shared" si="16"/>
        <x:v>0</x:v>
      </x:c>
      <x:c r="Q345" s="236">
        <x:f t="shared" si="16"/>
        <x:v>0</x:v>
      </x:c>
      <x:c r="R345" s="236">
        <x:f t="shared" si="16"/>
        <x:v>0</x:v>
      </x:c>
      <x:c r="S345" s="236">
        <x:f t="shared" si="16"/>
        <x:v>0</x:v>
      </x:c>
      <x:c r="T345" s="236">
        <x:f t="shared" si="16"/>
        <x:v>0</x:v>
      </x:c>
      <x:c r="U345" s="236">
        <x:f t="shared" si="16"/>
        <x:v>0</x:v>
      </x:c>
      <x:c r="V345" s="236">
        <x:f t="shared" si="16"/>
        <x:v>0</x:v>
      </x:c>
      <x:c r="W345" s="236">
        <x:f t="shared" si="16"/>
        <x:v>0</x:v>
      </x:c>
      <x:c r="X345" s="236">
        <x:f t="shared" si="16"/>
        <x:v>0</x:v>
      </x:c>
      <x:c r="Y345" s="236">
        <x:f t="shared" si="16"/>
        <x:v>0</x:v>
      </x:c>
      <x:c r="Z345" s="236">
        <x:f t="shared" si="16"/>
        <x:v>0</x:v>
      </x:c>
      <x:c r="AA345" s="236">
        <x:f t="shared" si="16"/>
        <x:v>0</x:v>
      </x:c>
      <x:c r="AB345" s="236">
        <x:f t="shared" si="16"/>
        <x:v>0</x:v>
      </x:c>
      <x:c r="AC345" s="236">
        <x:f t="shared" si="16"/>
        <x:v>0</x:v>
      </x:c>
      <x:c r="AD345" s="236">
        <x:f t="shared" si="16"/>
        <x:v>0</x:v>
      </x:c>
      <x:c r="AE345" s="236">
        <x:f t="shared" si="16"/>
        <x:v>0</x:v>
      </x:c>
      <x:c r="AF345" s="236">
        <x:f t="shared" si="16"/>
        <x:v>0</x:v>
      </x:c>
      <x:c r="AG345" s="236">
        <x:f t="shared" si="16"/>
        <x:v>0</x:v>
      </x:c>
      <x:c r="AH345" s="236">
        <x:f t="shared" si="16"/>
        <x:v>0</x:v>
      </x:c>
      <x:c r="AI345" s="236">
        <x:f t="shared" si="16"/>
        <x:v>0</x:v>
      </x:c>
      <x:c r="AJ345" s="236">
        <x:f t="shared" si="16"/>
        <x:v>0</x:v>
      </x:c>
      <x:c r="AK345" s="236">
        <x:f t="shared" si="16"/>
        <x:v>0</x:v>
      </x:c>
      <x:c r="AL345" s="236">
        <x:f t="shared" si="16"/>
        <x:v>0</x:v>
      </x:c>
      <x:c r="AM345" s="236">
        <x:f t="shared" si="16"/>
        <x:v>0</x:v>
      </x:c>
      <x:c r="AN345" s="236">
        <x:f t="shared" si="16"/>
        <x:v>0</x:v>
      </x:c>
      <x:c r="AO345" s="236">
        <x:f t="shared" si="16"/>
        <x:v>0</x:v>
      </x:c>
      <x:c r="AP345" s="236">
        <x:f t="shared" si="16"/>
        <x:v>0</x:v>
      </x:c>
    </x:row>
    <x:row r="346" spans="1:42" ht="12.75" customHeight="1" x14ac:dyDescent="0.2">
      <x:c r="C346" s="778"/>
      <x:c r="D346" s="776"/>
      <x:c r="E346" s="235" t="s">
        <x:v>73</x:v>
      </x:c>
      <x:c r="F346" s="236">
        <x:f>F250</x:f>
        <x:v>0</x:v>
      </x:c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  <x:c r="R346" s="90"/>
    </x:row>
    <x:row r="347" spans="1:42" ht="12.75" customHeight="1" x14ac:dyDescent="0.2">
      <x:c r="A347" s="89"/>
      <x:c r="C347" s="97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  <x:c r="R347" s="90"/>
      <x:c r="S347" s="90"/>
    </x:row>
    <x:row r="348" spans="1:42" ht="12.75" customHeight="1" x14ac:dyDescent="0.2">
      <x:c r="C348" s="777" t="s">
        <x:v>161</x:v>
      </x:c>
      <x:c r="D348" s="776" t="s">
        <x:v>132</x:v>
      </x:c>
      <x:c r="E348" s="231" t="s">
        <x:v>70</x:v>
      </x:c>
      <x:c r="F348" s="232">
        <x:v>0</x:v>
      </x:c>
      <x:c r="G348" s="232">
        <x:v>0</x:v>
      </x:c>
      <x:c r="H348" s="232">
        <x:v>0</x:v>
      </x:c>
      <x:c r="I348" s="232">
        <x:v>0</x:v>
      </x:c>
      <x:c r="J348" s="232">
        <x:v>0</x:v>
      </x:c>
      <x:c r="K348" s="232">
        <x:v>0</x:v>
      </x:c>
      <x:c r="L348" s="232">
        <x:v>0</x:v>
      </x:c>
      <x:c r="M348" s="232">
        <x:v>0</x:v>
      </x:c>
      <x:c r="N348" s="232">
        <x:v>0</x:v>
      </x:c>
      <x:c r="O348" s="232">
        <x:v>0</x:v>
      </x:c>
      <x:c r="P348" s="232">
        <x:v>0</x:v>
      </x:c>
      <x:c r="Q348" s="232">
        <x:v>0</x:v>
      </x:c>
      <x:c r="R348" s="232">
        <x:v>0</x:v>
      </x:c>
      <x:c r="S348" s="232">
        <x:v>0</x:v>
      </x:c>
      <x:c r="T348" s="232">
        <x:v>0</x:v>
      </x:c>
      <x:c r="U348" s="232">
        <x:v>0</x:v>
      </x:c>
      <x:c r="V348" s="232">
        <x:v>0</x:v>
      </x:c>
      <x:c r="W348" s="232">
        <x:v>0</x:v>
      </x:c>
      <x:c r="X348" s="232">
        <x:v>0</x:v>
      </x:c>
      <x:c r="Y348" s="232"/>
      <x:c r="Z348" s="232">
        <x:v>0</x:v>
      </x:c>
      <x:c r="AA348" s="232">
        <x:v>0</x:v>
      </x:c>
      <x:c r="AB348" s="232">
        <x:v>0</x:v>
      </x:c>
      <x:c r="AC348" s="232">
        <x:v>0</x:v>
      </x:c>
      <x:c r="AD348" s="232">
        <x:v>0</x:v>
      </x:c>
      <x:c r="AE348" s="232">
        <x:v>0</x:v>
      </x:c>
      <x:c r="AF348" s="232">
        <x:v>0</x:v>
      </x:c>
      <x:c r="AG348" s="232">
        <x:v>0</x:v>
      </x:c>
      <x:c r="AH348" s="232">
        <x:v>0</x:v>
      </x:c>
      <x:c r="AI348" s="232">
        <x:v>0</x:v>
      </x:c>
      <x:c r="AJ348" s="232">
        <x:v>0</x:v>
      </x:c>
      <x:c r="AK348" s="232">
        <x:v>0</x:v>
      </x:c>
      <x:c r="AL348" s="232">
        <x:v>0</x:v>
      </x:c>
      <x:c r="AM348" s="232">
        <x:v>0</x:v>
      </x:c>
      <x:c r="AN348" s="232">
        <x:v>0</x:v>
      </x:c>
      <x:c r="AO348" s="232">
        <x:v>0</x:v>
      </x:c>
      <x:c r="AP348" s="232">
        <x:v>0</x:v>
      </x:c>
    </x:row>
    <x:row r="349" spans="1:42" ht="12.75" customHeight="1" x14ac:dyDescent="0.2">
      <x:c r="C349" s="777"/>
      <x:c r="D349" s="776"/>
      <x:c r="E349" s="231" t="s">
        <x:v>73</x:v>
      </x:c>
      <x:c r="F349" s="232">
        <x:v>0</x:v>
      </x:c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</x:row>
    <x:row r="350" spans="1:42" ht="12.75" customHeight="1" x14ac:dyDescent="0.2">
      <x:c r="C350" s="777"/>
      <x:c r="E350" s="148" t="s">
        <x:v>70</x:v>
      </x:c>
      <x:c r="F350" s="149">
        <x:v>0</x:v>
      </x:c>
      <x:c r="G350" s="149">
        <x:v>0</x:v>
      </x:c>
      <x:c r="H350" s="149">
        <x:v>0</x:v>
      </x:c>
      <x:c r="I350" s="149">
        <x:v>0</x:v>
      </x:c>
      <x:c r="J350" s="149">
        <x:v>0</x:v>
      </x:c>
      <x:c r="K350" s="149">
        <x:v>0</x:v>
      </x:c>
      <x:c r="L350" s="149">
        <x:v>0</x:v>
      </x:c>
      <x:c r="M350" s="149">
        <x:v>0</x:v>
      </x:c>
      <x:c r="N350" s="149">
        <x:v>0</x:v>
      </x:c>
      <x:c r="O350" s="149">
        <x:v>0</x:v>
      </x:c>
      <x:c r="P350" s="149">
        <x:v>0</x:v>
      </x:c>
      <x:c r="Q350" s="149">
        <x:v>0</x:v>
      </x:c>
      <x:c r="R350" s="149">
        <x:v>0</x:v>
      </x:c>
      <x:c r="S350" s="149">
        <x:v>0</x:v>
      </x:c>
      <x:c r="T350" s="149">
        <x:v>0</x:v>
      </x:c>
      <x:c r="U350" s="149">
        <x:v>0</x:v>
      </x:c>
      <x:c r="V350" s="149">
        <x:v>0</x:v>
      </x:c>
      <x:c r="W350" s="149">
        <x:v>0</x:v>
      </x:c>
      <x:c r="X350" s="149">
        <x:v>0</x:v>
      </x:c>
      <x:c r="Y350" s="149">
        <x:v>0</x:v>
      </x:c>
      <x:c r="Z350" s="149">
        <x:v>0</x:v>
      </x:c>
      <x:c r="AA350" s="149">
        <x:v>0</x:v>
      </x:c>
    </x:row>
    <x:row r="351" spans="1:42" ht="12.75" customHeight="1" x14ac:dyDescent="0.2">
      <x:c r="C351" s="777"/>
      <x:c r="D351" s="220" t="s">
        <x:v>132</x:v>
      </x:c>
      <x:c r="E351" s="148" t="s">
        <x:v>73</x:v>
      </x:c>
      <x:c r="F351" s="149">
        <x:v>0</x:v>
      </x:c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  <x:c r="R351" s="90"/>
    </x:row>
    <x:row r="352" spans="1:42" ht="12.75" customHeight="1" x14ac:dyDescent="0.2">
      <x:c r="C352" s="388"/>
      <x:c r="D352" s="220"/>
      <x:c r="E352" s="89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  <x:c r="R352" s="90"/>
    </x:row>
    <x:row r="353" spans="1:27" ht="12.75" customHeight="1" x14ac:dyDescent="0.2">
      <x:c r="D353" s="458" t="s">
        <x:v>186</x:v>
      </x:c>
      <x:c r="E353" s="459" t="s">
        <x:v>70</x:v>
      </x:c>
      <x:c r="F353" s="460">
        <x:f>F149</x:f>
        <x:v>0</x:v>
      </x:c>
      <x:c r="G353" s="460">
        <x:f t="shared" ref="G353:AA353" si="17">G149</x:f>
        <x:v>0</x:v>
      </x:c>
      <x:c r="H353" s="460">
        <x:f t="shared" si="17"/>
        <x:v>0</x:v>
      </x:c>
      <x:c r="I353" s="460">
        <x:f t="shared" si="17"/>
        <x:v>0</x:v>
      </x:c>
      <x:c r="J353" s="460">
        <x:f t="shared" si="17"/>
        <x:v>0</x:v>
      </x:c>
      <x:c r="K353" s="460">
        <x:f t="shared" si="17"/>
        <x:v>0</x:v>
      </x:c>
      <x:c r="L353" s="460">
        <x:f t="shared" si="17"/>
        <x:v>0</x:v>
      </x:c>
      <x:c r="M353" s="460">
        <x:f t="shared" si="17"/>
        <x:v>0</x:v>
      </x:c>
      <x:c r="N353" s="460">
        <x:f t="shared" si="17"/>
        <x:v>0</x:v>
      </x:c>
      <x:c r="O353" s="460">
        <x:f t="shared" si="17"/>
        <x:v>0</x:v>
      </x:c>
      <x:c r="P353" s="460">
        <x:f t="shared" si="17"/>
        <x:v>0</x:v>
      </x:c>
      <x:c r="Q353" s="460">
        <x:f t="shared" si="17"/>
        <x:v>0</x:v>
      </x:c>
      <x:c r="R353" s="460">
        <x:f t="shared" si="17"/>
        <x:v>0</x:v>
      </x:c>
      <x:c r="S353" s="460">
        <x:f t="shared" si="17"/>
        <x:v>0</x:v>
      </x:c>
      <x:c r="T353" s="460">
        <x:f t="shared" si="17"/>
        <x:v>0</x:v>
      </x:c>
      <x:c r="U353" s="460">
        <x:f t="shared" si="17"/>
        <x:v>0</x:v>
      </x:c>
      <x:c r="V353" s="460">
        <x:f t="shared" si="17"/>
        <x:v>0</x:v>
      </x:c>
      <x:c r="W353" s="460">
        <x:f t="shared" si="17"/>
        <x:v>0</x:v>
      </x:c>
      <x:c r="X353" s="460">
        <x:f t="shared" si="17"/>
        <x:v>0</x:v>
      </x:c>
      <x:c r="Y353" s="460">
        <x:f t="shared" si="17"/>
        <x:v>0</x:v>
      </x:c>
      <x:c r="Z353" s="460">
        <x:f t="shared" si="17"/>
        <x:v>0</x:v>
      </x:c>
      <x:c r="AA353" s="460">
        <x:f t="shared" si="17"/>
        <x:v>0</x:v>
      </x:c>
    </x:row>
    <x:row r="354" spans="1:27" ht="12.75" customHeight="1" x14ac:dyDescent="0.2">
      <x:c r="C354" s="388"/>
      <x:c r="D354" s="220"/>
      <x:c r="E354" s="89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  <x:c r="R354" s="90"/>
    </x:row>
    <x:row r="355" spans="1:27" s="238" customFormat="1" ht="12.75" customHeight="1" x14ac:dyDescent="0.2">
      <x:c r="D355" s="239"/>
      <x:c r="E355" s="240"/>
      <x:c r="F355" s="240"/>
      <x:c r="G355" s="240"/>
      <x:c r="H355" s="240"/>
      <x:c r="I355" s="240"/>
      <x:c r="J355" s="240"/>
      <x:c r="K355" s="240"/>
      <x:c r="L355" s="240"/>
      <x:c r="M355" s="240"/>
      <x:c r="N355" s="240"/>
      <x:c r="O355" s="240"/>
      <x:c r="P355" s="240"/>
      <x:c r="Q355" s="240"/>
    </x:row>
    <x:row r="356" spans="1:27" ht="12.75" customHeight="1" x14ac:dyDescent="0.2">
      <x:c r="A356" s="89"/>
      <x:c r="B356" s="97" t="s">
        <x:v>76</x:v>
      </x:c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27" ht="12.6" customHeight="1" x14ac:dyDescent="0.2">
      <x:c r="F357" s="89" t="s">
        <x:v>70</x:v>
      </x:c>
      <x:c r="G357" s="89" t="s">
        <x:v>64</x:v>
      </x:c>
      <x:c r="H357" s="89" t="s">
        <x:v>65</x:v>
      </x:c>
      <x:c r="I357" s="218" t="s">
        <x:v>164</x:v>
      </x:c>
      <x:c r="J357" s="89" t="s">
        <x:v>69</x:v>
      </x:c>
      <x:c r="K357" s="89" t="s">
        <x:v>68</x:v>
      </x:c>
      <x:c r="L357" s="89" t="s">
        <x:v>71</x:v>
      </x:c>
      <x:c r="M357" s="89" t="s">
        <x:v>66</x:v>
      </x:c>
      <x:c r="N357" s="89" t="s">
        <x:v>63</x:v>
      </x:c>
      <x:c r="O357" s="89" t="s">
        <x:v>61</x:v>
      </x:c>
      <x:c r="P357" s="89" t="s">
        <x:v>62</x:v>
      </x:c>
      <x:c r="Q357" s="89" t="s">
        <x:v>67</x:v>
      </x:c>
      <x:c r="R357" s="89" t="s">
        <x:v>77</x:v>
      </x:c>
      <x:c r="S357" s="89" t="s">
        <x:v>80</x:v>
      </x:c>
      <x:c r="T357" s="89" t="s">
        <x:v>135</x:v>
      </x:c>
      <x:c r="U357" s="89" t="s">
        <x:v>173</x:v>
      </x:c>
      <x:c r="V357" s="89" t="s">
        <x:v>222</x:v>
      </x:c>
      <x:c r="W357" s="89" t="s">
        <x:v>173</x:v>
      </x:c>
      <x:c r="X357" t="s">
        <x:v>173</x:v>
      </x:c>
      <x:c r="Y357" s="89" t="s">
        <x:v>135</x:v>
      </x:c>
      <x:c r="Z357" t="s">
        <x:v>167</x:v>
      </x:c>
    </x:row>
    <x:row r="358" spans="1:27" ht="12.75" customHeight="1" x14ac:dyDescent="0.2">
      <x:c r="E358" s="89" t="s">
        <x:v>72</x:v>
      </x:c>
      <x:c r="F358" s="371" t="n">
        <x:v>0.02</x:v>
      </x:c>
      <x:c r="G358" s="90" t="n">
        <x:v>0</x:v>
      </x:c>
      <x:c r="H358" s="90" t="n">
        <x:v>0</x:v>
      </x:c>
      <x:c r="I358" s="90" t="n">
        <x:v>0</x:v>
      </x:c>
      <x:c r="J358" s="90" t="n">
        <x:v>0</x:v>
      </x:c>
      <x:c r="K358" s="90" t="n">
        <x:v>0</x:v>
      </x:c>
      <x:c r="L358" s="90" t="n">
        <x:v>0</x:v>
      </x:c>
      <x:c r="M358" s="90" t="n">
        <x:v>0</x:v>
      </x:c>
      <x:c r="N358" s="90" t="n">
        <x:v>0.01</x:v>
      </x:c>
      <x:c r="O358" s="90" t="n">
        <x:v>0</x:v>
      </x:c>
      <x:c r="P358" s="90" t="n">
        <x:v>0</x:v>
      </x:c>
      <x:c r="Q358" s="90" t="n">
        <x:v>0.01</x:v>
      </x:c>
      <x:c r="R358" s="90" t="n">
        <x:v>0</x:v>
      </x:c>
      <x:c r="S358" s="90" t="n">
        <x:v>0</x:v>
      </x:c>
      <x:c r="T358" t="n">
        <x:v>0</x:v>
      </x:c>
      <x:c r="U358">
        <x:v>0</x:v>
      </x:c>
      <x:c r="V358">
        <x:v>0</x:v>
      </x:c>
      <x:c r="W358">
        <x:v>0</x:v>
      </x:c>
      <x:c r="X358">
        <x:v>0</x:v>
      </x:c>
      <x:c r="Y358">
        <x:v>0</x:v>
      </x:c>
      <x:c r="Z358">
        <x:v>0</x:v>
      </x:c>
    </x:row>
    <x:row r="359" spans="1:27" ht="12.75" customHeight="1" x14ac:dyDescent="0.2">
      <x:c r="D359" t="s">
        <x:v>156</x:v>
      </x:c>
      <x:c r="E359" s="89" t="s">
        <x:v>70</x:v>
      </x:c>
      <x:c r="F359" s="371" t="n">
        <x:v>0.02</x:v>
      </x:c>
      <x:c r="G359" s="90" t="n">
        <x:v>0</x:v>
      </x:c>
      <x:c r="H359" s="90" t="n">
        <x:v>0</x:v>
      </x:c>
      <x:c r="I359" s="90" t="n">
        <x:v>0</x:v>
      </x:c>
      <x:c r="J359" s="90" t="n">
        <x:v>0</x:v>
      </x:c>
      <x:c r="K359" s="90" t="n">
        <x:v>0</x:v>
      </x:c>
      <x:c r="L359" s="90" t="n">
        <x:v>0</x:v>
      </x:c>
      <x:c r="M359" s="90" t="n">
        <x:v>0</x:v>
      </x:c>
      <x:c r="N359" s="90" t="n">
        <x:v>0.01</x:v>
      </x:c>
      <x:c r="O359" s="90" t="n">
        <x:v>0</x:v>
      </x:c>
      <x:c r="P359" s="90" t="n">
        <x:v>0</x:v>
      </x:c>
      <x:c r="Q359" s="90" t="n">
        <x:v>0.01</x:v>
      </x:c>
      <x:c r="R359" s="90" t="n">
        <x:v>0</x:v>
      </x:c>
      <x:c r="S359" s="90" t="n">
        <x:v>0</x:v>
      </x:c>
      <x:c r="T359" t="n">
        <x:v>0</x:v>
      </x:c>
      <x:c r="U359">
        <x:v>0</x:v>
      </x:c>
      <x:c r="V359">
        <x:v>0</x:v>
      </x:c>
      <x:c r="W359">
        <x:v>0</x:v>
      </x:c>
      <x:c r="X359">
        <x:v>0</x:v>
      </x:c>
      <x:c r="Y359">
        <x:v>0</x:v>
      </x:c>
      <x:c r="Z359">
        <x:v>0</x:v>
      </x:c>
    </x:row>
    <x:row r="360" spans="1:27" s="286" customFormat="1" ht="12.75" customHeight="1" x14ac:dyDescent="0.2">
      <x:c r="C360" s="286" t="s">
        <x:v>155</x:v>
      </x:c>
      <x:c r="D360" s="286" t="s">
        <x:v>70</x:v>
      </x:c>
      <x:c r="E360" s="229"/>
      <x:c r="F360" s="229" t="n">
        <x:v>0.02</x:v>
      </x:c>
      <x:c r="G360" s="230" t="n">
        <x:v>0</x:v>
      </x:c>
      <x:c r="H360" s="230" t="n">
        <x:v>0</x:v>
      </x:c>
      <x:c r="I360" s="230" t="n">
        <x:v>0</x:v>
      </x:c>
      <x:c r="J360" s="230" t="n">
        <x:v>0</x:v>
      </x:c>
      <x:c r="K360" s="230" t="n">
        <x:v>0</x:v>
      </x:c>
      <x:c r="L360" s="230" t="n">
        <x:v>0</x:v>
      </x:c>
      <x:c r="M360" s="230" t="n">
        <x:v>0</x:v>
      </x:c>
      <x:c r="N360" s="230" t="n">
        <x:v>0.01</x:v>
      </x:c>
      <x:c r="O360" s="230" t="n">
        <x:v>0</x:v>
      </x:c>
      <x:c r="P360" s="230" t="n">
        <x:v>0</x:v>
      </x:c>
      <x:c r="Q360" s="230" t="n">
        <x:v>0.01</x:v>
      </x:c>
      <x:c r="R360" s="230" t="n">
        <x:v>0</x:v>
      </x:c>
      <x:c r="S360" s="230" t="n">
        <x:v>0</x:v>
      </x:c>
      <x:c r="T360" s="230" t="n">
        <x:v>0</x:v>
      </x:c>
      <x:c r="U360" s="230">
        <x:v>0</x:v>
      </x:c>
      <x:c r="V360" s="230">
        <x:v>0</x:v>
      </x:c>
      <x:c r="W360" s="230">
        <x:v>0</x:v>
      </x:c>
      <x:c r="X360" s="230">
        <x:v>0</x:v>
      </x:c>
      <x:c r="Y360" s="230">
        <x:v>0</x:v>
      </x:c>
      <x:c r="Z360" s="230">
        <x:v>0</x:v>
      </x:c>
    </x:row>
    <x:row r="361" spans="1:27" ht="12.75" customHeight="1" x14ac:dyDescent="0.2">
      <x:c r="E361" s="89" t="s">
        <x:v>72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 s="90">
        <x:v>0</x:v>
      </x:c>
      <x:c r="S361" s="90">
        <x:v>0</x:v>
      </x:c>
      <x:c r="T361" s="90">
        <x:v>0</x:v>
      </x:c>
      <x:c r="U361" s="90">
        <x:v>0</x:v>
      </x:c>
      <x:c r="V361" s="90">
        <x:v>0</x:v>
      </x:c>
      <x:c r="W361" s="90">
        <x:v>0</x:v>
      </x:c>
      <x:c r="X361">
        <x:v>0</x:v>
      </x:c>
      <x:c r="Y361">
        <x:v>0</x:v>
      </x:c>
      <x:c r="Z361">
        <x:v>0</x:v>
      </x:c>
    </x:row>
    <x:row r="362" spans="1:27" ht="12.75" customHeight="1" x14ac:dyDescent="0.2">
      <x:c r="D362" t="s">
        <x:v>82</x:v>
      </x:c>
      <x:c r="E362" s="89" t="s">
        <x:v>70</x:v>
      </x:c>
      <x:c r="F362" s="371">
        <x:v>0</x:v>
      </x:c>
      <x:c r="G362" s="90">
        <x:v>0</x:v>
      </x:c>
      <x:c r="H362" s="90">
        <x:v>0</x:v>
      </x:c>
      <x:c r="I362" s="90">
        <x:v>0</x:v>
      </x:c>
      <x:c r="J362" s="90">
        <x:v>0</x:v>
      </x:c>
      <x:c r="K362" s="90">
        <x:v>0</x:v>
      </x:c>
      <x:c r="L362" s="90">
        <x:v>0</x:v>
      </x:c>
      <x:c r="M362" s="90">
        <x:v>0</x:v>
      </x:c>
      <x:c r="N362" s="90">
        <x:v>0</x:v>
      </x:c>
      <x:c r="O362" s="90">
        <x:v>0</x:v>
      </x:c>
      <x:c r="P362" s="90">
        <x:v>0</x:v>
      </x:c>
      <x:c r="Q362" s="90">
        <x:v>0</x:v>
      </x:c>
      <x:c r="R362" s="90">
        <x:v>0</x:v>
      </x:c>
      <x:c r="S362" s="90">
        <x:v>0</x:v>
      </x:c>
      <x:c r="T362" s="90">
        <x:v>0</x:v>
      </x:c>
      <x:c r="U362" s="90">
        <x:v>0</x:v>
      </x:c>
      <x:c r="V362" s="90">
        <x:v>0</x:v>
      </x:c>
      <x:c r="W362" s="90">
        <x:v>0</x:v>
      </x:c>
      <x:c r="X362">
        <x:v>0</x:v>
      </x:c>
      <x:c r="Y362">
        <x:v>0</x:v>
      </x:c>
      <x:c r="Z362">
        <x:v>0</x:v>
      </x:c>
    </x:row>
    <x:row r="363" spans="1:27" ht="12.75" customHeight="1" x14ac:dyDescent="0.2">
      <x:c r="E363" s="89" t="s">
        <x:v>72</x:v>
      </x:c>
      <x:c r="F363" s="371" t="n">
        <x:v>-7866.63</x:v>
      </x:c>
      <x:c r="G363" s="90" t="n">
        <x:v>-678.72</x:v>
      </x:c>
      <x:c r="H363" s="90" t="n">
        <x:v>-288.36</x:v>
      </x:c>
      <x:c r="I363" s="90" t="n">
        <x:v>-125.91</x:v>
      </x:c>
      <x:c r="J363" s="90" t="n">
        <x:v>-1539.2</x:v>
      </x:c>
      <x:c r="K363" s="90" t="n">
        <x:v>-63.42</x:v>
      </x:c>
      <x:c r="L363" s="90" t="n">
        <x:v>0</x:v>
      </x:c>
      <x:c r="M363" s="90" t="n">
        <x:v>-556.25</x:v>
      </x:c>
      <x:c r="N363" s="90" t="n">
        <x:v>-697.23</x:v>
      </x:c>
      <x:c r="O363" s="90" t="n">
        <x:v>-2341.94</x:v>
      </x:c>
      <x:c r="P363" s="90" t="n">
        <x:v>-1472.13</x:v>
      </x:c>
      <x:c r="Q363" s="90" t="n">
        <x:v>-103.47</x:v>
      </x:c>
      <x:c r="R363" s="90" t="n">
        <x:v>0</x:v>
      </x:c>
      <x:c r="S363" s="90" t="n">
        <x:v>0</x:v>
      </x:c>
      <x:c r="T363" s="90" t="n">
        <x:v>0</x:v>
      </x:c>
      <x:c r="U363" s="90">
        <x:v>0</x:v>
      </x:c>
      <x:c r="V363" s="90">
        <x:v>0</x:v>
      </x:c>
      <x:c r="W363" s="90">
        <x:v>0</x:v>
      </x:c>
      <x:c r="X363">
        <x:v>0</x:v>
      </x:c>
      <x:c r="Y363">
        <x:v>0</x:v>
      </x:c>
      <x:c r="Z363">
        <x:v>0</x:v>
      </x:c>
    </x:row>
    <x:row r="364" spans="1:27" ht="12.75" customHeight="1" x14ac:dyDescent="0.2">
      <x:c r="D364" t="s">
        <x:v>86</x:v>
      </x:c>
      <x:c r="E364" s="89" t="s">
        <x:v>70</x:v>
      </x:c>
      <x:c r="F364" s="371" t="n">
        <x:v>-7866.63</x:v>
      </x:c>
      <x:c r="G364" s="90" t="n">
        <x:v>-678.72</x:v>
      </x:c>
      <x:c r="H364" s="90" t="n">
        <x:v>-288.36</x:v>
      </x:c>
      <x:c r="I364" s="90" t="n">
        <x:v>-125.91</x:v>
      </x:c>
      <x:c r="J364" s="90" t="n">
        <x:v>-1539.2</x:v>
      </x:c>
      <x:c r="K364" s="90" t="n">
        <x:v>-63.42</x:v>
      </x:c>
      <x:c r="L364" s="90" t="n">
        <x:v>0</x:v>
      </x:c>
      <x:c r="M364" s="90" t="n">
        <x:v>-556.25</x:v>
      </x:c>
      <x:c r="N364" s="90" t="n">
        <x:v>-697.23</x:v>
      </x:c>
      <x:c r="O364" s="90" t="n">
        <x:v>-2341.94</x:v>
      </x:c>
      <x:c r="P364" s="90" t="n">
        <x:v>-1472.13</x:v>
      </x:c>
      <x:c r="Q364" s="90" t="n">
        <x:v>-103.47</x:v>
      </x:c>
      <x:c r="R364" s="90" t="n">
        <x:v>0</x:v>
      </x:c>
      <x:c r="S364" s="90" t="n">
        <x:v>0</x:v>
      </x:c>
      <x:c r="T364" s="90" t="n">
        <x:v>0</x:v>
      </x:c>
      <x:c r="U364" s="90">
        <x:v>0</x:v>
      </x:c>
      <x:c r="V364" s="90">
        <x:v>0</x:v>
      </x:c>
      <x:c r="W364" s="90">
        <x:v>0</x:v>
      </x:c>
      <x:c r="X364">
        <x:v>0</x:v>
      </x:c>
      <x:c r="Y364">
        <x:v>0</x:v>
      </x:c>
      <x:c r="Z364">
        <x:v>0</x:v>
      </x:c>
    </x:row>
    <x:row r="365" spans="1:27" ht="12.75" customHeight="1" x14ac:dyDescent="0.2">
      <x:c r="E365" s="89" t="s">
        <x:v>72</x:v>
      </x:c>
      <x:c r="F365" s="371">
        <x:v>0</x:v>
      </x:c>
      <x:c r="G365" s="90">
        <x:v>0</x:v>
      </x:c>
      <x:c r="H365" s="90">
        <x:v>0</x:v>
      </x:c>
      <x:c r="I365" s="90">
        <x:v>0</x:v>
      </x:c>
      <x:c r="J365" s="90">
        <x:v>0</x:v>
      </x:c>
      <x:c r="K365" s="90">
        <x:v>0</x:v>
      </x:c>
      <x:c r="L365" s="90">
        <x:v>0</x:v>
      </x:c>
      <x:c r="M365" s="90">
        <x:v>0</x:v>
      </x:c>
      <x:c r="N365" s="90">
        <x:v>0</x:v>
      </x:c>
      <x:c r="O365" s="90">
        <x:v>0</x:v>
      </x:c>
      <x:c r="P365" s="90">
        <x:v>0</x:v>
      </x:c>
      <x:c r="Q365" s="90">
        <x:v>0</x:v>
      </x:c>
      <x:c r="R365" s="90">
        <x:v>0</x:v>
      </x:c>
      <x:c r="S365" s="90">
        <x:v>0</x:v>
      </x:c>
      <x:c r="T365" s="90">
        <x:v>0</x:v>
      </x:c>
      <x:c r="U365" s="90">
        <x:v>0</x:v>
      </x:c>
      <x:c r="V365" s="90">
        <x:v>0</x:v>
      </x:c>
      <x:c r="W365" s="90">
        <x:v>0</x:v>
      </x:c>
      <x:c r="X365" s="90">
        <x:v>0</x:v>
      </x:c>
      <x:c r="Y365" s="90">
        <x:v>0</x:v>
      </x:c>
      <x:c r="Z365" s="90">
        <x:v>0</x:v>
      </x:c>
    </x:row>
    <x:row r="366" spans="1:27" ht="12.75" customHeight="1" x14ac:dyDescent="0.2">
      <x:c r="D366" t="s">
        <x:v>87</x:v>
      </x:c>
      <x:c r="E366" s="89" t="s">
        <x:v>70</x:v>
      </x:c>
      <x:c r="F366" s="371">
        <x:v>0</x:v>
      </x:c>
      <x:c r="G366" s="90">
        <x:v>0</x:v>
      </x:c>
      <x:c r="H366" s="90">
        <x:v>0</x:v>
      </x:c>
      <x:c r="I366" s="90">
        <x:v>0</x:v>
      </x:c>
      <x:c r="J366" s="90">
        <x:v>0</x:v>
      </x:c>
      <x:c r="K366" s="90">
        <x:v>0</x:v>
      </x:c>
      <x:c r="L366" s="90">
        <x:v>0</x:v>
      </x:c>
      <x:c r="M366" s="90">
        <x:v>0</x:v>
      </x:c>
      <x:c r="N366" s="90">
        <x:v>0</x:v>
      </x:c>
      <x:c r="O366" s="90">
        <x:v>0</x:v>
      </x:c>
      <x:c r="P366" s="90">
        <x:v>0</x:v>
      </x:c>
      <x:c r="Q366" s="90">
        <x:v>0</x:v>
      </x:c>
      <x:c r="R366" s="90">
        <x:v>0</x:v>
      </x:c>
      <x:c r="S366" s="90">
        <x:v>0</x:v>
      </x:c>
      <x:c r="T366" s="90">
        <x:v>0</x:v>
      </x:c>
      <x:c r="U366" s="90">
        <x:v>0</x:v>
      </x:c>
      <x:c r="V366" s="90">
        <x:v>0</x:v>
      </x:c>
      <x:c r="W366" s="90">
        <x:v>0</x:v>
      </x:c>
      <x:c r="X366" s="90">
        <x:v>0</x:v>
      </x:c>
      <x:c r="Y366" s="90">
        <x:v>0</x:v>
      </x:c>
      <x:c r="Z366" s="90">
        <x:v>0</x:v>
      </x:c>
    </x:row>
    <x:row r="367" spans="1:27" s="94" customFormat="1" ht="12.75" customHeight="1" x14ac:dyDescent="0.2">
      <x:c r="C367" s="101" t="s">
        <x:v>119</x:v>
      </x:c>
      <x:c r="D367" s="101" t="s">
        <x:v>70</x:v>
      </x:c>
      <x:c r="F367" s="93" t="n">
        <x:v>-7866.63</x:v>
      </x:c>
      <x:c r="G367" s="93" t="n">
        <x:v>-678.72</x:v>
      </x:c>
      <x:c r="H367" s="93" t="n">
        <x:v>-288.36</x:v>
      </x:c>
      <x:c r="I367" s="93" t="n">
        <x:v>-125.91</x:v>
      </x:c>
      <x:c r="J367" s="93" t="n">
        <x:v>-1539.2</x:v>
      </x:c>
      <x:c r="K367" s="93" t="n">
        <x:v>-63.42</x:v>
      </x:c>
      <x:c r="L367" s="93" t="n">
        <x:v>0</x:v>
      </x:c>
      <x:c r="M367" s="93" t="n">
        <x:v>-556.25</x:v>
      </x:c>
      <x:c r="N367" s="93" t="n">
        <x:v>-697.23</x:v>
      </x:c>
      <x:c r="O367" s="93" t="n">
        <x:v>-2341.94</x:v>
      </x:c>
      <x:c r="P367" s="93" t="n">
        <x:v>-1472.13</x:v>
      </x:c>
      <x:c r="Q367" s="93" t="n">
        <x:v>-103.47</x:v>
      </x:c>
      <x:c r="R367" s="93" t="n">
        <x:v>0</x:v>
      </x:c>
      <x:c r="S367" s="93" t="n">
        <x:v>0</x:v>
      </x:c>
      <x:c r="T367" s="94" t="n">
        <x:v>0</x:v>
      </x:c>
      <x:c r="U367" s="94">
        <x:v>0</x:v>
      </x:c>
      <x:c r="V367" s="94">
        <x:v>0</x:v>
      </x:c>
      <x:c r="W367" s="94">
        <x:v>0</x:v>
      </x:c>
      <x:c r="X367" s="94">
        <x:v>0</x:v>
      </x:c>
      <x:c r="Y367" s="94">
        <x:v>0</x:v>
      </x:c>
      <x:c r="Z367" s="94">
        <x:v>0</x:v>
      </x:c>
    </x:row>
    <x:row r="368" spans="1:27" ht="12.75" customHeight="1" x14ac:dyDescent="0.2">
      <x:c r="B368" t="s">
        <x:v>112</x:v>
      </x:c>
      <x:c r="C368" t="s">
        <x:v>70</x:v>
      </x:c>
      <x:c r="E368" s="89"/>
      <x:c r="F368" s="371" t="n">
        <x:v>-7866.61</x:v>
      </x:c>
      <x:c r="G368" s="90" t="n">
        <x:v>-678.72</x:v>
      </x:c>
      <x:c r="H368" s="90" t="n">
        <x:v>-288.36</x:v>
      </x:c>
      <x:c r="I368" s="90" t="n">
        <x:v>-125.91</x:v>
      </x:c>
      <x:c r="J368" s="90" t="n">
        <x:v>-1539.2</x:v>
      </x:c>
      <x:c r="K368" s="90" t="n">
        <x:v>-63.42</x:v>
      </x:c>
      <x:c r="L368" s="90" t="n">
        <x:v>0</x:v>
      </x:c>
      <x:c r="M368" s="90" t="n">
        <x:v>-556.25</x:v>
      </x:c>
      <x:c r="N368" s="90" t="n">
        <x:v>-697.22</x:v>
      </x:c>
      <x:c r="O368" s="90" t="n">
        <x:v>-2341.94</x:v>
      </x:c>
      <x:c r="P368" s="90" t="n">
        <x:v>-1472.13</x:v>
      </x:c>
      <x:c r="Q368" s="90" t="n">
        <x:v>-103.46</x:v>
      </x:c>
      <x:c r="R368" s="90" t="n">
        <x:v>0</x:v>
      </x:c>
      <x:c r="S368" s="90" t="n">
        <x:v>0</x:v>
      </x:c>
      <x:c r="T368" t="n">
        <x:v>0</x:v>
      </x:c>
      <x:c r="U368">
        <x:v>0</x:v>
      </x:c>
      <x:c r="V368">
        <x:v>0</x:v>
      </x:c>
      <x:c r="W368">
        <x:v>0</x:v>
      </x:c>
      <x:c r="X368">
        <x:v>0</x:v>
      </x:c>
      <x:c r="Y368">
        <x:v>0</x:v>
      </x:c>
      <x:c r="Z368">
        <x:v>0</x:v>
      </x:c>
    </x:row>
    <x:row r="369" spans="1:26" s="458" customFormat="1" ht="12.75" customHeight="1" x14ac:dyDescent="0.2">
      <x:c r="A369" s="458" t="s">
        <x:v>186</x:v>
      </x:c>
      <x:c r="B369" s="458" t="s">
        <x:v>70</x:v>
      </x:c>
      <x:c r="F369" s="458" t="n">
        <x:v>-7866.61</x:v>
      </x:c>
      <x:c r="G369" s="458" t="n">
        <x:v>-678.72</x:v>
      </x:c>
      <x:c r="H369" s="458" t="n">
        <x:v>-288.36</x:v>
      </x:c>
      <x:c r="I369" s="458" t="n">
        <x:v>-125.91</x:v>
      </x:c>
      <x:c r="J369" s="458" t="n">
        <x:v>-1539.2</x:v>
      </x:c>
      <x:c r="K369" s="458" t="n">
        <x:v>-63.42</x:v>
      </x:c>
      <x:c r="L369" s="458" t="n">
        <x:v>0</x:v>
      </x:c>
      <x:c r="M369" s="458" t="n">
        <x:v>-556.25</x:v>
      </x:c>
      <x:c r="N369" s="458" t="n">
        <x:v>-697.22</x:v>
      </x:c>
      <x:c r="O369" s="458" t="n">
        <x:v>-2341.94</x:v>
      </x:c>
      <x:c r="P369" s="458" t="n">
        <x:v>-1472.13</x:v>
      </x:c>
      <x:c r="Q369" s="458" t="n">
        <x:v>-103.46</x:v>
      </x:c>
      <x:c r="R369" s="458" t="n">
        <x:v>0</x:v>
      </x:c>
      <x:c r="S369" s="458" t="n">
        <x:v>0</x:v>
      </x:c>
      <x:c r="T369" s="458" t="n">
        <x:v>0</x:v>
      </x:c>
      <x:c r="U369" s="458">
        <x:v>0</x:v>
      </x:c>
      <x:c r="V369" s="458">
        <x:v>0</x:v>
      </x:c>
      <x:c r="W369" s="458">
        <x:v>0</x:v>
      </x:c>
      <x:c r="X369" s="458">
        <x:v>0</x:v>
      </x:c>
      <x:c r="Y369" s="458">
        <x:v>0</x:v>
      </x:c>
      <x:c r="Z369" s="458">
        <x:v>0</x:v>
      </x:c>
    </x:row>
    <x:row r="370" spans="1:26" x14ac:dyDescent="0.2">
      <x:c r="E370" t="s">
        <x:v>72</x:v>
      </x:c>
      <x:c r="F370" s="90" t="n">
        <x:v>204499.29</x:v>
      </x:c>
      <x:c r="G370" s="90" t="n">
        <x:v>40467.76</x:v>
      </x:c>
      <x:c r="H370" s="90" t="n">
        <x:v>22548.38</x:v>
      </x:c>
      <x:c r="I370" s="90" t="n">
        <x:v>11992.34</x:v>
      </x:c>
      <x:c r="J370" s="90" t="n">
        <x:v>10672.75</x:v>
      </x:c>
      <x:c r="K370" s="90" t="n">
        <x:v>385.44</x:v>
      </x:c>
      <x:c r="L370" s="90" t="n">
        <x:v>0</x:v>
      </x:c>
      <x:c r="M370" s="90" t="n">
        <x:v>3380.99</x:v>
      </x:c>
      <x:c r="N370" s="90" t="n">
        <x:v>3214.74</x:v>
      </x:c>
      <x:c r="O370" s="90" t="n">
        <x:v>15256.24</x:v>
      </x:c>
      <x:c r="P370" s="90" t="n">
        <x:v>95953.3</x:v>
      </x:c>
      <x:c r="Q370" s="90" t="n">
        <x:v>628.86</x:v>
      </x:c>
      <x:c r="R370" s="90" t="n">
        <x:v>-1.51</x:v>
      </x:c>
      <x:c r="S370" s="90" t="n">
        <x:v>0</x:v>
      </x:c>
      <x:c r="T370" s="90" t="n">
        <x:v>0</x:v>
      </x:c>
      <x:c r="U370">
        <x:v>0</x:v>
      </x:c>
      <x:c r="V370">
        <x:v>0</x:v>
      </x:c>
      <x:c r="W370">
        <x:v>0</x:v>
      </x:c>
      <x:c r="X370">
        <x:v>0</x:v>
      </x:c>
      <x:c r="Y370">
        <x:v>0</x:v>
      </x:c>
      <x:c r="Z370" s="90">
        <x:v>0</x:v>
      </x:c>
    </x:row>
    <x:row r="371" spans="1:26" x14ac:dyDescent="0.2">
      <x:c r="E371" t="s">
        <x:v>81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 s="90">
        <x:v>0</x:v>
      </x:c>
      <x:c r="S371" s="90">
        <x:v>0</x:v>
      </x:c>
      <x:c r="T371" s="90">
        <x:v>0</x:v>
      </x:c>
      <x:c r="U371">
        <x:v>0</x:v>
      </x:c>
      <x:c r="V371">
        <x:v>0</x:v>
      </x:c>
      <x:c r="W371">
        <x:v>0</x:v>
      </x:c>
      <x:c r="X371">
        <x:v>0</x:v>
      </x:c>
      <x:c r="Y371">
        <x:v>0</x:v>
      </x:c>
      <x:c r="Z371" s="90">
        <x:v>0</x:v>
      </x:c>
    </x:row>
    <x:row r="372" spans="1:26" x14ac:dyDescent="0.2">
      <x:c r="D372" t="s">
        <x:v>156</x:v>
      </x:c>
      <x:c r="E372" t="s">
        <x:v>70</x:v>
      </x:c>
      <x:c r="F372" s="90" t="n">
        <x:v>204499.29</x:v>
      </x:c>
      <x:c r="G372" s="90" t="n">
        <x:v>40467.76</x:v>
      </x:c>
      <x:c r="H372" s="90" t="n">
        <x:v>22548.38</x:v>
      </x:c>
      <x:c r="I372" s="90" t="n">
        <x:v>11992.34</x:v>
      </x:c>
      <x:c r="J372" s="90" t="n">
        <x:v>10672.75</x:v>
      </x:c>
      <x:c r="K372" s="90" t="n">
        <x:v>385.44</x:v>
      </x:c>
      <x:c r="L372" s="90" t="n">
        <x:v>0</x:v>
      </x:c>
      <x:c r="M372" s="90" t="n">
        <x:v>3380.99</x:v>
      </x:c>
      <x:c r="N372" s="90" t="n">
        <x:v>3214.74</x:v>
      </x:c>
      <x:c r="O372" s="90" t="n">
        <x:v>15256.24</x:v>
      </x:c>
      <x:c r="P372" s="90" t="n">
        <x:v>95953.3</x:v>
      </x:c>
      <x:c r="Q372" s="90" t="n">
        <x:v>628.86</x:v>
      </x:c>
      <x:c r="R372" s="90" t="n">
        <x:v>-1.51</x:v>
      </x:c>
      <x:c r="S372" s="90" t="n">
        <x:v>0</x:v>
      </x:c>
      <x:c r="T372" s="90" t="n">
        <x:v>0</x:v>
      </x:c>
      <x:c r="U372">
        <x:v>0</x:v>
      </x:c>
      <x:c r="V372">
        <x:v>0</x:v>
      </x:c>
      <x:c r="W372">
        <x:v>0</x:v>
      </x:c>
      <x:c r="X372">
        <x:v>0</x:v>
      </x:c>
      <x:c r="Y372">
        <x:v>0</x:v>
      </x:c>
      <x:c r="Z372" s="90">
        <x:v>0</x:v>
      </x:c>
    </x:row>
    <x:row r="373" spans="1:26" s="286" customFormat="1" x14ac:dyDescent="0.2">
      <x:c r="C373" s="286" t="s">
        <x:v>155</x:v>
      </x:c>
      <x:c r="D373" s="286" t="s">
        <x:v>70</x:v>
      </x:c>
      <x:c r="F373" s="230" t="n">
        <x:v>204499.29</x:v>
      </x:c>
      <x:c r="G373" s="230" t="n">
        <x:v>40467.76</x:v>
      </x:c>
      <x:c r="H373" s="230" t="n">
        <x:v>22548.38</x:v>
      </x:c>
      <x:c r="I373" s="230" t="n">
        <x:v>11992.34</x:v>
      </x:c>
      <x:c r="J373" s="230" t="n">
        <x:v>10672.75</x:v>
      </x:c>
      <x:c r="K373" s="230" t="n">
        <x:v>385.44</x:v>
      </x:c>
      <x:c r="L373" s="230" t="n">
        <x:v>0</x:v>
      </x:c>
      <x:c r="M373" s="230" t="n">
        <x:v>3380.99</x:v>
      </x:c>
      <x:c r="N373" s="230" t="n">
        <x:v>3214.74</x:v>
      </x:c>
      <x:c r="O373" s="230" t="n">
        <x:v>15256.24</x:v>
      </x:c>
      <x:c r="P373" s="230" t="n">
        <x:v>95953.3</x:v>
      </x:c>
      <x:c r="Q373" s="230" t="n">
        <x:v>628.86</x:v>
      </x:c>
      <x:c r="R373" s="230" t="n">
        <x:v>-1.51</x:v>
      </x:c>
      <x:c r="S373" s="230" t="n">
        <x:v>0</x:v>
      </x:c>
      <x:c r="T373" s="230" t="n">
        <x:v>0</x:v>
      </x:c>
      <x:c r="U373" s="286">
        <x:v>0</x:v>
      </x:c>
      <x:c r="V373" s="286">
        <x:v>0</x:v>
      </x:c>
      <x:c r="W373" s="286">
        <x:v>0</x:v>
      </x:c>
      <x:c r="X373" s="286">
        <x:v>0</x:v>
      </x:c>
      <x:c r="Y373" s="286">
        <x:v>0</x:v>
      </x:c>
      <x:c r="Z373" s="230">
        <x:v>0</x:v>
      </x:c>
    </x:row>
    <x:row r="374" spans="1:26" x14ac:dyDescent="0.2">
      <x:c r="E374" t="s">
        <x:v>72</x:v>
      </x:c>
      <x:c r="F374" s="90">
        <x:v>0</x:v>
      </x:c>
      <x:c r="G374" s="90">
        <x:v>0</x:v>
      </x:c>
      <x:c r="H374" s="90">
        <x:v>0</x:v>
      </x:c>
      <x:c r="I374" s="90">
        <x:v>0</x:v>
      </x:c>
      <x:c r="J374" s="90">
        <x:v>0</x:v>
      </x:c>
      <x:c r="K374" s="90">
        <x:v>0</x:v>
      </x:c>
      <x:c r="L374" s="90">
        <x:v>0</x:v>
      </x:c>
      <x:c r="M374" s="90">
        <x:v>0</x:v>
      </x:c>
      <x:c r="N374" s="90">
        <x:v>0</x:v>
      </x:c>
      <x:c r="O374" s="90">
        <x:v>0</x:v>
      </x:c>
      <x:c r="P374" s="90">
        <x:v>0</x:v>
      </x:c>
      <x:c r="Q374" s="90">
        <x:v>370.08</x:v>
      </x:c>
      <x:c r="R374" s="90">
        <x:v>-1.95</x:v>
      </x:c>
      <x:c r="S374" s="90">
        <x:v>0</x:v>
      </x:c>
      <x:c r="T374" s="90">
        <x:v>0</x:v>
      </x:c>
      <x:c r="U374">
        <x:v>0</x:v>
      </x:c>
      <x:c r="V374">
        <x:v>0</x:v>
      </x:c>
      <x:c r="W374">
        <x:v>0</x:v>
      </x:c>
      <x:c r="X374">
        <x:v>0</x:v>
      </x:c>
      <x:c r="Y374">
        <x:v>0</x:v>
      </x:c>
      <x:c r="Z374" s="90">
        <x:v>0</x:v>
      </x:c>
    </x:row>
    <x:row r="375" spans="1:26" x14ac:dyDescent="0.2">
      <x:c r="E375" t="s">
        <x:v>81</x:v>
      </x:c>
      <x:c r="F375" s="90">
        <x:v>0</x:v>
      </x:c>
      <x:c r="G375" s="90">
        <x:v>0</x:v>
      </x:c>
      <x:c r="H375" s="90">
        <x:v>0</x:v>
      </x:c>
      <x:c r="I375" s="90">
        <x:v>0</x:v>
      </x:c>
      <x:c r="J375" s="90">
        <x:v>0</x:v>
      </x:c>
      <x:c r="K375" s="90">
        <x:v>0</x:v>
      </x:c>
      <x:c r="L375" s="90">
        <x:v>0</x:v>
      </x:c>
      <x:c r="M375" s="90">
        <x:v>0</x:v>
      </x:c>
      <x:c r="N375" s="90">
        <x:v>0</x:v>
      </x:c>
      <x:c r="O375" s="90">
        <x:v>0</x:v>
      </x:c>
      <x:c r="P375" s="90">
        <x:v>0</x:v>
      </x:c>
      <x:c r="Q375" s="90">
        <x:v>7.0000000000000007E-2</x:v>
      </x:c>
      <x:c r="R375" s="90">
        <x:v>0</x:v>
      </x:c>
      <x:c r="S375" s="90">
        <x:v>0</x:v>
      </x:c>
      <x:c r="T375" s="90">
        <x:v>0</x:v>
      </x:c>
      <x:c r="U375">
        <x:v>0</x:v>
      </x:c>
      <x:c r="V375">
        <x:v>0</x:v>
      </x:c>
      <x:c r="W375">
        <x:v>0</x:v>
      </x:c>
      <x:c r="X375">
        <x:v>0</x:v>
      </x:c>
      <x:c r="Y375">
        <x:v>0</x:v>
      </x:c>
      <x:c r="Z375" s="90">
        <x:v>0</x:v>
      </x:c>
    </x:row>
    <x:row r="376" spans="1:26" x14ac:dyDescent="0.2">
      <x:c r="D376" t="s">
        <x:v>82</x:v>
      </x:c>
      <x:c r="E376" t="s">
        <x:v>70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370.15</x:v>
      </x:c>
      <x:c r="R376" s="90">
        <x:v>-1.95</x:v>
      </x:c>
      <x:c r="S376" s="90">
        <x:v>0</x:v>
      </x:c>
      <x:c r="T376" s="90">
        <x:v>0</x:v>
      </x:c>
      <x:c r="U376">
        <x:v>0</x:v>
      </x:c>
      <x:c r="V376">
        <x:v>0</x:v>
      </x:c>
      <x:c r="W376">
        <x:v>0</x:v>
      </x:c>
      <x:c r="X376">
        <x:v>0</x:v>
      </x:c>
      <x:c r="Y376">
        <x:v>0</x:v>
      </x:c>
      <x:c r="Z376" s="90">
        <x:v>0</x:v>
      </x:c>
    </x:row>
    <x:row r="377" spans="1:26" x14ac:dyDescent="0.2">
      <x:c r="E377" t="s">
        <x:v>72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370.08</x:v>
      </x:c>
      <x:c r="R377" s="90">
        <x:v>-1.95</x:v>
      </x:c>
      <x:c r="S377" s="90">
        <x:v>0</x:v>
      </x:c>
      <x:c r="T377" s="90">
        <x:v>0</x:v>
      </x:c>
      <x:c r="U377">
        <x:v>0</x:v>
      </x:c>
      <x:c r="V377">
        <x:v>0</x:v>
      </x:c>
      <x:c r="W377">
        <x:v>0</x:v>
      </x:c>
      <x:c r="X377">
        <x:v>0</x:v>
      </x:c>
      <x:c r="Y377">
        <x:v>0</x:v>
      </x:c>
      <x:c r="Z377" s="90">
        <x:v>0</x:v>
      </x:c>
    </x:row>
    <x:row r="378" spans="1:26" x14ac:dyDescent="0.2">
      <x:c r="E378" t="s">
        <x:v>81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7.0000000000000007E-2</x:v>
      </x:c>
      <x:c r="R378" s="90">
        <x:v>0</x:v>
      </x:c>
      <x:c r="S378" s="90">
        <x:v>0</x:v>
      </x:c>
      <x:c r="T378" s="90">
        <x:v>0</x:v>
      </x:c>
      <x:c r="U378">
        <x:v>0</x:v>
      </x:c>
      <x:c r="V378">
        <x:v>0</x:v>
      </x:c>
      <x:c r="W378">
        <x:v>0</x:v>
      </x:c>
      <x:c r="X378">
        <x:v>0</x:v>
      </x:c>
      <x:c r="Y378">
        <x:v>0</x:v>
      </x:c>
      <x:c r="Z378" s="90">
        <x:v>0</x:v>
      </x:c>
    </x:row>
    <x:row r="379" spans="1:26" x14ac:dyDescent="0.2">
      <x:c r="D379" t="s">
        <x:v>86</x:v>
      </x:c>
      <x:c r="E379" t="s">
        <x:v>70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370.15</x:v>
      </x:c>
      <x:c r="R379" s="90">
        <x:v>-1.95</x:v>
      </x:c>
      <x:c r="S379" s="90">
        <x:v>0</x:v>
      </x:c>
      <x:c r="T379" s="90">
        <x:v>0</x:v>
      </x:c>
      <x:c r="U379">
        <x:v>0</x:v>
      </x:c>
      <x:c r="V379">
        <x:v>0</x:v>
      </x:c>
      <x:c r="W379">
        <x:v>0</x:v>
      </x:c>
      <x:c r="X379">
        <x:v>0</x:v>
      </x:c>
      <x:c r="Y379">
        <x:v>0</x:v>
      </x:c>
      <x:c r="Z379" s="90">
        <x:v>0</x:v>
      </x:c>
    </x:row>
    <x:row r="380" spans="1:26" ht="12.75" customHeight="1" x14ac:dyDescent="0.2">
      <x:c r="E380" s="89" t="s">
        <x:v>72</x:v>
      </x:c>
      <x:c r="F380" s="371">
        <x:v>0</x:v>
      </x:c>
      <x:c r="G380" s="90">
        <x:v>0</x:v>
      </x:c>
      <x:c r="H380" s="90">
        <x:v>0</x:v>
      </x:c>
      <x:c r="I380" s="90">
        <x:v>0</x:v>
      </x:c>
      <x:c r="J380" s="90">
        <x:v>0</x:v>
      </x:c>
      <x:c r="K380" s="90">
        <x:v>0</x:v>
      </x:c>
      <x:c r="L380" s="90">
        <x:v>0</x:v>
      </x:c>
      <x:c r="M380" s="90">
        <x:v>0</x:v>
      </x:c>
      <x:c r="N380" s="90">
        <x:v>0</x:v>
      </x:c>
      <x:c r="O380" s="90">
        <x:v>0</x:v>
      </x:c>
      <x:c r="P380" s="90">
        <x:v>0</x:v>
      </x:c>
      <x:c r="Q380" s="90">
        <x:v>0</x:v>
      </x:c>
      <x:c r="R380" s="90">
        <x:v>0</x:v>
      </x:c>
      <x:c r="S380" s="90">
        <x:v>0</x:v>
      </x:c>
      <x:c r="T380" s="90">
        <x:v>0</x:v>
      </x:c>
      <x:c r="U380" s="90">
        <x:v>0</x:v>
      </x:c>
      <x:c r="V380" s="90">
        <x:v>0</x:v>
      </x:c>
      <x:c r="W380" s="90">
        <x:v>0</x:v>
      </x:c>
      <x:c r="X380" s="90">
        <x:v>0</x:v>
      </x:c>
      <x:c r="Y380" s="90">
        <x:v>0</x:v>
      </x:c>
      <x:c r="Z380" s="90">
        <x:v>0</x:v>
      </x:c>
    </x:row>
    <x:row r="381" spans="1:26" x14ac:dyDescent="0.2">
      <x:c r="E381" t="s">
        <x:v>81</x:v>
      </x:c>
      <x:c r="F381" s="90">
        <x:v>0</x:v>
      </x:c>
      <x:c r="G381" s="90">
        <x:v>0</x:v>
      </x:c>
      <x:c r="H381" s="90">
        <x:v>0</x:v>
      </x:c>
      <x:c r="I381" s="90">
        <x:v>0</x:v>
      </x:c>
      <x:c r="J381" s="90">
        <x:v>0</x:v>
      </x:c>
      <x:c r="K381" s="90">
        <x:v>0</x:v>
      </x:c>
      <x:c r="L381" s="90">
        <x:v>0</x:v>
      </x:c>
      <x:c r="M381" s="90">
        <x:v>0</x:v>
      </x:c>
      <x:c r="N381" s="90">
        <x:v>0</x:v>
      </x:c>
      <x:c r="O381" s="90">
        <x:v>0</x:v>
      </x:c>
      <x:c r="P381" s="90">
        <x:v>0</x:v>
      </x:c>
      <x:c r="Q381" s="90">
        <x:v>0</x:v>
      </x:c>
      <x:c r="R381" s="90">
        <x:v>0</x:v>
      </x:c>
      <x:c r="S381" s="90">
        <x:v>0</x:v>
      </x:c>
      <x:c r="T381" s="90">
        <x:v>0</x:v>
      </x:c>
      <x:c r="U381">
        <x:v>0</x:v>
      </x:c>
      <x:c r="V381">
        <x:v>0</x:v>
      </x:c>
      <x:c r="W381">
        <x:v>0</x:v>
      </x:c>
      <x:c r="X381">
        <x:v>0</x:v>
      </x:c>
      <x:c r="Y381">
        <x:v>0</x:v>
      </x:c>
      <x:c r="Z381" s="90">
        <x:v>0</x:v>
      </x:c>
    </x:row>
    <x:row r="382" spans="1:26" ht="12.75" customHeight="1" x14ac:dyDescent="0.2">
      <x:c r="D382" t="s">
        <x:v>87</x:v>
      </x:c>
      <x:c r="E382" s="89" t="s">
        <x:v>70</x:v>
      </x:c>
      <x:c r="F382" s="371">
        <x:v>0</x:v>
      </x:c>
      <x:c r="G382" s="90">
        <x:v>0</x:v>
      </x:c>
      <x:c r="H382" s="90">
        <x:v>0</x:v>
      </x:c>
      <x:c r="I382" s="90">
        <x:v>0</x:v>
      </x:c>
      <x:c r="J382" s="90">
        <x:v>0</x:v>
      </x:c>
      <x:c r="K382" s="90">
        <x:v>0</x:v>
      </x:c>
      <x:c r="L382" s="90">
        <x:v>0</x:v>
      </x:c>
      <x:c r="M382" s="90">
        <x:v>0</x:v>
      </x:c>
      <x:c r="N382" s="90">
        <x:v>0</x:v>
      </x:c>
      <x:c r="O382" s="90">
        <x:v>0</x:v>
      </x:c>
      <x:c r="P382" s="90">
        <x:v>0</x:v>
      </x:c>
      <x:c r="Q382" s="90">
        <x:v>0</x:v>
      </x:c>
      <x:c r="R382" s="90">
        <x:v>0</x:v>
      </x:c>
      <x:c r="S382" s="90">
        <x:v>0</x:v>
      </x:c>
      <x:c r="T382" s="90">
        <x:v>0</x:v>
      </x:c>
      <x:c r="U382" s="90">
        <x:v>0</x:v>
      </x:c>
      <x:c r="V382" s="90">
        <x:v>0</x:v>
      </x:c>
      <x:c r="W382" s="90">
        <x:v>0</x:v>
      </x:c>
      <x:c r="X382" s="90">
        <x:v>0</x:v>
      </x:c>
      <x:c r="Y382" s="90">
        <x:v>0</x:v>
      </x:c>
      <x:c r="Z382" s="90">
        <x:v>0</x:v>
      </x:c>
    </x:row>
    <x:row r="383" spans="1:26" s="94" customFormat="1" ht="12.75" customHeight="1" x14ac:dyDescent="0.2">
      <x:c r="C383" s="101" t="s">
        <x:v>119</x:v>
      </x:c>
      <x:c r="D383" s="101" t="s">
        <x:v>70</x:v>
      </x:c>
      <x:c r="F383" s="93">
        <x:v>0</x:v>
      </x:c>
      <x:c r="G383" s="93">
        <x:v>0</x:v>
      </x:c>
      <x:c r="H383" s="93">
        <x:v>0</x:v>
      </x:c>
      <x:c r="I383" s="93">
        <x:v>0</x:v>
      </x:c>
      <x:c r="J383" s="93">
        <x:v>0</x:v>
      </x:c>
      <x:c r="K383" s="93">
        <x:v>0</x:v>
      </x:c>
      <x:c r="L383" s="93">
        <x:v>0</x:v>
      </x:c>
      <x:c r="M383" s="93">
        <x:v>0</x:v>
      </x:c>
      <x:c r="N383" s="93">
        <x:v>0</x:v>
      </x:c>
      <x:c r="O383" s="93">
        <x:v>0</x:v>
      </x:c>
      <x:c r="P383" s="93">
        <x:v>0</x:v>
      </x:c>
      <x:c r="Q383" s="93">
        <x:v>0</x:v>
      </x:c>
      <x:c r="R383" s="93">
        <x:v>0</x:v>
      </x:c>
      <x:c r="S383" s="93">
        <x:v>0</x:v>
      </x:c>
      <x:c r="T383" s="93">
        <x:v>0</x:v>
      </x:c>
      <x:c r="U383" s="93">
        <x:v>0</x:v>
      </x:c>
      <x:c r="V383" s="93">
        <x:v>0</x:v>
      </x:c>
      <x:c r="W383" s="93">
        <x:v>0</x:v>
      </x:c>
      <x:c r="X383" s="93">
        <x:v>0</x:v>
      </x:c>
      <x:c r="Y383" s="93">
        <x:v>0</x:v>
      </x:c>
      <x:c r="Z383" s="93">
        <x:v>0</x:v>
      </x:c>
    </x:row>
    <x:row r="384" spans="1:26" s="378" customFormat="1" ht="12.75" customHeight="1" x14ac:dyDescent="0.2">
      <x:c r="B384" s="378" t="s">
        <x:v>122</x:v>
      </x:c>
      <x:c r="C384" s="378" t="s">
        <x:v>70</x:v>
      </x:c>
      <x:c r="E384" s="376"/>
      <x:c r="F384" s="710" t="n">
        <x:v>204499.29</x:v>
      </x:c>
      <x:c r="G384" s="377" t="n">
        <x:v>40467.76</x:v>
      </x:c>
      <x:c r="H384" s="377" t="n">
        <x:v>22548.38</x:v>
      </x:c>
      <x:c r="I384" s="377" t="n">
        <x:v>11992.34</x:v>
      </x:c>
      <x:c r="J384" s="377" t="n">
        <x:v>10672.75</x:v>
      </x:c>
      <x:c r="K384" s="377" t="n">
        <x:v>385.44</x:v>
      </x:c>
      <x:c r="L384" s="377" t="n">
        <x:v>0</x:v>
      </x:c>
      <x:c r="M384" s="377" t="n">
        <x:v>3380.99</x:v>
      </x:c>
      <x:c r="N384" s="377" t="n">
        <x:v>3214.74</x:v>
      </x:c>
      <x:c r="O384" s="377" t="n">
        <x:v>15256.24</x:v>
      </x:c>
      <x:c r="P384" s="377" t="n">
        <x:v>95953.3</x:v>
      </x:c>
      <x:c r="Q384" s="377" t="n">
        <x:v>628.86</x:v>
      </x:c>
      <x:c r="R384" s="377" t="n">
        <x:v>-1.51</x:v>
      </x:c>
      <x:c r="S384" s="377" t="n">
        <x:v>0</x:v>
      </x:c>
      <x:c r="T384" s="378" t="n">
        <x:v>0</x:v>
      </x:c>
      <x:c r="U384" s="378">
        <x:v>0</x:v>
      </x:c>
      <x:c r="V384" s="378">
        <x:v>0</x:v>
      </x:c>
      <x:c r="W384" s="378">
        <x:v>0</x:v>
      </x:c>
      <x:c r="X384" s="378">
        <x:v>0</x:v>
      </x:c>
      <x:c r="Y384" s="378">
        <x:v>0</x:v>
      </x:c>
      <x:c r="Z384" s="378">
        <x:v>0</x:v>
      </x:c>
    </x:row>
    <x:row r="385" spans="1:26" ht="12.75" customHeight="1" x14ac:dyDescent="0.2">
      <x:c r="E385" s="89" t="s">
        <x:v>72</x:v>
      </x:c>
      <x:c r="F385" s="371" t="n">
        <x:v>15033646573.98</x:v>
      </x:c>
      <x:c r="G385" s="90" t="n">
        <x:v>956541688.35</x:v>
      </x:c>
      <x:c r="H385" s="90" t="n">
        <x:v>532811005.45</x:v>
      </x:c>
      <x:c r="I385" s="90" t="n">
        <x:v>283430657.99</x:v>
      </x:c>
      <x:c r="J385" s="90" t="n">
        <x:v>3440664819.56</x:v>
      </x:c>
      <x:c r="K385" s="90" t="n">
        <x:v>125349871.32</x:v>
      </x:c>
      <x:c r="L385" s="90" t="n">
        <x:v>18856774.07</x:v>
      </x:c>
      <x:c r="M385" s="90" t="n">
        <x:v>1099335170.67</x:v>
      </x:c>
      <x:c r="N385" s="90" t="n">
        <x:v>1071091328.95</x:v>
      </x:c>
      <x:c r="O385" s="90" t="n">
        <x:v>5035372569.16</x:v>
      </x:c>
      <x:c r="P385" s="90" t="n">
        <x:v>2265735702.89</x:v>
      </x:c>
      <x:c r="Q385" s="90" t="n">
        <x:v>204584034.2</x:v>
      </x:c>
      <x:c r="R385" s="90" t="n">
        <x:v>-127048.63</x:v>
      </x:c>
      <x:c r="S385" s="90" t="n">
        <x:v>0</x:v>
      </x:c>
      <x:c r="T385" t="n">
        <x:v>0</x:v>
      </x:c>
      <x:c r="U385">
        <x:v>0</x:v>
      </x:c>
      <x:c r="V385">
        <x:v>0</x:v>
      </x:c>
      <x:c r="W385">
        <x:v>0</x:v>
      </x:c>
      <x:c r="X385">
        <x:v>0</x:v>
      </x:c>
      <x:c r="Y385">
        <x:v>0</x:v>
      </x:c>
      <x:c r="Z385">
        <x:v>0</x:v>
      </x:c>
    </x:row>
    <x:row r="386" spans="1:26" ht="12.75" customHeight="1" x14ac:dyDescent="0.2">
      <x:c r="E386" s="89" t="s">
        <x:v>81</x:v>
      </x:c>
      <x:c r="F386" s="371" t="n">
        <x:v>9043471.37</x:v>
      </x:c>
      <x:c r="G386" s="90" t="n">
        <x:v>963958.56</x:v>
      </x:c>
      <x:c r="H386" s="90" t="n">
        <x:v>518070.21</x:v>
      </x:c>
      <x:c r="I386" s="90" t="n">
        <x:v>276193.69</x:v>
      </x:c>
      <x:c r="J386" s="90" t="n">
        <x:v>1666494.58</x:v>
      </x:c>
      <x:c r="K386" s="90" t="n">
        <x:v>55865.44</x:v>
      </x:c>
      <x:c r="L386" s="90" t="n">
        <x:v>102927.25</x:v>
      </x:c>
      <x:c r="M386" s="90" t="n">
        <x:v>489218.46</x:v>
      </x:c>
      <x:c r="N386" s="90" t="n">
        <x:v>463591.85</x:v>
      </x:c>
      <x:c r="O386" s="90" t="n">
        <x:v>2147433.84</x:v>
      </x:c>
      <x:c r="P386" s="90" t="n">
        <x:v>2268522.79</x:v>
      </x:c>
      <x:c r="Q386" s="90" t="n">
        <x:v>91180.06</x:v>
      </x:c>
      <x:c r="R386" s="90" t="n">
        <x:v>14.6</x:v>
      </x:c>
      <x:c r="S386" s="90" t="n">
        <x:v>-0.54</x:v>
      </x:c>
      <x:c r="T386" t="n">
        <x:v>0.58</x:v>
      </x:c>
      <x:c r="U386">
        <x:v>0</x:v>
      </x:c>
      <x:c r="V386">
        <x:v>0</x:v>
      </x:c>
      <x:c r="W386">
        <x:v>0</x:v>
      </x:c>
      <x:c r="X386">
        <x:v>0</x:v>
      </x:c>
      <x:c r="Y386">
        <x:v>0</x:v>
      </x:c>
      <x:c r="Z386">
        <x:v>0</x:v>
      </x:c>
    </x:row>
    <x:row r="387" spans="1:26" ht="12.75" customHeight="1" x14ac:dyDescent="0.2">
      <x:c r="D387" t="s">
        <x:v>156</x:v>
      </x:c>
      <x:c r="E387" s="89" t="s">
        <x:v>70</x:v>
      </x:c>
      <x:c r="F387" s="90" t="n">
        <x:v>15042690045.35</x:v>
      </x:c>
      <x:c r="G387" s="90" t="n">
        <x:v>957505646.91</x:v>
      </x:c>
      <x:c r="H387" s="90" t="n">
        <x:v>533329075.66</x:v>
      </x:c>
      <x:c r="I387" s="90" t="n">
        <x:v>283706851.68</x:v>
      </x:c>
      <x:c r="J387" s="90" t="n">
        <x:v>3442331314.14</x:v>
      </x:c>
      <x:c r="K387" s="90" t="n">
        <x:v>125405736.76</x:v>
      </x:c>
      <x:c r="L387" s="90" t="n">
        <x:v>18959701.32</x:v>
      </x:c>
      <x:c r="M387" s="90" t="n">
        <x:v>1099824389.13</x:v>
      </x:c>
      <x:c r="N387" s="90" t="n">
        <x:v>1071554920.8</x:v>
      </x:c>
      <x:c r="O387" s="90" t="n">
        <x:v>5037520003</x:v>
      </x:c>
      <x:c r="P387" s="90" t="n">
        <x:v>2268004225.68</x:v>
      </x:c>
      <x:c r="Q387" s="90" t="n">
        <x:v>204675214.26</x:v>
      </x:c>
      <x:c r="R387" s="90" t="n">
        <x:v>-127034.03</x:v>
      </x:c>
      <x:c r="S387" s="90" t="n">
        <x:v>-0.54</x:v>
      </x:c>
      <x:c r="T387" t="n">
        <x:v>0.58</x:v>
      </x:c>
      <x:c r="U387">
        <x:v>0</x:v>
      </x:c>
      <x:c r="V387">
        <x:v>0</x:v>
      </x:c>
      <x:c r="W387">
        <x:v>0</x:v>
      </x:c>
      <x:c r="X387">
        <x:v>0</x:v>
      </x:c>
      <x:c r="Y387">
        <x:v>0</x:v>
      </x:c>
      <x:c r="Z387">
        <x:v>0</x:v>
      </x:c>
    </x:row>
    <x:row r="388" spans="1:26" s="286" customFormat="1" ht="12.75" customHeight="1" x14ac:dyDescent="0.2">
      <x:c r="C388" s="286" t="s">
        <x:v>155</x:v>
      </x:c>
      <x:c r="D388" s="286" t="s">
        <x:v>70</x:v>
      </x:c>
      <x:c r="E388" s="229"/>
      <x:c r="F388" s="229" t="n">
        <x:v>15042690045.35</x:v>
      </x:c>
      <x:c r="G388" s="230" t="n">
        <x:v>957505646.91</x:v>
      </x:c>
      <x:c r="H388" s="230" t="n">
        <x:v>533329075.66</x:v>
      </x:c>
      <x:c r="I388" s="230" t="n">
        <x:v>283706851.68</x:v>
      </x:c>
      <x:c r="J388" s="230" t="n">
        <x:v>3442331314.14</x:v>
      </x:c>
      <x:c r="K388" s="230" t="n">
        <x:v>125405736.76</x:v>
      </x:c>
      <x:c r="L388" s="230" t="n">
        <x:v>18959701.32</x:v>
      </x:c>
      <x:c r="M388" s="230" t="n">
        <x:v>1099824389.13</x:v>
      </x:c>
      <x:c r="N388" s="230" t="n">
        <x:v>1071554920.8</x:v>
      </x:c>
      <x:c r="O388" s="230" t="n">
        <x:v>5037520003</x:v>
      </x:c>
      <x:c r="P388" s="230" t="n">
        <x:v>2268004225.68</x:v>
      </x:c>
      <x:c r="Q388" s="230" t="n">
        <x:v>204675214.26</x:v>
      </x:c>
      <x:c r="R388" s="230" t="n">
        <x:v>-127034.03</x:v>
      </x:c>
      <x:c r="S388" s="230" t="n">
        <x:v>-0.54</x:v>
      </x:c>
      <x:c r="T388" s="230" t="n">
        <x:v>0.58</x:v>
      </x:c>
      <x:c r="U388" s="230">
        <x:v>0</x:v>
      </x:c>
      <x:c r="V388" s="230">
        <x:v>0</x:v>
      </x:c>
      <x:c r="W388" s="230">
        <x:v>0</x:v>
      </x:c>
      <x:c r="X388" s="230">
        <x:v>0</x:v>
      </x:c>
      <x:c r="Y388" s="230">
        <x:v>0</x:v>
      </x:c>
      <x:c r="Z388" s="230">
        <x:v>0</x:v>
      </x:c>
    </x:row>
    <x:row r="389" spans="1:26" ht="12.75" customHeight="1" x14ac:dyDescent="0.2">
      <x:c r="E389" s="89" t="s">
        <x:v>72</x:v>
      </x:c>
      <x:c r="F389" s="90" t="n">
        <x:v>36981412.6</x:v>
      </x:c>
      <x:c r="G389" s="90" t="n">
        <x:v>2547212.04</x:v>
      </x:c>
      <x:c r="H389" s="90" t="n">
        <x:v>1421651.96</x:v>
      </x:c>
      <x:c r="I389" s="90" t="n">
        <x:v>757103.16</x:v>
      </x:c>
      <x:c r="J389" s="90" t="n">
        <x:v>8060063.17</x:v>
      </x:c>
      <x:c r="K389" s="90" t="n">
        <x:v>221157.04</x:v>
      </x:c>
      <x:c r="L389" s="90" t="n">
        <x:v>160000</x:v>
      </x:c>
      <x:c r="M389" s="90" t="n">
        <x:v>1935012.94</x:v>
      </x:c>
      <x:c r="N389" s="90" t="n">
        <x:v>2704995.84</x:v>
      </x:c>
      <x:c r="O389" s="90" t="n">
        <x:v>12799699.5</x:v>
      </x:c>
      <x:c r="P389" s="90" t="n">
        <x:v>6013374.23</x:v>
      </x:c>
      <x:c r="Q389" s="90" t="n">
        <x:v>362076.25</x:v>
      </x:c>
      <x:c r="R389" s="90" t="n">
        <x:v>-933.53</x:v>
      </x:c>
      <x:c r="S389" s="90" t="n">
        <x:v>0</x:v>
      </x:c>
      <x:c r="T389" t="n">
        <x:v>0</x:v>
      </x:c>
      <x:c r="U389">
        <x:v>0</x:v>
      </x:c>
      <x:c r="V389">
        <x:v>0</x:v>
      </x:c>
      <x:c r="W389">
        <x:v>0</x:v>
      </x:c>
      <x:c r="X389">
        <x:v>0</x:v>
      </x:c>
      <x:c r="Y389">
        <x:v>0</x:v>
      </x:c>
      <x:c r="Z389">
        <x:v>0</x:v>
      </x:c>
    </x:row>
    <x:row r="390" spans="1:26" ht="12.75" customHeight="1" x14ac:dyDescent="0.2">
      <x:c r="E390" s="89" t="s">
        <x:v>81</x:v>
      </x:c>
      <x:c r="F390" s="90" t="n">
        <x:v>403229.75</x:v>
      </x:c>
      <x:c r="G390" s="90" t="n">
        <x:v>36786.59</x:v>
      </x:c>
      <x:c r="H390" s="90" t="n">
        <x:v>20418.05</x:v>
      </x:c>
      <x:c r="I390" s="90" t="n">
        <x:v>10864.47</x:v>
      </x:c>
      <x:c r="J390" s="90" t="n">
        <x:v>82663.8</x:v>
      </x:c>
      <x:c r="K390" s="90" t="n">
        <x:v>2116.96</x:v>
      </x:c>
      <x:c r="L390" s="90" t="n">
        <x:v>324.05</x:v>
      </x:c>
      <x:c r="M390" s="90" t="n">
        <x:v>18582.37</x:v>
      </x:c>
      <x:c r="N390" s="90" t="n">
        <x:v>25051.52</x:v>
      </x:c>
      <x:c r="O390" s="90" t="n">
        <x:v>116800.47</x:v>
      </x:c>
      <x:c r="P390" s="90" t="n">
        <x:v>86170.15</x:v>
      </x:c>
      <x:c r="Q390" s="90" t="n">
        <x:v>3453.82</x:v>
      </x:c>
      <x:c r="R390" s="90" t="n">
        <x:v>-2.5</x:v>
      </x:c>
      <x:c r="S390" s="90" t="n">
        <x:v>0</x:v>
      </x:c>
      <x:c r="T390" t="n">
        <x:v>0</x:v>
      </x:c>
      <x:c r="U390">
        <x:v>0</x:v>
      </x:c>
      <x:c r="V390">
        <x:v>0</x:v>
      </x:c>
      <x:c r="W390">
        <x:v>0</x:v>
      </x:c>
      <x:c r="X390">
        <x:v>0</x:v>
      </x:c>
      <x:c r="Y390">
        <x:v>0</x:v>
      </x:c>
      <x:c r="Z390">
        <x:v>0</x:v>
      </x:c>
    </x:row>
    <x:row r="391" spans="1:26" ht="12.75" customHeight="1" x14ac:dyDescent="0.2">
      <x:c r="D391" s="89" t="s">
        <x:v>82</x:v>
      </x:c>
      <x:c r="E391" s="89" t="s">
        <x:v>70</x:v>
      </x:c>
      <x:c r="F391" s="90" t="n">
        <x:v>37384642.35</x:v>
      </x:c>
      <x:c r="G391" s="90" t="n">
        <x:v>2583998.63</x:v>
      </x:c>
      <x:c r="H391" s="90" t="n">
        <x:v>1442070.01</x:v>
      </x:c>
      <x:c r="I391" s="90" t="n">
        <x:v>767967.63</x:v>
      </x:c>
      <x:c r="J391" s="90" t="n">
        <x:v>8142726.97</x:v>
      </x:c>
      <x:c r="K391" s="90" t="n">
        <x:v>223274</x:v>
      </x:c>
      <x:c r="L391" s="90" t="n">
        <x:v>160324.05</x:v>
      </x:c>
      <x:c r="M391" s="90" t="n">
        <x:v>1953595.31</x:v>
      </x:c>
      <x:c r="N391" s="90" t="n">
        <x:v>2730047.36</x:v>
      </x:c>
      <x:c r="O391" s="90" t="n">
        <x:v>12916499.97</x:v>
      </x:c>
      <x:c r="P391" s="90" t="n">
        <x:v>6099544.38</x:v>
      </x:c>
      <x:c r="Q391" s="90" t="n">
        <x:v>365530.07</x:v>
      </x:c>
      <x:c r="R391" s="90" t="n">
        <x:v>-936.03</x:v>
      </x:c>
      <x:c r="S391" s="90" t="n">
        <x:v>0</x:v>
      </x:c>
      <x:c r="T391" t="n">
        <x:v>0</x:v>
      </x:c>
      <x:c r="U391">
        <x:v>0</x:v>
      </x:c>
      <x:c r="V391">
        <x:v>0</x:v>
      </x:c>
      <x:c r="W391">
        <x:v>0</x:v>
      </x:c>
      <x:c r="X391">
        <x:v>0</x:v>
      </x:c>
      <x:c r="Y391">
        <x:v>0</x:v>
      </x:c>
      <x:c r="Z391">
        <x:v>0</x:v>
      </x:c>
    </x:row>
    <x:row r="392" spans="1:26" ht="12.75" customHeight="1" x14ac:dyDescent="0.2">
      <x:c r="D392" s="89"/>
      <x:c r="E392" s="89" t="s">
        <x:v>72</x:v>
      </x:c>
      <x:c r="F392" s="90" t="n">
        <x:v>80301677.01</x:v>
      </x:c>
      <x:c r="G392" s="90" t="n">
        <x:v>12621579.2</x:v>
      </x:c>
      <x:c r="H392" s="90" t="n">
        <x:v>6822057.07</x:v>
      </x:c>
      <x:c r="I392" s="90" t="n">
        <x:v>3563537.55</x:v>
      </x:c>
      <x:c r="J392" s="90" t="n">
        <x:v>7373025.18</x:v>
      </x:c>
      <x:c r="K392" s="90" t="n">
        <x:v>337422.43</x:v>
      </x:c>
      <x:c r="L392" s="90" t="n">
        <x:v>140000</x:v>
      </x:c>
      <x:c r="M392" s="90" t="n">
        <x:v>2959632.61</x:v>
      </x:c>
      <x:c r="N392" s="90" t="n">
        <x:v>3025011.63</x:v>
      </x:c>
      <x:c r="O392" s="90" t="n">
        <x:v>13089851.25</x:v>
      </x:c>
      <x:c r="P392" s="90" t="n">
        <x:v>29818506.78</x:v>
      </x:c>
      <x:c r="Q392" s="90" t="n">
        <x:v>551139.27</x:v>
      </x:c>
      <x:c r="R392" s="90" t="n">
        <x:v>-85.96</x:v>
      </x:c>
      <x:c r="S392" s="90" t="n">
        <x:v>0</x:v>
      </x:c>
      <x:c r="T392" t="n">
        <x:v>0</x:v>
      </x:c>
      <x:c r="U392">
        <x:v>0</x:v>
      </x:c>
      <x:c r="V392">
        <x:v>0</x:v>
      </x:c>
      <x:c r="W392">
        <x:v>0</x:v>
      </x:c>
      <x:c r="X392">
        <x:v>0</x:v>
      </x:c>
      <x:c r="Y392">
        <x:v>0</x:v>
      </x:c>
      <x:c r="Z392">
        <x:v>0</x:v>
      </x:c>
    </x:row>
    <x:row r="393" spans="1:26" ht="12.75" customHeight="1" x14ac:dyDescent="0.2">
      <x:c r="E393" s="89" t="s">
        <x:v>81</x:v>
      </x:c>
      <x:c r="F393" s="90" t="n">
        <x:v>8256606.31</x:v>
      </x:c>
      <x:c r="G393" s="90" t="n">
        <x:v>1280143.8</x:v>
      </x:c>
      <x:c r="H393" s="90" t="n">
        <x:v>524499.68</x:v>
      </x:c>
      <x:c r="I393" s="90" t="n">
        <x:v>196688.86</x:v>
      </x:c>
      <x:c r="J393" s="90" t="n">
        <x:v>949456.96</x:v>
      </x:c>
      <x:c r="K393" s="90" t="n">
        <x:v>45860.66</x:v>
      </x:c>
      <x:c r="L393" s="90" t="n">
        <x:v>588</x:v>
      </x:c>
      <x:c r="M393" s="90" t="n">
        <x:v>402140.43</x:v>
      </x:c>
      <x:c r="N393" s="90" t="n">
        <x:v>425198.98</x:v>
      </x:c>
      <x:c r="O393" s="90" t="n">
        <x:v>1399881.08</x:v>
      </x:c>
      <x:c r="P393" s="90" t="n">
        <x:v>2957303.93</x:v>
      </x:c>
      <x:c r="Q393" s="90" t="n">
        <x:v>74826.14</x:v>
      </x:c>
      <x:c r="R393" s="90" t="n">
        <x:v>16.77</x:v>
      </x:c>
      <x:c r="S393" s="90" t="n">
        <x:v>1.02</x:v>
      </x:c>
      <x:c r="T393" t="n">
        <x:v>0</x:v>
      </x:c>
      <x:c r="U393">
        <x:v>0</x:v>
      </x:c>
      <x:c r="V393">
        <x:v>0</x:v>
      </x:c>
      <x:c r="W393">
        <x:v>0</x:v>
      </x:c>
      <x:c r="X393">
        <x:v>0</x:v>
      </x:c>
      <x:c r="Y393">
        <x:v>0</x:v>
      </x:c>
      <x:c r="Z393">
        <x:v>0</x:v>
      </x:c>
    </x:row>
    <x:row r="394" spans="1:26" ht="12.75" customHeight="1" x14ac:dyDescent="0.2">
      <x:c r="D394" s="89" t="s">
        <x:v>86</x:v>
      </x:c>
      <x:c r="E394" s="89" t="s">
        <x:v>70</x:v>
      </x:c>
      <x:c r="F394" s="90" t="n">
        <x:v>88558283.32</x:v>
      </x:c>
      <x:c r="G394" s="90" t="n">
        <x:v>13901723</x:v>
      </x:c>
      <x:c r="H394" s="90" t="n">
        <x:v>7346556.75</x:v>
      </x:c>
      <x:c r="I394" s="90" t="n">
        <x:v>3760226.41</x:v>
      </x:c>
      <x:c r="J394" s="90" t="n">
        <x:v>8322482.14</x:v>
      </x:c>
      <x:c r="K394" s="90" t="n">
        <x:v>383283.09</x:v>
      </x:c>
      <x:c r="L394" s="90" t="n">
        <x:v>140588</x:v>
      </x:c>
      <x:c r="M394" s="90" t="n">
        <x:v>3361773.04</x:v>
      </x:c>
      <x:c r="N394" s="90" t="n">
        <x:v>3450210.61</x:v>
      </x:c>
      <x:c r="O394" s="90" t="n">
        <x:v>14489732.33</x:v>
      </x:c>
      <x:c r="P394" s="90" t="n">
        <x:v>32775810.71</x:v>
      </x:c>
      <x:c r="Q394" s="90" t="n">
        <x:v>625965.41</x:v>
      </x:c>
      <x:c r="R394" s="90" t="n">
        <x:v>-69.19</x:v>
      </x:c>
      <x:c r="S394" s="90" t="n">
        <x:v>1.02</x:v>
      </x:c>
      <x:c r="T394" t="n">
        <x:v>0</x:v>
      </x:c>
      <x:c r="U394">
        <x:v>0</x:v>
      </x:c>
      <x:c r="V394">
        <x:v>0</x:v>
      </x:c>
      <x:c r="W394">
        <x:v>0</x:v>
      </x:c>
      <x:c r="X394">
        <x:v>0</x:v>
      </x:c>
      <x:c r="Y394">
        <x:v>0</x:v>
      </x:c>
      <x:c r="Z394">
        <x:v>0</x:v>
      </x:c>
    </x:row>
    <x:row r="395" spans="1:26" ht="12.75" customHeight="1" x14ac:dyDescent="0.2">
      <x:c r="E395" s="89" t="s">
        <x:v>72</x:v>
      </x:c>
      <x:c r="F395" s="90" t="n">
        <x:v>714476297</x:v>
      </x:c>
      <x:c r="G395" s="90" t="n">
        <x:v>150439700.2</x:v>
      </x:c>
      <x:c r="H395" s="90" t="n">
        <x:v>83711139.55</x:v>
      </x:c>
      <x:c r="I395" s="90" t="n">
        <x:v>44303580.72</x:v>
      </x:c>
      <x:c r="J395" s="90" t="n">
        <x:v>20342950.63</x:v>
      </x:c>
      <x:c r="K395" s="90" t="n">
        <x:v>508480.77</x:v>
      </x:c>
      <x:c r="L395" s="90" t="n">
        <x:v>17481341.38</x:v>
      </x:c>
      <x:c r="M395" s="90" t="n">
        <x:v>4447007.51</x:v>
      </x:c>
      <x:c r="N395" s="90" t="n">
        <x:v>6380697.32</x:v>
      </x:c>
      <x:c r="O395" s="90" t="n">
        <x:v>30140984.91</x:v>
      </x:c>
      <x:c r="P395" s="90" t="n">
        <x:v>355893000.11</x:v>
      </x:c>
      <x:c r="Q395" s="90" t="n">
        <x:v>828809.59</x:v>
      </x:c>
      <x:c r="R395" s="90" t="n">
        <x:v>-1395.69</x:v>
      </x:c>
      <x:c r="S395" s="90" t="n">
        <x:v>0</x:v>
      </x:c>
      <x:c r="T395" t="n">
        <x:v>0</x:v>
      </x:c>
      <x:c r="U395">
        <x:v>0</x:v>
      </x:c>
      <x:c r="V395">
        <x:v>0</x:v>
      </x:c>
      <x:c r="W395">
        <x:v>0</x:v>
      </x:c>
      <x:c r="X395">
        <x:v>0</x:v>
      </x:c>
      <x:c r="Y395">
        <x:v>0</x:v>
      </x:c>
      <x:c r="Z395">
        <x:v>0</x:v>
      </x:c>
    </x:row>
    <x:row r="396" spans="1:26" ht="12.75" customHeight="1" x14ac:dyDescent="0.2">
      <x:c r="E396" s="89" t="s">
        <x:v>81</x:v>
      </x:c>
      <x:c r="F396" s="90" t="n">
        <x:v>9309714.71</x:v>
      </x:c>
      <x:c r="G396" s="90" t="n">
        <x:v>1895829.83</x:v>
      </x:c>
      <x:c r="H396" s="90" t="n">
        <x:v>1044086.72</x:v>
      </x:c>
      <x:c r="I396" s="90" t="n">
        <x:v>555525.29</x:v>
      </x:c>
      <x:c r="J396" s="90" t="n">
        <x:v>349633.05</x:v>
      </x:c>
      <x:c r="K396" s="90" t="n">
        <x:v>7696.35</x:v>
      </x:c>
      <x:c r="L396" s="90" t="n">
        <x:v>394930.12</x:v>
      </x:c>
      <x:c r="M396" s="90" t="n">
        <x:v>66941.84</x:v>
      </x:c>
      <x:c r="N396" s="90" t="n">
        <x:v>92249.28</x:v>
      </x:c>
      <x:c r="O396" s="90" t="n">
        <x:v>431306.43</x:v>
      </x:c>
      <x:c r="P396" s="90" t="n">
        <x:v>4458966.91</x:v>
      </x:c>
      <x:c r="Q396" s="90" t="n">
        <x:v>12550</x:v>
      </x:c>
      <x:c r="R396" s="90" t="n">
        <x:v>-1.5</x:v>
      </x:c>
      <x:c r="S396" s="90" t="n">
        <x:v>0.39</x:v>
      </x:c>
      <x:c r="T396" t="n">
        <x:v>0</x:v>
      </x:c>
      <x:c r="U396">
        <x:v>0</x:v>
      </x:c>
      <x:c r="V396">
        <x:v>0</x:v>
      </x:c>
      <x:c r="W396">
        <x:v>0</x:v>
      </x:c>
      <x:c r="X396">
        <x:v>0</x:v>
      </x:c>
      <x:c r="Y396">
        <x:v>0</x:v>
      </x:c>
      <x:c r="Z396">
        <x:v>0</x:v>
      </x:c>
    </x:row>
    <x:row r="397" spans="1:26" ht="12.75" customHeight="1" x14ac:dyDescent="0.2">
      <x:c r="D397" s="89" t="s">
        <x:v>87</x:v>
      </x:c>
      <x:c r="E397" s="89" t="s">
        <x:v>70</x:v>
      </x:c>
      <x:c r="F397" s="90" t="n">
        <x:v>723786011.71</x:v>
      </x:c>
      <x:c r="G397" s="90" t="n">
        <x:v>152335530.03</x:v>
      </x:c>
      <x:c r="H397" s="90" t="n">
        <x:v>84755226.27</x:v>
      </x:c>
      <x:c r="I397" s="90" t="n">
        <x:v>44859106.01</x:v>
      </x:c>
      <x:c r="J397" s="90" t="n">
        <x:v>20692583.68</x:v>
      </x:c>
      <x:c r="K397" s="90" t="n">
        <x:v>516177.12</x:v>
      </x:c>
      <x:c r="L397" s="90" t="n">
        <x:v>17876271.5</x:v>
      </x:c>
      <x:c r="M397" s="90" t="n">
        <x:v>4513949.35</x:v>
      </x:c>
      <x:c r="N397" s="90" t="n">
        <x:v>6472946.6</x:v>
      </x:c>
      <x:c r="O397" s="90" t="n">
        <x:v>30572291.34</x:v>
      </x:c>
      <x:c r="P397" s="90" t="n">
        <x:v>360351967.02</x:v>
      </x:c>
      <x:c r="Q397" s="90" t="n">
        <x:v>841359.59</x:v>
      </x:c>
      <x:c r="R397" s="90" t="n">
        <x:v>-1397.19</x:v>
      </x:c>
      <x:c r="S397" s="90" t="n">
        <x:v>0.39</x:v>
      </x:c>
      <x:c r="T397" t="n">
        <x:v>0</x:v>
      </x:c>
      <x:c r="U397">
        <x:v>0</x:v>
      </x:c>
      <x:c r="V397">
        <x:v>0</x:v>
      </x:c>
      <x:c r="W397">
        <x:v>0</x:v>
      </x:c>
      <x:c r="X397">
        <x:v>0</x:v>
      </x:c>
      <x:c r="Y397">
        <x:v>0</x:v>
      </x:c>
      <x:c r="Z397">
        <x:v>0</x:v>
      </x:c>
    </x:row>
    <x:row r="398" spans="1:26" s="94" customFormat="1" ht="12.75" customHeight="1" x14ac:dyDescent="0.2">
      <x:c r="C398" s="101" t="s">
        <x:v>119</x:v>
      </x:c>
      <x:c r="D398" s="101" t="s">
        <x:v>70</x:v>
      </x:c>
      <x:c r="F398" s="93" t="n">
        <x:v>849728937.38</x:v>
      </x:c>
      <x:c r="G398" s="93" t="n">
        <x:v>168821251.66</x:v>
      </x:c>
      <x:c r="H398" s="93" t="n">
        <x:v>93543853.03</x:v>
      </x:c>
      <x:c r="I398" s="93" t="n">
        <x:v>49387300.05</x:v>
      </x:c>
      <x:c r="J398" s="93" t="n">
        <x:v>37157792.79</x:v>
      </x:c>
      <x:c r="K398" s="93" t="n">
        <x:v>1122734.21</x:v>
      </x:c>
      <x:c r="L398" s="93" t="n">
        <x:v>18177183.55</x:v>
      </x:c>
      <x:c r="M398" s="93" t="n">
        <x:v>9829317.7</x:v>
      </x:c>
      <x:c r="N398" s="93" t="n">
        <x:v>12653204.57</x:v>
      </x:c>
      <x:c r="O398" s="93" t="n">
        <x:v>57978523.64</x:v>
      </x:c>
      <x:c r="P398" s="93" t="n">
        <x:v>399227322.11</x:v>
      </x:c>
      <x:c r="Q398" s="93" t="n">
        <x:v>1832855.07</x:v>
      </x:c>
      <x:c r="R398" s="93" t="n">
        <x:v>-2402.41</x:v>
      </x:c>
      <x:c r="S398" s="93" t="n">
        <x:v>1.41</x:v>
      </x:c>
      <x:c r="T398" s="94" t="n">
        <x:v>0</x:v>
      </x:c>
      <x:c r="U398" s="94">
        <x:v>0</x:v>
      </x:c>
      <x:c r="V398" s="94">
        <x:v>0</x:v>
      </x:c>
      <x:c r="W398" s="94">
        <x:v>0</x:v>
      </x:c>
      <x:c r="X398" s="94">
        <x:v>0</x:v>
      </x:c>
      <x:c r="Y398" s="94">
        <x:v>0</x:v>
      </x:c>
      <x:c r="Z398" s="94">
        <x:v>0</x:v>
      </x:c>
    </x:row>
    <x:row r="399" spans="1:26" s="226" customFormat="1" ht="12.75" customHeight="1" x14ac:dyDescent="0.2">
      <x:c r="B399" s="98" t="s">
        <x:v>112</x:v>
      </x:c>
      <x:c r="C399" s="98" t="s">
        <x:v>70</x:v>
      </x:c>
      <x:c r="F399" s="100" t="n">
        <x:v>15892418982.73</x:v>
      </x:c>
      <x:c r="G399" s="100" t="n">
        <x:v>1126326898.57</x:v>
      </x:c>
      <x:c r="H399" s="100" t="n">
        <x:v>626872928.69</x:v>
      </x:c>
      <x:c r="I399" s="100" t="n">
        <x:v>333094151.73</x:v>
      </x:c>
      <x:c r="J399" s="100" t="n">
        <x:v>3479489106.93</x:v>
      </x:c>
      <x:c r="K399" s="100" t="n">
        <x:v>126528470.97</x:v>
      </x:c>
      <x:c r="L399" s="100" t="n">
        <x:v>37136884.87</x:v>
      </x:c>
      <x:c r="M399" s="100" t="n">
        <x:v>1109653706.83</x:v>
      </x:c>
      <x:c r="N399" s="100" t="n">
        <x:v>1084208125.37</x:v>
      </x:c>
      <x:c r="O399" s="100" t="n">
        <x:v>5095498526.64</x:v>
      </x:c>
      <x:c r="P399" s="100" t="n">
        <x:v>2667231547.79</x:v>
      </x:c>
      <x:c r="Q399" s="100" t="n">
        <x:v>206508069.33</x:v>
      </x:c>
      <x:c r="R399" s="100" t="n">
        <x:v>-129436.44</x:v>
      </x:c>
      <x:c r="S399" s="100" t="n">
        <x:v>0.87</x:v>
      </x:c>
      <x:c r="T399" s="226" t="n">
        <x:v>0.58</x:v>
      </x:c>
      <x:c r="U399" s="226">
        <x:v>0</x:v>
      </x:c>
      <x:c r="V399" s="226">
        <x:v>0</x:v>
      </x:c>
      <x:c r="W399" s="226">
        <x:v>0</x:v>
      </x:c>
      <x:c r="X399" s="226">
        <x:v>0</x:v>
      </x:c>
      <x:c r="Y399" s="226">
        <x:v>0</x:v>
      </x:c>
      <x:c r="Z399" s="226">
        <x:v>0</x:v>
      </x:c>
    </x:row>
    <x:row r="400" spans="1:26" ht="12.75" customHeight="1" x14ac:dyDescent="0.2">
      <x:c r="A400" s="89" t="s">
        <x:v>78</x:v>
      </x:c>
      <x:c r="B400" s="89" t="s">
        <x:v>70</x:v>
      </x:c>
      <x:c r="F400" s="90" t="n">
        <x:v>15892623482.02</x:v>
      </x:c>
      <x:c r="G400" s="90" t="n">
        <x:v>1126367366.33</x:v>
      </x:c>
      <x:c r="H400" s="90" t="n">
        <x:v>626895477.07</x:v>
      </x:c>
      <x:c r="I400" s="90" t="n">
        <x:v>333106144.07</x:v>
      </x:c>
      <x:c r="J400" s="90" t="n">
        <x:v>3479499779.68</x:v>
      </x:c>
      <x:c r="K400" s="90" t="n">
        <x:v>126528856.41</x:v>
      </x:c>
      <x:c r="L400" s="90" t="n">
        <x:v>37136884.87</x:v>
      </x:c>
      <x:c r="M400" s="90" t="n">
        <x:v>1109657087.82</x:v>
      </x:c>
      <x:c r="N400" s="90" t="n">
        <x:v>1084211340.11</x:v>
      </x:c>
      <x:c r="O400" s="90" t="n">
        <x:v>5095513782.88</x:v>
      </x:c>
      <x:c r="P400" s="90" t="n">
        <x:v>2667327501.09</x:v>
      </x:c>
      <x:c r="Q400" s="90" t="n">
        <x:v>206508698.19</x:v>
      </x:c>
      <x:c r="R400" s="90" t="n">
        <x:v>-129437.95</x:v>
      </x:c>
      <x:c r="S400" s="90" t="n">
        <x:v>0.87</x:v>
      </x:c>
      <x:c r="T400" t="n">
        <x:v>0.58</x:v>
      </x:c>
      <x:c r="U400">
        <x:v>0</x:v>
      </x:c>
      <x:c r="V400">
        <x:v>0</x:v>
      </x:c>
      <x:c r="W400">
        <x:v>0</x:v>
      </x:c>
      <x:c r="X400">
        <x:v>0</x:v>
      </x:c>
      <x:c r="Y400">
        <x:v>0</x:v>
      </x:c>
      <x:c r="Z400">
        <x:v>0</x:v>
      </x:c>
    </x:row>
    <x:row r="401" spans="2:26" x14ac:dyDescent="0.2">
      <x:c r="E401" t="s">
        <x:v>73</x:v>
      </x:c>
      <x:c r="F401" s="90" t="n">
        <x:v>184050.71</x:v>
      </x:c>
      <x:c r="G401" s="90" t="n">
        <x:v>36420.97</x:v>
      </x:c>
      <x:c r="H401" s="90" t="n">
        <x:v>20293.55</x:v>
      </x:c>
      <x:c r="I401" s="90" t="n">
        <x:v>10793.11</x:v>
      </x:c>
      <x:c r="J401" s="90" t="n">
        <x:v>9605.48</x:v>
      </x:c>
      <x:c r="K401" s="90" t="n">
        <x:v>346.89</x:v>
      </x:c>
      <x:c r="L401" s="90" t="n">
        <x:v>0</x:v>
      </x:c>
      <x:c r="M401" s="90" t="n">
        <x:v>3042.88</x:v>
      </x:c>
      <x:c r="N401" s="90" t="n">
        <x:v>2893.26</x:v>
      </x:c>
      <x:c r="O401" s="90" t="n">
        <x:v>13730.62</x:v>
      </x:c>
      <x:c r="P401" s="90" t="n">
        <x:v>86357.97</x:v>
      </x:c>
      <x:c r="Q401" s="90" t="n">
        <x:v>565.98</x:v>
      </x:c>
      <x:c r="R401" s="90" t="n">
        <x:v>0</x:v>
      </x:c>
      <x:c r="S401" s="90" t="n">
        <x:v>0</x:v>
      </x:c>
      <x:c r="T401" s="90" t="n">
        <x:v>0</x:v>
      </x:c>
      <x:c r="U401">
        <x:v>0</x:v>
      </x:c>
      <x:c r="V401">
        <x:v>0</x:v>
      </x:c>
      <x:c r="W401">
        <x:v>0</x:v>
      </x:c>
      <x:c r="X401">
        <x:v>0</x:v>
      </x:c>
      <x:c r="Y401">
        <x:v>0</x:v>
      </x:c>
      <x:c r="Z401" s="90">
        <x:v>0</x:v>
      </x:c>
    </x:row>
    <x:row r="402" spans="2:26" x14ac:dyDescent="0.2">
      <x:c r="D402" t="s">
        <x:v>156</x:v>
      </x:c>
      <x:c r="E402" t="s">
        <x:v>70</x:v>
      </x:c>
      <x:c r="F402" s="90" t="n">
        <x:v>184050.71</x:v>
      </x:c>
      <x:c r="G402" s="90" t="n">
        <x:v>36420.97</x:v>
      </x:c>
      <x:c r="H402" s="90" t="n">
        <x:v>20293.55</x:v>
      </x:c>
      <x:c r="I402" s="90" t="n">
        <x:v>10793.11</x:v>
      </x:c>
      <x:c r="J402" s="90" t="n">
        <x:v>9605.48</x:v>
      </x:c>
      <x:c r="K402" s="90" t="n">
        <x:v>346.89</x:v>
      </x:c>
      <x:c r="L402" s="90" t="n">
        <x:v>0</x:v>
      </x:c>
      <x:c r="M402" s="90" t="n">
        <x:v>3042.88</x:v>
      </x:c>
      <x:c r="N402" s="90" t="n">
        <x:v>2893.26</x:v>
      </x:c>
      <x:c r="O402" s="90" t="n">
        <x:v>13730.62</x:v>
      </x:c>
      <x:c r="P402" s="90" t="n">
        <x:v>86357.97</x:v>
      </x:c>
      <x:c r="Q402" s="90" t="n">
        <x:v>565.98</x:v>
      </x:c>
      <x:c r="R402" s="90" t="n">
        <x:v>0</x:v>
      </x:c>
      <x:c r="S402" s="90" t="n">
        <x:v>0</x:v>
      </x:c>
      <x:c r="T402" s="90" t="n">
        <x:v>0</x:v>
      </x:c>
      <x:c r="U402">
        <x:v>0</x:v>
      </x:c>
      <x:c r="V402">
        <x:v>0</x:v>
      </x:c>
      <x:c r="W402">
        <x:v>0</x:v>
      </x:c>
      <x:c r="X402">
        <x:v>0</x:v>
      </x:c>
      <x:c r="Y402">
        <x:v>0</x:v>
      </x:c>
      <x:c r="Z402" s="90">
        <x:v>0</x:v>
      </x:c>
    </x:row>
    <x:row r="403" spans="2:26" s="286" customFormat="1" ht="12.75" customHeight="1" x14ac:dyDescent="0.2">
      <x:c r="C403" s="286" t="s">
        <x:v>155</x:v>
      </x:c>
      <x:c r="D403" s="286" t="s">
        <x:v>70</x:v>
      </x:c>
      <x:c r="E403" s="229"/>
      <x:c r="F403" s="229" t="n">
        <x:v>184050.71</x:v>
      </x:c>
      <x:c r="G403" s="230" t="n">
        <x:v>36420.97</x:v>
      </x:c>
      <x:c r="H403" s="230" t="n">
        <x:v>20293.55</x:v>
      </x:c>
      <x:c r="I403" s="230" t="n">
        <x:v>10793.11</x:v>
      </x:c>
      <x:c r="J403" s="230" t="n">
        <x:v>9605.48</x:v>
      </x:c>
      <x:c r="K403" s="230" t="n">
        <x:v>346.89</x:v>
      </x:c>
      <x:c r="L403" s="230" t="n">
        <x:v>0</x:v>
      </x:c>
      <x:c r="M403" s="230" t="n">
        <x:v>3042.88</x:v>
      </x:c>
      <x:c r="N403" s="230" t="n">
        <x:v>2893.26</x:v>
      </x:c>
      <x:c r="O403" s="230" t="n">
        <x:v>13730.62</x:v>
      </x:c>
      <x:c r="P403" s="230" t="n">
        <x:v>86357.97</x:v>
      </x:c>
      <x:c r="Q403" s="230" t="n">
        <x:v>565.98</x:v>
      </x:c>
      <x:c r="R403" s="230" t="n">
        <x:v>0</x:v>
      </x:c>
      <x:c r="S403" s="230" t="n">
        <x:v>0</x:v>
      </x:c>
      <x:c r="T403" s="230" t="n">
        <x:v>0</x:v>
      </x:c>
      <x:c r="U403" s="230">
        <x:v>0</x:v>
      </x:c>
      <x:c r="V403" s="230">
        <x:v>0</x:v>
      </x:c>
      <x:c r="W403" s="230">
        <x:v>0</x:v>
      </x:c>
      <x:c r="X403" s="230">
        <x:v>0</x:v>
      </x:c>
      <x:c r="Y403" s="230">
        <x:v>0</x:v>
      </x:c>
      <x:c r="Z403" s="230">
        <x:v>0</x:v>
      </x:c>
    </x:row>
    <x:row r="404" spans="2:26" x14ac:dyDescent="0.2">
      <x:c r="E404" t="s">
        <x:v>73</x:v>
      </x:c>
      <x:c r="F404" s="90">
        <x:v>0</x:v>
      </x:c>
      <x:c r="G404" s="90">
        <x:v>0</x:v>
      </x:c>
      <x:c r="H404" s="90">
        <x:v>0</x:v>
      </x:c>
      <x:c r="I404" s="90">
        <x:v>0</x:v>
      </x:c>
      <x:c r="J404" s="90">
        <x:v>0</x:v>
      </x:c>
      <x:c r="K404" s="90">
        <x:v>0</x:v>
      </x:c>
      <x:c r="L404" s="90">
        <x:v>0</x:v>
      </x:c>
      <x:c r="M404" s="90">
        <x:v>0</x:v>
      </x:c>
      <x:c r="N404" s="90">
        <x:v>0</x:v>
      </x:c>
      <x:c r="O404" s="90">
        <x:v>0</x:v>
      </x:c>
      <x:c r="P404" s="90">
        <x:v>0</x:v>
      </x:c>
      <x:c r="Q404" s="90">
        <x:v>0</x:v>
      </x:c>
      <x:c r="R404" s="90">
        <x:v>0</x:v>
      </x:c>
      <x:c r="S404" s="90">
        <x:v>0</x:v>
      </x:c>
      <x:c r="T404" s="90">
        <x:v>0</x:v>
      </x:c>
      <x:c r="U404">
        <x:v>0</x:v>
      </x:c>
      <x:c r="V404">
        <x:v>0</x:v>
      </x:c>
      <x:c r="W404">
        <x:v>0</x:v>
      </x:c>
      <x:c r="X404">
        <x:v>0</x:v>
      </x:c>
      <x:c r="Y404">
        <x:v>0</x:v>
      </x:c>
      <x:c r="Z404" s="90">
        <x:v>0</x:v>
      </x:c>
    </x:row>
    <x:row r="405" spans="2:26" x14ac:dyDescent="0.2">
      <x:c r="D405" t="s">
        <x:v>82</x:v>
      </x:c>
      <x:c r="E405" t="s">
        <x:v>70</x:v>
      </x:c>
      <x:c r="F405" s="90">
        <x:v>0</x:v>
      </x:c>
      <x:c r="G405" s="90">
        <x:v>0</x:v>
      </x:c>
      <x:c r="H405" s="90">
        <x:v>0</x:v>
      </x:c>
      <x:c r="I405" s="90">
        <x:v>0</x:v>
      </x:c>
      <x:c r="J405" s="90">
        <x:v>0</x:v>
      </x:c>
      <x:c r="K405" s="90">
        <x:v>0</x:v>
      </x:c>
      <x:c r="L405" s="90">
        <x:v>0</x:v>
      </x:c>
      <x:c r="M405" s="90">
        <x:v>0</x:v>
      </x:c>
      <x:c r="N405" s="90">
        <x:v>0</x:v>
      </x:c>
      <x:c r="O405" s="90">
        <x:v>0</x:v>
      </x:c>
      <x:c r="P405" s="90">
        <x:v>0</x:v>
      </x:c>
      <x:c r="Q405" s="90">
        <x:v>0</x:v>
      </x:c>
      <x:c r="R405" s="90">
        <x:v>0</x:v>
      </x:c>
      <x:c r="S405" s="90">
        <x:v>0</x:v>
      </x:c>
      <x:c r="T405" s="90">
        <x:v>0</x:v>
      </x:c>
      <x:c r="U405">
        <x:v>0</x:v>
      </x:c>
      <x:c r="V405">
        <x:v>0</x:v>
      </x:c>
      <x:c r="W405">
        <x:v>0</x:v>
      </x:c>
      <x:c r="X405">
        <x:v>0</x:v>
      </x:c>
      <x:c r="Y405">
        <x:v>0</x:v>
      </x:c>
      <x:c r="Z405" s="90">
        <x:v>0</x:v>
      </x:c>
    </x:row>
    <x:row r="406" spans="2:26" x14ac:dyDescent="0.2">
      <x:c r="E406" t="s">
        <x:v>73</x:v>
      </x:c>
      <x:c r="F406" s="90">
        <x:v>0</x:v>
      </x:c>
      <x:c r="G406" s="90">
        <x:v>0</x:v>
      </x:c>
      <x:c r="H406" s="90">
        <x:v>0</x:v>
      </x:c>
      <x:c r="I406" s="90">
        <x:v>0</x:v>
      </x:c>
      <x:c r="J406" s="90">
        <x:v>0</x:v>
      </x:c>
      <x:c r="K406" s="90">
        <x:v>0</x:v>
      </x:c>
      <x:c r="L406" s="90">
        <x:v>0</x:v>
      </x:c>
      <x:c r="M406" s="90">
        <x:v>0</x:v>
      </x:c>
      <x:c r="N406" s="90">
        <x:v>0</x:v>
      </x:c>
      <x:c r="O406" s="90">
        <x:v>0</x:v>
      </x:c>
      <x:c r="P406" s="90">
        <x:v>0</x:v>
      </x:c>
      <x:c r="Q406" s="90">
        <x:v>0</x:v>
      </x:c>
      <x:c r="R406" s="90">
        <x:v>0</x:v>
      </x:c>
      <x:c r="S406" s="90">
        <x:v>0</x:v>
      </x:c>
      <x:c r="T406" s="90">
        <x:v>0</x:v>
      </x:c>
      <x:c r="U406">
        <x:v>0</x:v>
      </x:c>
      <x:c r="V406">
        <x:v>0</x:v>
      </x:c>
      <x:c r="W406">
        <x:v>0</x:v>
      </x:c>
      <x:c r="X406">
        <x:v>0</x:v>
      </x:c>
      <x:c r="Y406">
        <x:v>0</x:v>
      </x:c>
      <x:c r="Z406" s="90">
        <x:v>0</x:v>
      </x:c>
    </x:row>
    <x:row r="407" spans="2:26" x14ac:dyDescent="0.2">
      <x:c r="D407" t="s">
        <x:v>86</x:v>
      </x:c>
      <x:c r="E407" t="s">
        <x:v>70</x:v>
      </x:c>
      <x:c r="F407" s="90">
        <x:v>0</x:v>
      </x:c>
      <x:c r="G407" s="90">
        <x:v>0</x:v>
      </x:c>
      <x:c r="H407" s="90">
        <x:v>0</x:v>
      </x:c>
      <x:c r="I407" s="90">
        <x:v>0</x:v>
      </x:c>
      <x:c r="J407" s="90">
        <x:v>0</x:v>
      </x:c>
      <x:c r="K407" s="90">
        <x:v>0</x:v>
      </x:c>
      <x:c r="L407" s="90">
        <x:v>0</x:v>
      </x:c>
      <x:c r="M407" s="90">
        <x:v>0</x:v>
      </x:c>
      <x:c r="N407" s="90">
        <x:v>0</x:v>
      </x:c>
      <x:c r="O407" s="90">
        <x:v>0</x:v>
      </x:c>
      <x:c r="P407" s="90">
        <x:v>0</x:v>
      </x:c>
      <x:c r="Q407" s="90">
        <x:v>0</x:v>
      </x:c>
      <x:c r="R407" s="90">
        <x:v>0</x:v>
      </x:c>
      <x:c r="S407" s="90">
        <x:v>0</x:v>
      </x:c>
      <x:c r="T407" s="90">
        <x:v>0</x:v>
      </x:c>
      <x:c r="U407">
        <x:v>0</x:v>
      </x:c>
      <x:c r="V407">
        <x:v>0</x:v>
      </x:c>
      <x:c r="W407">
        <x:v>0</x:v>
      </x:c>
      <x:c r="X407">
        <x:v>0</x:v>
      </x:c>
      <x:c r="Y407">
        <x:v>0</x:v>
      </x:c>
      <x:c r="Z407" s="90">
        <x:v>0</x:v>
      </x:c>
    </x:row>
    <x:row r="408" spans="2:26" x14ac:dyDescent="0.2">
      <x:c r="E408" t="s">
        <x:v>73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 s="90">
        <x:v>0</x:v>
      </x:c>
      <x:c r="S408" s="90">
        <x:v>0</x:v>
      </x:c>
      <x:c r="T408" s="90">
        <x:v>0</x:v>
      </x:c>
      <x:c r="U408">
        <x:v>0</x:v>
      </x:c>
      <x:c r="V408">
        <x:v>0</x:v>
      </x:c>
      <x:c r="W408">
        <x:v>0</x:v>
      </x:c>
      <x:c r="X408">
        <x:v>0</x:v>
      </x:c>
      <x:c r="Y408">
        <x:v>0</x:v>
      </x:c>
      <x:c r="Z408" s="90">
        <x:v>0</x:v>
      </x:c>
    </x:row>
    <x:row r="409" spans="2:26" x14ac:dyDescent="0.2">
      <x:c r="D409" t="s">
        <x:v>87</x:v>
      </x:c>
      <x:c r="E409" t="s">
        <x:v>70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 s="90">
        <x:v>0</x:v>
      </x:c>
      <x:c r="S409" s="90">
        <x:v>0</x:v>
      </x:c>
      <x:c r="T409" s="90">
        <x:v>0</x:v>
      </x:c>
      <x:c r="U409">
        <x:v>0</x:v>
      </x:c>
      <x:c r="V409">
        <x:v>0</x:v>
      </x:c>
      <x:c r="W409">
        <x:v>0</x:v>
      </x:c>
      <x:c r="X409">
        <x:v>0</x:v>
      </x:c>
      <x:c r="Y409">
        <x:v>0</x:v>
      </x:c>
      <x:c r="Z409" s="90">
        <x:v>0</x:v>
      </x:c>
    </x:row>
    <x:row r="410" spans="2:26" s="94" customFormat="1" ht="12.75" customHeight="1" x14ac:dyDescent="0.2">
      <x:c r="C410" s="101" t="s">
        <x:v>119</x:v>
      </x:c>
      <x:c r="D410" s="101" t="s">
        <x:v>70</x:v>
      </x:c>
      <x:c r="F410" s="93">
        <x:v>0</x:v>
      </x:c>
      <x:c r="G410" s="93">
        <x:v>0</x:v>
      </x:c>
      <x:c r="H410" s="93">
        <x:v>0</x:v>
      </x:c>
      <x:c r="I410" s="93">
        <x:v>0</x:v>
      </x:c>
      <x:c r="J410" s="93">
        <x:v>0</x:v>
      </x:c>
      <x:c r="K410" s="93">
        <x:v>0</x:v>
      </x:c>
      <x:c r="L410" s="93">
        <x:v>0</x:v>
      </x:c>
      <x:c r="M410" s="93">
        <x:v>0</x:v>
      </x:c>
      <x:c r="N410" s="93">
        <x:v>0</x:v>
      </x:c>
      <x:c r="O410" s="93">
        <x:v>0</x:v>
      </x:c>
      <x:c r="P410" s="93">
        <x:v>0</x:v>
      </x:c>
      <x:c r="Q410" s="93">
        <x:v>0</x:v>
      </x:c>
      <x:c r="R410" s="93">
        <x:v>0</x:v>
      </x:c>
      <x:c r="S410" s="93">
        <x:v>0</x:v>
      </x:c>
      <x:c r="T410" s="93">
        <x:v>0</x:v>
      </x:c>
      <x:c r="U410" s="93">
        <x:v>0</x:v>
      </x:c>
      <x:c r="V410" s="93">
        <x:v>0</x:v>
      </x:c>
      <x:c r="W410" s="93">
        <x:v>0</x:v>
      </x:c>
      <x:c r="X410" s="93">
        <x:v>0</x:v>
      </x:c>
      <x:c r="Y410" s="93">
        <x:v>0</x:v>
      </x:c>
      <x:c r="Z410" s="93">
        <x:v>0</x:v>
      </x:c>
    </x:row>
    <x:row r="411" spans="2:26" s="378" customFormat="1" ht="12.6" customHeight="1" x14ac:dyDescent="0.2">
      <x:c r="B411" s="378" t="s">
        <x:v>122</x:v>
      </x:c>
      <x:c r="C411" s="378" t="s">
        <x:v>70</x:v>
      </x:c>
      <x:c r="E411" s="376"/>
      <x:c r="F411" s="710" t="n">
        <x:v>184050.71</x:v>
      </x:c>
      <x:c r="G411" s="377" t="n">
        <x:v>36420.97</x:v>
      </x:c>
      <x:c r="H411" s="377" t="n">
        <x:v>20293.55</x:v>
      </x:c>
      <x:c r="I411" s="377" t="n">
        <x:v>10793.11</x:v>
      </x:c>
      <x:c r="J411" s="377" t="n">
        <x:v>9605.48</x:v>
      </x:c>
      <x:c r="K411" s="377" t="n">
        <x:v>346.89</x:v>
      </x:c>
      <x:c r="L411" s="377" t="n">
        <x:v>0</x:v>
      </x:c>
      <x:c r="M411" s="377" t="n">
        <x:v>3042.88</x:v>
      </x:c>
      <x:c r="N411" s="377" t="n">
        <x:v>2893.26</x:v>
      </x:c>
      <x:c r="O411" s="377" t="n">
        <x:v>13730.62</x:v>
      </x:c>
      <x:c r="P411" s="377" t="n">
        <x:v>86357.97</x:v>
      </x:c>
      <x:c r="Q411" s="377" t="n">
        <x:v>565.98</x:v>
      </x:c>
      <x:c r="R411" s="377" t="n">
        <x:v>0</x:v>
      </x:c>
      <x:c r="S411" s="377" t="n">
        <x:v>0</x:v>
      </x:c>
      <x:c r="T411" s="378" t="n">
        <x:v>0</x:v>
      </x:c>
      <x:c r="U411" s="378">
        <x:v>0</x:v>
      </x:c>
      <x:c r="V411" s="378">
        <x:v>0</x:v>
      </x:c>
      <x:c r="W411" s="378">
        <x:v>0</x:v>
      </x:c>
      <x:c r="X411" s="378">
        <x:v>0</x:v>
      </x:c>
      <x:c r="Y411" s="378">
        <x:v>0</x:v>
      </x:c>
      <x:c r="Z411" s="378">
        <x:v>0</x:v>
      </x:c>
    </x:row>
    <x:row r="412" spans="2:26" ht="12.6" customHeight="1" x14ac:dyDescent="0.2">
      <x:c r="E412" s="89" t="s">
        <x:v>73</x:v>
      </x:c>
      <x:c r="F412" s="371" t="n">
        <x:v>-1159662736.37</x:v>
      </x:c>
      <x:c r="G412" s="90" t="n">
        <x:v>170609133.3</x:v>
      </x:c>
      <x:c r="H412" s="90" t="n">
        <x:v>94969934.62</x:v>
      </x:c>
      <x:c r="I412" s="90" t="n">
        <x:v>50520423.82</x:v>
      </x:c>
      <x:c r="J412" s="90" t="n">
        <x:v>-589532884.77</x:v>
      </x:c>
      <x:c r="K412" s="90" t="n">
        <x:v>-21476963.48</x:v>
      </x:c>
      <x:c r="L412" s="90" t="n">
        <x:v>0</x:v>
      </x:c>
      <x:c r="M412" s="90" t="n">
        <x:v>-188393761.57</x:v>
      </x:c>
      <x:c r="N412" s="90" t="n">
        <x:v>-183418026.7</x:v>
      </x:c>
      <x:c r="O412" s="90" t="n">
        <x:v>-862465803.97</x:v>
      </x:c>
      <x:c r="P412" s="90" t="n">
        <x:v>404566167.23</x:v>
      </x:c>
      <x:c r="Q412" s="90" t="n">
        <x:v>-35040954.85</x:v>
      </x:c>
      <x:c r="R412" s="90" t="n">
        <x:v>0</x:v>
      </x:c>
      <x:c r="S412" s="90" t="n">
        <x:v>0</x:v>
      </x:c>
      <x:c r="T412" t="n">
        <x:v>0</x:v>
      </x:c>
      <x:c r="U412">
        <x:v>0</x:v>
      </x:c>
      <x:c r="V412">
        <x:v>0</x:v>
      </x:c>
      <x:c r="W412">
        <x:v>0</x:v>
      </x:c>
      <x:c r="X412">
        <x:v>0</x:v>
      </x:c>
      <x:c r="Y412">
        <x:v>0</x:v>
      </x:c>
      <x:c r="Z412">
        <x:v>0</x:v>
      </x:c>
    </x:row>
    <x:row r="413" spans="2:26" ht="12.75" customHeight="1" x14ac:dyDescent="0.2">
      <x:c r="D413" t="s">
        <x:v>156</x:v>
      </x:c>
      <x:c r="E413" s="89" t="s">
        <x:v>70</x:v>
      </x:c>
      <x:c r="F413" s="371" t="n">
        <x:v>-1159662736.37</x:v>
      </x:c>
      <x:c r="G413" s="90" t="n">
        <x:v>170609133.3</x:v>
      </x:c>
      <x:c r="H413" s="90" t="n">
        <x:v>94969934.62</x:v>
      </x:c>
      <x:c r="I413" s="90" t="n">
        <x:v>50520423.82</x:v>
      </x:c>
      <x:c r="J413" s="90" t="n">
        <x:v>-589532884.77</x:v>
      </x:c>
      <x:c r="K413" s="90" t="n">
        <x:v>-21476963.48</x:v>
      </x:c>
      <x:c r="L413" s="90" t="n">
        <x:v>0</x:v>
      </x:c>
      <x:c r="M413" s="90" t="n">
        <x:v>-188393761.57</x:v>
      </x:c>
      <x:c r="N413" s="90" t="n">
        <x:v>-183418026.7</x:v>
      </x:c>
      <x:c r="O413" s="90" t="n">
        <x:v>-862465803.97</x:v>
      </x:c>
      <x:c r="P413" s="90" t="n">
        <x:v>404566167.23</x:v>
      </x:c>
      <x:c r="Q413" s="90" t="n">
        <x:v>-35040954.85</x:v>
      </x:c>
      <x:c r="R413" s="90" t="n">
        <x:v>0</x:v>
      </x:c>
      <x:c r="S413" s="90" t="n">
        <x:v>0</x:v>
      </x:c>
      <x:c r="T413" t="n">
        <x:v>0</x:v>
      </x:c>
      <x:c r="U413">
        <x:v>0</x:v>
      </x:c>
      <x:c r="V413">
        <x:v>0</x:v>
      </x:c>
      <x:c r="W413">
        <x:v>0</x:v>
      </x:c>
      <x:c r="X413">
        <x:v>0</x:v>
      </x:c>
      <x:c r="Y413">
        <x:v>0</x:v>
      </x:c>
      <x:c r="Z413">
        <x:v>0</x:v>
      </x:c>
    </x:row>
    <x:row r="414" spans="2:26" s="286" customFormat="1" ht="12.75" customHeight="1" x14ac:dyDescent="0.2">
      <x:c r="C414" s="286" t="s">
        <x:v>155</x:v>
      </x:c>
      <x:c r="D414" s="286" t="s">
        <x:v>70</x:v>
      </x:c>
      <x:c r="E414" s="229"/>
      <x:c r="F414" s="229" t="n">
        <x:v>-1159662736.37</x:v>
      </x:c>
      <x:c r="G414" s="230" t="n">
        <x:v>170609133.3</x:v>
      </x:c>
      <x:c r="H414" s="230" t="n">
        <x:v>94969934.62</x:v>
      </x:c>
      <x:c r="I414" s="230" t="n">
        <x:v>50520423.82</x:v>
      </x:c>
      <x:c r="J414" s="230" t="n">
        <x:v>-589532884.77</x:v>
      </x:c>
      <x:c r="K414" s="230" t="n">
        <x:v>-21476963.48</x:v>
      </x:c>
      <x:c r="L414" s="230" t="n">
        <x:v>0</x:v>
      </x:c>
      <x:c r="M414" s="230" t="n">
        <x:v>-188393761.57</x:v>
      </x:c>
      <x:c r="N414" s="230" t="n">
        <x:v>-183418026.7</x:v>
      </x:c>
      <x:c r="O414" s="230" t="n">
        <x:v>-862465803.97</x:v>
      </x:c>
      <x:c r="P414" s="230" t="n">
        <x:v>404566167.23</x:v>
      </x:c>
      <x:c r="Q414" s="230" t="n">
        <x:v>-35040954.85</x:v>
      </x:c>
      <x:c r="R414" s="230" t="n">
        <x:v>0</x:v>
      </x:c>
      <x:c r="S414" s="230" t="n">
        <x:v>0</x:v>
      </x:c>
      <x:c r="T414" s="230" t="n">
        <x:v>0</x:v>
      </x:c>
      <x:c r="U414" s="230">
        <x:v>0</x:v>
      </x:c>
      <x:c r="V414" s="230">
        <x:v>0</x:v>
      </x:c>
      <x:c r="W414" s="230">
        <x:v>0</x:v>
      </x:c>
      <x:c r="X414" s="230">
        <x:v>0</x:v>
      </x:c>
      <x:c r="Y414" s="230">
        <x:v>0</x:v>
      </x:c>
      <x:c r="Z414" s="230">
        <x:v>0</x:v>
      </x:c>
    </x:row>
    <x:row r="415" spans="2:26" ht="12.75" customHeight="1" x14ac:dyDescent="0.2">
      <x:c r="D415" s="89"/>
      <x:c r="E415" s="89" t="s">
        <x:v>73</x:v>
      </x:c>
      <x:c r="F415" s="90" t="n">
        <x:v>3349027.65</x:v>
      </x:c>
      <x:c r="G415" s="90" t="n">
        <x:v>776747.68</x:v>
      </x:c>
      <x:c r="H415" s="90" t="n">
        <x:v>434808.2</x:v>
      </x:c>
      <x:c r="I415" s="90" t="n">
        <x:v>230586.31</x:v>
      </x:c>
      <x:c r="J415" s="90" t="n">
        <x:v>69158.14</x:v>
      </x:c>
      <x:c r="K415" s="90" t="n">
        <x:v>-126.2</x:v>
      </x:c>
      <x:c r="L415" s="90" t="n">
        <x:v>0</x:v>
      </x:c>
      <x:c r="M415" s="90" t="n">
        <x:v>-1984.21</x:v>
      </x:c>
      <x:c r="N415" s="90" t="n">
        <x:v>387.65</x:v>
      </x:c>
      <x:c r="O415" s="90" t="n">
        <x:v>3160.94</x:v>
      </x:c>
      <x:c r="P415" s="90" t="n">
        <x:v>1836493.72</x:v>
      </x:c>
      <x:c r="Q415" s="90" t="n">
        <x:v>-204.58</x:v>
      </x:c>
      <x:c r="R415" s="90" t="n">
        <x:v>0</x:v>
      </x:c>
      <x:c r="S415" s="90" t="n">
        <x:v>0</x:v>
      </x:c>
      <x:c r="T415" t="n">
        <x:v>0</x:v>
      </x:c>
      <x:c r="U415">
        <x:v>0</x:v>
      </x:c>
      <x:c r="V415">
        <x:v>0</x:v>
      </x:c>
      <x:c r="W415">
        <x:v>0</x:v>
      </x:c>
      <x:c r="X415">
        <x:v>0</x:v>
      </x:c>
      <x:c r="Y415">
        <x:v>0</x:v>
      </x:c>
      <x:c r="Z415">
        <x:v>0</x:v>
      </x:c>
    </x:row>
    <x:row r="416" spans="2:26" ht="12.75" customHeight="1" x14ac:dyDescent="0.2">
      <x:c r="D416" t="s">
        <x:v>82</x:v>
      </x:c>
      <x:c r="E416" s="89" t="s">
        <x:v>70</x:v>
      </x:c>
      <x:c r="F416" s="90" t="n">
        <x:v>3349027.65</x:v>
      </x:c>
      <x:c r="G416" s="90" t="n">
        <x:v>776747.68</x:v>
      </x:c>
      <x:c r="H416" s="90" t="n">
        <x:v>434808.2</x:v>
      </x:c>
      <x:c r="I416" s="90" t="n">
        <x:v>230586.31</x:v>
      </x:c>
      <x:c r="J416" s="90" t="n">
        <x:v>69158.14</x:v>
      </x:c>
      <x:c r="K416" s="90" t="n">
        <x:v>-126.2</x:v>
      </x:c>
      <x:c r="L416" s="90" t="n">
        <x:v>0</x:v>
      </x:c>
      <x:c r="M416" s="90" t="n">
        <x:v>-1984.21</x:v>
      </x:c>
      <x:c r="N416" s="90" t="n">
        <x:v>387.65</x:v>
      </x:c>
      <x:c r="O416" s="90" t="n">
        <x:v>3160.94</x:v>
      </x:c>
      <x:c r="P416" s="90" t="n">
        <x:v>1836493.72</x:v>
      </x:c>
      <x:c r="Q416" s="90" t="n">
        <x:v>-204.58</x:v>
      </x:c>
      <x:c r="R416" s="90" t="n">
        <x:v>0</x:v>
      </x:c>
      <x:c r="S416" s="90" t="n">
        <x:v>0</x:v>
      </x:c>
      <x:c r="T416" t="n">
        <x:v>0</x:v>
      </x:c>
      <x:c r="U416">
        <x:v>0</x:v>
      </x:c>
      <x:c r="V416">
        <x:v>0</x:v>
      </x:c>
      <x:c r="W416">
        <x:v>0</x:v>
      </x:c>
      <x:c r="X416">
        <x:v>0</x:v>
      </x:c>
      <x:c r="Y416">
        <x:v>0</x:v>
      </x:c>
      <x:c r="Z416">
        <x:v>0</x:v>
      </x:c>
    </x:row>
    <x:row r="417" spans="1:26" ht="12.75" customHeight="1" x14ac:dyDescent="0.2">
      <x:c r="D417" s="89"/>
      <x:c r="E417" s="89" t="s">
        <x:v>73</x:v>
      </x:c>
      <x:c r="F417" s="90" t="n">
        <x:v>41209817.16</x:v>
      </x:c>
      <x:c r="G417" s="90" t="n">
        <x:v>9637405.76</x:v>
      </x:c>
      <x:c r="H417" s="90" t="n">
        <x:v>5321594.89</x:v>
      </x:c>
      <x:c r="I417" s="90" t="n">
        <x:v>2807759.94</x:v>
      </x:c>
      <x:c r="J417" s="90" t="n">
        <x:v>296456.36</x:v>
      </x:c>
      <x:c r="K417" s="90" t="n">
        <x:v>-1887.75</x:v>
      </x:c>
      <x:c r="L417" s="90" t="n">
        <x:v>0</x:v>
      </x:c>
      <x:c r="M417" s="90" t="n">
        <x:v>-14921.62</x:v>
      </x:c>
      <x:c r="N417" s="90" t="n">
        <x:v>76948.84</x:v>
      </x:c>
      <x:c r="O417" s="90" t="n">
        <x:v>272211.32</x:v>
      </x:c>
      <x:c r="P417" s="90" t="n">
        <x:v>22817085.76</x:v>
      </x:c>
      <x:c r="Q417" s="90" t="n">
        <x:v>-2836.34</x:v>
      </x:c>
      <x:c r="R417" s="90" t="n">
        <x:v>0</x:v>
      </x:c>
      <x:c r="S417" s="90" t="n">
        <x:v>0</x:v>
      </x:c>
      <x:c r="T417" t="n">
        <x:v>0</x:v>
      </x:c>
      <x:c r="U417">
        <x:v>0</x:v>
      </x:c>
      <x:c r="V417">
        <x:v>0</x:v>
      </x:c>
      <x:c r="W417">
        <x:v>0</x:v>
      </x:c>
      <x:c r="X417">
        <x:v>0</x:v>
      </x:c>
      <x:c r="Y417">
        <x:v>0</x:v>
      </x:c>
      <x:c r="Z417">
        <x:v>0</x:v>
      </x:c>
    </x:row>
    <x:row r="418" spans="1:26" ht="12.75" customHeight="1" x14ac:dyDescent="0.2">
      <x:c r="D418" t="s">
        <x:v>86</x:v>
      </x:c>
      <x:c r="E418" s="89" t="s">
        <x:v>70</x:v>
      </x:c>
      <x:c r="F418" s="90" t="n">
        <x:v>41209817.16</x:v>
      </x:c>
      <x:c r="G418" s="90" t="n">
        <x:v>9637405.76</x:v>
      </x:c>
      <x:c r="H418" s="90" t="n">
        <x:v>5321594.89</x:v>
      </x:c>
      <x:c r="I418" s="90" t="n">
        <x:v>2807759.94</x:v>
      </x:c>
      <x:c r="J418" s="90" t="n">
        <x:v>296456.36</x:v>
      </x:c>
      <x:c r="K418" s="90" t="n">
        <x:v>-1887.75</x:v>
      </x:c>
      <x:c r="L418" s="90" t="n">
        <x:v>0</x:v>
      </x:c>
      <x:c r="M418" s="90" t="n">
        <x:v>-14921.62</x:v>
      </x:c>
      <x:c r="N418" s="90" t="n">
        <x:v>76948.84</x:v>
      </x:c>
      <x:c r="O418" s="90" t="n">
        <x:v>272211.32</x:v>
      </x:c>
      <x:c r="P418" s="90" t="n">
        <x:v>22817085.76</x:v>
      </x:c>
      <x:c r="Q418" s="90" t="n">
        <x:v>-2836.34</x:v>
      </x:c>
      <x:c r="R418" s="90" t="n">
        <x:v>0</x:v>
      </x:c>
      <x:c r="S418" s="90" t="n">
        <x:v>0</x:v>
      </x:c>
      <x:c r="T418" t="n">
        <x:v>0</x:v>
      </x:c>
      <x:c r="U418">
        <x:v>0</x:v>
      </x:c>
      <x:c r="V418">
        <x:v>0</x:v>
      </x:c>
      <x:c r="W418">
        <x:v>0</x:v>
      </x:c>
      <x:c r="X418">
        <x:v>0</x:v>
      </x:c>
      <x:c r="Y418">
        <x:v>0</x:v>
      </x:c>
      <x:c r="Z418">
        <x:v>0</x:v>
      </x:c>
    </x:row>
    <x:row r="419" spans="1:26" ht="12.75" customHeight="1" x14ac:dyDescent="0.2">
      <x:c r="D419" s="89"/>
      <x:c r="E419" s="89" t="s">
        <x:v>73</x:v>
      </x:c>
      <x:c r="F419" s="90" t="n">
        <x:v>386774359.29</x:v>
      </x:c>
      <x:c r="G419" s="90" t="n">
        <x:v>89807951.98</x:v>
      </x:c>
      <x:c r="H419" s="90" t="n">
        <x:v>50056249.33</x:v>
      </x:c>
      <x:c r="I419" s="90" t="n">
        <x:v>26453206.51</x:v>
      </x:c>
      <x:c r="J419" s="90" t="n">
        <x:v>2761432.67</x:v>
      </x:c>
      <x:c r="K419" s="90" t="n">
        <x:v>64172.64</x:v>
      </x:c>
      <x:c r="L419" s="90" t="n">
        <x:v>0</x:v>
      </x:c>
      <x:c r="M419" s="90" t="n">
        <x:v>559723.82</x:v>
      </x:c>
      <x:c r="N419" s="90" t="n">
        <x:v>802483.71</x:v>
      </x:c>
      <x:c r="O419" s="90" t="n">
        <x:v>3769161.44</x:v>
      </x:c>
      <x:c r="P419" s="90" t="n">
        <x:v>212395270.95</x:v>
      </x:c>
      <x:c r="Q419" s="90" t="n">
        <x:v>104706.24</x:v>
      </x:c>
      <x:c r="R419" s="90" t="n">
        <x:v>0</x:v>
      </x:c>
      <x:c r="S419" s="90" t="n">
        <x:v>0</x:v>
      </x:c>
      <x:c r="T419" t="n">
        <x:v>0</x:v>
      </x:c>
      <x:c r="U419">
        <x:v>0</x:v>
      </x:c>
      <x:c r="V419">
        <x:v>0</x:v>
      </x:c>
      <x:c r="W419">
        <x:v>0</x:v>
      </x:c>
      <x:c r="X419">
        <x:v>0</x:v>
      </x:c>
      <x:c r="Y419">
        <x:v>0</x:v>
      </x:c>
      <x:c r="Z419">
        <x:v>0</x:v>
      </x:c>
    </x:row>
    <x:row r="420" spans="1:26" ht="12.75" customHeight="1" x14ac:dyDescent="0.2">
      <x:c r="C420" s="89"/>
      <x:c r="D420" s="89" t="s">
        <x:v>87</x:v>
      </x:c>
      <x:c r="E420" t="s">
        <x:v>70</x:v>
      </x:c>
      <x:c r="F420" s="90" t="n">
        <x:v>386774359.29</x:v>
      </x:c>
      <x:c r="G420" s="90" t="n">
        <x:v>89807951.98</x:v>
      </x:c>
      <x:c r="H420" s="90" t="n">
        <x:v>50056249.33</x:v>
      </x:c>
      <x:c r="I420" s="90" t="n">
        <x:v>26453206.51</x:v>
      </x:c>
      <x:c r="J420" s="90" t="n">
        <x:v>2761432.67</x:v>
      </x:c>
      <x:c r="K420" s="90" t="n">
        <x:v>64172.64</x:v>
      </x:c>
      <x:c r="L420" s="90" t="n">
        <x:v>0</x:v>
      </x:c>
      <x:c r="M420" s="90" t="n">
        <x:v>559723.82</x:v>
      </x:c>
      <x:c r="N420" s="90" t="n">
        <x:v>802483.71</x:v>
      </x:c>
      <x:c r="O420" s="90" t="n">
        <x:v>3769161.44</x:v>
      </x:c>
      <x:c r="P420" s="90" t="n">
        <x:v>212395270.95</x:v>
      </x:c>
      <x:c r="Q420" s="90" t="n">
        <x:v>104706.24</x:v>
      </x:c>
      <x:c r="R420" s="90" t="n">
        <x:v>0</x:v>
      </x:c>
      <x:c r="S420" s="90" t="n">
        <x:v>0</x:v>
      </x:c>
      <x:c r="T420" t="n">
        <x:v>0</x:v>
      </x:c>
      <x:c r="U420">
        <x:v>0</x:v>
      </x:c>
      <x:c r="V420">
        <x:v>0</x:v>
      </x:c>
      <x:c r="W420">
        <x:v>0</x:v>
      </x:c>
      <x:c r="X420">
        <x:v>0</x:v>
      </x:c>
      <x:c r="Y420">
        <x:v>0</x:v>
      </x:c>
      <x:c r="Z420">
        <x:v>0</x:v>
      </x:c>
    </x:row>
    <x:row r="421" spans="1:26" s="94" customFormat="1" ht="12.75" customHeight="1" x14ac:dyDescent="0.2">
      <x:c r="C421" s="101" t="s">
        <x:v>119</x:v>
      </x:c>
      <x:c r="D421" s="101" t="s">
        <x:v>70</x:v>
      </x:c>
      <x:c r="F421" s="93" t="n">
        <x:v>431333204.1</x:v>
      </x:c>
      <x:c r="G421" s="93" t="n">
        <x:v>100222105.42</x:v>
      </x:c>
      <x:c r="H421" s="93" t="n">
        <x:v>55812652.42</x:v>
      </x:c>
      <x:c r="I421" s="93" t="n">
        <x:v>29491552.76</x:v>
      </x:c>
      <x:c r="J421" s="93" t="n">
        <x:v>3127047.17</x:v>
      </x:c>
      <x:c r="K421" s="93" t="n">
        <x:v>62158.69</x:v>
      </x:c>
      <x:c r="L421" s="93" t="n">
        <x:v>0</x:v>
      </x:c>
      <x:c r="M421" s="93" t="n">
        <x:v>542817.99</x:v>
      </x:c>
      <x:c r="N421" s="93" t="n">
        <x:v>879820.2</x:v>
      </x:c>
      <x:c r="O421" s="93" t="n">
        <x:v>4044533.7</x:v>
      </x:c>
      <x:c r="P421" s="93" t="n">
        <x:v>237048850.43</x:v>
      </x:c>
      <x:c r="Q421" s="93" t="n">
        <x:v>101665.32</x:v>
      </x:c>
      <x:c r="R421" s="93" t="n">
        <x:v>0</x:v>
      </x:c>
      <x:c r="S421" s="93" t="n">
        <x:v>0</x:v>
      </x:c>
      <x:c r="T421" s="94" t="n">
        <x:v>0</x:v>
      </x:c>
      <x:c r="U421" s="94">
        <x:v>0</x:v>
      </x:c>
      <x:c r="V421" s="94">
        <x:v>0</x:v>
      </x:c>
      <x:c r="W421" s="94">
        <x:v>0</x:v>
      </x:c>
      <x:c r="X421" s="94">
        <x:v>0</x:v>
      </x:c>
      <x:c r="Y421" s="94">
        <x:v>0</x:v>
      </x:c>
      <x:c r="Z421" s="94">
        <x:v>0</x:v>
      </x:c>
    </x:row>
    <x:row r="422" spans="1:26" s="226" customFormat="1" ht="12.75" customHeight="1" x14ac:dyDescent="0.2">
      <x:c r="A422" s="98"/>
      <x:c r="B422" s="98" t="s">
        <x:v>112</x:v>
      </x:c>
      <x:c r="C422" s="226" t="s">
        <x:v>70</x:v>
      </x:c>
      <x:c r="F422" s="100" t="n">
        <x:v>-728329532.27</x:v>
      </x:c>
      <x:c r="G422" s="100" t="n">
        <x:v>270831238.72</x:v>
      </x:c>
      <x:c r="H422" s="100" t="n">
        <x:v>150782587.04</x:v>
      </x:c>
      <x:c r="I422" s="100" t="n">
        <x:v>80011976.58</x:v>
      </x:c>
      <x:c r="J422" s="100" t="n">
        <x:v>-586405837.6</x:v>
      </x:c>
      <x:c r="K422" s="100" t="n">
        <x:v>-21414804.79</x:v>
      </x:c>
      <x:c r="L422" s="100" t="n">
        <x:v>0</x:v>
      </x:c>
      <x:c r="M422" s="100" t="n">
        <x:v>-187850943.58</x:v>
      </x:c>
      <x:c r="N422" s="100" t="n">
        <x:v>-182538206.5</x:v>
      </x:c>
      <x:c r="O422" s="100" t="n">
        <x:v>-858421270.27</x:v>
      </x:c>
      <x:c r="P422" s="100" t="n">
        <x:v>641615017.66</x:v>
      </x:c>
      <x:c r="Q422" s="100" t="n">
        <x:v>-34939289.53</x:v>
      </x:c>
      <x:c r="R422" s="100" t="n">
        <x:v>0</x:v>
      </x:c>
      <x:c r="S422" s="100" t="n">
        <x:v>0</x:v>
      </x:c>
      <x:c r="T422" s="226" t="n">
        <x:v>0</x:v>
      </x:c>
      <x:c r="U422" s="226">
        <x:v>0</x:v>
      </x:c>
      <x:c r="V422" s="226">
        <x:v>0</x:v>
      </x:c>
      <x:c r="W422" s="226">
        <x:v>0</x:v>
      </x:c>
      <x:c r="X422" s="226">
        <x:v>0</x:v>
      </x:c>
      <x:c r="Y422" s="226">
        <x:v>0</x:v>
      </x:c>
      <x:c r="Z422" s="226">
        <x:v>0</x:v>
      </x:c>
    </x:row>
    <x:row r="423" spans="1:26" ht="12.75" customHeight="1" x14ac:dyDescent="0.2">
      <x:c r="A423" s="89" t="s">
        <x:v>79</x:v>
      </x:c>
      <x:c r="B423" t="s">
        <x:v>70</x:v>
      </x:c>
      <x:c r="F423" s="90" t="n">
        <x:v>-728145481.56</x:v>
      </x:c>
      <x:c r="G423" s="90" t="n">
        <x:v>270867659.69</x:v>
      </x:c>
      <x:c r="H423" s="90" t="n">
        <x:v>150802880.59</x:v>
      </x:c>
      <x:c r="I423" s="90" t="n">
        <x:v>80022769.69</x:v>
      </x:c>
      <x:c r="J423" s="90" t="n">
        <x:v>-586396232.12</x:v>
      </x:c>
      <x:c r="K423" s="90" t="n">
        <x:v>-21414457.9</x:v>
      </x:c>
      <x:c r="L423" s="90" t="n">
        <x:v>0</x:v>
      </x:c>
      <x:c r="M423" s="90" t="n">
        <x:v>-187847900.7</x:v>
      </x:c>
      <x:c r="N423" s="90" t="n">
        <x:v>-182535313.24</x:v>
      </x:c>
      <x:c r="O423" s="90" t="n">
        <x:v>-858407539.65</x:v>
      </x:c>
      <x:c r="P423" s="90" t="n">
        <x:v>641701375.63</x:v>
      </x:c>
      <x:c r="Q423" s="90" t="n">
        <x:v>-34938723.55</x:v>
      </x:c>
      <x:c r="R423" s="90" t="n">
        <x:v>0</x:v>
      </x:c>
      <x:c r="S423" s="90" t="n">
        <x:v>0</x:v>
      </x:c>
      <x:c r="T423" t="n">
        <x:v>0</x:v>
      </x:c>
      <x:c r="U423">
        <x:v>0</x:v>
      </x:c>
      <x:c r="V423">
        <x:v>0</x:v>
      </x:c>
      <x:c r="W423">
        <x:v>0</x:v>
      </x:c>
      <x:c r="X423">
        <x:v>0</x:v>
      </x:c>
      <x:c r="Y423">
        <x:v>0</x:v>
      </x:c>
      <x:c r="Z423">
        <x:v>0</x:v>
      </x:c>
    </x:row>
    <x:row r="424" spans="1:26" ht="12.75" customHeight="1" x14ac:dyDescent="0.2">
      <x:c r="A424" t="s">
        <x:v>70</x:v>
      </x:c>
      <x:c r="E424" s="89"/>
      <x:c r="F424" s="90" t="n">
        <x:v>15164470133.85</x:v>
      </x:c>
      <x:c r="G424" s="90" t="n">
        <x:v>1397234347.3</x:v>
      </x:c>
      <x:c r="H424" s="90" t="n">
        <x:v>777698069.3</x:v>
      </x:c>
      <x:c r="I424" s="90" t="n">
        <x:v>413128787.85</x:v>
      </x:c>
      <x:c r="J424" s="90" t="n">
        <x:v>2893102008.36</x:v>
      </x:c>
      <x:c r="K424" s="90" t="n">
        <x:v>105114335.09</x:v>
      </x:c>
      <x:c r="L424" s="90" t="n">
        <x:v>37136884.87</x:v>
      </x:c>
      <x:c r="M424" s="90" t="n">
        <x:v>921808630.87</x:v>
      </x:c>
      <x:c r="N424" s="90" t="n">
        <x:v>901675329.65</x:v>
      </x:c>
      <x:c r="O424" s="90" t="n">
        <x:v>4237103901.29</x:v>
      </x:c>
      <x:c r="P424" s="90" t="n">
        <x:v>3309027404.59</x:v>
      </x:c>
      <x:c r="Q424" s="90" t="n">
        <x:v>171569871.18</x:v>
      </x:c>
      <x:c r="R424" s="90" t="n">
        <x:v>-129437.95</x:v>
      </x:c>
      <x:c r="S424" s="90" t="n">
        <x:v>0.87</x:v>
      </x:c>
      <x:c r="T424" s="150" t="n">
        <x:v>0.58</x:v>
      </x:c>
      <x:c r="U424" s="150">
        <x:v>0</x:v>
      </x:c>
      <x:c r="V424" s="150">
        <x:v>0</x:v>
      </x:c>
      <x:c r="W424" s="150">
        <x:v>0</x:v>
      </x:c>
      <x:c r="X424">
        <x:v>0</x:v>
      </x:c>
      <x:c r="Y424">
        <x:v>0</x:v>
      </x:c>
      <x:c r="Z424">
        <x:v>0</x:v>
      </x:c>
    </x:row>
    <x:row r="425" spans="1:26" ht="12.75" hidden="1" customHeight="1" x14ac:dyDescent="0.2">
      <x:c r="A425" s="89"/>
      <x:c r="B425" s="89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  <x:c r="S425" s="90"/>
    </x:row>
    <x:row r="426" spans="1:26" ht="12.75" hidden="1" customHeight="1" x14ac:dyDescent="0.2">
      <x:c r="E426" s="89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26" ht="12.75" hidden="1" customHeight="1" x14ac:dyDescent="0.2">
      <x:c r="D427" s="89"/>
      <x:c r="E427" s="89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0"/>
    </x:row>
    <x:row r="428" spans="1:26" ht="12.75" hidden="1" customHeight="1" x14ac:dyDescent="0.2">
      <x:c r="D428" s="89"/>
      <x:c r="E428" s="89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  <x:c r="S428" s="90"/>
    </x:row>
    <x:row r="429" spans="1:26" ht="12.75" hidden="1" customHeight="1" x14ac:dyDescent="0.2">
      <x:c r="E429" s="89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26" ht="12.75" hidden="1" customHeight="1" x14ac:dyDescent="0.2">
      <x:c r="D430" s="89"/>
      <x:c r="E430" s="89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  <x:c r="S430" s="90"/>
    </x:row>
    <x:row r="431" spans="1:26" ht="12.75" hidden="1" customHeight="1" x14ac:dyDescent="0.2">
      <x:c r="E431" s="89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26" ht="12.75" hidden="1" customHeight="1" x14ac:dyDescent="0.2">
      <x:c r="D432" s="89"/>
      <x:c r="E432" s="89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  <x:c r="S432" s="90"/>
    </x:row>
    <x:row r="433" spans="1:23" ht="12.75" hidden="1" customHeight="1" x14ac:dyDescent="0.2">
      <x:c r="E433" s="89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  <x:c r="S433" s="90"/>
    </x:row>
    <x:row r="434" spans="1:23" ht="12.75" hidden="1" customHeight="1" x14ac:dyDescent="0.2">
      <x:c r="D434" s="89"/>
      <x:c r="E434" s="89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23" ht="12.75" hidden="1" customHeight="1" x14ac:dyDescent="0.2">
      <x:c r="C435" s="89"/>
      <x:c r="D435" s="89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  <x:c r="S435" s="90"/>
    </x:row>
    <x:row r="436" spans="1:23" ht="12.75" hidden="1" customHeight="1" x14ac:dyDescent="0.2">
      <x:c r="E436" s="89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23" ht="12.75" hidden="1" customHeight="1" x14ac:dyDescent="0.2">
      <x:c r="D437" s="89"/>
      <x:c r="E437" s="89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  <x:c r="S437" s="90"/>
    </x:row>
    <x:row r="438" spans="1:23" ht="12.75" hidden="1" customHeight="1" x14ac:dyDescent="0.2">
      <x:c r="E438" s="89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  <x:c r="S438" s="90"/>
    </x:row>
    <x:row r="439" spans="1:23" ht="12.75" hidden="1" customHeight="1" x14ac:dyDescent="0.2">
      <x:c r="D439" s="89"/>
      <x:c r="E439" s="89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23" ht="12.75" hidden="1" customHeight="1" x14ac:dyDescent="0.2">
      <x:c r="C440" s="89"/>
      <x:c r="D440" s="89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</x:row>
    <x:row r="441" spans="1:23" ht="12.75" hidden="1" customHeight="1" x14ac:dyDescent="0.2">
      <x:c r="B441" s="89"/>
      <x:c r="C441" s="89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23" ht="12.75" hidden="1" customHeight="1" x14ac:dyDescent="0.2">
      <x:c r="A442" s="89"/>
      <x:c r="B442" s="89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</x:row>
    <x:row r="443" spans="1:23" ht="12.75" hidden="1" customHeight="1" x14ac:dyDescent="0.2">
      <x:c r="A443" s="89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</x:row>
    <x:row r="444" spans="1:23" ht="12.75" hidden="1" customHeight="1" x14ac:dyDescent="0.2">
      <x:c r="A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</x:row>
    <x:row r="445" spans="1:23" ht="12.75" hidden="1" customHeight="1" x14ac:dyDescent="0.2">
      <x:c r="A445" s="89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</x:row>
    <x:row r="446" spans="1:23" ht="12.75" hidden="1" customHeight="1" x14ac:dyDescent="0.2">
      <x:c r="A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</x:row>
    <x:row r="447" spans="1:23" ht="12.75" hidden="1" customHeight="1" x14ac:dyDescent="0.2">
      <x:c r="A447" s="89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</x:row>
    <x:row r="448" spans="1:23" ht="12.75" hidden="1" customHeight="1" x14ac:dyDescent="0.2">
      <x:c r="A448" s="89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  <x:c r="T448" s="150"/>
      <x:c r="U448" s="150"/>
      <x:c r="V448" s="150"/>
      <x:c r="W448" s="150"/>
    </x:row>
    <x:row r="449" spans="1:23" ht="12.75" hidden="1" customHeight="1" x14ac:dyDescent="0.2">
      <x:c r="A449" s="89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  <x:c r="T449" s="150"/>
      <x:c r="U449" s="150"/>
      <x:c r="V449" s="150"/>
      <x:c r="W449" s="150"/>
    </x:row>
    <x:row r="450" spans="1:23" ht="12.75" hidden="1" customHeight="1" x14ac:dyDescent="0.2">
      <x:c r="A450" s="89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  <x:c r="T450" s="150"/>
      <x:c r="U450" s="150"/>
      <x:c r="V450" s="150"/>
      <x:c r="W450" s="150"/>
    </x:row>
    <x:row r="451" spans="1:23" ht="12.75" hidden="1" customHeight="1" x14ac:dyDescent="0.2">
      <x:c r="A451" s="89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  <x:c r="T451" s="150"/>
      <x:c r="U451" s="150"/>
      <x:c r="V451" s="150"/>
      <x:c r="W451" s="150"/>
    </x:row>
    <x:row r="452" spans="1:23" ht="12.75" hidden="1" customHeight="1" x14ac:dyDescent="0.2">
      <x:c r="A452" s="89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  <x:c r="T452" s="150"/>
      <x:c r="U452" s="150"/>
      <x:c r="V452" s="150"/>
      <x:c r="W452" s="150"/>
    </x:row>
    <x:row r="453" spans="1:23" ht="12.75" hidden="1" customHeight="1" x14ac:dyDescent="0.2">
      <x:c r="A453" s="89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  <x:c r="T453" s="150"/>
      <x:c r="U453" s="150"/>
      <x:c r="V453" s="150"/>
      <x:c r="W453" s="150"/>
    </x:row>
    <x:row r="454" spans="1:23" ht="12.75" hidden="1" customHeight="1" x14ac:dyDescent="0.2">
      <x:c r="A454" s="89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  <x:c r="T454" s="150"/>
      <x:c r="U454" s="150"/>
      <x:c r="V454" s="150"/>
      <x:c r="W454" s="150"/>
    </x:row>
    <x:row r="455" spans="1:23" ht="12.75" hidden="1" customHeight="1" x14ac:dyDescent="0.2">
      <x:c r="A455" s="89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  <x:c r="T455" s="150"/>
      <x:c r="U455" s="150"/>
      <x:c r="V455" s="150"/>
      <x:c r="W455" s="150"/>
    </x:row>
    <x:row r="456" spans="1:23" ht="12.75" hidden="1" customHeight="1" x14ac:dyDescent="0.2">
      <x:c r="A456" s="89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  <x:c r="S456" s="90"/>
      <x:c r="T456" s="150"/>
      <x:c r="U456" s="150"/>
      <x:c r="V456" s="150"/>
      <x:c r="W456" s="150"/>
    </x:row>
    <x:row r="457" spans="1:23" ht="12.75" hidden="1" customHeight="1" x14ac:dyDescent="0.2">
      <x:c r="A457" s="89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  <x:c r="T457" s="150"/>
      <x:c r="U457" s="150"/>
      <x:c r="V457" s="150"/>
      <x:c r="W457" s="150"/>
    </x:row>
    <x:row r="458" spans="1:23" ht="12.75" hidden="1" customHeight="1" x14ac:dyDescent="0.2">
      <x:c r="A458" s="89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  <x:c r="S458" s="90"/>
      <x:c r="T458" s="150"/>
      <x:c r="U458" s="150"/>
      <x:c r="V458" s="150"/>
      <x:c r="W458" s="150"/>
    </x:row>
    <x:row r="459" spans="1:23" ht="12.75" hidden="1" customHeight="1" x14ac:dyDescent="0.2">
      <x:c r="A459" s="89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  <x:c r="S459" s="90"/>
      <x:c r="T459" s="150"/>
      <x:c r="U459" s="150"/>
      <x:c r="V459" s="150"/>
      <x:c r="W459" s="150"/>
    </x:row>
    <x:row r="460" spans="1:23" ht="12.75" hidden="1" customHeight="1" x14ac:dyDescent="0.2">
      <x:c r="A460" s="89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  <x:c r="T460" s="150"/>
      <x:c r="U460" s="150"/>
      <x:c r="V460" s="150"/>
      <x:c r="W460" s="150"/>
    </x:row>
    <x:row r="461" spans="1:23" ht="12.75" hidden="1" customHeight="1" x14ac:dyDescent="0.2">
      <x:c r="A461" s="89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  <x:c r="S461" s="90"/>
      <x:c r="T461" s="150"/>
      <x:c r="U461" s="150"/>
      <x:c r="V461" s="150"/>
      <x:c r="W461" s="150"/>
    </x:row>
    <x:row r="462" spans="1:23" ht="12.75" hidden="1" customHeight="1" x14ac:dyDescent="0.2">
      <x:c r="A462" s="89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  <x:c r="T462" s="150"/>
      <x:c r="U462" s="150"/>
      <x:c r="V462" s="150"/>
      <x:c r="W462" s="150"/>
    </x:row>
    <x:row r="463" spans="1:23" ht="12.75" hidden="1" customHeight="1" x14ac:dyDescent="0.2">
      <x:c r="A463" s="89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  <x:c r="S463" s="90"/>
      <x:c r="T463" s="150"/>
      <x:c r="U463" s="150"/>
      <x:c r="V463" s="150"/>
      <x:c r="W463" s="150"/>
    </x:row>
    <x:row r="464" spans="1:23" ht="12.75" hidden="1" customHeight="1" x14ac:dyDescent="0.2">
      <x:c r="A464" s="89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  <x:c r="S464" s="90"/>
      <x:c r="T464" s="150"/>
      <x:c r="U464" s="150"/>
      <x:c r="V464" s="150"/>
      <x:c r="W464" s="150"/>
    </x:row>
    <x:row r="465" spans="1:23" ht="12.75" hidden="1" customHeight="1" x14ac:dyDescent="0.2">
      <x:c r="A465" s="89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  <x:c r="T465" s="150"/>
      <x:c r="U465" s="150"/>
      <x:c r="V465" s="150"/>
      <x:c r="W465" s="150"/>
    </x:row>
    <x:row r="466" spans="1:23" ht="12.75" hidden="1" customHeight="1" x14ac:dyDescent="0.2">
      <x:c r="A466" s="89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  <x:c r="S466" s="90"/>
      <x:c r="T466" s="150"/>
      <x:c r="U466" s="150"/>
      <x:c r="V466" s="150"/>
      <x:c r="W466" s="150"/>
    </x:row>
    <x:row r="467" spans="1:23" ht="12.75" hidden="1" customHeight="1" x14ac:dyDescent="0.2">
      <x:c r="A467" s="89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  <x:c r="T467" s="150"/>
      <x:c r="U467" s="150"/>
      <x:c r="V467" s="150"/>
      <x:c r="W467" s="150"/>
    </x:row>
    <x:row r="468" spans="1:23" ht="12.75" hidden="1" customHeight="1" x14ac:dyDescent="0.2">
      <x:c r="A468" s="89"/>
      <x:c r="F468" s="90"/>
      <x:c r="G468" s="90"/>
      <x:c r="H468" s="90"/>
      <x:c r="I468" s="90"/>
      <x:c r="J468" s="90"/>
      <x:c r="K468" s="90"/>
      <x:c r="L468" s="90"/>
      <x:c r="M468" s="90"/>
      <x:c r="N468" s="90"/>
      <x:c r="O468" s="90"/>
      <x:c r="P468" s="90"/>
      <x:c r="Q468" s="90"/>
      <x:c r="R468" s="90"/>
      <x:c r="S468" s="90"/>
      <x:c r="T468" s="150"/>
      <x:c r="U468" s="150"/>
      <x:c r="V468" s="150"/>
      <x:c r="W468" s="150"/>
    </x:row>
    <x:row r="469" spans="1:23" ht="12.75" hidden="1" customHeight="1" x14ac:dyDescent="0.2">
      <x:c r="A469" s="89"/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0"/>
      <x:c r="T469" s="150"/>
      <x:c r="U469" s="150"/>
      <x:c r="V469" s="150"/>
      <x:c r="W469" s="150"/>
    </x:row>
    <x:row r="470" spans="1:23" ht="12.75" hidden="1" customHeight="1" x14ac:dyDescent="0.2">
      <x:c r="A470" s="89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  <x:c r="T470" s="150"/>
      <x:c r="U470" s="150"/>
      <x:c r="V470" s="150"/>
      <x:c r="W470" s="150"/>
    </x:row>
    <x:row r="471" spans="1:23" ht="12.75" hidden="1" customHeight="1" x14ac:dyDescent="0.2">
      <x:c r="A471" s="89"/>
      <x:c r="F471" s="90"/>
      <x:c r="G471" s="90"/>
      <x:c r="H471" s="90"/>
      <x:c r="I471" s="90"/>
      <x:c r="J471" s="90"/>
      <x:c r="K471" s="90"/>
      <x:c r="L471" s="90"/>
      <x:c r="M471" s="90"/>
      <x:c r="N471" s="90"/>
      <x:c r="O471" s="90"/>
      <x:c r="P471" s="90"/>
      <x:c r="Q471" s="90"/>
      <x:c r="R471" s="90"/>
      <x:c r="S471" s="90"/>
      <x:c r="T471" s="150"/>
      <x:c r="U471" s="150"/>
      <x:c r="V471" s="150"/>
      <x:c r="W471" s="150"/>
    </x:row>
    <x:row r="472" spans="1:23" ht="12.75" hidden="1" customHeight="1" x14ac:dyDescent="0.2">
      <x:c r="A472" s="89"/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  <x:c r="T472" s="150"/>
      <x:c r="U472" s="150"/>
      <x:c r="V472" s="150"/>
      <x:c r="W472" s="150"/>
    </x:row>
    <x:row r="473" spans="1:23" ht="12.75" hidden="1" customHeight="1" x14ac:dyDescent="0.2">
      <x:c r="A473" s="89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  <x:c r="S473" s="90"/>
      <x:c r="T473" s="150"/>
      <x:c r="U473" s="150"/>
      <x:c r="V473" s="150"/>
      <x:c r="W473" s="150"/>
    </x:row>
    <x:row r="474" spans="1:23" ht="12.75" hidden="1" customHeight="1" x14ac:dyDescent="0.2">
      <x:c r="A474" s="89"/>
      <x:c r="F474" s="90"/>
      <x:c r="G474" s="90"/>
      <x:c r="H474" s="90"/>
      <x:c r="I474" s="90"/>
      <x:c r="J474" s="90"/>
      <x:c r="K474" s="90"/>
      <x:c r="L474" s="90"/>
      <x:c r="M474" s="90"/>
      <x:c r="N474" s="90"/>
      <x:c r="O474" s="90"/>
      <x:c r="P474" s="90"/>
      <x:c r="Q474" s="90"/>
      <x:c r="R474" s="90"/>
      <x:c r="S474" s="90"/>
      <x:c r="T474" s="150"/>
      <x:c r="U474" s="150"/>
      <x:c r="V474" s="150"/>
      <x:c r="W474" s="150"/>
    </x:row>
    <x:row r="475" spans="1:23" ht="12.75" hidden="1" customHeight="1" x14ac:dyDescent="0.2">
      <x:c r="A475" s="89"/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  <x:c r="T475" s="150"/>
      <x:c r="U475" s="150"/>
      <x:c r="V475" s="150"/>
      <x:c r="W475" s="150"/>
    </x:row>
    <x:row r="476" spans="1:23" ht="12.75" hidden="1" customHeight="1" x14ac:dyDescent="0.2">
      <x:c r="A476" s="89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  <x:c r="S476" s="90"/>
      <x:c r="T476" s="150"/>
      <x:c r="U476" s="150"/>
      <x:c r="V476" s="150"/>
      <x:c r="W476" s="150"/>
    </x:row>
    <x:row r="477" spans="1:23" ht="12.75" hidden="1" customHeight="1" x14ac:dyDescent="0.2">
      <x:c r="A477" s="89"/>
      <x:c r="F477" s="90"/>
      <x:c r="G477" s="90"/>
      <x:c r="H477" s="90"/>
      <x:c r="I477" s="90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  <x:c r="T477" s="150"/>
      <x:c r="U477" s="150"/>
      <x:c r="V477" s="150"/>
      <x:c r="W477" s="150"/>
    </x:row>
    <x:row r="478" spans="1:23" ht="12.75" hidden="1" customHeight="1" x14ac:dyDescent="0.2">
      <x:c r="A478" s="89"/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  <x:c r="S478" s="90"/>
      <x:c r="T478" s="150"/>
      <x:c r="U478" s="150"/>
      <x:c r="V478" s="150"/>
      <x:c r="W478" s="150"/>
    </x:row>
    <x:row r="479" spans="1:23" ht="12.75" hidden="1" customHeight="1" x14ac:dyDescent="0.2">
      <x:c r="A479" s="89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  <x:c r="S479" s="90"/>
      <x:c r="T479" s="150"/>
      <x:c r="U479" s="150"/>
      <x:c r="V479" s="150"/>
      <x:c r="W479" s="150"/>
    </x:row>
    <x:row r="480" spans="1:23" ht="12.75" hidden="1" customHeight="1" x14ac:dyDescent="0.2">
      <x:c r="A480" s="89"/>
      <x:c r="F480" s="90"/>
      <x:c r="G480" s="90"/>
      <x:c r="H480" s="90"/>
      <x:c r="I480" s="90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  <x:c r="T480" s="150"/>
      <x:c r="U480" s="150"/>
      <x:c r="V480" s="150"/>
      <x:c r="W480" s="150"/>
    </x:row>
    <x:row r="481" spans="1:41" ht="12.75" hidden="1" customHeight="1" x14ac:dyDescent="0.2">
      <x:c r="A481" s="89"/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  <x:c r="S481" s="90"/>
      <x:c r="T481" s="150"/>
      <x:c r="U481" s="150"/>
      <x:c r="V481" s="150"/>
      <x:c r="W481" s="150"/>
    </x:row>
    <x:row r="482" spans="1:41" ht="12.75" customHeight="1" x14ac:dyDescent="0.2">
      <x:c r="A482" s="89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  <x:c r="T482" s="150"/>
      <x:c r="U482" s="150"/>
      <x:c r="V482" s="150"/>
      <x:c r="W482" s="150"/>
    </x:row>
    <x:row r="483" spans="1:41" ht="12.75" customHeight="1" x14ac:dyDescent="0.2">
      <x:c r="A483" s="89"/>
      <x:c r="F483" s="90"/>
      <x:c r="G483" s="90"/>
      <x:c r="H483" s="90"/>
      <x:c r="I483" s="90"/>
      <x:c r="J483" s="90"/>
      <x:c r="K483" s="90"/>
      <x:c r="L483" s="90"/>
      <x:c r="M483" s="90"/>
      <x:c r="N483" s="90"/>
      <x:c r="O483" s="90"/>
      <x:c r="P483" s="90"/>
      <x:c r="Q483" s="90"/>
      <x:c r="R483" s="90"/>
      <x:c r="S483" s="90"/>
      <x:c r="T483" s="150"/>
      <x:c r="U483" s="150"/>
      <x:c r="V483" s="150"/>
      <x:c r="W483" s="150"/>
    </x:row>
    <x:row r="484" spans="1:41" ht="12.75" customHeight="1" x14ac:dyDescent="0.2">
      <x:c r="C484" s="778" t="s">
        <x:v>2</x:v>
      </x:c>
      <x:c r="D484" s="776" t="s">
        <x:v>132</x:v>
      </x:c>
      <x:c r="E484" s="98" t="s">
        <x:v>70</x:v>
      </x:c>
      <x:c r="F484" s="100">
        <x:f>F399+F422+F368-L368-L399</x:f>
        <x:v>0</x:v>
      </x:c>
      <x:c r="G484" s="100">
        <x:f t="shared" ref="G484:AO484" si="18">G399+G368</x:f>
        <x:v>0</x:v>
      </x:c>
      <x:c r="H484" s="100">
        <x:f t="shared" si="18"/>
        <x:v>0</x:v>
      </x:c>
      <x:c r="I484" s="100">
        <x:f t="shared" si="18"/>
        <x:v>0</x:v>
      </x:c>
      <x:c r="J484" s="100">
        <x:f t="shared" si="18"/>
        <x:v>0</x:v>
      </x:c>
      <x:c r="K484" s="100">
        <x:f t="shared" si="18"/>
        <x:v>0</x:v>
      </x:c>
      <x:c r="L484" s="100">
        <x:f t="shared" si="18"/>
        <x:v>0</x:v>
      </x:c>
      <x:c r="M484" s="100">
        <x:f t="shared" si="18"/>
        <x:v>0</x:v>
      </x:c>
      <x:c r="N484" s="100">
        <x:f t="shared" si="18"/>
        <x:v>0</x:v>
      </x:c>
      <x:c r="O484" s="100">
        <x:f t="shared" si="18"/>
        <x:v>0</x:v>
      </x:c>
      <x:c r="P484" s="100">
        <x:f t="shared" si="18"/>
        <x:v>0</x:v>
      </x:c>
      <x:c r="Q484" s="100">
        <x:f t="shared" si="18"/>
        <x:v>0</x:v>
      </x:c>
      <x:c r="R484" s="100">
        <x:f t="shared" si="18"/>
        <x:v>0</x:v>
      </x:c>
      <x:c r="S484" s="100">
        <x:f t="shared" si="18"/>
        <x:v>0</x:v>
      </x:c>
      <x:c r="T484" s="100">
        <x:f t="shared" si="18"/>
        <x:v>0</x:v>
      </x:c>
      <x:c r="U484" s="100">
        <x:f t="shared" si="18"/>
        <x:v>0</x:v>
      </x:c>
      <x:c r="V484" s="100">
        <x:f t="shared" si="18"/>
        <x:v>0</x:v>
      </x:c>
      <x:c r="W484" s="100">
        <x:f t="shared" si="18"/>
        <x:v>0</x:v>
      </x:c>
      <x:c r="X484" s="100">
        <x:f t="shared" si="18"/>
        <x:v>0</x:v>
      </x:c>
      <x:c r="Y484" s="100">
        <x:f t="shared" si="18"/>
        <x:v>0</x:v>
      </x:c>
      <x:c r="Z484" s="100">
        <x:f t="shared" si="18"/>
        <x:v>0</x:v>
      </x:c>
      <x:c r="AA484" s="100">
        <x:f t="shared" si="18"/>
        <x:v>0</x:v>
      </x:c>
      <x:c r="AB484" s="100">
        <x:f t="shared" si="18"/>
        <x:v>0</x:v>
      </x:c>
      <x:c r="AC484" s="100">
        <x:f t="shared" si="18"/>
        <x:v>0</x:v>
      </x:c>
      <x:c r="AD484" s="100">
        <x:f t="shared" si="18"/>
        <x:v>0</x:v>
      </x:c>
      <x:c r="AE484" s="100">
        <x:f t="shared" si="18"/>
        <x:v>0</x:v>
      </x:c>
      <x:c r="AF484" s="100">
        <x:f t="shared" si="18"/>
        <x:v>0</x:v>
      </x:c>
      <x:c r="AG484" s="100">
        <x:f t="shared" si="18"/>
        <x:v>0</x:v>
      </x:c>
      <x:c r="AH484" s="100">
        <x:f t="shared" si="18"/>
        <x:v>0</x:v>
      </x:c>
      <x:c r="AI484" s="100">
        <x:f t="shared" si="18"/>
        <x:v>0</x:v>
      </x:c>
      <x:c r="AJ484" s="100">
        <x:f t="shared" si="18"/>
        <x:v>0</x:v>
      </x:c>
      <x:c r="AK484" s="100">
        <x:f t="shared" si="18"/>
        <x:v>0</x:v>
      </x:c>
      <x:c r="AL484" s="100">
        <x:f t="shared" si="18"/>
        <x:v>0</x:v>
      </x:c>
      <x:c r="AM484" s="100">
        <x:f t="shared" si="18"/>
        <x:v>0</x:v>
      </x:c>
      <x:c r="AN484" s="100">
        <x:f t="shared" si="18"/>
        <x:v>0</x:v>
      </x:c>
      <x:c r="AO484" s="100">
        <x:f t="shared" si="18"/>
        <x:v>0</x:v>
      </x:c>
    </x:row>
    <x:row r="485" spans="1:41" ht="12.75" customHeight="1" x14ac:dyDescent="0.2">
      <x:c r="C485" s="778"/>
      <x:c r="D485" s="776"/>
      <x:c r="E485" s="98" t="s">
        <x:v>73</x:v>
      </x:c>
      <x:c r="F485" s="100">
        <x:f>F422</x:f>
        <x:v>0</x:v>
      </x:c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  <x:c r="S485" s="90"/>
    </x:row>
    <x:row r="486" spans="1:41" ht="12.75" customHeight="1" x14ac:dyDescent="0.2">
      <x:c r="A486" s="90"/>
      <x:c r="C486" s="778"/>
      <x:c r="D486" s="776" t="s">
        <x:v>133</x:v>
      </x:c>
      <x:c r="E486" s="233" t="s">
        <x:v>70</x:v>
      </x:c>
      <x:c r="F486" s="234">
        <x:f>F411+F384-L384</x:f>
        <x:v>0</x:v>
      </x:c>
      <x:c r="G486" s="234">
        <x:f>G384</x:f>
        <x:v>0</x:v>
      </x:c>
      <x:c r="H486" s="234">
        <x:f t="shared" ref="H486:AO486" si="19">H384</x:f>
        <x:v>0</x:v>
      </x:c>
      <x:c r="I486" s="234">
        <x:f t="shared" si="19"/>
        <x:v>0</x:v>
      </x:c>
      <x:c r="J486" s="234">
        <x:f t="shared" si="19"/>
        <x:v>0</x:v>
      </x:c>
      <x:c r="K486" s="234">
        <x:f t="shared" si="19"/>
        <x:v>0</x:v>
      </x:c>
      <x:c r="L486" s="234">
        <x:f t="shared" si="19"/>
        <x:v>0</x:v>
      </x:c>
      <x:c r="M486" s="234">
        <x:f t="shared" si="19"/>
        <x:v>0</x:v>
      </x:c>
      <x:c r="N486" s="234">
        <x:f t="shared" si="19"/>
        <x:v>0</x:v>
      </x:c>
      <x:c r="O486" s="234">
        <x:f t="shared" si="19"/>
        <x:v>0</x:v>
      </x:c>
      <x:c r="P486" s="234">
        <x:f t="shared" si="19"/>
        <x:v>0</x:v>
      </x:c>
      <x:c r="Q486" s="234">
        <x:f t="shared" si="19"/>
        <x:v>0</x:v>
      </x:c>
      <x:c r="R486" s="234">
        <x:f t="shared" si="19"/>
        <x:v>0</x:v>
      </x:c>
      <x:c r="S486" s="234">
        <x:f t="shared" si="19"/>
        <x:v>0</x:v>
      </x:c>
      <x:c r="T486" s="234">
        <x:f t="shared" si="19"/>
        <x:v>0</x:v>
      </x:c>
      <x:c r="U486" s="234">
        <x:f t="shared" si="19"/>
        <x:v>0</x:v>
      </x:c>
      <x:c r="V486" s="234">
        <x:f t="shared" si="19"/>
        <x:v>0</x:v>
      </x:c>
      <x:c r="W486" s="234">
        <x:f t="shared" si="19"/>
        <x:v>0</x:v>
      </x:c>
      <x:c r="X486" s="234">
        <x:f t="shared" si="19"/>
        <x:v>0</x:v>
      </x:c>
      <x:c r="Y486" s="234">
        <x:f t="shared" si="19"/>
        <x:v>0</x:v>
      </x:c>
      <x:c r="Z486" s="234">
        <x:f t="shared" si="19"/>
        <x:v>0</x:v>
      </x:c>
      <x:c r="AA486" s="234">
        <x:f t="shared" si="19"/>
        <x:v>0</x:v>
      </x:c>
      <x:c r="AB486" s="234">
        <x:f t="shared" si="19"/>
        <x:v>0</x:v>
      </x:c>
      <x:c r="AC486" s="234">
        <x:f t="shared" si="19"/>
        <x:v>0</x:v>
      </x:c>
      <x:c r="AD486" s="234">
        <x:f t="shared" si="19"/>
        <x:v>0</x:v>
      </x:c>
      <x:c r="AE486" s="234">
        <x:f t="shared" si="19"/>
        <x:v>0</x:v>
      </x:c>
      <x:c r="AF486" s="234">
        <x:f t="shared" si="19"/>
        <x:v>0</x:v>
      </x:c>
      <x:c r="AG486" s="234">
        <x:f t="shared" si="19"/>
        <x:v>0</x:v>
      </x:c>
      <x:c r="AH486" s="234">
        <x:f t="shared" si="19"/>
        <x:v>0</x:v>
      </x:c>
      <x:c r="AI486" s="234">
        <x:f t="shared" si="19"/>
        <x:v>0</x:v>
      </x:c>
      <x:c r="AJ486" s="234">
        <x:f t="shared" si="19"/>
        <x:v>0</x:v>
      </x:c>
      <x:c r="AK486" s="234">
        <x:f t="shared" si="19"/>
        <x:v>0</x:v>
      </x:c>
      <x:c r="AL486" s="234">
        <x:f t="shared" si="19"/>
        <x:v>0</x:v>
      </x:c>
      <x:c r="AM486" s="234">
        <x:f t="shared" si="19"/>
        <x:v>0</x:v>
      </x:c>
      <x:c r="AN486" s="234">
        <x:f t="shared" si="19"/>
        <x:v>0</x:v>
      </x:c>
      <x:c r="AO486" s="234">
        <x:f t="shared" si="19"/>
        <x:v>0</x:v>
      </x:c>
    </x:row>
    <x:row r="487" spans="1:41" ht="12.75" customHeight="1" x14ac:dyDescent="0.2">
      <x:c r="C487" s="778"/>
      <x:c r="D487" s="776"/>
      <x:c r="E487" s="233" t="s">
        <x:v>73</x:v>
      </x:c>
      <x:c r="F487" s="234">
        <x:f>F411</x:f>
        <x:v>0</x:v>
      </x:c>
      <x:c r="G487" s="371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41" ht="12.75" customHeight="1" x14ac:dyDescent="0.2">
      <x:c r="A488" s="89"/>
      <x:c r="C488" s="97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  <x:c r="S488" s="90"/>
    </x:row>
    <x:row r="489" spans="1:41" ht="12.75" customHeight="1" x14ac:dyDescent="0.2">
      <x:c r="C489" s="778" t="s">
        <x:v>160</x:v>
      </x:c>
      <x:c r="D489" s="776" t="s">
        <x:v>132</x:v>
      </x:c>
      <x:c r="E489" s="223" t="s">
        <x:v>70</x:v>
      </x:c>
      <x:c r="F489" s="225">
        <x:v>0</x:v>
      </x:c>
      <x:c r="G489" s="225">
        <x:v>0</x:v>
      </x:c>
      <x:c r="H489" s="225">
        <x:v>0</x:v>
      </x:c>
      <x:c r="I489" s="225">
        <x:v>0</x:v>
      </x:c>
      <x:c r="J489" s="225">
        <x:v>0</x:v>
      </x:c>
      <x:c r="K489" s="225">
        <x:v>0</x:v>
      </x:c>
      <x:c r="L489" s="225">
        <x:v>0</x:v>
      </x:c>
      <x:c r="M489" s="225">
        <x:v>0</x:v>
      </x:c>
      <x:c r="N489" s="225">
        <x:v>0</x:v>
      </x:c>
      <x:c r="O489" s="225">
        <x:v>0</x:v>
      </x:c>
      <x:c r="P489" s="225">
        <x:v>0</x:v>
      </x:c>
      <x:c r="Q489" s="225">
        <x:v>0</x:v>
      </x:c>
      <x:c r="R489" s="225">
        <x:v>0</x:v>
      </x:c>
      <x:c r="S489" s="225">
        <x:v>0</x:v>
      </x:c>
      <x:c r="T489" s="225">
        <x:v>0</x:v>
      </x:c>
      <x:c r="U489" s="225"/>
      <x:c r="V489" s="225"/>
      <x:c r="W489" s="225"/>
      <x:c r="X489" s="225">
        <x:v>0</x:v>
      </x:c>
      <x:c r="Y489" s="225">
        <x:v>0</x:v>
      </x:c>
      <x:c r="Z489" s="225">
        <x:v>0</x:v>
      </x:c>
      <x:c r="AA489" s="225">
        <x:v>0</x:v>
      </x:c>
      <x:c r="AB489" s="225">
        <x:v>0</x:v>
      </x:c>
      <x:c r="AC489" s="225">
        <x:v>0</x:v>
      </x:c>
      <x:c r="AD489" s="225">
        <x:v>0</x:v>
      </x:c>
      <x:c r="AE489" s="225">
        <x:v>0</x:v>
      </x:c>
      <x:c r="AF489" s="225">
        <x:v>0</x:v>
      </x:c>
      <x:c r="AG489" s="225">
        <x:v>0</x:v>
      </x:c>
      <x:c r="AH489" s="225">
        <x:v>0</x:v>
      </x:c>
      <x:c r="AI489" s="225">
        <x:v>0</x:v>
      </x:c>
      <x:c r="AJ489" s="225">
        <x:v>0</x:v>
      </x:c>
      <x:c r="AK489" s="225">
        <x:v>0</x:v>
      </x:c>
      <x:c r="AL489" s="225">
        <x:v>0</x:v>
      </x:c>
      <x:c r="AM489" s="225">
        <x:v>0</x:v>
      </x:c>
      <x:c r="AN489" s="225">
        <x:v>0</x:v>
      </x:c>
      <x:c r="AO489" s="225">
        <x:v>0</x:v>
      </x:c>
    </x:row>
    <x:row r="490" spans="1:41" ht="12.75" customHeight="1" x14ac:dyDescent="0.2">
      <x:c r="C490" s="778"/>
      <x:c r="D490" s="776"/>
      <x:c r="E490" s="223" t="s">
        <x:v>73</x:v>
      </x:c>
      <x:c r="F490" s="225">
        <x:v>0</x:v>
      </x:c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  <x:c r="S490" s="90"/>
    </x:row>
    <x:row r="491" spans="1:41" ht="12.75" customHeight="1" x14ac:dyDescent="0.2">
      <x:c r="C491" s="778"/>
      <x:c r="D491" s="776" t="s">
        <x:v>133</x:v>
      </x:c>
      <x:c r="E491" s="227" t="s">
        <x:v>70</x:v>
      </x:c>
      <x:c r="F491" s="228">
        <x:v>0</x:v>
      </x:c>
      <x:c r="G491" s="228">
        <x:v>0</x:v>
      </x:c>
      <x:c r="H491" s="228">
        <x:v>0</x:v>
      </x:c>
      <x:c r="I491" s="228">
        <x:v>0</x:v>
      </x:c>
      <x:c r="J491" s="228">
        <x:v>0</x:v>
      </x:c>
      <x:c r="K491" s="228">
        <x:v>0</x:v>
      </x:c>
      <x:c r="L491" s="228">
        <x:v>0</x:v>
      </x:c>
      <x:c r="M491" s="228">
        <x:v>0</x:v>
      </x:c>
      <x:c r="N491" s="228">
        <x:v>0</x:v>
      </x:c>
      <x:c r="O491" s="228">
        <x:v>0</x:v>
      </x:c>
      <x:c r="P491" s="228">
        <x:v>0</x:v>
      </x:c>
      <x:c r="Q491" s="228">
        <x:v>0</x:v>
      </x:c>
      <x:c r="R491" s="228">
        <x:v>0</x:v>
      </x:c>
      <x:c r="S491" s="228">
        <x:v>0</x:v>
      </x:c>
      <x:c r="T491" s="228">
        <x:v>0</x:v>
      </x:c>
      <x:c r="U491" s="228"/>
      <x:c r="V491" s="228"/>
      <x:c r="W491" s="228"/>
      <x:c r="X491" s="228">
        <x:v>0</x:v>
      </x:c>
      <x:c r="Y491" s="228">
        <x:v>0</x:v>
      </x:c>
      <x:c r="Z491" s="228">
        <x:v>0</x:v>
      </x:c>
      <x:c r="AA491" s="228">
        <x:v>0</x:v>
      </x:c>
      <x:c r="AB491" s="228">
        <x:v>0</x:v>
      </x:c>
      <x:c r="AC491" s="228">
        <x:v>0</x:v>
      </x:c>
      <x:c r="AD491" s="228">
        <x:v>0</x:v>
      </x:c>
      <x:c r="AE491" s="228">
        <x:v>0</x:v>
      </x:c>
      <x:c r="AF491" s="228">
        <x:v>0</x:v>
      </x:c>
      <x:c r="AG491" s="228">
        <x:v>0</x:v>
      </x:c>
      <x:c r="AH491" s="228">
        <x:v>0</x:v>
      </x:c>
      <x:c r="AI491" s="228">
        <x:v>0</x:v>
      </x:c>
      <x:c r="AJ491" s="228">
        <x:v>0</x:v>
      </x:c>
      <x:c r="AK491" s="228">
        <x:v>0</x:v>
      </x:c>
      <x:c r="AL491" s="228">
        <x:v>0</x:v>
      </x:c>
      <x:c r="AM491" s="228">
        <x:v>0</x:v>
      </x:c>
      <x:c r="AN491" s="228">
        <x:v>0</x:v>
      </x:c>
      <x:c r="AO491" s="228">
        <x:v>0</x:v>
      </x:c>
    </x:row>
    <x:row r="492" spans="1:41" ht="12.75" customHeight="1" x14ac:dyDescent="0.2">
      <x:c r="C492" s="778"/>
      <x:c r="D492" s="776"/>
      <x:c r="E492" s="227" t="s">
        <x:v>73</x:v>
      </x:c>
      <x:c r="F492" s="228">
        <x:v>0</x:v>
      </x:c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41" ht="12.75" customHeight="1" x14ac:dyDescent="0.2">
      <x:c r="A493" s="89"/>
      <x:c r="C493" s="97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0"/>
    </x:row>
    <x:row r="494" spans="1:41" ht="12.75" customHeight="1" x14ac:dyDescent="0.2">
      <x:c r="C494" s="778" t="s">
        <x:v>155</x:v>
      </x:c>
      <x:c r="D494" s="776" t="s">
        <x:v>132</x:v>
      </x:c>
      <x:c r="E494" s="221" t="s">
        <x:v>70</x:v>
      </x:c>
      <x:c r="F494" s="222">
        <x:f>F414+F388+F360-L360-L388</x:f>
        <x:v>0</x:v>
      </x:c>
      <x:c r="G494" s="222">
        <x:f t="shared" ref="G494:AO494" si="20">G388+G360</x:f>
        <x:v>0</x:v>
      </x:c>
      <x:c r="H494" s="222">
        <x:f t="shared" si="20"/>
        <x:v>0</x:v>
      </x:c>
      <x:c r="I494" s="222">
        <x:f t="shared" si="20"/>
        <x:v>0</x:v>
      </x:c>
      <x:c r="J494" s="222">
        <x:f t="shared" si="20"/>
        <x:v>0</x:v>
      </x:c>
      <x:c r="K494" s="222">
        <x:f t="shared" si="20"/>
        <x:v>0</x:v>
      </x:c>
      <x:c r="L494" s="222">
        <x:f t="shared" si="20"/>
        <x:v>0</x:v>
      </x:c>
      <x:c r="M494" s="222">
        <x:f t="shared" si="20"/>
        <x:v>0</x:v>
      </x:c>
      <x:c r="N494" s="222">
        <x:f t="shared" si="20"/>
        <x:v>0</x:v>
      </x:c>
      <x:c r="O494" s="222">
        <x:f t="shared" si="20"/>
        <x:v>0</x:v>
      </x:c>
      <x:c r="P494" s="222">
        <x:f t="shared" si="20"/>
        <x:v>0</x:v>
      </x:c>
      <x:c r="Q494" s="222">
        <x:f t="shared" si="20"/>
        <x:v>0</x:v>
      </x:c>
      <x:c r="R494" s="222">
        <x:f t="shared" si="20"/>
        <x:v>0</x:v>
      </x:c>
      <x:c r="S494" s="222">
        <x:f t="shared" si="20"/>
        <x:v>0</x:v>
      </x:c>
      <x:c r="T494" s="222">
        <x:f t="shared" si="20"/>
        <x:v>0</x:v>
      </x:c>
      <x:c r="U494" s="222">
        <x:f t="shared" si="20"/>
        <x:v>0</x:v>
      </x:c>
      <x:c r="V494" s="222">
        <x:f t="shared" si="20"/>
        <x:v>0</x:v>
      </x:c>
      <x:c r="W494" s="222">
        <x:f t="shared" si="20"/>
        <x:v>0</x:v>
      </x:c>
      <x:c r="X494" s="222">
        <x:f t="shared" si="20"/>
        <x:v>0</x:v>
      </x:c>
      <x:c r="Y494" s="222">
        <x:f t="shared" si="20"/>
        <x:v>0</x:v>
      </x:c>
      <x:c r="Z494" s="222">
        <x:f t="shared" si="20"/>
        <x:v>0</x:v>
      </x:c>
      <x:c r="AA494" s="222">
        <x:f t="shared" si="20"/>
        <x:v>0</x:v>
      </x:c>
      <x:c r="AB494" s="222">
        <x:f t="shared" si="20"/>
        <x:v>0</x:v>
      </x:c>
      <x:c r="AC494" s="222">
        <x:f t="shared" si="20"/>
        <x:v>0</x:v>
      </x:c>
      <x:c r="AD494" s="222">
        <x:f t="shared" si="20"/>
        <x:v>0</x:v>
      </x:c>
      <x:c r="AE494" s="222">
        <x:f t="shared" si="20"/>
        <x:v>0</x:v>
      </x:c>
      <x:c r="AF494" s="222">
        <x:f t="shared" si="20"/>
        <x:v>0</x:v>
      </x:c>
      <x:c r="AG494" s="222">
        <x:f t="shared" si="20"/>
        <x:v>0</x:v>
      </x:c>
      <x:c r="AH494" s="222">
        <x:f t="shared" si="20"/>
        <x:v>0</x:v>
      </x:c>
      <x:c r="AI494" s="222">
        <x:f t="shared" si="20"/>
        <x:v>0</x:v>
      </x:c>
      <x:c r="AJ494" s="222">
        <x:f t="shared" si="20"/>
        <x:v>0</x:v>
      </x:c>
      <x:c r="AK494" s="222">
        <x:f t="shared" si="20"/>
        <x:v>0</x:v>
      </x:c>
      <x:c r="AL494" s="222">
        <x:f t="shared" si="20"/>
        <x:v>0</x:v>
      </x:c>
      <x:c r="AM494" s="222">
        <x:f t="shared" si="20"/>
        <x:v>0</x:v>
      </x:c>
      <x:c r="AN494" s="222">
        <x:f t="shared" si="20"/>
        <x:v>0</x:v>
      </x:c>
      <x:c r="AO494" s="222">
        <x:f t="shared" si="20"/>
        <x:v>0</x:v>
      </x:c>
    </x:row>
    <x:row r="495" spans="1:41" ht="12.75" customHeight="1" x14ac:dyDescent="0.2">
      <x:c r="C495" s="778"/>
      <x:c r="D495" s="776"/>
      <x:c r="E495" s="221" t="s">
        <x:v>73</x:v>
      </x:c>
      <x:c r="F495" s="222">
        <x:f>F414</x:f>
        <x:v>0</x:v>
      </x:c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  <x:c r="S495" s="90"/>
    </x:row>
    <x:row r="496" spans="1:41" ht="12.75" customHeight="1" x14ac:dyDescent="0.2">
      <x:c r="C496" s="778"/>
      <x:c r="D496" s="776" t="s">
        <x:v>133</x:v>
      </x:c>
      <x:c r="E496" s="229" t="s">
        <x:v>70</x:v>
      </x:c>
      <x:c r="F496" s="230">
        <x:f>F403+F373-L373</x:f>
        <x:v>0</x:v>
      </x:c>
      <x:c r="G496" s="230">
        <x:f>G373</x:f>
        <x:v>0</x:v>
      </x:c>
      <x:c r="H496" s="230">
        <x:f t="shared" ref="H496:AO496" si="21">H373</x:f>
        <x:v>0</x:v>
      </x:c>
      <x:c r="I496" s="230">
        <x:f t="shared" si="21"/>
        <x:v>0</x:v>
      </x:c>
      <x:c r="J496" s="230">
        <x:f t="shared" si="21"/>
        <x:v>0</x:v>
      </x:c>
      <x:c r="K496" s="230">
        <x:f t="shared" si="21"/>
        <x:v>0</x:v>
      </x:c>
      <x:c r="L496" s="230">
        <x:f t="shared" si="21"/>
        <x:v>0</x:v>
      </x:c>
      <x:c r="M496" s="230">
        <x:f t="shared" si="21"/>
        <x:v>0</x:v>
      </x:c>
      <x:c r="N496" s="230">
        <x:f t="shared" si="21"/>
        <x:v>0</x:v>
      </x:c>
      <x:c r="O496" s="230">
        <x:f t="shared" si="21"/>
        <x:v>0</x:v>
      </x:c>
      <x:c r="P496" s="230">
        <x:f t="shared" si="21"/>
        <x:v>0</x:v>
      </x:c>
      <x:c r="Q496" s="230">
        <x:f t="shared" si="21"/>
        <x:v>0</x:v>
      </x:c>
      <x:c r="R496" s="230">
        <x:f t="shared" si="21"/>
        <x:v>0</x:v>
      </x:c>
      <x:c r="S496" s="230">
        <x:f t="shared" si="21"/>
        <x:v>0</x:v>
      </x:c>
      <x:c r="T496" s="230">
        <x:f t="shared" si="21"/>
        <x:v>0</x:v>
      </x:c>
      <x:c r="U496" s="230">
        <x:f t="shared" si="21"/>
        <x:v>0</x:v>
      </x:c>
      <x:c r="V496" s="230">
        <x:f t="shared" si="21"/>
        <x:v>0</x:v>
      </x:c>
      <x:c r="W496" s="230">
        <x:f t="shared" si="21"/>
        <x:v>0</x:v>
      </x:c>
      <x:c r="X496" s="230">
        <x:f t="shared" si="21"/>
        <x:v>0</x:v>
      </x:c>
      <x:c r="Y496" s="230">
        <x:f t="shared" si="21"/>
        <x:v>0</x:v>
      </x:c>
      <x:c r="Z496" s="230">
        <x:f t="shared" si="21"/>
        <x:v>0</x:v>
      </x:c>
      <x:c r="AA496" s="230">
        <x:f t="shared" si="21"/>
        <x:v>0</x:v>
      </x:c>
      <x:c r="AB496" s="230">
        <x:f t="shared" si="21"/>
        <x:v>0</x:v>
      </x:c>
      <x:c r="AC496" s="230">
        <x:f t="shared" si="21"/>
        <x:v>0</x:v>
      </x:c>
      <x:c r="AD496" s="230">
        <x:f t="shared" si="21"/>
        <x:v>0</x:v>
      </x:c>
      <x:c r="AE496" s="230">
        <x:f t="shared" si="21"/>
        <x:v>0</x:v>
      </x:c>
      <x:c r="AF496" s="230">
        <x:f t="shared" si="21"/>
        <x:v>0</x:v>
      </x:c>
      <x:c r="AG496" s="230">
        <x:f t="shared" si="21"/>
        <x:v>0</x:v>
      </x:c>
      <x:c r="AH496" s="230">
        <x:f t="shared" si="21"/>
        <x:v>0</x:v>
      </x:c>
      <x:c r="AI496" s="230">
        <x:f t="shared" si="21"/>
        <x:v>0</x:v>
      </x:c>
      <x:c r="AJ496" s="230">
        <x:f t="shared" si="21"/>
        <x:v>0</x:v>
      </x:c>
      <x:c r="AK496" s="230">
        <x:f t="shared" si="21"/>
        <x:v>0</x:v>
      </x:c>
      <x:c r="AL496" s="230">
        <x:f t="shared" si="21"/>
        <x:v>0</x:v>
      </x:c>
      <x:c r="AM496" s="230">
        <x:f t="shared" si="21"/>
        <x:v>0</x:v>
      </x:c>
      <x:c r="AN496" s="230">
        <x:f t="shared" si="21"/>
        <x:v>0</x:v>
      </x:c>
      <x:c r="AO496" s="230">
        <x:f t="shared" si="21"/>
        <x:v>0</x:v>
      </x:c>
    </x:row>
    <x:row r="497" spans="1:41" ht="12.75" customHeight="1" x14ac:dyDescent="0.2">
      <x:c r="C497" s="778"/>
      <x:c r="D497" s="776"/>
      <x:c r="E497" s="229" t="s">
        <x:v>73</x:v>
      </x:c>
      <x:c r="F497" s="230">
        <x:f>F403</x:f>
        <x:v>0</x:v>
      </x:c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41" ht="12.75" customHeight="1" x14ac:dyDescent="0.2">
      <x:c r="A498" s="89"/>
      <x:c r="C498" s="97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  <x:c r="S498" s="90"/>
    </x:row>
    <x:row r="499" spans="1:41" ht="12.75" customHeight="1" x14ac:dyDescent="0.2">
      <x:c r="C499" s="779" t="s">
        <x:v>326</x:v>
      </x:c>
      <x:c r="D499" s="776" t="s">
        <x:v>132</x:v>
      </x:c>
      <x:c r="E499" s="373" t="s">
        <x:v>70</x:v>
      </x:c>
      <x:c r="F499" s="374">
        <x:v>0</x:v>
      </x:c>
      <x:c r="G499" s="374">
        <x:v>0</x:v>
      </x:c>
      <x:c r="H499" s="374">
        <x:v>0</x:v>
      </x:c>
      <x:c r="I499" s="374">
        <x:v>0</x:v>
      </x:c>
      <x:c r="J499" s="374">
        <x:v>0</x:v>
      </x:c>
      <x:c r="K499" s="374">
        <x:v>0</x:v>
      </x:c>
      <x:c r="L499" s="374">
        <x:v>0</x:v>
      </x:c>
      <x:c r="M499" s="374">
        <x:v>0</x:v>
      </x:c>
      <x:c r="N499" s="374">
        <x:v>0</x:v>
      </x:c>
      <x:c r="O499" s="374">
        <x:v>0</x:v>
      </x:c>
      <x:c r="P499" s="374">
        <x:v>0</x:v>
      </x:c>
      <x:c r="Q499" s="374">
        <x:v>0</x:v>
      </x:c>
      <x:c r="R499" s="374">
        <x:v>0</x:v>
      </x:c>
      <x:c r="S499" s="374">
        <x:v>0</x:v>
      </x:c>
      <x:c r="T499" s="374">
        <x:v>0</x:v>
      </x:c>
      <x:c r="U499" s="374">
        <x:v>0</x:v>
      </x:c>
      <x:c r="V499" s="374">
        <x:v>0</x:v>
      </x:c>
      <x:c r="W499" s="374">
        <x:v>0</x:v>
      </x:c>
      <x:c r="X499" s="374">
        <x:v>0</x:v>
      </x:c>
      <x:c r="Y499" s="374">
        <x:v>0</x:v>
      </x:c>
      <x:c r="Z499" s="374">
        <x:v>0</x:v>
      </x:c>
      <x:c r="AA499" s="374">
        <x:v>0</x:v>
      </x:c>
      <x:c r="AB499" s="374">
        <x:v>0</x:v>
      </x:c>
      <x:c r="AC499" s="374">
        <x:v>0</x:v>
      </x:c>
      <x:c r="AD499" s="374">
        <x:v>0</x:v>
      </x:c>
      <x:c r="AE499" s="374">
        <x:v>0</x:v>
      </x:c>
      <x:c r="AF499" s="374">
        <x:v>0</x:v>
      </x:c>
      <x:c r="AG499" s="374">
        <x:v>0</x:v>
      </x:c>
      <x:c r="AH499" s="374">
        <x:v>0</x:v>
      </x:c>
      <x:c r="AI499" s="374">
        <x:v>0</x:v>
      </x:c>
      <x:c r="AJ499" s="374">
        <x:v>0</x:v>
      </x:c>
      <x:c r="AK499" s="374">
        <x:v>0</x:v>
      </x:c>
      <x:c r="AL499" s="374">
        <x:v>0</x:v>
      </x:c>
      <x:c r="AM499" s="374">
        <x:v>0</x:v>
      </x:c>
      <x:c r="AN499" s="374">
        <x:v>0</x:v>
      </x:c>
      <x:c r="AO499" s="374">
        <x:v>0</x:v>
      </x:c>
    </x:row>
    <x:row r="500" spans="1:41" ht="12.75" customHeight="1" x14ac:dyDescent="0.2">
      <x:c r="C500" s="779"/>
      <x:c r="D500" s="776"/>
      <x:c r="E500" s="373" t="s">
        <x:v>73</x:v>
      </x:c>
      <x:c r="F500" s="374">
        <x:v>0</x:v>
      </x:c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  <x:c r="S500" s="90"/>
    </x:row>
    <x:row r="501" spans="1:41" ht="12.75" customHeight="1" x14ac:dyDescent="0.2">
      <x:c r="C501" s="779"/>
      <x:c r="D501" s="776" t="s">
        <x:v>133</x:v>
      </x:c>
      <x:c r="E501" s="242" t="s">
        <x:v>70</x:v>
      </x:c>
      <x:c r="F501" s="243">
        <x:v>0</x:v>
      </x:c>
      <x:c r="G501" s="243">
        <x:v>0</x:v>
      </x:c>
      <x:c r="H501" s="243">
        <x:v>0</x:v>
      </x:c>
      <x:c r="I501" s="243">
        <x:v>0</x:v>
      </x:c>
      <x:c r="J501" s="243">
        <x:v>0</x:v>
      </x:c>
      <x:c r="K501" s="243">
        <x:v>0</x:v>
      </x:c>
      <x:c r="L501" s="243">
        <x:v>0</x:v>
      </x:c>
      <x:c r="M501" s="243">
        <x:v>0</x:v>
      </x:c>
      <x:c r="N501" s="243">
        <x:v>0</x:v>
      </x:c>
      <x:c r="O501" s="243">
        <x:v>0</x:v>
      </x:c>
      <x:c r="P501" s="243">
        <x:v>0</x:v>
      </x:c>
      <x:c r="Q501" s="243">
        <x:v>0</x:v>
      </x:c>
      <x:c r="R501" s="243">
        <x:v>0</x:v>
      </x:c>
      <x:c r="S501" s="243">
        <x:v>0</x:v>
      </x:c>
      <x:c r="T501" s="243">
        <x:v>0</x:v>
      </x:c>
      <x:c r="U501" s="243">
        <x:v>0</x:v>
      </x:c>
      <x:c r="V501" s="243">
        <x:v>0</x:v>
      </x:c>
      <x:c r="W501" s="243">
        <x:v>0</x:v>
      </x:c>
      <x:c r="X501" s="243">
        <x:v>0</x:v>
      </x:c>
      <x:c r="Y501" s="243">
        <x:v>0</x:v>
      </x:c>
      <x:c r="Z501" s="243">
        <x:v>0</x:v>
      </x:c>
      <x:c r="AA501" s="243">
        <x:v>0</x:v>
      </x:c>
      <x:c r="AB501" s="243">
        <x:v>0</x:v>
      </x:c>
      <x:c r="AC501" s="243">
        <x:v>0</x:v>
      </x:c>
      <x:c r="AD501" s="243">
        <x:v>0</x:v>
      </x:c>
      <x:c r="AE501" s="243">
        <x:v>0</x:v>
      </x:c>
      <x:c r="AF501" s="243">
        <x:v>0</x:v>
      </x:c>
      <x:c r="AG501" s="243">
        <x:v>0</x:v>
      </x:c>
      <x:c r="AH501" s="243">
        <x:v>0</x:v>
      </x:c>
      <x:c r="AI501" s="243">
        <x:v>0</x:v>
      </x:c>
      <x:c r="AJ501" s="243">
        <x:v>0</x:v>
      </x:c>
      <x:c r="AK501" s="243">
        <x:v>0</x:v>
      </x:c>
      <x:c r="AL501" s="243">
        <x:v>0</x:v>
      </x:c>
      <x:c r="AM501" s="243">
        <x:v>0</x:v>
      </x:c>
      <x:c r="AN501" s="243">
        <x:v>0</x:v>
      </x:c>
      <x:c r="AO501" s="243">
        <x:v>0</x:v>
      </x:c>
    </x:row>
    <x:row r="502" spans="1:41" ht="12.75" customHeight="1" x14ac:dyDescent="0.2">
      <x:c r="C502" s="779"/>
      <x:c r="D502" s="776"/>
      <x:c r="E502" s="242" t="s">
        <x:v>73</x:v>
      </x:c>
      <x:c r="F502" s="243">
        <x:v>0</x:v>
      </x:c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41" ht="12.75" customHeight="1" x14ac:dyDescent="0.2">
      <x:c r="A503" s="89"/>
      <x:c r="C503" s="97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  <x:c r="S503" s="90"/>
    </x:row>
    <x:row r="504" spans="1:41" ht="12.75" customHeight="1" x14ac:dyDescent="0.2">
      <x:c r="C504" s="778" t="s">
        <x:v>119</x:v>
      </x:c>
      <x:c r="D504" s="776" t="s">
        <x:v>132</x:v>
      </x:c>
      <x:c r="E504" s="101" t="s">
        <x:v>70</x:v>
      </x:c>
      <x:c r="F504" s="93">
        <x:f>F421+F398+F367-L367-L398</x:f>
        <x:v>0</x:v>
      </x:c>
      <x:c r="G504" s="93">
        <x:f t="shared" ref="G504:AO504" si="22">G398+G367</x:f>
        <x:v>0</x:v>
      </x:c>
      <x:c r="H504" s="93">
        <x:f t="shared" si="22"/>
        <x:v>0</x:v>
      </x:c>
      <x:c r="I504" s="93">
        <x:f t="shared" si="22"/>
        <x:v>0</x:v>
      </x:c>
      <x:c r="J504" s="93">
        <x:f t="shared" si="22"/>
        <x:v>0</x:v>
      </x:c>
      <x:c r="K504" s="93">
        <x:f t="shared" si="22"/>
        <x:v>0</x:v>
      </x:c>
      <x:c r="L504" s="93">
        <x:f t="shared" si="22"/>
        <x:v>0</x:v>
      </x:c>
      <x:c r="M504" s="93">
        <x:f t="shared" si="22"/>
        <x:v>0</x:v>
      </x:c>
      <x:c r="N504" s="93">
        <x:f t="shared" si="22"/>
        <x:v>0</x:v>
      </x:c>
      <x:c r="O504" s="93">
        <x:f t="shared" si="22"/>
        <x:v>0</x:v>
      </x:c>
      <x:c r="P504" s="93">
        <x:f t="shared" si="22"/>
        <x:v>0</x:v>
      </x:c>
      <x:c r="Q504" s="93">
        <x:f t="shared" si="22"/>
        <x:v>0</x:v>
      </x:c>
      <x:c r="R504" s="93">
        <x:f t="shared" si="22"/>
        <x:v>0</x:v>
      </x:c>
      <x:c r="S504" s="93">
        <x:f t="shared" si="22"/>
        <x:v>0</x:v>
      </x:c>
      <x:c r="T504" s="93">
        <x:f t="shared" si="22"/>
        <x:v>0</x:v>
      </x:c>
      <x:c r="U504" s="93">
        <x:f t="shared" si="22"/>
        <x:v>0</x:v>
      </x:c>
      <x:c r="V504" s="93">
        <x:f t="shared" si="22"/>
        <x:v>0</x:v>
      </x:c>
      <x:c r="W504" s="93">
        <x:f t="shared" si="22"/>
        <x:v>0</x:v>
      </x:c>
      <x:c r="X504" s="93">
        <x:f t="shared" si="22"/>
        <x:v>0</x:v>
      </x:c>
      <x:c r="Y504" s="93">
        <x:f t="shared" si="22"/>
        <x:v>0</x:v>
      </x:c>
      <x:c r="Z504" s="93">
        <x:f t="shared" si="22"/>
        <x:v>0</x:v>
      </x:c>
      <x:c r="AA504" s="93">
        <x:f t="shared" si="22"/>
        <x:v>0</x:v>
      </x:c>
      <x:c r="AB504" s="93">
        <x:f t="shared" si="22"/>
        <x:v>0</x:v>
      </x:c>
      <x:c r="AC504" s="93">
        <x:f t="shared" si="22"/>
        <x:v>0</x:v>
      </x:c>
      <x:c r="AD504" s="93">
        <x:f t="shared" si="22"/>
        <x:v>0</x:v>
      </x:c>
      <x:c r="AE504" s="93">
        <x:f t="shared" si="22"/>
        <x:v>0</x:v>
      </x:c>
      <x:c r="AF504" s="93">
        <x:f t="shared" si="22"/>
        <x:v>0</x:v>
      </x:c>
      <x:c r="AG504" s="93">
        <x:f t="shared" si="22"/>
        <x:v>0</x:v>
      </x:c>
      <x:c r="AH504" s="93">
        <x:f t="shared" si="22"/>
        <x:v>0</x:v>
      </x:c>
      <x:c r="AI504" s="93">
        <x:f t="shared" si="22"/>
        <x:v>0</x:v>
      </x:c>
      <x:c r="AJ504" s="93">
        <x:f t="shared" si="22"/>
        <x:v>0</x:v>
      </x:c>
      <x:c r="AK504" s="93">
        <x:f t="shared" si="22"/>
        <x:v>0</x:v>
      </x:c>
      <x:c r="AL504" s="93">
        <x:f t="shared" si="22"/>
        <x:v>0</x:v>
      </x:c>
      <x:c r="AM504" s="93">
        <x:f t="shared" si="22"/>
        <x:v>0</x:v>
      </x:c>
      <x:c r="AN504" s="93">
        <x:f t="shared" si="22"/>
        <x:v>0</x:v>
      </x:c>
      <x:c r="AO504" s="93">
        <x:f t="shared" si="22"/>
        <x:v>0</x:v>
      </x:c>
    </x:row>
    <x:row r="505" spans="1:41" ht="12.75" customHeight="1" x14ac:dyDescent="0.2">
      <x:c r="C505" s="778"/>
      <x:c r="D505" s="776"/>
      <x:c r="E505" s="101" t="s">
        <x:v>73</x:v>
      </x:c>
      <x:c r="F505" s="93">
        <x:f>F421</x:f>
        <x:v>0</x:v>
      </x:c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0"/>
    </x:row>
    <x:row r="506" spans="1:41" ht="12.75" customHeight="1" x14ac:dyDescent="0.2">
      <x:c r="C506" s="778"/>
      <x:c r="D506" s="776" t="s">
        <x:v>133</x:v>
      </x:c>
      <x:c r="E506" s="235" t="s">
        <x:v>70</x:v>
      </x:c>
      <x:c r="F506" s="236">
        <x:f>F410+F383-L383</x:f>
        <x:v>0</x:v>
      </x:c>
      <x:c r="G506" s="236">
        <x:f>G383</x:f>
        <x:v>0</x:v>
      </x:c>
      <x:c r="H506" s="236">
        <x:f t="shared" ref="H506:AO506" si="23">H383</x:f>
        <x:v>0</x:v>
      </x:c>
      <x:c r="I506" s="236">
        <x:f t="shared" si="23"/>
        <x:v>0</x:v>
      </x:c>
      <x:c r="J506" s="236">
        <x:f t="shared" si="23"/>
        <x:v>0</x:v>
      </x:c>
      <x:c r="K506" s="236">
        <x:f t="shared" si="23"/>
        <x:v>0</x:v>
      </x:c>
      <x:c r="L506" s="236">
        <x:f t="shared" si="23"/>
        <x:v>0</x:v>
      </x:c>
      <x:c r="M506" s="236">
        <x:f t="shared" si="23"/>
        <x:v>0</x:v>
      </x:c>
      <x:c r="N506" s="236">
        <x:f t="shared" si="23"/>
        <x:v>0</x:v>
      </x:c>
      <x:c r="O506" s="236">
        <x:f t="shared" si="23"/>
        <x:v>0</x:v>
      </x:c>
      <x:c r="P506" s="236">
        <x:f t="shared" si="23"/>
        <x:v>0</x:v>
      </x:c>
      <x:c r="Q506" s="236">
        <x:f t="shared" si="23"/>
        <x:v>0</x:v>
      </x:c>
      <x:c r="R506" s="236">
        <x:f t="shared" si="23"/>
        <x:v>0</x:v>
      </x:c>
      <x:c r="S506" s="236">
        <x:f t="shared" si="23"/>
        <x:v>0</x:v>
      </x:c>
      <x:c r="T506" s="236">
        <x:f t="shared" si="23"/>
        <x:v>0</x:v>
      </x:c>
      <x:c r="U506" s="236">
        <x:f t="shared" si="23"/>
        <x:v>0</x:v>
      </x:c>
      <x:c r="V506" s="236">
        <x:f t="shared" si="23"/>
        <x:v>0</x:v>
      </x:c>
      <x:c r="W506" s="236">
        <x:f t="shared" si="23"/>
        <x:v>0</x:v>
      </x:c>
      <x:c r="X506" s="236">
        <x:f t="shared" si="23"/>
        <x:v>0</x:v>
      </x:c>
      <x:c r="Y506" s="236">
        <x:f t="shared" si="23"/>
        <x:v>0</x:v>
      </x:c>
      <x:c r="Z506" s="236">
        <x:f t="shared" si="23"/>
        <x:v>0</x:v>
      </x:c>
      <x:c r="AA506" s="236">
        <x:f t="shared" si="23"/>
        <x:v>0</x:v>
      </x:c>
      <x:c r="AB506" s="236">
        <x:f t="shared" si="23"/>
        <x:v>0</x:v>
      </x:c>
      <x:c r="AC506" s="236">
        <x:f t="shared" si="23"/>
        <x:v>0</x:v>
      </x:c>
      <x:c r="AD506" s="236">
        <x:f t="shared" si="23"/>
        <x:v>0</x:v>
      </x:c>
      <x:c r="AE506" s="236">
        <x:f t="shared" si="23"/>
        <x:v>0</x:v>
      </x:c>
      <x:c r="AF506" s="236">
        <x:f t="shared" si="23"/>
        <x:v>0</x:v>
      </x:c>
      <x:c r="AG506" s="236">
        <x:f t="shared" si="23"/>
        <x:v>0</x:v>
      </x:c>
      <x:c r="AH506" s="236">
        <x:f t="shared" si="23"/>
        <x:v>0</x:v>
      </x:c>
      <x:c r="AI506" s="236">
        <x:f t="shared" si="23"/>
        <x:v>0</x:v>
      </x:c>
      <x:c r="AJ506" s="236">
        <x:f t="shared" si="23"/>
        <x:v>0</x:v>
      </x:c>
      <x:c r="AK506" s="236">
        <x:f t="shared" si="23"/>
        <x:v>0</x:v>
      </x:c>
      <x:c r="AL506" s="236">
        <x:f t="shared" si="23"/>
        <x:v>0</x:v>
      </x:c>
      <x:c r="AM506" s="236">
        <x:f t="shared" si="23"/>
        <x:v>0</x:v>
      </x:c>
      <x:c r="AN506" s="236">
        <x:f t="shared" si="23"/>
        <x:v>0</x:v>
      </x:c>
      <x:c r="AO506" s="236">
        <x:f t="shared" si="23"/>
        <x:v>0</x:v>
      </x:c>
    </x:row>
    <x:row r="507" spans="1:41" ht="12.75" customHeight="1" x14ac:dyDescent="0.2">
      <x:c r="C507" s="778"/>
      <x:c r="D507" s="776"/>
      <x:c r="E507" s="235" t="s">
        <x:v>73</x:v>
      </x:c>
      <x:c r="F507" s="236">
        <x:f>F410</x:f>
        <x:v>0</x:v>
      </x:c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41" ht="12.75" customHeight="1" x14ac:dyDescent="0.2">
      <x:c r="A508" s="89"/>
      <x:c r="C508" s="97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  <x:c r="S508" s="90"/>
    </x:row>
    <x:row r="509" spans="1:41" ht="12.75" customHeight="1" x14ac:dyDescent="0.2">
      <x:c r="C509" s="777" t="s">
        <x:v>161</x:v>
      </x:c>
      <x:c r="D509" s="776" t="s">
        <x:v>132</x:v>
      </x:c>
      <x:c r="E509" s="231" t="s">
        <x:v>70</x:v>
      </x:c>
      <x:c r="F509" s="232">
        <x:v>0</x:v>
      </x:c>
      <x:c r="G509" s="232">
        <x:v>0</x:v>
      </x:c>
      <x:c r="H509" s="232">
        <x:v>0</x:v>
      </x:c>
      <x:c r="I509" s="232">
        <x:v>0</x:v>
      </x:c>
      <x:c r="J509" s="232">
        <x:v>0</x:v>
      </x:c>
      <x:c r="K509" s="232">
        <x:v>0</x:v>
      </x:c>
      <x:c r="L509" s="232">
        <x:v>0</x:v>
      </x:c>
      <x:c r="M509" s="232">
        <x:v>0</x:v>
      </x:c>
      <x:c r="N509" s="232">
        <x:v>0</x:v>
      </x:c>
      <x:c r="O509" s="232">
        <x:v>0</x:v>
      </x:c>
      <x:c r="P509" s="232">
        <x:v>0</x:v>
      </x:c>
      <x:c r="Q509" s="232">
        <x:v>0</x:v>
      </x:c>
      <x:c r="R509" s="232">
        <x:v>0</x:v>
      </x:c>
      <x:c r="S509" s="232">
        <x:v>0</x:v>
      </x:c>
      <x:c r="T509" s="232">
        <x:v>0</x:v>
      </x:c>
      <x:c r="U509" s="232"/>
      <x:c r="V509" s="232"/>
      <x:c r="W509" s="232"/>
      <x:c r="X509" s="232">
        <x:v>0</x:v>
      </x:c>
      <x:c r="Y509" s="232">
        <x:v>0</x:v>
      </x:c>
      <x:c r="Z509" s="232">
        <x:v>0</x:v>
      </x:c>
      <x:c r="AA509" s="232">
        <x:v>0</x:v>
      </x:c>
      <x:c r="AB509" s="232">
        <x:v>0</x:v>
      </x:c>
      <x:c r="AC509" s="232">
        <x:v>0</x:v>
      </x:c>
      <x:c r="AD509" s="232">
        <x:v>0</x:v>
      </x:c>
      <x:c r="AE509" s="232">
        <x:v>0</x:v>
      </x:c>
      <x:c r="AF509" s="232">
        <x:v>0</x:v>
      </x:c>
      <x:c r="AG509" s="232">
        <x:v>0</x:v>
      </x:c>
      <x:c r="AH509" s="232">
        <x:v>0</x:v>
      </x:c>
      <x:c r="AI509" s="232">
        <x:v>0</x:v>
      </x:c>
      <x:c r="AJ509" s="232">
        <x:v>0</x:v>
      </x:c>
      <x:c r="AK509" s="232">
        <x:v>0</x:v>
      </x:c>
      <x:c r="AL509" s="232">
        <x:v>0</x:v>
      </x:c>
      <x:c r="AM509" s="232">
        <x:v>0</x:v>
      </x:c>
      <x:c r="AN509" s="232">
        <x:v>0</x:v>
      </x:c>
      <x:c r="AO509" s="232">
        <x:v>0</x:v>
      </x:c>
    </x:row>
    <x:row r="510" spans="1:41" ht="12.75" customHeight="1" x14ac:dyDescent="0.2">
      <x:c r="C510" s="777"/>
      <x:c r="D510" s="776"/>
      <x:c r="E510" s="231" t="s">
        <x:v>73</x:v>
      </x:c>
      <x:c r="F510" s="232">
        <x:v>0</x:v>
      </x:c>
      <x:c r="G510" s="90"/>
      <x:c r="H510" s="90"/>
      <x:c r="I510" s="90"/>
      <x:c r="J510" s="90"/>
      <x:c r="K510" s="90"/>
      <x:c r="L510" s="90"/>
      <x:c r="M510" s="90"/>
      <x:c r="N510" s="90"/>
      <x:c r="O510" s="90"/>
      <x:c r="P510" s="90"/>
      <x:c r="Q510" s="90"/>
      <x:c r="R510" s="90"/>
      <x:c r="S510" s="90"/>
    </x:row>
    <x:row r="511" spans="1:41" ht="12.75" customHeight="1" x14ac:dyDescent="0.2">
      <x:c r="C511" s="777"/>
      <x:c r="D511" s="776" t="s">
        <x:v>133</x:v>
      </x:c>
      <x:c r="E511" s="148" t="s">
        <x:v>70</x:v>
      </x:c>
      <x:c r="F511" s="149">
        <x:v>0</x:v>
      </x:c>
      <x:c r="G511" s="149">
        <x:v>0</x:v>
      </x:c>
      <x:c r="H511" s="149">
        <x:v>0</x:v>
      </x:c>
      <x:c r="I511" s="149">
        <x:v>0</x:v>
      </x:c>
      <x:c r="J511" s="149">
        <x:v>0</x:v>
      </x:c>
      <x:c r="K511" s="149">
        <x:v>0</x:v>
      </x:c>
      <x:c r="L511" s="149">
        <x:v>0</x:v>
      </x:c>
      <x:c r="M511" s="149">
        <x:v>0</x:v>
      </x:c>
      <x:c r="N511" s="149">
        <x:v>0</x:v>
      </x:c>
      <x:c r="O511" s="149">
        <x:v>0</x:v>
      </x:c>
      <x:c r="P511" s="149">
        <x:v>0</x:v>
      </x:c>
      <x:c r="Q511" s="149">
        <x:v>0</x:v>
      </x:c>
      <x:c r="R511" s="149">
        <x:v>0</x:v>
      </x:c>
      <x:c r="S511" s="149">
        <x:v>0</x:v>
      </x:c>
      <x:c r="T511" s="149">
        <x:v>0</x:v>
      </x:c>
      <x:c r="U511" s="149"/>
      <x:c r="V511" s="149"/>
      <x:c r="W511" s="149"/>
      <x:c r="X511" s="149">
        <x:v>0</x:v>
      </x:c>
      <x:c r="Y511" s="149">
        <x:v>0</x:v>
      </x:c>
      <x:c r="Z511" s="149">
        <x:v>0</x:v>
      </x:c>
      <x:c r="AA511" s="149">
        <x:v>0</x:v>
      </x:c>
      <x:c r="AB511" s="149">
        <x:v>0</x:v>
      </x:c>
      <x:c r="AC511" s="149">
        <x:v>0</x:v>
      </x:c>
      <x:c r="AD511" s="149">
        <x:v>0</x:v>
      </x:c>
      <x:c r="AE511" s="149">
        <x:v>0</x:v>
      </x:c>
      <x:c r="AF511" s="149">
        <x:v>0</x:v>
      </x:c>
      <x:c r="AG511" s="149">
        <x:v>0</x:v>
      </x:c>
      <x:c r="AH511" s="149">
        <x:v>0</x:v>
      </x:c>
      <x:c r="AI511" s="149">
        <x:v>0</x:v>
      </x:c>
      <x:c r="AJ511" s="149">
        <x:v>0</x:v>
      </x:c>
      <x:c r="AK511" s="149">
        <x:v>0</x:v>
      </x:c>
      <x:c r="AL511" s="149">
        <x:v>0</x:v>
      </x:c>
      <x:c r="AM511" s="149">
        <x:v>0</x:v>
      </x:c>
      <x:c r="AN511" s="149">
        <x:v>0</x:v>
      </x:c>
      <x:c r="AO511" s="149">
        <x:v>0</x:v>
      </x:c>
    </x:row>
    <x:row r="512" spans="1:41" ht="12.75" customHeight="1" x14ac:dyDescent="0.2">
      <x:c r="C512" s="777"/>
      <x:c r="D512" s="776"/>
      <x:c r="E512" s="148" t="s">
        <x:v>73</x:v>
      </x:c>
      <x:c r="F512" s="149">
        <x:v>0</x:v>
      </x:c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26" ht="12.75" customHeight="1" x14ac:dyDescent="0.2">
      <x:c r="C513" s="388"/>
      <x:c r="D513" s="220"/>
      <x:c r="E513" s="89"/>
      <x:c r="F513" s="90"/>
      <x:c r="G513" s="90"/>
      <x:c r="H513" s="90"/>
      <x:c r="I513" s="90"/>
      <x:c r="J513" s="90"/>
      <x:c r="K513" s="90"/>
      <x:c r="L513" s="90"/>
      <x:c r="M513" s="90"/>
      <x:c r="N513" s="90"/>
      <x:c r="O513" s="90"/>
      <x:c r="P513" s="90"/>
      <x:c r="Q513" s="90"/>
      <x:c r="R513" s="90"/>
    </x:row>
    <x:row r="514" spans="1:26" ht="12.75" customHeight="1" x14ac:dyDescent="0.2">
      <x:c r="D514" s="458" t="s">
        <x:v>186</x:v>
      </x:c>
      <x:c r="E514" s="459" t="s">
        <x:v>70</x:v>
      </x:c>
      <x:c r="F514" s="460">
        <x:f>F368</x:f>
        <x:v>0</x:v>
      </x:c>
      <x:c r="G514" s="460">
        <x:f t="shared" ref="G514:Z514" si="24">G368</x:f>
        <x:v>0</x:v>
      </x:c>
      <x:c r="H514" s="460">
        <x:f t="shared" si="24"/>
        <x:v>0</x:v>
      </x:c>
      <x:c r="I514" s="460">
        <x:f t="shared" si="24"/>
        <x:v>0</x:v>
      </x:c>
      <x:c r="J514" s="460">
        <x:f t="shared" si="24"/>
        <x:v>0</x:v>
      </x:c>
      <x:c r="K514" s="460">
        <x:f t="shared" si="24"/>
        <x:v>0</x:v>
      </x:c>
      <x:c r="L514" s="460">
        <x:f t="shared" si="24"/>
        <x:v>0</x:v>
      </x:c>
      <x:c r="M514" s="460">
        <x:f t="shared" si="24"/>
        <x:v>0</x:v>
      </x:c>
      <x:c r="N514" s="460">
        <x:f t="shared" si="24"/>
        <x:v>0</x:v>
      </x:c>
      <x:c r="O514" s="460">
        <x:f t="shared" si="24"/>
        <x:v>0</x:v>
      </x:c>
      <x:c r="P514" s="460">
        <x:f t="shared" si="24"/>
        <x:v>0</x:v>
      </x:c>
      <x:c r="Q514" s="460">
        <x:f t="shared" si="24"/>
        <x:v>0</x:v>
      </x:c>
      <x:c r="R514" s="460">
        <x:f t="shared" si="24"/>
        <x:v>0</x:v>
      </x:c>
      <x:c r="S514" s="460">
        <x:f t="shared" si="24"/>
        <x:v>0</x:v>
      </x:c>
      <x:c r="T514" s="460">
        <x:f t="shared" si="24"/>
        <x:v>0</x:v>
      </x:c>
      <x:c r="U514" s="460">
        <x:f t="shared" si="24"/>
        <x:v>0</x:v>
      </x:c>
      <x:c r="V514" s="460">
        <x:f t="shared" si="24"/>
        <x:v>0</x:v>
      </x:c>
      <x:c r="W514" s="460">
        <x:f t="shared" si="24"/>
        <x:v>0</x:v>
      </x:c>
      <x:c r="X514" s="460">
        <x:f t="shared" si="24"/>
        <x:v>0</x:v>
      </x:c>
      <x:c r="Y514" s="460">
        <x:f t="shared" si="24"/>
        <x:v>0</x:v>
      </x:c>
      <x:c r="Z514" s="460">
        <x:f t="shared" si="24"/>
        <x:v>0</x:v>
      </x:c>
    </x:row>
    <x:row r="515" spans="1:26" ht="12.75" customHeight="1" x14ac:dyDescent="0.2">
      <x:c r="C515" s="388"/>
      <x:c r="D515" s="220"/>
      <x:c r="E515" s="89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26" s="238" customFormat="1" ht="12.75" customHeight="1" x14ac:dyDescent="0.2">
      <x:c r="D516" s="239"/>
      <x:c r="E516" s="240"/>
      <x:c r="F516" s="240"/>
      <x:c r="G516" s="240"/>
      <x:c r="H516" s="240"/>
      <x:c r="I516" s="240"/>
      <x:c r="J516" s="240"/>
      <x:c r="K516" s="240"/>
      <x:c r="L516" s="240"/>
      <x:c r="M516" s="240"/>
      <x:c r="N516" s="240"/>
      <x:c r="O516" s="240"/>
      <x:c r="P516" s="240"/>
      <x:c r="Q516" s="240"/>
    </x:row>
    <x:row r="517" spans="1:26" ht="12.75" customHeight="1" x14ac:dyDescent="0.2">
      <x:c r="A517" s="89"/>
      <x:c r="B517" s="97" t="s">
        <x:v>88</x:v>
      </x:c>
      <x:c r="E517" s="90"/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</x:row>
    <x:row r="518" spans="1:26" ht="12.75" customHeight="1" x14ac:dyDescent="0.2">
      <x:c r="A518" s="142"/>
      <x:c r="F518" s="89" t="s">
        <x:v>70</x:v>
      </x:c>
      <x:c r="G518" s="89" t="s">
        <x:v>64</x:v>
      </x:c>
      <x:c r="H518" s="89" t="s">
        <x:v>65</x:v>
      </x:c>
      <x:c r="I518" s="218" t="s">
        <x:v>164</x:v>
      </x:c>
      <x:c r="J518" s="89" t="s">
        <x:v>69</x:v>
      </x:c>
      <x:c r="K518" s="89" t="s">
        <x:v>68</x:v>
      </x:c>
      <x:c r="L518" s="89" t="s">
        <x:v>71</x:v>
      </x:c>
      <x:c r="M518" s="89" t="s">
        <x:v>66</x:v>
      </x:c>
      <x:c r="N518" s="89" t="s">
        <x:v>63</x:v>
      </x:c>
      <x:c r="O518" s="89" t="s">
        <x:v>61</x:v>
      </x:c>
      <x:c r="P518" s="89" t="s">
        <x:v>62</x:v>
      </x:c>
      <x:c r="Q518" s="89" t="s">
        <x:v>67</x:v>
      </x:c>
      <x:c r="R518" s="89" t="s">
        <x:v>77</x:v>
      </x:c>
      <x:c r="S518" s="89" t="s">
        <x:v>80</x:v>
      </x:c>
      <x:c r="T518" t="s">
        <x:v>135</x:v>
      </x:c>
      <x:c r="U518" t="s">
        <x:v>173</x:v>
      </x:c>
      <x:c r="V518" t="s">
        <x:v>222</x:v>
      </x:c>
      <x:c r="W518" t="s">
        <x:v>173</x:v>
      </x:c>
      <x:c r="X518" t="s">
        <x:v>173</x:v>
      </x:c>
      <x:c r="Y518" s="89" t="s">
        <x:v>135</x:v>
      </x:c>
      <x:c r="Z518" t="s">
        <x:v>167</x:v>
      </x:c>
    </x:row>
    <x:row r="519" spans="1:26" ht="12.75" customHeight="1" x14ac:dyDescent="0.2">
      <x:c r="E519" t="s">
        <x:v>72</x:v>
      </x:c>
      <x:c r="F519" s="384" t="n">
        <x:v>-4044.86</x:v>
      </x:c>
      <x:c r="G519" s="89" t="n">
        <x:v>-329.07</x:v>
      </x:c>
      <x:c r="H519" s="89" t="n">
        <x:v>-139.8</x:v>
      </x:c>
      <x:c r="I519" s="664" t="n">
        <x:v>-61.05</x:v>
      </x:c>
      <x:c r="J519" s="89" t="n">
        <x:v>-769.6</x:v>
      </x:c>
      <x:c r="K519" s="89" t="n">
        <x:v>-31.35</x:v>
      </x:c>
      <x:c r="L519" s="89" t="n">
        <x:v>0</x:v>
      </x:c>
      <x:c r="M519" s="89" t="n">
        <x:v>-274.92</x:v>
      </x:c>
      <x:c r="N519" s="89" t="n">
        <x:v>-349.59</x:v>
      </x:c>
      <x:c r="O519" s="89" t="n">
        <x:v>-1283.64</x:v>
      </x:c>
      <x:c r="P519" s="89" t="n">
        <x:v>-754.69</x:v>
      </x:c>
      <x:c r="Q519" s="89" t="n">
        <x:v>-51.15</x:v>
      </x:c>
      <x:c r="R519" s="89" t="n">
        <x:v>0</x:v>
      </x:c>
      <x:c r="S519" s="89" t="n">
        <x:v>0</x:v>
      </x:c>
      <x:c r="T519" s="89" t="n">
        <x:v>0</x:v>
      </x:c>
      <x:c r="U519" s="89">
        <x:v>0</x:v>
      </x:c>
      <x:c r="V519" s="89">
        <x:v>0</x:v>
      </x:c>
      <x:c r="W519" s="89">
        <x:v>0</x:v>
      </x:c>
      <x:c r="X519">
        <x:v>0</x:v>
      </x:c>
      <x:c r="Y519" s="89">
        <x:v>0</x:v>
      </x:c>
      <x:c r="Z519" s="89">
        <x:v>0</x:v>
      </x:c>
    </x:row>
    <x:row r="520" spans="1:26" ht="12.75" customHeight="1" x14ac:dyDescent="0.2">
      <x:c r="D520" t="s">
        <x:v>156</x:v>
      </x:c>
      <x:c r="E520" t="s">
        <x:v>70</x:v>
      </x:c>
      <x:c r="F520" s="384" t="n">
        <x:v>-4044.86</x:v>
      </x:c>
      <x:c r="G520" s="89" t="n">
        <x:v>-329.07</x:v>
      </x:c>
      <x:c r="H520" s="89" t="n">
        <x:v>-139.8</x:v>
      </x:c>
      <x:c r="I520" s="664" t="n">
        <x:v>-61.05</x:v>
      </x:c>
      <x:c r="J520" s="89" t="n">
        <x:v>-769.6</x:v>
      </x:c>
      <x:c r="K520" s="89" t="n">
        <x:v>-31.35</x:v>
      </x:c>
      <x:c r="L520" s="89" t="n">
        <x:v>0</x:v>
      </x:c>
      <x:c r="M520" s="89" t="n">
        <x:v>-274.92</x:v>
      </x:c>
      <x:c r="N520" s="89" t="n">
        <x:v>-349.59</x:v>
      </x:c>
      <x:c r="O520" s="89" t="n">
        <x:v>-1283.64</x:v>
      </x:c>
      <x:c r="P520" s="89" t="n">
        <x:v>-754.69</x:v>
      </x:c>
      <x:c r="Q520" s="89" t="n">
        <x:v>-51.15</x:v>
      </x:c>
      <x:c r="R520" s="89" t="n">
        <x:v>0</x:v>
      </x:c>
      <x:c r="S520" s="89" t="n">
        <x:v>0</x:v>
      </x:c>
      <x:c r="T520" s="89" t="n">
        <x:v>0</x:v>
      </x:c>
      <x:c r="U520" s="89">
        <x:v>0</x:v>
      </x:c>
      <x:c r="V520" s="89">
        <x:v>0</x:v>
      </x:c>
      <x:c r="W520" s="89">
        <x:v>0</x:v>
      </x:c>
      <x:c r="X520">
        <x:v>0</x:v>
      </x:c>
      <x:c r="Y520" s="89">
        <x:v>0</x:v>
      </x:c>
      <x:c r="Z520" s="89">
        <x:v>0</x:v>
      </x:c>
    </x:row>
    <x:row r="521" spans="1:26" s="656" customFormat="1" ht="12.75" customHeight="1" x14ac:dyDescent="0.2">
      <x:c r="C521" s="656" t="s">
        <x:v>155</x:v>
      </x:c>
      <x:c r="D521" s="656" t="s">
        <x:v>70</x:v>
      </x:c>
      <x:c r="F521" s="736" t="n">
        <x:v>-4044.86</x:v>
      </x:c>
      <x:c r="G521" s="657" t="n">
        <x:v>-329.07</x:v>
      </x:c>
      <x:c r="H521" s="657" t="n">
        <x:v>-139.8</x:v>
      </x:c>
      <x:c r="I521" s="737" t="n">
        <x:v>-61.05</x:v>
      </x:c>
      <x:c r="J521" s="657" t="n">
        <x:v>-769.6</x:v>
      </x:c>
      <x:c r="K521" s="657" t="n">
        <x:v>-31.35</x:v>
      </x:c>
      <x:c r="L521" s="657" t="n">
        <x:v>0</x:v>
      </x:c>
      <x:c r="M521" s="657" t="n">
        <x:v>-274.92</x:v>
      </x:c>
      <x:c r="N521" s="657" t="n">
        <x:v>-349.59</x:v>
      </x:c>
      <x:c r="O521" s="657" t="n">
        <x:v>-1283.64</x:v>
      </x:c>
      <x:c r="P521" s="657" t="n">
        <x:v>-754.69</x:v>
      </x:c>
      <x:c r="Q521" s="657" t="n">
        <x:v>-51.15</x:v>
      </x:c>
      <x:c r="R521" s="657" t="n">
        <x:v>0</x:v>
      </x:c>
      <x:c r="S521" s="657" t="n">
        <x:v>0</x:v>
      </x:c>
      <x:c r="T521" s="657" t="n">
        <x:v>0</x:v>
      </x:c>
      <x:c r="U521" s="657">
        <x:v>0</x:v>
      </x:c>
      <x:c r="V521" s="657">
        <x:v>0</x:v>
      </x:c>
      <x:c r="W521" s="657">
        <x:v>0</x:v>
      </x:c>
      <x:c r="X521" s="656">
        <x:v>0</x:v>
      </x:c>
      <x:c r="Y521" s="657">
        <x:v>0</x:v>
      </x:c>
      <x:c r="Z521" s="657">
        <x:v>0</x:v>
      </x:c>
    </x:row>
    <x:row r="522" spans="1:26" x14ac:dyDescent="0.2">
      <x:c r="E522" t="s">
        <x:v>72</x:v>
      </x:c>
      <x:c r="F522" s="371">
        <x:v>0</x:v>
      </x:c>
      <x:c r="G522" s="90">
        <x:v>0</x:v>
      </x:c>
      <x:c r="H522" s="90">
        <x:v>0</x:v>
      </x:c>
      <x:c r="I522" s="90">
        <x:v>0</x:v>
      </x:c>
      <x:c r="J522" s="90">
        <x:v>0</x:v>
      </x:c>
      <x:c r="K522" s="90">
        <x:v>0</x:v>
      </x:c>
      <x:c r="L522" s="90">
        <x:v>0</x:v>
      </x:c>
      <x:c r="M522" s="90">
        <x:v>0</x:v>
      </x:c>
      <x:c r="N522" s="90">
        <x:v>0</x:v>
      </x:c>
      <x:c r="O522" s="90">
        <x:v>0</x:v>
      </x:c>
      <x:c r="P522" s="90">
        <x:v>0</x:v>
      </x:c>
      <x:c r="Q522" s="90">
        <x:v>0</x:v>
      </x:c>
      <x:c r="R522" s="90">
        <x:v>0</x:v>
      </x:c>
      <x:c r="S522" s="90">
        <x:v>0</x:v>
      </x:c>
      <x:c r="T522" s="90">
        <x:v>0</x:v>
      </x:c>
      <x:c r="U522" s="90">
        <x:v>0</x:v>
      </x:c>
      <x:c r="V522" s="90">
        <x:v>0</x:v>
      </x:c>
      <x:c r="W522" s="90">
        <x:v>0</x:v>
      </x:c>
      <x:c r="X522">
        <x:v>0</x:v>
      </x:c>
      <x:c r="Y522">
        <x:v>0</x:v>
      </x:c>
      <x:c r="Z522">
        <x:v>0</x:v>
      </x:c>
    </x:row>
    <x:row r="523" spans="1:26" x14ac:dyDescent="0.2">
      <x:c r="D523" t="s">
        <x:v>115</x:v>
      </x:c>
      <x:c r="E523" t="s">
        <x:v>70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1:26" x14ac:dyDescent="0.2">
      <x:c r="E524" t="s">
        <x:v>72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1:26" x14ac:dyDescent="0.2">
      <x:c r="D525" t="s">
        <x:v>116</x:v>
      </x:c>
      <x:c r="E525" t="s">
        <x:v>70</x:v>
      </x:c>
      <x:c r="F525" s="371">
        <x:v>0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1:26" x14ac:dyDescent="0.2">
      <x:c r="E526" t="s">
        <x:v>72</x:v>
      </x:c>
      <x:c r="F526" s="371">
        <x:v>0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1:26" x14ac:dyDescent="0.2">
      <x:c r="D527" s="772">
        <x:v>3</x:v>
      </x:c>
      <x:c r="E527" t="s">
        <x:v>70</x:v>
      </x:c>
      <x:c r="F527" s="371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 s="90">
        <x:v>0</x:v>
      </x:c>
      <x:c r="V527" s="90">
        <x:v>0</x:v>
      </x:c>
      <x:c r="W527" s="90">
        <x:v>0</x:v>
      </x:c>
      <x:c r="X527">
        <x:v>0</x:v>
      </x:c>
      <x:c r="Y527">
        <x:v>0</x:v>
      </x:c>
      <x:c r="Z527">
        <x:v>0</x:v>
      </x:c>
    </x:row>
    <x:row r="528" spans="1:26" x14ac:dyDescent="0.2">
      <x:c r="D528" s="772"/>
      <x:c r="E528" t="s">
        <x:v>72</x:v>
      </x:c>
      <x:c r="F528" s="371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 s="90">
        <x:v>0</x:v>
      </x:c>
      <x:c r="V528" s="90">
        <x:v>0</x:v>
      </x:c>
      <x:c r="W528" s="90">
        <x:v>0</x:v>
      </x:c>
      <x:c r="X528">
        <x:v>0</x:v>
      </x:c>
      <x:c r="Y528">
        <x:v>0</x:v>
      </x:c>
      <x:c r="Z528">
        <x:v>0</x:v>
      </x:c>
    </x:row>
    <x:row r="529" spans="2:26" x14ac:dyDescent="0.2">
      <x:c r="D529" s="772">
        <x:v>4</x:v>
      </x:c>
      <x:c r="E529" t="s">
        <x:v>70</x:v>
      </x:c>
      <x:c r="F529" s="371">
        <x:v>0</x:v>
      </x:c>
      <x:c r="G529" s="90">
        <x:v>0</x:v>
      </x:c>
      <x:c r="H529" s="90">
        <x:v>0</x:v>
      </x:c>
      <x:c r="I529" s="90">
        <x:v>0</x:v>
      </x:c>
      <x:c r="J529" s="90">
        <x:v>0</x:v>
      </x:c>
      <x:c r="K529" s="90">
        <x:v>0</x:v>
      </x:c>
      <x:c r="L529" s="90">
        <x:v>0</x:v>
      </x:c>
      <x:c r="M529" s="90">
        <x:v>0</x:v>
      </x:c>
      <x:c r="N529" s="90">
        <x:v>0</x:v>
      </x:c>
      <x:c r="O529" s="90">
        <x:v>0</x:v>
      </x:c>
      <x:c r="P529" s="90">
        <x:v>0</x:v>
      </x:c>
      <x:c r="Q529" s="90">
        <x:v>0</x:v>
      </x:c>
      <x:c r="R529" s="90">
        <x:v>0</x:v>
      </x:c>
      <x:c r="S529" s="90">
        <x:v>0</x:v>
      </x:c>
      <x:c r="T529" s="90">
        <x:v>0</x:v>
      </x:c>
      <x:c r="U529" s="90">
        <x:v>0</x:v>
      </x:c>
      <x:c r="V529" s="90">
        <x:v>0</x:v>
      </x:c>
      <x:c r="W529" s="90">
        <x:v>0</x:v>
      </x:c>
      <x:c r="X529">
        <x:v>0</x:v>
      </x:c>
      <x:c r="Y529">
        <x:v>0</x:v>
      </x:c>
      <x:c r="Z529">
        <x:v>0</x:v>
      </x:c>
    </x:row>
    <x:row r="530" spans="2:26" x14ac:dyDescent="0.2">
      <x:c r="E530" t="s">
        <x:v>72</x:v>
      </x:c>
      <x:c r="F530" s="371">
        <x:v>0</x:v>
      </x:c>
      <x:c r="G530" s="90">
        <x:v>0</x:v>
      </x:c>
      <x:c r="H530" s="90">
        <x:v>0</x:v>
      </x:c>
      <x:c r="I530" s="90">
        <x:v>0</x:v>
      </x:c>
      <x:c r="J530" s="90">
        <x:v>0</x:v>
      </x:c>
      <x:c r="K530" s="90">
        <x:v>0</x:v>
      </x:c>
      <x:c r="L530" s="90">
        <x:v>0</x:v>
      </x:c>
      <x:c r="M530" s="90">
        <x:v>0</x:v>
      </x:c>
      <x:c r="N530" s="90">
        <x:v>0</x:v>
      </x:c>
      <x:c r="O530" s="90">
        <x:v>0</x:v>
      </x:c>
      <x:c r="P530" s="90">
        <x:v>0</x:v>
      </x:c>
      <x:c r="Q530" s="90">
        <x:v>0</x:v>
      </x:c>
      <x:c r="R530" s="90">
        <x:v>0</x:v>
      </x:c>
      <x:c r="S530" s="90">
        <x:v>0</x:v>
      </x:c>
      <x:c r="T530" s="90">
        <x:v>0</x:v>
      </x:c>
      <x:c r="U530" s="90">
        <x:v>0</x:v>
      </x:c>
      <x:c r="V530" s="90">
        <x:v>0</x:v>
      </x:c>
      <x:c r="W530" s="90">
        <x:v>0</x:v>
      </x:c>
      <x:c r="X530">
        <x:v>0</x:v>
      </x:c>
      <x:c r="Y530">
        <x:v>0</x:v>
      </x:c>
      <x:c r="Z530">
        <x:v>0</x:v>
      </x:c>
    </x:row>
    <x:row r="531" spans="2:26" x14ac:dyDescent="0.2">
      <x:c r="D531" t="s">
        <x:v>118</x:v>
      </x:c>
      <x:c r="E531" t="s">
        <x:v>70</x:v>
      </x:c>
      <x:c r="F531" s="371">
        <x:v>0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 s="90">
        <x:v>0</x:v>
      </x:c>
      <x:c r="U531" s="90">
        <x:v>0</x:v>
      </x:c>
      <x:c r="V531" s="90">
        <x:v>0</x:v>
      </x:c>
      <x:c r="W531" s="90">
        <x:v>0</x:v>
      </x:c>
      <x:c r="X531">
        <x:v>0</x:v>
      </x:c>
      <x:c r="Y531">
        <x:v>0</x:v>
      </x:c>
      <x:c r="Z531">
        <x:v>0</x:v>
      </x:c>
    </x:row>
    <x:row r="532" spans="2:26" x14ac:dyDescent="0.2">
      <x:c r="E532" t="s">
        <x:v>72</x:v>
      </x:c>
      <x:c r="F532" s="371">
        <x:v>0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 s="90">
        <x:v>0</x:v>
      </x:c>
      <x:c r="U532" s="90">
        <x:v>0</x:v>
      </x:c>
      <x:c r="V532" s="90">
        <x:v>0</x:v>
      </x:c>
      <x:c r="W532" s="90">
        <x:v>0</x:v>
      </x:c>
      <x:c r="X532">
        <x:v>0</x:v>
      </x:c>
      <x:c r="Y532">
        <x:v>0</x:v>
      </x:c>
      <x:c r="Z532">
        <x:v>0</x:v>
      </x:c>
    </x:row>
    <x:row r="533" spans="2:26" x14ac:dyDescent="0.2">
      <x:c r="D533" s="772">
        <x:v>6</x:v>
      </x:c>
      <x:c r="E533" t="s">
        <x:v>70</x:v>
      </x:c>
      <x:c r="F533" s="371">
        <x:v>0</x:v>
      </x:c>
      <x:c r="G533" s="90">
        <x:v>0</x:v>
      </x:c>
      <x:c r="H533" s="90">
        <x:v>0</x:v>
      </x:c>
      <x:c r="I533" s="90">
        <x:v>0</x:v>
      </x:c>
      <x:c r="J533" s="90">
        <x:v>0</x:v>
      </x:c>
      <x:c r="K533" s="90">
        <x:v>0</x:v>
      </x:c>
      <x:c r="L533" s="90">
        <x:v>0</x:v>
      </x:c>
      <x:c r="M533" s="90">
        <x:v>0</x:v>
      </x:c>
      <x:c r="N533" s="90">
        <x:v>0</x:v>
      </x:c>
      <x:c r="O533" s="90">
        <x:v>0</x:v>
      </x:c>
      <x:c r="P533" s="90">
        <x:v>0</x:v>
      </x:c>
      <x:c r="Q533" s="90">
        <x:v>0</x:v>
      </x:c>
      <x:c r="R533" s="90">
        <x:v>0</x:v>
      </x:c>
      <x:c r="S533" s="90">
        <x:v>0</x:v>
      </x:c>
      <x:c r="T533" s="90">
        <x:v>0</x:v>
      </x:c>
      <x:c r="U533" s="90">
        <x:v>0</x:v>
      </x:c>
      <x:c r="V533" s="90">
        <x:v>0</x:v>
      </x:c>
      <x:c r="W533" s="90">
        <x:v>0</x:v>
      </x:c>
      <x:c r="X533">
        <x:v>0</x:v>
      </x:c>
      <x:c r="Y533">
        <x:v>0</x:v>
      </x:c>
      <x:c r="Z533">
        <x:v>0</x:v>
      </x:c>
    </x:row>
    <x:row r="534" spans="2:26" x14ac:dyDescent="0.2">
      <x:c r="C534" s="89"/>
      <x:c r="D534" s="89"/>
      <x:c r="E534" t="s">
        <x:v>72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 s="90">
        <x:v>0</x:v>
      </x:c>
      <x:c r="U534" s="90">
        <x:v>0</x:v>
      </x:c>
      <x:c r="V534" s="90">
        <x:v>0</x:v>
      </x:c>
      <x:c r="W534" s="90">
        <x:v>0</x:v>
      </x:c>
      <x:c r="X534">
        <x:v>0</x:v>
      </x:c>
      <x:c r="Y534">
        <x:v>0</x:v>
      </x:c>
      <x:c r="Z534">
        <x:v>0</x:v>
      </x:c>
    </x:row>
    <x:row r="535" spans="2:26" x14ac:dyDescent="0.2">
      <x:c r="D535" s="772">
        <x:v>9</x:v>
      </x:c>
      <x:c r="E535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 s="90">
        <x:v>0</x:v>
      </x:c>
      <x:c r="U535" s="90">
        <x:v>0</x:v>
      </x:c>
      <x:c r="V535" s="90">
        <x:v>0</x:v>
      </x:c>
      <x:c r="W535" s="90">
        <x:v>0</x:v>
      </x:c>
      <x:c r="X535">
        <x:v>0</x:v>
      </x:c>
      <x:c r="Y535">
        <x:v>0</x:v>
      </x:c>
      <x:c r="Z535">
        <x:v>0</x:v>
      </x:c>
    </x:row>
    <x:row r="536" spans="2:26" s="224" customFormat="1" x14ac:dyDescent="0.2">
      <x:c r="C536" s="224" t="s">
        <x:v>120</x:v>
      </x:c>
      <x:c r="D536" s="224" t="s">
        <x:v>70</x:v>
      </x:c>
      <x:c r="F536" s="224">
        <x:v>0</x:v>
      </x:c>
      <x:c r="G536" s="224">
        <x:v>0</x:v>
      </x:c>
      <x:c r="H536" s="224">
        <x:v>0</x:v>
      </x:c>
      <x:c r="I536" s="224">
        <x:v>0</x:v>
      </x:c>
      <x:c r="J536" s="224">
        <x:v>0</x:v>
      </x:c>
      <x:c r="K536" s="224">
        <x:v>0</x:v>
      </x:c>
      <x:c r="L536" s="224">
        <x:v>0</x:v>
      </x:c>
      <x:c r="M536" s="224">
        <x:v>0</x:v>
      </x:c>
      <x:c r="N536" s="224">
        <x:v>0</x:v>
      </x:c>
      <x:c r="O536" s="224">
        <x:v>0</x:v>
      </x:c>
      <x:c r="P536" s="224">
        <x:v>0</x:v>
      </x:c>
      <x:c r="Q536" s="224">
        <x:v>0</x:v>
      </x:c>
      <x:c r="R536" s="224">
        <x:v>0</x:v>
      </x:c>
      <x:c r="S536" s="224">
        <x:v>0</x:v>
      </x:c>
      <x:c r="T536" s="224">
        <x:v>0</x:v>
      </x:c>
      <x:c r="U536" s="224">
        <x:v>0</x:v>
      </x:c>
      <x:c r="V536" s="224">
        <x:v>0</x:v>
      </x:c>
      <x:c r="W536" s="224">
        <x:v>0</x:v>
      </x:c>
      <x:c r="X536" s="224">
        <x:v>0</x:v>
      </x:c>
      <x:c r="Y536" s="224">
        <x:v>0</x:v>
      </x:c>
      <x:c r="Z536" s="224">
        <x:v>0</x:v>
      </x:c>
    </x:row>
    <x:row r="537" spans="2:26" ht="12.75" customHeight="1" x14ac:dyDescent="0.2">
      <x:c r="E537" s="89" t="s">
        <x:v>72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 s="90">
        <x:v>0</x:v>
      </x:c>
      <x:c r="U537" s="90">
        <x:v>0</x:v>
      </x:c>
      <x:c r="V537" s="90">
        <x:v>0</x:v>
      </x:c>
      <x:c r="W537" s="90">
        <x:v>0</x:v>
      </x:c>
      <x:c r="X537">
        <x:v>0</x:v>
      </x:c>
      <x:c r="Y537">
        <x:v>0</x:v>
      </x:c>
      <x:c r="Z537">
        <x:v>0</x:v>
      </x:c>
    </x:row>
    <x:row r="538" spans="2:26" ht="12.75" customHeight="1" x14ac:dyDescent="0.2">
      <x:c r="D538" t="s">
        <x:v>82</x:v>
      </x:c>
      <x:c r="E538" s="89" t="s">
        <x:v>70</x:v>
      </x:c>
      <x:c r="F538" s="371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 s="90">
        <x:v>0</x:v>
      </x:c>
      <x:c r="U538" s="90">
        <x:v>0</x:v>
      </x:c>
      <x:c r="V538" s="90">
        <x:v>0</x:v>
      </x:c>
      <x:c r="W538" s="90">
        <x:v>0</x:v>
      </x:c>
      <x:c r="X538">
        <x:v>0</x:v>
      </x:c>
      <x:c r="Y538">
        <x:v>0</x:v>
      </x:c>
      <x:c r="Z538">
        <x:v>0</x:v>
      </x:c>
    </x:row>
    <x:row r="539" spans="2:26" ht="12.75" customHeight="1" x14ac:dyDescent="0.2">
      <x:c r="E539" s="89" t="s">
        <x:v>72</x:v>
      </x:c>
      <x:c r="F539" s="371" t="n">
        <x:v>-24249.29</x:v>
      </x:c>
      <x:c r="G539" s="90" t="n">
        <x:v>-1959.33</x:v>
      </x:c>
      <x:c r="H539" s="90" t="n">
        <x:v>-832.38</x:v>
      </x:c>
      <x:c r="I539" s="90" t="n">
        <x:v>-363.51</x:v>
      </x:c>
      <x:c r="J539" s="90" t="n">
        <x:v>-4489.36</x:v>
      </x:c>
      <x:c r="K539" s="90" t="n">
        <x:v>-182.85</x:v>
      </x:c>
      <x:c r="L539" s="90" t="n">
        <x:v>0</x:v>
      </x:c>
      <x:c r="M539" s="90" t="n">
        <x:v>-1603.68</x:v>
      </x:c>
      <x:c r="N539" s="90" t="n">
        <x:v>-2039.25</x:v>
      </x:c>
      <x:c r="O539" s="90" t="n">
        <x:v>-7487.88</x:v>
      </x:c>
      <x:c r="P539" s="90" t="n">
        <x:v>-4992.7</x:v>
      </x:c>
      <x:c r="Q539" s="90" t="n">
        <x:v>-298.35</x:v>
      </x:c>
      <x:c r="R539" s="90" t="n">
        <x:v>0</x:v>
      </x:c>
      <x:c r="S539" s="90" t="n">
        <x:v>0</x:v>
      </x:c>
      <x:c r="T539" s="90" t="n">
        <x:v>0</x:v>
      </x:c>
      <x:c r="U539" s="90">
        <x:v>0</x:v>
      </x:c>
      <x:c r="V539" s="90">
        <x:v>0</x:v>
      </x:c>
      <x:c r="W539" s="90">
        <x:v>0</x:v>
      </x:c>
      <x:c r="X539">
        <x:v>0</x:v>
      </x:c>
      <x:c r="Y539">
        <x:v>0</x:v>
      </x:c>
      <x:c r="Z539">
        <x:v>0</x:v>
      </x:c>
    </x:row>
    <x:row r="540" spans="2:26" ht="12.75" customHeight="1" x14ac:dyDescent="0.2">
      <x:c r="D540" t="s">
        <x:v>86</x:v>
      </x:c>
      <x:c r="E540" s="89" t="s">
        <x:v>70</x:v>
      </x:c>
      <x:c r="F540" s="371" t="n">
        <x:v>-24249.29</x:v>
      </x:c>
      <x:c r="G540" s="90" t="n">
        <x:v>-1959.33</x:v>
      </x:c>
      <x:c r="H540" s="90" t="n">
        <x:v>-832.38</x:v>
      </x:c>
      <x:c r="I540" s="90" t="n">
        <x:v>-363.51</x:v>
      </x:c>
      <x:c r="J540" s="90" t="n">
        <x:v>-4489.36</x:v>
      </x:c>
      <x:c r="K540" s="90" t="n">
        <x:v>-182.85</x:v>
      </x:c>
      <x:c r="L540" s="90" t="n">
        <x:v>0</x:v>
      </x:c>
      <x:c r="M540" s="90" t="n">
        <x:v>-1603.68</x:v>
      </x:c>
      <x:c r="N540" s="90" t="n">
        <x:v>-2039.25</x:v>
      </x:c>
      <x:c r="O540" s="90" t="n">
        <x:v>-7487.88</x:v>
      </x:c>
      <x:c r="P540" s="90" t="n">
        <x:v>-4992.7</x:v>
      </x:c>
      <x:c r="Q540" s="90" t="n">
        <x:v>-298.35</x:v>
      </x:c>
      <x:c r="R540" s="90" t="n">
        <x:v>0</x:v>
      </x:c>
      <x:c r="S540" s="90" t="n">
        <x:v>0</x:v>
      </x:c>
      <x:c r="T540" s="90" t="n">
        <x:v>0</x:v>
      </x:c>
      <x:c r="U540" s="90">
        <x:v>0</x:v>
      </x:c>
      <x:c r="V540" s="90">
        <x:v>0</x:v>
      </x:c>
      <x:c r="W540" s="90">
        <x:v>0</x:v>
      </x:c>
      <x:c r="X540">
        <x:v>0</x:v>
      </x:c>
      <x:c r="Y540">
        <x:v>0</x:v>
      </x:c>
      <x:c r="Z540">
        <x:v>0</x:v>
      </x:c>
    </x:row>
    <x:row r="541" spans="2:26" ht="12.75" customHeight="1" x14ac:dyDescent="0.2">
      <x:c r="E541" s="89" t="s">
        <x:v>72</x:v>
      </x:c>
      <x:c r="F541" s="371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 s="90">
        <x:v>0</x:v>
      </x:c>
      <x:c r="U541" s="90">
        <x:v>0</x:v>
      </x:c>
      <x:c r="V541" s="90">
        <x:v>0</x:v>
      </x:c>
      <x:c r="W541" s="90">
        <x:v>0</x:v>
      </x:c>
      <x:c r="X541" s="90">
        <x:v>0</x:v>
      </x:c>
      <x:c r="Y541" s="90">
        <x:v>0</x:v>
      </x:c>
      <x:c r="Z541" s="90">
        <x:v>0</x:v>
      </x:c>
    </x:row>
    <x:row r="542" spans="2:26" ht="12.75" customHeight="1" x14ac:dyDescent="0.2">
      <x:c r="D542" t="s">
        <x:v>87</x:v>
      </x:c>
      <x:c r="E542" s="89" t="s">
        <x:v>70</x:v>
      </x:c>
      <x:c r="F542" s="371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 s="90">
        <x:v>0</x:v>
      </x:c>
      <x:c r="U542" s="90">
        <x:v>0</x:v>
      </x:c>
      <x:c r="V542" s="90">
        <x:v>0</x:v>
      </x:c>
      <x:c r="W542" s="90">
        <x:v>0</x:v>
      </x:c>
      <x:c r="X542" s="90">
        <x:v>0</x:v>
      </x:c>
      <x:c r="Y542" s="90">
        <x:v>0</x:v>
      </x:c>
      <x:c r="Z542" s="90">
        <x:v>0</x:v>
      </x:c>
    </x:row>
    <x:row r="543" spans="2:26" s="94" customFormat="1" ht="12.75" customHeight="1" x14ac:dyDescent="0.2">
      <x:c r="C543" s="101" t="s">
        <x:v>119</x:v>
      </x:c>
      <x:c r="D543" s="101" t="s">
        <x:v>70</x:v>
      </x:c>
      <x:c r="F543" s="93" t="n">
        <x:v>-24249.29</x:v>
      </x:c>
      <x:c r="G543" s="93" t="n">
        <x:v>-1959.33</x:v>
      </x:c>
      <x:c r="H543" s="93" t="n">
        <x:v>-832.38</x:v>
      </x:c>
      <x:c r="I543" s="93" t="n">
        <x:v>-363.51</x:v>
      </x:c>
      <x:c r="J543" s="93" t="n">
        <x:v>-4489.36</x:v>
      </x:c>
      <x:c r="K543" s="93" t="n">
        <x:v>-182.85</x:v>
      </x:c>
      <x:c r="L543" s="93" t="n">
        <x:v>0</x:v>
      </x:c>
      <x:c r="M543" s="93" t="n">
        <x:v>-1603.68</x:v>
      </x:c>
      <x:c r="N543" s="93" t="n">
        <x:v>-2039.25</x:v>
      </x:c>
      <x:c r="O543" s="93" t="n">
        <x:v>-7487.88</x:v>
      </x:c>
      <x:c r="P543" s="93" t="n">
        <x:v>-4992.7</x:v>
      </x:c>
      <x:c r="Q543" s="93" t="n">
        <x:v>-298.35</x:v>
      </x:c>
      <x:c r="R543" s="93" t="n">
        <x:v>0</x:v>
      </x:c>
      <x:c r="S543" s="93" t="n">
        <x:v>0</x:v>
      </x:c>
      <x:c r="T543" s="94" t="n">
        <x:v>0</x:v>
      </x:c>
      <x:c r="U543" s="94">
        <x:v>0</x:v>
      </x:c>
      <x:c r="V543" s="94">
        <x:v>0</x:v>
      </x:c>
      <x:c r="W543" s="94">
        <x:v>0</x:v>
      </x:c>
      <x:c r="X543" s="94">
        <x:v>0</x:v>
      </x:c>
      <x:c r="Y543" s="93">
        <x:v>0</x:v>
      </x:c>
      <x:c r="Z543" s="94">
        <x:v>0</x:v>
      </x:c>
    </x:row>
    <x:row r="544" spans="2:26" ht="12.75" customHeight="1" x14ac:dyDescent="0.2">
      <x:c r="B544" t="s">
        <x:v>112</x:v>
      </x:c>
      <x:c r="C544" t="s">
        <x:v>70</x:v>
      </x:c>
      <x:c r="E544" s="89"/>
      <x:c r="F544" s="371" t="n">
        <x:v>-28294.15</x:v>
      </x:c>
      <x:c r="G544" s="90" t="n">
        <x:v>-2288.4</x:v>
      </x:c>
      <x:c r="H544" s="90" t="n">
        <x:v>-972.18</x:v>
      </x:c>
      <x:c r="I544" s="90" t="n">
        <x:v>-424.56</x:v>
      </x:c>
      <x:c r="J544" s="90" t="n">
        <x:v>-5258.96</x:v>
      </x:c>
      <x:c r="K544" s="90" t="n">
        <x:v>-214.2</x:v>
      </x:c>
      <x:c r="L544" s="90" t="n">
        <x:v>0</x:v>
      </x:c>
      <x:c r="M544" s="90" t="n">
        <x:v>-1878.6</x:v>
      </x:c>
      <x:c r="N544" s="90" t="n">
        <x:v>-2388.84</x:v>
      </x:c>
      <x:c r="O544" s="90" t="n">
        <x:v>-8771.52</x:v>
      </x:c>
      <x:c r="P544" s="90" t="n">
        <x:v>-5747.39</x:v>
      </x:c>
      <x:c r="Q544" s="90" t="n">
        <x:v>-349.5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>
        <x:v>0</x:v>
      </x:c>
    </x:row>
    <x:row r="545" spans="1:26" s="458" customFormat="1" x14ac:dyDescent="0.2">
      <x:c r="A545" s="458" t="s">
        <x:v>186</x:v>
      </x:c>
      <x:c r="B545" s="459" t="s">
        <x:v>70</x:v>
      </x:c>
      <x:c r="C545" s="459"/>
      <x:c r="F545" s="460" t="n">
        <x:v>-28294.15</x:v>
      </x:c>
      <x:c r="G545" s="460" t="n">
        <x:v>-2288.4</x:v>
      </x:c>
      <x:c r="H545" s="460" t="n">
        <x:v>-972.18</x:v>
      </x:c>
      <x:c r="I545" s="460" t="n">
        <x:v>-424.56</x:v>
      </x:c>
      <x:c r="J545" s="460" t="n">
        <x:v>-5258.96</x:v>
      </x:c>
      <x:c r="K545" s="460" t="n">
        <x:v>-214.2</x:v>
      </x:c>
      <x:c r="L545" s="460" t="n">
        <x:v>0</x:v>
      </x:c>
      <x:c r="M545" s="460" t="n">
        <x:v>-1878.6</x:v>
      </x:c>
      <x:c r="N545" s="460" t="n">
        <x:v>-2388.84</x:v>
      </x:c>
      <x:c r="O545" s="460" t="n">
        <x:v>-8771.52</x:v>
      </x:c>
      <x:c r="P545" s="460" t="n">
        <x:v>-5747.39</x:v>
      </x:c>
      <x:c r="Q545" s="460" t="n">
        <x:v>-349.5</x:v>
      </x:c>
      <x:c r="R545" s="460" t="n">
        <x:v>0</x:v>
      </x:c>
      <x:c r="S545" s="460" t="n">
        <x:v>0</x:v>
      </x:c>
      <x:c r="T545" s="460" t="n">
        <x:v>0</x:v>
      </x:c>
      <x:c r="U545" s="460">
        <x:v>0</x:v>
      </x:c>
      <x:c r="V545" s="460">
        <x:v>0</x:v>
      </x:c>
      <x:c r="W545" s="460">
        <x:v>0</x:v>
      </x:c>
      <x:c r="X545" s="460">
        <x:v>0</x:v>
      </x:c>
      <x:c r="Y545" s="460">
        <x:v>0</x:v>
      </x:c>
      <x:c r="Z545" s="460">
        <x:v>0</x:v>
      </x:c>
    </x:row>
    <x:row r="546" spans="1:26" ht="12.75" customHeight="1" x14ac:dyDescent="0.2">
      <x:c r="E546" s="89" t="s">
        <x:v>72</x:v>
      </x:c>
      <x:c r="F546" s="90" t="n">
        <x:v>75975446.42</x:v>
      </x:c>
      <x:c r="G546" s="90" t="n">
        <x:v>5691827.28</x:v>
      </x:c>
      <x:c r="H546" s="90" t="n">
        <x:v>3176874.77</x:v>
      </x:c>
      <x:c r="I546" s="90" t="n">
        <x:v>1675639.84</x:v>
      </x:c>
      <x:c r="J546" s="90" t="n">
        <x:v>15143503.41</x:v>
      </x:c>
      <x:c r="K546" s="90" t="n">
        <x:v>466068.31</x:v>
      </x:c>
      <x:c r="L546" s="90" t="n">
        <x:v>0</x:v>
      </x:c>
      <x:c r="M546" s="90" t="n">
        <x:v>4044625.13</x:v>
      </x:c>
      <x:c r="N546" s="90" t="n">
        <x:v>4897443.16</x:v>
      </x:c>
      <x:c r="O546" s="90" t="n">
        <x:v>25040514.93</x:v>
      </x:c>
      <x:c r="P546" s="90" t="n">
        <x:v>15075645.16</x:v>
      </x:c>
      <x:c r="Q546" s="90" t="n">
        <x:v>763379.78</x:v>
      </x:c>
      <x:c r="R546" s="90" t="n">
        <x:v>-75.35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>
        <x:v>0</x:v>
      </x:c>
    </x:row>
    <x:row r="547" spans="1:26" ht="12.75" customHeight="1" x14ac:dyDescent="0.2">
      <x:c r="E547" s="89" t="s">
        <x:v>81</x:v>
      </x:c>
      <x:c r="F547" s="90" t="n">
        <x:v>656784.57</x:v>
      </x:c>
      <x:c r="G547" s="90" t="n">
        <x:v>50154.31</x:v>
      </x:c>
      <x:c r="H547" s="90" t="n">
        <x:v>26212.95</x:v>
      </x:c>
      <x:c r="I547" s="90" t="n">
        <x:v>12852.55</x:v>
      </x:c>
      <x:c r="J547" s="90" t="n">
        <x:v>153350.55</x:v>
      </x:c>
      <x:c r="K547" s="90" t="n">
        <x:v>4675.1</x:v>
      </x:c>
      <x:c r="L547" s="90" t="n">
        <x:v>5153.85</x:v>
      </x:c>
      <x:c r="M547" s="90" t="n">
        <x:v>40989.24</x:v>
      </x:c>
      <x:c r="N547" s="90" t="n">
        <x:v>51934.49</x:v>
      </x:c>
      <x:c r="O547" s="90" t="n">
        <x:v>171696.62</x:v>
      </x:c>
      <x:c r="P547" s="90" t="n">
        <x:v>132135.74</x:v>
      </x:c>
      <x:c r="Q547" s="90" t="n">
        <x:v>7629.16</x:v>
      </x:c>
      <x:c r="R547" s="90" t="n">
        <x:v>-0.92</x:v>
      </x:c>
      <x:c r="S547" s="90" t="n">
        <x:v>0</x:v>
      </x:c>
      <x:c r="T547" t="n">
        <x:v>0.93</x:v>
      </x:c>
      <x:c r="U547">
        <x:v>0</x:v>
      </x:c>
      <x:c r="V547">
        <x:v>0</x:v>
      </x:c>
      <x:c r="W547">
        <x:v>0</x:v>
      </x:c>
      <x:c r="X547">
        <x:v>0</x:v>
      </x:c>
      <x:c r="Y547" s="90">
        <x:v>0</x:v>
      </x:c>
      <x:c r="Z547">
        <x:v>0</x:v>
      </x:c>
    </x:row>
    <x:row r="548" spans="1:26" ht="12.75" customHeight="1" x14ac:dyDescent="0.2">
      <x:c r="D548" t="s">
        <x:v>156</x:v>
      </x:c>
      <x:c r="E548" s="89" t="s">
        <x:v>70</x:v>
      </x:c>
      <x:c r="F548" s="90" t="n">
        <x:v>76632230.99</x:v>
      </x:c>
      <x:c r="G548" s="90" t="n">
        <x:v>5741981.59</x:v>
      </x:c>
      <x:c r="H548" s="90" t="n">
        <x:v>3203087.72</x:v>
      </x:c>
      <x:c r="I548" s="90" t="n">
        <x:v>1688492.39</x:v>
      </x:c>
      <x:c r="J548" s="90" t="n">
        <x:v>15296853.96</x:v>
      </x:c>
      <x:c r="K548" s="90" t="n">
        <x:v>470743.41</x:v>
      </x:c>
      <x:c r="L548" s="90" t="n">
        <x:v>5153.85</x:v>
      </x:c>
      <x:c r="M548" s="90" t="n">
        <x:v>4085614.37</x:v>
      </x:c>
      <x:c r="N548" s="90" t="n">
        <x:v>4949377.65</x:v>
      </x:c>
      <x:c r="O548" s="90" t="n">
        <x:v>25212211.55</x:v>
      </x:c>
      <x:c r="P548" s="90" t="n">
        <x:v>15207780.9</x:v>
      </x:c>
      <x:c r="Q548" s="90" t="n">
        <x:v>771008.94</x:v>
      </x:c>
      <x:c r="R548" s="90" t="n">
        <x:v>-76.27</x:v>
      </x:c>
      <x:c r="S548" s="90" t="n">
        <x:v>0</x:v>
      </x:c>
      <x:c r="T548" t="n">
        <x:v>0.93</x:v>
      </x:c>
      <x:c r="U548">
        <x:v>0</x:v>
      </x:c>
      <x:c r="V548">
        <x:v>0</x:v>
      </x:c>
      <x:c r="W548">
        <x:v>0</x:v>
      </x:c>
      <x:c r="X548">
        <x:v>0</x:v>
      </x:c>
      <x:c r="Y548" s="90">
        <x:v>0</x:v>
      </x:c>
      <x:c r="Z548">
        <x:v>0</x:v>
      </x:c>
    </x:row>
    <x:row r="549" spans="1:26" s="656" customFormat="1" ht="12.75" customHeight="1" x14ac:dyDescent="0.2">
      <x:c r="C549" s="656" t="s">
        <x:v>155</x:v>
      </x:c>
      <x:c r="D549" s="657" t="s">
        <x:v>70</x:v>
      </x:c>
      <x:c r="E549" s="657"/>
      <x:c r="F549" s="658" t="n">
        <x:v>76632230.99</x:v>
      </x:c>
      <x:c r="G549" s="658" t="n">
        <x:v>5741981.59</x:v>
      </x:c>
      <x:c r="H549" s="658" t="n">
        <x:v>3203087.72</x:v>
      </x:c>
      <x:c r="I549" s="658" t="n">
        <x:v>1688492.39</x:v>
      </x:c>
      <x:c r="J549" s="658" t="n">
        <x:v>15296853.96</x:v>
      </x:c>
      <x:c r="K549" s="658" t="n">
        <x:v>470743.41</x:v>
      </x:c>
      <x:c r="L549" s="658" t="n">
        <x:v>5153.85</x:v>
      </x:c>
      <x:c r="M549" s="658" t="n">
        <x:v>4085614.37</x:v>
      </x:c>
      <x:c r="N549" s="658" t="n">
        <x:v>4949377.65</x:v>
      </x:c>
      <x:c r="O549" s="658" t="n">
        <x:v>25212211.55</x:v>
      </x:c>
      <x:c r="P549" s="658" t="n">
        <x:v>15207780.9</x:v>
      </x:c>
      <x:c r="Q549" s="658" t="n">
        <x:v>771008.94</x:v>
      </x:c>
      <x:c r="R549" s="658" t="n">
        <x:v>-76.27</x:v>
      </x:c>
      <x:c r="S549" s="658" t="n">
        <x:v>0</x:v>
      </x:c>
      <x:c r="T549" s="656" t="n">
        <x:v>0.93</x:v>
      </x:c>
      <x:c r="U549" s="656">
        <x:v>0</x:v>
      </x:c>
      <x:c r="V549" s="656">
        <x:v>0</x:v>
      </x:c>
      <x:c r="W549" s="656">
        <x:v>0</x:v>
      </x:c>
      <x:c r="X549" s="656">
        <x:v>0</x:v>
      </x:c>
      <x:c r="Y549" s="658">
        <x:v>0</x:v>
      </x:c>
      <x:c r="Z549" s="656">
        <x:v>0</x:v>
      </x:c>
    </x:row>
    <x:row r="550" spans="1:26" ht="12.75" customHeight="1" x14ac:dyDescent="0.2">
      <x:c r="D550" s="89"/>
      <x:c r="E550" s="89" t="s">
        <x:v>72</x:v>
      </x:c>
      <x:c r="F550" s="371" t="n">
        <x:v>127540.7</x:v>
      </x:c>
      <x:c r="G550" s="90" t="n">
        <x:v>6084.92</x:v>
      </x:c>
      <x:c r="H550" s="90" t="n">
        <x:v>3435.56</x:v>
      </x:c>
      <x:c r="I550" s="90" t="n">
        <x:v>1803.23</x:v>
      </x:c>
      <x:c r="J550" s="90" t="n">
        <x:v>29192.34</x:v>
      </x:c>
      <x:c r="K550" s="90" t="n">
        <x:v>1102.99</x:v>
      </x:c>
      <x:c r="L550" s="90" t="n">
        <x:v>0</x:v>
      </x:c>
      <x:c r="M550" s="90" t="n">
        <x:v>9675.37</x:v>
      </x:c>
      <x:c r="N550" s="90" t="n">
        <x:v>9459.09</x:v>
      </x:c>
      <x:c r="O550" s="90" t="n">
        <x:v>48876.93</x:v>
      </x:c>
      <x:c r="P550" s="90" t="n">
        <x:v>16107.78</x:v>
      </x:c>
      <x:c r="Q550" s="90" t="n">
        <x:v>1799.61</x:v>
      </x:c>
      <x:c r="R550" s="90" t="n">
        <x:v>2.88</x:v>
      </x:c>
      <x:c r="S550" s="90" t="n">
        <x:v>0</x:v>
      </x:c>
      <x:c r="T550" s="90" t="n">
        <x:v>0</x:v>
      </x:c>
      <x:c r="U550" s="90">
        <x:v>0</x:v>
      </x:c>
      <x:c r="V550" s="90">
        <x:v>0</x:v>
      </x:c>
      <x:c r="W550" s="90">
        <x:v>0</x:v>
      </x:c>
      <x:c r="X550">
        <x:v>0</x:v>
      </x:c>
      <x:c r="Y550">
        <x:v>0</x:v>
      </x:c>
      <x:c r="Z550">
        <x:v>0</x:v>
      </x:c>
    </x:row>
    <x:row r="551" spans="1:26" ht="12.75" customHeight="1" x14ac:dyDescent="0.2">
      <x:c r="D551" s="89"/>
      <x:c r="E551" s="89" t="s">
        <x:v>81</x:v>
      </x:c>
      <x:c r="F551" s="371">
        <x:v>0</x:v>
      </x:c>
      <x:c r="G551" s="90">
        <x:v>0</x:v>
      </x:c>
      <x:c r="H551" s="90">
        <x:v>0</x:v>
      </x:c>
      <x:c r="I551" s="90">
        <x:v>0</x:v>
      </x:c>
      <x:c r="J551" s="90">
        <x:v>0</x:v>
      </x:c>
      <x:c r="K551" s="90">
        <x:v>0</x:v>
      </x:c>
      <x:c r="L551" s="90">
        <x:v>0</x:v>
      </x:c>
      <x:c r="M551" s="90">
        <x:v>0</x:v>
      </x:c>
      <x:c r="N551" s="90">
        <x:v>0</x:v>
      </x:c>
      <x:c r="O551" s="90">
        <x:v>0</x:v>
      </x:c>
      <x:c r="P551" s="90">
        <x:v>0</x:v>
      </x:c>
      <x:c r="Q551" s="90">
        <x:v>0</x:v>
      </x:c>
      <x:c r="R551" s="90">
        <x:v>0</x:v>
      </x:c>
      <x:c r="S551" s="90">
        <x:v>0</x:v>
      </x:c>
      <x:c r="T551" s="90">
        <x:v>0</x:v>
      </x:c>
      <x:c r="U551" s="90">
        <x:v>0</x:v>
      </x:c>
      <x:c r="V551" s="90">
        <x:v>0</x:v>
      </x:c>
      <x:c r="W551" s="90">
        <x:v>0</x:v>
      </x:c>
      <x:c r="X551">
        <x:v>0</x:v>
      </x:c>
      <x:c r="Y551">
        <x:v>0</x:v>
      </x:c>
      <x:c r="Z551">
        <x:v>0</x:v>
      </x:c>
    </x:row>
    <x:row r="552" spans="1:26" ht="12.75" customHeight="1" x14ac:dyDescent="0.2">
      <x:c r="D552" s="89" t="s">
        <x:v>115</x:v>
      </x:c>
      <x:c r="E552" s="89" t="s">
        <x:v>70</x:v>
      </x:c>
      <x:c r="F552" s="371" t="n">
        <x:v>127540.7</x:v>
      </x:c>
      <x:c r="G552" s="90" t="n">
        <x:v>6084.92</x:v>
      </x:c>
      <x:c r="H552" s="90" t="n">
        <x:v>3435.56</x:v>
      </x:c>
      <x:c r="I552" s="90" t="n">
        <x:v>1803.23</x:v>
      </x:c>
      <x:c r="J552" s="90" t="n">
        <x:v>29192.34</x:v>
      </x:c>
      <x:c r="K552" s="90" t="n">
        <x:v>1102.99</x:v>
      </x:c>
      <x:c r="L552" s="90" t="n">
        <x:v>0</x:v>
      </x:c>
      <x:c r="M552" s="90" t="n">
        <x:v>9675.37</x:v>
      </x:c>
      <x:c r="N552" s="90" t="n">
        <x:v>9459.09</x:v>
      </x:c>
      <x:c r="O552" s="90" t="n">
        <x:v>48876.93</x:v>
      </x:c>
      <x:c r="P552" s="90" t="n">
        <x:v>16107.78</x:v>
      </x:c>
      <x:c r="Q552" s="90" t="n">
        <x:v>1799.61</x:v>
      </x:c>
      <x:c r="R552" s="90" t="n">
        <x:v>2.88</x:v>
      </x:c>
      <x:c r="S552" s="90" t="n">
        <x:v>0</x:v>
      </x:c>
      <x:c r="T552" s="90" t="n">
        <x:v>0</x:v>
      </x:c>
      <x:c r="U552" s="90">
        <x:v>0</x:v>
      </x:c>
      <x:c r="V552" s="90">
        <x:v>0</x:v>
      </x:c>
      <x:c r="W552" s="90">
        <x:v>0</x:v>
      </x:c>
      <x:c r="X552">
        <x:v>0</x:v>
      </x:c>
      <x:c r="Y552">
        <x:v>0</x:v>
      </x:c>
      <x:c r="Z552">
        <x:v>0</x:v>
      </x:c>
    </x:row>
    <x:row r="553" spans="1:26" ht="12.75" customHeight="1" x14ac:dyDescent="0.2">
      <x:c r="D553" s="89"/>
      <x:c r="E553" s="89" t="s">
        <x:v>72</x:v>
      </x:c>
      <x:c r="F553" s="371">
        <x:v>0</x:v>
      </x:c>
      <x:c r="G553" s="90">
        <x:v>0</x:v>
      </x:c>
      <x:c r="H553" s="90">
        <x:v>0</x:v>
      </x:c>
      <x:c r="I553" s="90">
        <x:v>0</x:v>
      </x:c>
      <x:c r="J553" s="90">
        <x:v>0</x:v>
      </x:c>
      <x:c r="K553" s="90">
        <x:v>0</x:v>
      </x:c>
      <x:c r="L553" s="90">
        <x:v>0</x:v>
      </x:c>
      <x:c r="M553" s="90">
        <x:v>0</x:v>
      </x:c>
      <x:c r="N553" s="90">
        <x:v>0</x:v>
      </x:c>
      <x:c r="O553" s="90">
        <x:v>0</x:v>
      </x:c>
      <x:c r="P553" s="90">
        <x:v>0</x:v>
      </x:c>
      <x:c r="Q553" s="90">
        <x:v>0</x:v>
      </x:c>
      <x:c r="R553" s="90">
        <x:v>0</x:v>
      </x:c>
      <x:c r="S553" s="90">
        <x:v>0</x:v>
      </x:c>
      <x:c r="T553" s="90">
        <x:v>0</x:v>
      </x:c>
      <x:c r="U553" s="90">
        <x:v>0</x:v>
      </x:c>
      <x:c r="V553" s="90">
        <x:v>0</x:v>
      </x:c>
      <x:c r="W553" s="90">
        <x:v>0</x:v>
      </x:c>
      <x:c r="X553">
        <x:v>0</x:v>
      </x:c>
      <x:c r="Y553">
        <x:v>0</x:v>
      </x:c>
      <x:c r="Z553">
        <x:v>0</x:v>
      </x:c>
    </x:row>
    <x:row r="554" spans="1:26" ht="12.75" customHeight="1" x14ac:dyDescent="0.2">
      <x:c r="D554" s="89"/>
      <x:c r="E554" s="89" t="s">
        <x:v>81</x:v>
      </x:c>
      <x:c r="F554" s="90">
        <x:v>0</x:v>
      </x:c>
      <x:c r="G554" s="90">
        <x:v>0</x:v>
      </x:c>
      <x:c r="H554" s="90">
        <x:v>0</x:v>
      </x:c>
      <x:c r="I554" s="90">
        <x:v>0</x:v>
      </x:c>
      <x:c r="J554" s="90">
        <x:v>0</x:v>
      </x:c>
      <x:c r="K554" s="90">
        <x:v>0</x:v>
      </x:c>
      <x:c r="L554" s="90">
        <x:v>0</x:v>
      </x:c>
      <x:c r="M554" s="90">
        <x:v>0</x:v>
      </x:c>
      <x:c r="N554" s="90">
        <x:v>0</x:v>
      </x:c>
      <x:c r="O554" s="90">
        <x:v>0</x:v>
      </x:c>
      <x:c r="P554" s="90">
        <x:v>0</x:v>
      </x:c>
      <x:c r="Q554" s="90">
        <x:v>0</x:v>
      </x:c>
      <x:c r="R554" s="90">
        <x:v>0</x:v>
      </x:c>
      <x:c r="S554" s="90">
        <x:v>0</x:v>
      </x:c>
      <x:c r="T554" s="90">
        <x:v>0</x:v>
      </x:c>
      <x:c r="U554" s="90">
        <x:v>0</x:v>
      </x:c>
      <x:c r="V554" s="90">
        <x:v>0</x:v>
      </x:c>
      <x:c r="W554" s="90">
        <x:v>0</x:v>
      </x:c>
      <x:c r="X554">
        <x:v>0</x:v>
      </x:c>
      <x:c r="Y554">
        <x:v>0</x:v>
      </x:c>
      <x:c r="Z554">
        <x:v>0</x:v>
      </x:c>
    </x:row>
    <x:row r="555" spans="1:26" ht="12.75" customHeight="1" x14ac:dyDescent="0.2">
      <x:c r="D555" t="s">
        <x:v>116</x:v>
      </x:c>
      <x:c r="E555" s="89" t="s">
        <x:v>70</x:v>
      </x:c>
      <x:c r="F555" s="90">
        <x:v>0</x:v>
      </x:c>
      <x:c r="G555" s="90">
        <x:v>0</x:v>
      </x:c>
      <x:c r="H555" s="90">
        <x:v>0</x:v>
      </x:c>
      <x:c r="I555" s="90">
        <x:v>0</x:v>
      </x:c>
      <x:c r="J555" s="90">
        <x:v>0</x:v>
      </x:c>
      <x:c r="K555" s="90">
        <x:v>0</x:v>
      </x:c>
      <x:c r="L555" s="90">
        <x:v>0</x:v>
      </x:c>
      <x:c r="M555" s="90">
        <x:v>0</x:v>
      </x:c>
      <x:c r="N555" s="90">
        <x:v>0</x:v>
      </x:c>
      <x:c r="O555" s="90">
        <x:v>0</x:v>
      </x:c>
      <x:c r="P555" s="90">
        <x:v>0</x:v>
      </x:c>
      <x:c r="Q555" s="90">
        <x:v>0</x:v>
      </x:c>
      <x:c r="R555" s="90">
        <x:v>0</x:v>
      </x:c>
      <x:c r="S555" s="90">
        <x:v>0</x:v>
      </x:c>
      <x:c r="T555" s="90">
        <x:v>0</x:v>
      </x:c>
      <x:c r="U555" s="90">
        <x:v>0</x:v>
      </x:c>
      <x:c r="V555" s="90">
        <x:v>0</x:v>
      </x:c>
      <x:c r="W555" s="90">
        <x:v>0</x:v>
      </x:c>
      <x:c r="X555">
        <x:v>0</x:v>
      </x:c>
      <x:c r="Y555">
        <x:v>0</x:v>
      </x:c>
      <x:c r="Z555">
        <x:v>0</x:v>
      </x:c>
    </x:row>
    <x:row r="556" spans="1:26" ht="12.75" customHeight="1" x14ac:dyDescent="0.2">
      <x:c r="D556" s="89"/>
      <x:c r="E556" s="89" t="s">
        <x:v>72</x:v>
      </x:c>
      <x:c r="F556" s="371">
        <x:v>0</x:v>
      </x:c>
      <x:c r="G556" s="90">
        <x:v>0</x:v>
      </x:c>
      <x:c r="H556" s="90">
        <x:v>0</x:v>
      </x:c>
      <x:c r="I556" s="90">
        <x:v>0</x:v>
      </x:c>
      <x:c r="J556" s="90">
        <x:v>0</x:v>
      </x:c>
      <x:c r="K556" s="90">
        <x:v>0</x:v>
      </x:c>
      <x:c r="L556" s="90">
        <x:v>0</x:v>
      </x:c>
      <x:c r="M556" s="90">
        <x:v>0</x:v>
      </x:c>
      <x:c r="N556" s="90">
        <x:v>0</x:v>
      </x:c>
      <x:c r="O556" s="90">
        <x:v>0</x:v>
      </x:c>
      <x:c r="P556" s="90">
        <x:v>0</x:v>
      </x:c>
      <x:c r="Q556" s="90">
        <x:v>0</x:v>
      </x:c>
      <x:c r="R556" s="90">
        <x:v>0</x:v>
      </x:c>
      <x:c r="S556" s="90">
        <x:v>0</x:v>
      </x:c>
      <x:c r="T556" s="90">
        <x:v>0</x:v>
      </x:c>
      <x:c r="U556" s="90">
        <x:v>0</x:v>
      </x:c>
      <x:c r="V556" s="90">
        <x:v>0</x:v>
      </x:c>
      <x:c r="W556" s="90">
        <x:v>0</x:v>
      </x:c>
      <x:c r="X556">
        <x:v>0</x:v>
      </x:c>
      <x:c r="Y556">
        <x:v>0</x:v>
      </x:c>
      <x:c r="Z556">
        <x:v>0</x:v>
      </x:c>
    </x:row>
    <x:row r="557" spans="1:26" ht="12.75" customHeight="1" x14ac:dyDescent="0.2">
      <x:c r="D557" s="89"/>
      <x:c r="E557" s="89" t="s">
        <x:v>81</x:v>
      </x:c>
      <x:c r="F557" s="371">
        <x:v>0</x:v>
      </x:c>
      <x:c r="G557" s="90">
        <x:v>0</x:v>
      </x:c>
      <x:c r="H557" s="90">
        <x:v>0</x:v>
      </x:c>
      <x:c r="I557" s="90">
        <x:v>0</x:v>
      </x:c>
      <x:c r="J557" s="90">
        <x:v>0</x:v>
      </x:c>
      <x:c r="K557" s="90">
        <x:v>0</x:v>
      </x:c>
      <x:c r="L557" s="90">
        <x:v>0</x:v>
      </x:c>
      <x:c r="M557" s="90">
        <x:v>0</x:v>
      </x:c>
      <x:c r="N557" s="90">
        <x:v>0</x:v>
      </x:c>
      <x:c r="O557" s="90">
        <x:v>0</x:v>
      </x:c>
      <x:c r="P557" s="90">
        <x:v>0</x:v>
      </x:c>
      <x:c r="Q557" s="90">
        <x:v>0</x:v>
      </x:c>
      <x:c r="R557" s="90">
        <x:v>0</x:v>
      </x:c>
      <x:c r="S557" s="90">
        <x:v>0</x:v>
      </x:c>
      <x:c r="T557" s="90">
        <x:v>0</x:v>
      </x:c>
      <x:c r="U557" s="90">
        <x:v>0</x:v>
      </x:c>
      <x:c r="V557" s="90">
        <x:v>0</x:v>
      </x:c>
      <x:c r="W557" s="90">
        <x:v>0</x:v>
      </x:c>
      <x:c r="X557">
        <x:v>0</x:v>
      </x:c>
      <x:c r="Y557">
        <x:v>0</x:v>
      </x:c>
      <x:c r="Z557">
        <x:v>0</x:v>
      </x:c>
    </x:row>
    <x:row r="558" spans="1:26" ht="12.75" customHeight="1" x14ac:dyDescent="0.2">
      <x:c r="D558" s="773">
        <x:v>3</x:v>
      </x:c>
      <x:c r="E558" s="89" t="s">
        <x:v>70</x:v>
      </x:c>
      <x:c r="F558" s="371">
        <x:v>0</x:v>
      </x:c>
      <x:c r="G558" s="90">
        <x:v>0</x:v>
      </x:c>
      <x:c r="H558" s="90">
        <x:v>0</x:v>
      </x:c>
      <x:c r="I558" s="90">
        <x:v>0</x:v>
      </x:c>
      <x:c r="J558" s="90">
        <x:v>0</x:v>
      </x:c>
      <x:c r="K558" s="90">
        <x:v>0</x:v>
      </x:c>
      <x:c r="L558" s="90">
        <x:v>0</x:v>
      </x:c>
      <x:c r="M558" s="90">
        <x:v>0</x:v>
      </x:c>
      <x:c r="N558" s="90">
        <x:v>0</x:v>
      </x:c>
      <x:c r="O558" s="90">
        <x:v>0</x:v>
      </x:c>
      <x:c r="P558" s="90">
        <x:v>0</x:v>
      </x:c>
      <x:c r="Q558" s="90">
        <x:v>0</x:v>
      </x:c>
      <x:c r="R558" s="90">
        <x:v>0</x:v>
      </x:c>
      <x:c r="S558" s="90">
        <x:v>0</x:v>
      </x:c>
      <x:c r="T558" s="90">
        <x:v>0</x:v>
      </x:c>
      <x:c r="U558" s="90">
        <x:v>0</x:v>
      </x:c>
      <x:c r="V558" s="90">
        <x:v>0</x:v>
      </x:c>
      <x:c r="W558" s="90">
        <x:v>0</x:v>
      </x:c>
      <x:c r="X558">
        <x:v>0</x:v>
      </x:c>
      <x:c r="Y558">
        <x:v>0</x:v>
      </x:c>
      <x:c r="Z558">
        <x:v>0</x:v>
      </x:c>
    </x:row>
    <x:row r="559" spans="1:26" ht="12.75" customHeight="1" x14ac:dyDescent="0.2">
      <x:c r="D559" s="89"/>
      <x:c r="E559" s="89" t="s">
        <x:v>72</x:v>
      </x:c>
      <x:c r="F559" s="371">
        <x:v>0</x:v>
      </x:c>
      <x:c r="G559" s="90">
        <x:v>0</x:v>
      </x:c>
      <x:c r="H559" s="90">
        <x:v>0</x:v>
      </x:c>
      <x:c r="I559" s="90">
        <x:v>0</x:v>
      </x:c>
      <x:c r="J559" s="90">
        <x:v>0</x:v>
      </x:c>
      <x:c r="K559" s="90">
        <x:v>0</x:v>
      </x:c>
      <x:c r="L559" s="90">
        <x:v>0</x:v>
      </x:c>
      <x:c r="M559" s="90">
        <x:v>0</x:v>
      </x:c>
      <x:c r="N559" s="90">
        <x:v>0</x:v>
      </x:c>
      <x:c r="O559" s="90">
        <x:v>0</x:v>
      </x:c>
      <x:c r="P559" s="90">
        <x:v>0</x:v>
      </x:c>
      <x:c r="Q559" s="90">
        <x:v>0</x:v>
      </x:c>
      <x:c r="R559" s="90">
        <x:v>0</x:v>
      </x:c>
      <x:c r="S559" s="90">
        <x:v>0</x:v>
      </x:c>
      <x:c r="T559" s="90">
        <x:v>0</x:v>
      </x:c>
      <x:c r="U559" s="90">
        <x:v>0</x:v>
      </x:c>
      <x:c r="V559" s="90">
        <x:v>0</x:v>
      </x:c>
      <x:c r="W559" s="90">
        <x:v>0</x:v>
      </x:c>
      <x:c r="X559">
        <x:v>0</x:v>
      </x:c>
      <x:c r="Y559">
        <x:v>0</x:v>
      </x:c>
      <x:c r="Z559">
        <x:v>0</x:v>
      </x:c>
    </x:row>
    <x:row r="560" spans="1:26" ht="12.75" customHeight="1" x14ac:dyDescent="0.2">
      <x:c r="D560" s="89"/>
      <x:c r="E560" s="89" t="s">
        <x:v>81</x:v>
      </x:c>
      <x:c r="F560" s="371">
        <x:v>0</x:v>
      </x:c>
      <x:c r="G560" s="90">
        <x:v>0</x:v>
      </x:c>
      <x:c r="H560" s="90">
        <x:v>0</x:v>
      </x:c>
      <x:c r="I560" s="90">
        <x:v>0</x:v>
      </x:c>
      <x:c r="J560" s="90">
        <x:v>0</x:v>
      </x:c>
      <x:c r="K560" s="90">
        <x:v>0</x:v>
      </x:c>
      <x:c r="L560" s="90">
        <x:v>0</x:v>
      </x:c>
      <x:c r="M560" s="90">
        <x:v>0</x:v>
      </x:c>
      <x:c r="N560" s="90">
        <x:v>0</x:v>
      </x:c>
      <x:c r="O560" s="90">
        <x:v>0</x:v>
      </x:c>
      <x:c r="P560" s="90">
        <x:v>0</x:v>
      </x:c>
      <x:c r="Q560" s="90">
        <x:v>0</x:v>
      </x:c>
      <x:c r="R560" s="90">
        <x:v>0</x:v>
      </x:c>
      <x:c r="S560" s="90">
        <x:v>0</x:v>
      </x:c>
      <x:c r="T560" s="90">
        <x:v>0</x:v>
      </x:c>
      <x:c r="U560" s="90">
        <x:v>0</x:v>
      </x:c>
      <x:c r="V560" s="90">
        <x:v>0</x:v>
      </x:c>
      <x:c r="W560" s="90">
        <x:v>0</x:v>
      </x:c>
      <x:c r="X560">
        <x:v>0</x:v>
      </x:c>
      <x:c r="Y560">
        <x:v>0</x:v>
      </x:c>
      <x:c r="Z560">
        <x:v>0</x:v>
      </x:c>
    </x:row>
    <x:row r="561" spans="3:26" ht="12.75" customHeight="1" x14ac:dyDescent="0.2">
      <x:c r="D561" s="773">
        <x:v>4</x:v>
      </x:c>
      <x:c r="E561" s="89" t="s">
        <x:v>70</x:v>
      </x:c>
      <x:c r="F561" s="371">
        <x:v>0</x:v>
      </x:c>
      <x:c r="G561" s="90">
        <x:v>0</x:v>
      </x:c>
      <x:c r="H561" s="90">
        <x:v>0</x:v>
      </x:c>
      <x:c r="I561" s="90">
        <x:v>0</x:v>
      </x:c>
      <x:c r="J561" s="90">
        <x:v>0</x:v>
      </x:c>
      <x:c r="K561" s="90">
        <x:v>0</x:v>
      </x:c>
      <x:c r="L561" s="90">
        <x:v>0</x:v>
      </x:c>
      <x:c r="M561" s="90">
        <x:v>0</x:v>
      </x:c>
      <x:c r="N561" s="90">
        <x:v>0</x:v>
      </x:c>
      <x:c r="O561" s="90">
        <x:v>0</x:v>
      </x:c>
      <x:c r="P561" s="90">
        <x:v>0</x:v>
      </x:c>
      <x:c r="Q561" s="90">
        <x:v>0</x:v>
      </x:c>
      <x:c r="R561" s="90">
        <x:v>0</x:v>
      </x:c>
      <x:c r="S561" s="90">
        <x:v>0</x:v>
      </x:c>
      <x:c r="T561" s="90">
        <x:v>0</x:v>
      </x:c>
      <x:c r="U561" s="90">
        <x:v>0</x:v>
      </x:c>
      <x:c r="V561" s="90">
        <x:v>0</x:v>
      </x:c>
      <x:c r="W561" s="90">
        <x:v>0</x:v>
      </x:c>
      <x:c r="X561">
        <x:v>0</x:v>
      </x:c>
      <x:c r="Y561">
        <x:v>0</x:v>
      </x:c>
      <x:c r="Z561">
        <x:v>0</x:v>
      </x:c>
    </x:row>
    <x:row r="562" spans="3:26" ht="12.75" customHeight="1" x14ac:dyDescent="0.2">
      <x:c r="D562" s="89"/>
      <x:c r="E562" s="89" t="s">
        <x:v>72</x:v>
      </x:c>
      <x:c r="F562" s="371" t="n">
        <x:v>424348.3</x:v>
      </x:c>
      <x:c r="G562" s="90" t="n">
        <x:v>31621.08</x:v>
      </x:c>
      <x:c r="H562" s="90" t="n">
        <x:v>17899.66</x:v>
      </x:c>
      <x:c r="I562" s="90" t="n">
        <x:v>9434.37</x:v>
      </x:c>
      <x:c r="J562" s="90" t="n">
        <x:v>85091.03</x:v>
      </x:c>
      <x:c r="K562" s="90" t="n">
        <x:v>2946.59</x:v>
      </x:c>
      <x:c r="L562" s="90" t="n">
        <x:v>0</x:v>
      </x:c>
      <x:c r="M562" s="90" t="n">
        <x:v>25847.3</x:v>
      </x:c>
      <x:c r="N562" s="90" t="n">
        <x:v>26616.08</x:v>
      </x:c>
      <x:c r="O562" s="90" t="n">
        <x:v>135845.7</x:v>
      </x:c>
      <x:c r="P562" s="90" t="n">
        <x:v>84232.18</x:v>
      </x:c>
      <x:c r="Q562" s="90" t="n">
        <x:v>4807.57</x:v>
      </x:c>
      <x:c r="R562" s="90" t="n">
        <x:v>6.74</x:v>
      </x:c>
      <x:c r="S562" s="90" t="n">
        <x:v>0</x:v>
      </x:c>
      <x:c r="T562" s="90" t="n">
        <x:v>0</x:v>
      </x:c>
      <x:c r="U562" s="90">
        <x:v>0</x:v>
      </x:c>
      <x:c r="V562" s="90">
        <x:v>0</x:v>
      </x:c>
      <x:c r="W562" s="90">
        <x:v>0</x:v>
      </x:c>
      <x:c r="X562">
        <x:v>0</x:v>
      </x:c>
      <x:c r="Y562">
        <x:v>0</x:v>
      </x:c>
      <x:c r="Z562">
        <x:v>0</x:v>
      </x:c>
    </x:row>
    <x:row r="563" spans="3:26" ht="12.75" customHeight="1" x14ac:dyDescent="0.2">
      <x:c r="D563" s="89"/>
      <x:c r="E563" s="89" t="s">
        <x:v>81</x:v>
      </x:c>
      <x:c r="F563" s="90" t="n">
        <x:v>5980.45</x:v>
      </x:c>
      <x:c r="G563" s="90" t="n">
        <x:v>404.6</x:v>
      </x:c>
      <x:c r="H563" s="90" t="n">
        <x:v>228.63</x:v>
      </x:c>
      <x:c r="I563" s="90" t="n">
        <x:v>120.84</x:v>
      </x:c>
      <x:c r="J563" s="90" t="n">
        <x:v>1430.06</x:v>
      </x:c>
      <x:c r="K563" s="90" t="n">
        <x:v>48.37</x:v>
      </x:c>
      <x:c r="L563" s="90" t="n">
        <x:v>0</x:v>
      </x:c>
      <x:c r="M563" s="90" t="n">
        <x:v>424.43</x:v>
      </x:c>
      <x:c r="N563" s="90" t="n">
        <x:v>443.62</x:v>
      </x:c>
      <x:c r="O563" s="90" t="n">
        <x:v>1721.61</x:v>
      </x:c>
      <x:c r="P563" s="90" t="n">
        <x:v>1079.35</x:v>
      </x:c>
      <x:c r="Q563" s="90" t="n">
        <x:v>78.94</x:v>
      </x:c>
      <x:c r="R563" s="90" t="n">
        <x:v>0</x:v>
      </x:c>
      <x:c r="S563" s="90" t="n">
        <x:v>0</x:v>
      </x:c>
      <x:c r="T563" s="90" t="n">
        <x:v>0</x:v>
      </x:c>
      <x:c r="U563" s="90">
        <x:v>0</x:v>
      </x:c>
      <x:c r="V563" s="90">
        <x:v>0</x:v>
      </x:c>
      <x:c r="W563" s="90">
        <x:v>0</x:v>
      </x:c>
      <x:c r="X563">
        <x:v>0</x:v>
      </x:c>
      <x:c r="Y563">
        <x:v>0</x:v>
      </x:c>
      <x:c r="Z563">
        <x:v>0</x:v>
      </x:c>
    </x:row>
    <x:row r="564" spans="3:26" ht="12.75" customHeight="1" x14ac:dyDescent="0.2">
      <x:c r="D564" t="s">
        <x:v>118</x:v>
      </x:c>
      <x:c r="E564" s="89" t="s">
        <x:v>70</x:v>
      </x:c>
      <x:c r="F564" s="90" t="n">
        <x:v>430328.75</x:v>
      </x:c>
      <x:c r="G564" s="90" t="n">
        <x:v>32025.68</x:v>
      </x:c>
      <x:c r="H564" s="90" t="n">
        <x:v>18128.29</x:v>
      </x:c>
      <x:c r="I564" s="90" t="n">
        <x:v>9555.21</x:v>
      </x:c>
      <x:c r="J564" s="90" t="n">
        <x:v>86521.09</x:v>
      </x:c>
      <x:c r="K564" s="90" t="n">
        <x:v>2994.96</x:v>
      </x:c>
      <x:c r="L564" s="90" t="n">
        <x:v>0</x:v>
      </x:c>
      <x:c r="M564" s="90" t="n">
        <x:v>26271.73</x:v>
      </x:c>
      <x:c r="N564" s="90" t="n">
        <x:v>27059.7</x:v>
      </x:c>
      <x:c r="O564" s="90" t="n">
        <x:v>137567.31</x:v>
      </x:c>
      <x:c r="P564" s="90" t="n">
        <x:v>85311.53</x:v>
      </x:c>
      <x:c r="Q564" s="90" t="n">
        <x:v>4886.51</x:v>
      </x:c>
      <x:c r="R564" s="90" t="n">
        <x:v>6.74</x:v>
      </x:c>
      <x:c r="S564" s="90" t="n">
        <x:v>0</x:v>
      </x:c>
      <x:c r="T564" s="90" t="n">
        <x:v>0</x:v>
      </x:c>
      <x:c r="U564" s="90">
        <x:v>0</x:v>
      </x:c>
      <x:c r="V564" s="90">
        <x:v>0</x:v>
      </x:c>
      <x:c r="W564" s="90">
        <x:v>0</x:v>
      </x:c>
      <x:c r="X564">
        <x:v>0</x:v>
      </x:c>
      <x:c r="Y564">
        <x:v>0</x:v>
      </x:c>
      <x:c r="Z564">
        <x:v>0</x:v>
      </x:c>
    </x:row>
    <x:row r="565" spans="3:26" ht="12.75" customHeight="1" x14ac:dyDescent="0.2">
      <x:c r="D565" s="89"/>
      <x:c r="E565" s="89" t="s">
        <x:v>72</x:v>
      </x:c>
      <x:c r="F565" s="371">
        <x:v>0</x:v>
      </x:c>
      <x:c r="G565" s="90">
        <x:v>0</x:v>
      </x:c>
      <x:c r="H565" s="90">
        <x:v>0</x:v>
      </x:c>
      <x:c r="I565" s="90">
        <x:v>0</x:v>
      </x:c>
      <x:c r="J565" s="90">
        <x:v>0</x:v>
      </x:c>
      <x:c r="K565" s="90">
        <x:v>0</x:v>
      </x:c>
      <x:c r="L565" s="90">
        <x:v>0</x:v>
      </x:c>
      <x:c r="M565" s="90">
        <x:v>0</x:v>
      </x:c>
      <x:c r="N565" s="90">
        <x:v>0</x:v>
      </x:c>
      <x:c r="O565" s="90">
        <x:v>0</x:v>
      </x:c>
      <x:c r="P565" s="90">
        <x:v>0</x:v>
      </x:c>
      <x:c r="Q565" s="90">
        <x:v>0</x:v>
      </x:c>
      <x:c r="R565" s="90">
        <x:v>0</x:v>
      </x:c>
      <x:c r="S565" s="90">
        <x:v>0</x:v>
      </x:c>
      <x:c r="T565" s="90">
        <x:v>0</x:v>
      </x:c>
      <x:c r="U565" s="90">
        <x:v>0</x:v>
      </x:c>
      <x:c r="V565" s="90">
        <x:v>0</x:v>
      </x:c>
      <x:c r="W565" s="90">
        <x:v>0</x:v>
      </x:c>
      <x:c r="X565">
        <x:v>0</x:v>
      </x:c>
      <x:c r="Y565">
        <x:v>0</x:v>
      </x:c>
      <x:c r="Z565">
        <x:v>0</x:v>
      </x:c>
    </x:row>
    <x:row r="566" spans="3:26" ht="12.75" customHeight="1" x14ac:dyDescent="0.2">
      <x:c r="D566" s="89"/>
      <x:c r="E566" s="89" t="s">
        <x:v>81</x:v>
      </x:c>
      <x:c r="F566" s="90">
        <x:v>0</x:v>
      </x:c>
      <x:c r="G566" s="90">
        <x:v>0</x:v>
      </x:c>
      <x:c r="H566" s="90">
        <x:v>0</x:v>
      </x:c>
      <x:c r="I566" s="90">
        <x:v>0</x:v>
      </x:c>
      <x:c r="J566" s="90">
        <x:v>0</x:v>
      </x:c>
      <x:c r="K566" s="90">
        <x:v>0</x:v>
      </x:c>
      <x:c r="L566" s="90">
        <x:v>0</x:v>
      </x:c>
      <x:c r="M566" s="90">
        <x:v>0</x:v>
      </x:c>
      <x:c r="N566" s="90">
        <x:v>0</x:v>
      </x:c>
      <x:c r="O566" s="90">
        <x:v>0</x:v>
      </x:c>
      <x:c r="P566" s="90">
        <x:v>0</x:v>
      </x:c>
      <x:c r="Q566" s="90">
        <x:v>0</x:v>
      </x:c>
      <x:c r="R566" s="90">
        <x:v>0</x:v>
      </x:c>
      <x:c r="S566" s="90">
        <x:v>0</x:v>
      </x:c>
      <x:c r="T566" s="90">
        <x:v>0</x:v>
      </x:c>
      <x:c r="U566" s="90">
        <x:v>0</x:v>
      </x:c>
      <x:c r="V566" s="90">
        <x:v>0</x:v>
      </x:c>
      <x:c r="W566" s="90">
        <x:v>0</x:v>
      </x:c>
      <x:c r="X566">
        <x:v>0</x:v>
      </x:c>
      <x:c r="Y566">
        <x:v>0</x:v>
      </x:c>
      <x:c r="Z566">
        <x:v>0</x:v>
      </x:c>
    </x:row>
    <x:row r="567" spans="3:26" ht="12.75" customHeight="1" x14ac:dyDescent="0.2">
      <x:c r="D567" s="772">
        <x:v>6</x:v>
      </x:c>
      <x:c r="E567" s="89" t="s">
        <x:v>70</x:v>
      </x:c>
      <x:c r="F567" s="90">
        <x:v>0</x:v>
      </x:c>
      <x:c r="G567" s="90">
        <x:v>0</x:v>
      </x:c>
      <x:c r="H567" s="90">
        <x:v>0</x:v>
      </x:c>
      <x:c r="I567" s="90">
        <x:v>0</x:v>
      </x:c>
      <x:c r="J567" s="90">
        <x:v>0</x:v>
      </x:c>
      <x:c r="K567" s="90">
        <x:v>0</x:v>
      </x:c>
      <x:c r="L567" s="90">
        <x:v>0</x:v>
      </x:c>
      <x:c r="M567" s="90">
        <x:v>0</x:v>
      </x:c>
      <x:c r="N567" s="90">
        <x:v>0</x:v>
      </x:c>
      <x:c r="O567" s="90">
        <x:v>0</x:v>
      </x:c>
      <x:c r="P567" s="90">
        <x:v>0</x:v>
      </x:c>
      <x:c r="Q567" s="90">
        <x:v>0</x:v>
      </x:c>
      <x:c r="R567" s="90">
        <x:v>0</x:v>
      </x:c>
      <x:c r="S567" s="90">
        <x:v>0</x:v>
      </x:c>
      <x:c r="T567" s="90">
        <x:v>0</x:v>
      </x:c>
      <x:c r="U567" s="90">
        <x:v>0</x:v>
      </x:c>
      <x:c r="V567" s="90">
        <x:v>0</x:v>
      </x:c>
      <x:c r="W567" s="90">
        <x:v>0</x:v>
      </x:c>
      <x:c r="X567">
        <x:v>0</x:v>
      </x:c>
      <x:c r="Y567">
        <x:v>0</x:v>
      </x:c>
      <x:c r="Z567">
        <x:v>0</x:v>
      </x:c>
    </x:row>
    <x:row r="568" spans="3:26" ht="12.75" customHeight="1" x14ac:dyDescent="0.2">
      <x:c r="D568" s="89"/>
      <x:c r="E568" s="89" t="s">
        <x:v>72</x:v>
      </x:c>
      <x:c r="F568" s="90">
        <x:v>0</x:v>
      </x:c>
      <x:c r="G568" s="90">
        <x:v>0</x:v>
      </x:c>
      <x:c r="H568" s="90">
        <x:v>0</x:v>
      </x:c>
      <x:c r="I568" s="90">
        <x:v>0</x:v>
      </x:c>
      <x:c r="J568" s="90">
        <x:v>0</x:v>
      </x:c>
      <x:c r="K568" s="90">
        <x:v>0</x:v>
      </x:c>
      <x:c r="L568" s="90">
        <x:v>0</x:v>
      </x:c>
      <x:c r="M568" s="90">
        <x:v>0</x:v>
      </x:c>
      <x:c r="N568" s="90">
        <x:v>0</x:v>
      </x:c>
      <x:c r="O568" s="90">
        <x:v>0</x:v>
      </x:c>
      <x:c r="P568" s="90">
        <x:v>0</x:v>
      </x:c>
      <x:c r="Q568" s="90">
        <x:v>0</x:v>
      </x:c>
      <x:c r="R568" s="90">
        <x:v>0</x:v>
      </x:c>
      <x:c r="S568" s="90">
        <x:v>0</x:v>
      </x:c>
      <x:c r="T568" s="90">
        <x:v>0</x:v>
      </x:c>
      <x:c r="U568" s="90">
        <x:v>0</x:v>
      </x:c>
      <x:c r="V568" s="90">
        <x:v>0</x:v>
      </x:c>
      <x:c r="W568" s="90">
        <x:v>0</x:v>
      </x:c>
      <x:c r="X568">
        <x:v>0</x:v>
      </x:c>
      <x:c r="Y568">
        <x:v>0</x:v>
      </x:c>
      <x:c r="Z568">
        <x:v>0</x:v>
      </x:c>
    </x:row>
    <x:row r="569" spans="3:26" ht="12.75" customHeight="1" x14ac:dyDescent="0.2">
      <x:c r="E569" s="89" t="s">
        <x:v>81</x:v>
      </x:c>
      <x:c r="F569" s="90">
        <x:v>0</x:v>
      </x:c>
      <x:c r="G569" s="90">
        <x:v>0</x:v>
      </x:c>
      <x:c r="H569" s="90">
        <x:v>0</x:v>
      </x:c>
      <x:c r="I569" s="90">
        <x:v>0</x:v>
      </x:c>
      <x:c r="J569" s="90">
        <x:v>0</x:v>
      </x:c>
      <x:c r="K569" s="90">
        <x:v>0</x:v>
      </x:c>
      <x:c r="L569" s="90">
        <x:v>0</x:v>
      </x:c>
      <x:c r="M569" s="90">
        <x:v>0</x:v>
      </x:c>
      <x:c r="N569" s="90">
        <x:v>0</x:v>
      </x:c>
      <x:c r="O569" s="90">
        <x:v>0</x:v>
      </x:c>
      <x:c r="P569" s="90">
        <x:v>0</x:v>
      </x:c>
      <x:c r="Q569" s="90">
        <x:v>0</x:v>
      </x:c>
      <x:c r="R569" s="90">
        <x:v>0</x:v>
      </x:c>
      <x:c r="S569" s="90">
        <x:v>0</x:v>
      </x:c>
      <x:c r="T569" s="90">
        <x:v>0</x:v>
      </x:c>
      <x:c r="U569" s="90">
        <x:v>0</x:v>
      </x:c>
      <x:c r="V569" s="90">
        <x:v>0</x:v>
      </x:c>
      <x:c r="W569" s="90">
        <x:v>0</x:v>
      </x:c>
      <x:c r="X569">
        <x:v>0</x:v>
      </x:c>
      <x:c r="Y569">
        <x:v>0</x:v>
      </x:c>
      <x:c r="Z569">
        <x:v>0</x:v>
      </x:c>
    </x:row>
    <x:row r="570" spans="3:26" ht="12.75" customHeight="1" x14ac:dyDescent="0.2">
      <x:c r="D570" s="772">
        <x:v>9</x:v>
      </x:c>
      <x:c r="E570" s="89" t="s">
        <x:v>70</x:v>
      </x:c>
      <x:c r="F570" s="90">
        <x:v>0</x:v>
      </x:c>
      <x:c r="G570" s="90">
        <x:v>0</x:v>
      </x:c>
      <x:c r="H570" s="90">
        <x:v>0</x:v>
      </x:c>
      <x:c r="I570" s="90">
        <x:v>0</x:v>
      </x:c>
      <x:c r="J570" s="90">
        <x:v>0</x:v>
      </x:c>
      <x:c r="K570" s="90">
        <x:v>0</x:v>
      </x:c>
      <x:c r="L570" s="90">
        <x:v>0</x:v>
      </x:c>
      <x:c r="M570" s="90">
        <x:v>0</x:v>
      </x:c>
      <x:c r="N570" s="90">
        <x:v>0</x:v>
      </x:c>
      <x:c r="O570" s="90">
        <x:v>0</x:v>
      </x:c>
      <x:c r="P570" s="90">
        <x:v>0</x:v>
      </x:c>
      <x:c r="Q570" s="90">
        <x:v>0</x:v>
      </x:c>
      <x:c r="R570" s="90">
        <x:v>0</x:v>
      </x:c>
      <x:c r="S570" s="90">
        <x:v>0</x:v>
      </x:c>
      <x:c r="T570" s="90">
        <x:v>0</x:v>
      </x:c>
      <x:c r="U570" s="90">
        <x:v>0</x:v>
      </x:c>
      <x:c r="V570" s="90">
        <x:v>0</x:v>
      </x:c>
      <x:c r="W570" s="90">
        <x:v>0</x:v>
      </x:c>
      <x:c r="X570">
        <x:v>0</x:v>
      </x:c>
      <x:c r="Y570">
        <x:v>0</x:v>
      </x:c>
      <x:c r="Z570">
        <x:v>0</x:v>
      </x:c>
    </x:row>
    <x:row r="571" spans="3:26" s="224" customFormat="1" ht="12.75" customHeight="1" x14ac:dyDescent="0.2">
      <x:c r="C571" s="223" t="s">
        <x:v>120</x:v>
      </x:c>
      <x:c r="D571" s="223" t="s">
        <x:v>70</x:v>
      </x:c>
      <x:c r="F571" s="225" t="n">
        <x:v>557869.45</x:v>
      </x:c>
      <x:c r="G571" s="225" t="n">
        <x:v>38110.6</x:v>
      </x:c>
      <x:c r="H571" s="225" t="n">
        <x:v>21563.85</x:v>
      </x:c>
      <x:c r="I571" s="225" t="n">
        <x:v>11358.44</x:v>
      </x:c>
      <x:c r="J571" s="225" t="n">
        <x:v>115713.43</x:v>
      </x:c>
      <x:c r="K571" s="225" t="n">
        <x:v>4097.95</x:v>
      </x:c>
      <x:c r="L571" s="225" t="n">
        <x:v>0</x:v>
      </x:c>
      <x:c r="M571" s="225" t="n">
        <x:v>35947.1</x:v>
      </x:c>
      <x:c r="N571" s="225" t="n">
        <x:v>36518.79</x:v>
      </x:c>
      <x:c r="O571" s="225" t="n">
        <x:v>186444.24</x:v>
      </x:c>
      <x:c r="P571" s="225" t="n">
        <x:v>101419.31</x:v>
      </x:c>
      <x:c r="Q571" s="225" t="n">
        <x:v>6686.12</x:v>
      </x:c>
      <x:c r="R571" s="225" t="n">
        <x:v>9.62</x:v>
      </x:c>
      <x:c r="S571" s="225" t="n">
        <x:v>0</x:v>
      </x:c>
      <x:c r="T571" s="224" t="n">
        <x:v>0</x:v>
      </x:c>
      <x:c r="U571" s="224">
        <x:v>0</x:v>
      </x:c>
      <x:c r="V571" s="224">
        <x:v>0</x:v>
      </x:c>
      <x:c r="W571" s="224">
        <x:v>0</x:v>
      </x:c>
      <x:c r="X571" s="224">
        <x:v>0</x:v>
      </x:c>
      <x:c r="Y571" s="225">
        <x:v>0</x:v>
      </x:c>
      <x:c r="Z571" s="224">
        <x:v>0</x:v>
      </x:c>
    </x:row>
    <x:row r="572" spans="3:26" ht="12.75" customHeight="1" x14ac:dyDescent="0.2">
      <x:c r="E572" s="89" t="s">
        <x:v>72</x:v>
      </x:c>
      <x:c r="F572" s="371" t="n">
        <x:v>1184206.87</x:v>
      </x:c>
      <x:c r="G572" s="90" t="n">
        <x:v>76488.91</x:v>
      </x:c>
      <x:c r="H572" s="90" t="n">
        <x:v>41553.49</x:v>
      </x:c>
      <x:c r="I572" s="90" t="n">
        <x:v>20986.59</x:v>
      </x:c>
      <x:c r="J572" s="90" t="n">
        <x:v>262024.02</x:v>
      </x:c>
      <x:c r="K572" s="90" t="n">
        <x:v>7297.34</x:v>
      </x:c>
      <x:c r="L572" s="90" t="n">
        <x:v>0</x:v>
      </x:c>
      <x:c r="M572" s="90" t="n">
        <x:v>64011.37</x:v>
      </x:c>
      <x:c r="N572" s="90" t="n">
        <x:v>82014.18</x:v>
      </x:c>
      <x:c r="O572" s="90" t="n">
        <x:v>417139.52</x:v>
      </x:c>
      <x:c r="P572" s="90" t="n">
        <x:v>200777.43</x:v>
      </x:c>
      <x:c r="Q572" s="90" t="n">
        <x:v>11906.1</x:v>
      </x:c>
      <x:c r="R572" s="90" t="n">
        <x:v>7.92</x:v>
      </x:c>
      <x:c r="S572" s="90" t="n">
        <x:v>0</x:v>
      </x:c>
      <x:c r="T572" s="90" t="n">
        <x:v>0</x:v>
      </x:c>
      <x:c r="U572" s="90">
        <x:v>0</x:v>
      </x:c>
      <x:c r="V572" s="90">
        <x:v>0</x:v>
      </x:c>
      <x:c r="W572" s="90">
        <x:v>0</x:v>
      </x:c>
      <x:c r="X572">
        <x:v>0</x:v>
      </x:c>
      <x:c r="Y572">
        <x:v>0</x:v>
      </x:c>
      <x:c r="Z572">
        <x:v>0</x:v>
      </x:c>
    </x:row>
    <x:row r="573" spans="3:26" ht="12.75" customHeight="1" x14ac:dyDescent="0.2">
      <x:c r="E573" s="89" t="s">
        <x:v>81</x:v>
      </x:c>
      <x:c r="F573" s="371" t="n">
        <x:v>6159.8</x:v>
      </x:c>
      <x:c r="G573" s="90" t="n">
        <x:v>758.67</x:v>
      </x:c>
      <x:c r="H573" s="90" t="n">
        <x:v>425.73</x:v>
      </x:c>
      <x:c r="I573" s="90" t="n">
        <x:v>228.3</x:v>
      </x:c>
      <x:c r="J573" s="90" t="n">
        <x:v>1132.43</x:v>
      </x:c>
      <x:c r="K573" s="90" t="n">
        <x:v>27.92</x:v>
      </x:c>
      <x:c r="L573" s="90" t="n">
        <x:v>0</x:v>
      </x:c>
      <x:c r="M573" s="90" t="n">
        <x:v>244.66</x:v>
      </x:c>
      <x:c r="N573" s="90" t="n">
        <x:v>357.03</x:v>
      </x:c>
      <x:c r="O573" s="90" t="n">
        <x:v>911.55</x:v>
      </x:c>
      <x:c r="P573" s="90" t="n">
        <x:v>2028.11</x:v>
      </x:c>
      <x:c r="Q573" s="90" t="n">
        <x:v>45.46</x:v>
      </x:c>
      <x:c r="R573" s="90" t="n">
        <x:v>-0.06</x:v>
      </x:c>
      <x:c r="S573" s="90" t="n">
        <x:v>0</x:v>
      </x:c>
      <x:c r="T573" s="90" t="n">
        <x:v>0</x:v>
      </x:c>
      <x:c r="U573" s="90">
        <x:v>0</x:v>
      </x:c>
      <x:c r="V573" s="90">
        <x:v>0</x:v>
      </x:c>
      <x:c r="W573" s="90">
        <x:v>0</x:v>
      </x:c>
      <x:c r="X573">
        <x:v>0</x:v>
      </x:c>
      <x:c r="Y573">
        <x:v>0</x:v>
      </x:c>
      <x:c r="Z573">
        <x:v>0</x:v>
      </x:c>
    </x:row>
    <x:row r="574" spans="3:26" ht="12.75" customHeight="1" x14ac:dyDescent="0.2">
      <x:c r="D574" t="s">
        <x:v>82</x:v>
      </x:c>
      <x:c r="E574" s="89" t="s">
        <x:v>70</x:v>
      </x:c>
      <x:c r="F574" s="371" t="n">
        <x:v>1190366.67</x:v>
      </x:c>
      <x:c r="G574" s="90" t="n">
        <x:v>77247.58</x:v>
      </x:c>
      <x:c r="H574" s="90" t="n">
        <x:v>41979.22</x:v>
      </x:c>
      <x:c r="I574" s="90" t="n">
        <x:v>21214.89</x:v>
      </x:c>
      <x:c r="J574" s="90" t="n">
        <x:v>263156.45</x:v>
      </x:c>
      <x:c r="K574" s="90" t="n">
        <x:v>7325.26</x:v>
      </x:c>
      <x:c r="L574" s="90" t="n">
        <x:v>0</x:v>
      </x:c>
      <x:c r="M574" s="90" t="n">
        <x:v>64256.03</x:v>
      </x:c>
      <x:c r="N574" s="90" t="n">
        <x:v>82371.21</x:v>
      </x:c>
      <x:c r="O574" s="90" t="n">
        <x:v>418051.07</x:v>
      </x:c>
      <x:c r="P574" s="90" t="n">
        <x:v>202805.54</x:v>
      </x:c>
      <x:c r="Q574" s="90" t="n">
        <x:v>11951.56</x:v>
      </x:c>
      <x:c r="R574" s="90" t="n">
        <x:v>7.86</x:v>
      </x:c>
      <x:c r="S574" s="90" t="n">
        <x:v>0</x:v>
      </x:c>
      <x:c r="T574" s="90" t="n">
        <x:v>0</x:v>
      </x:c>
      <x:c r="U574" s="90">
        <x:v>0</x:v>
      </x:c>
      <x:c r="V574" s="90">
        <x:v>0</x:v>
      </x:c>
      <x:c r="W574" s="90">
        <x:v>0</x:v>
      </x:c>
      <x:c r="X574">
        <x:v>0</x:v>
      </x:c>
      <x:c r="Y574">
        <x:v>0</x:v>
      </x:c>
      <x:c r="Z574">
        <x:v>0</x:v>
      </x:c>
    </x:row>
    <x:row r="575" spans="3:26" ht="12.75" customHeight="1" x14ac:dyDescent="0.2">
      <x:c r="E575" s="89" t="s">
        <x:v>72</x:v>
      </x:c>
      <x:c r="F575" s="371" t="n">
        <x:v>4160608.67</x:v>
      </x:c>
      <x:c r="G575" s="90" t="n">
        <x:v>215759.35</x:v>
      </x:c>
      <x:c r="H575" s="90" t="n">
        <x:v>112643.92</x:v>
      </x:c>
      <x:c r="I575" s="90" t="n">
        <x:v>61662.09</x:v>
      </x:c>
      <x:c r="J575" s="90" t="n">
        <x:v>921523.14</x:v>
      </x:c>
      <x:c r="K575" s="90" t="n">
        <x:v>32438.44</x:v>
      </x:c>
      <x:c r="L575" s="90" t="n">
        <x:v>0</x:v>
      </x:c>
      <x:c r="M575" s="90" t="n">
        <x:v>291482.42</x:v>
      </x:c>
      <x:c r="N575" s="90" t="n">
        <x:v>320422.44</x:v>
      </x:c>
      <x:c r="O575" s="90" t="n">
        <x:v>1582904.92</x:v>
      </x:c>
      <x:c r="P575" s="90" t="n">
        <x:v>567970.87</x:v>
      </x:c>
      <x:c r="Q575" s="90" t="n">
        <x:v>53825.6</x:v>
      </x:c>
      <x:c r="R575" s="90" t="n">
        <x:v>-24.52</x:v>
      </x:c>
      <x:c r="S575" s="90" t="n">
        <x:v>0</x:v>
      </x:c>
      <x:c r="T575" s="90" t="n">
        <x:v>0</x:v>
      </x:c>
      <x:c r="U575" s="90">
        <x:v>0</x:v>
      </x:c>
      <x:c r="V575" s="90">
        <x:v>0</x:v>
      </x:c>
      <x:c r="W575" s="90">
        <x:v>0</x:v>
      </x:c>
      <x:c r="X575">
        <x:v>0</x:v>
      </x:c>
      <x:c r="Y575">
        <x:v>0</x:v>
      </x:c>
      <x:c r="Z575">
        <x:v>0</x:v>
      </x:c>
    </x:row>
    <x:row r="576" spans="3:26" ht="12.75" customHeight="1" x14ac:dyDescent="0.2">
      <x:c r="E576" s="89" t="s">
        <x:v>81</x:v>
      </x:c>
      <x:c r="F576" s="371" t="n">
        <x:v>32139.77</x:v>
      </x:c>
      <x:c r="G576" s="90" t="n">
        <x:v>2170.21</x:v>
      </x:c>
      <x:c r="H576" s="90" t="n">
        <x:v>1175.33</x:v>
      </x:c>
      <x:c r="I576" s="90" t="n">
        <x:v>629.36</x:v>
      </x:c>
      <x:c r="J576" s="90" t="n">
        <x:v>6177.79</x:v>
      </x:c>
      <x:c r="K576" s="90" t="n">
        <x:v>248.12</x:v>
      </x:c>
      <x:c r="L576" s="90" t="n">
        <x:v>0</x:v>
      </x:c>
      <x:c r="M576" s="90" t="n">
        <x:v>2256.23</x:v>
      </x:c>
      <x:c r="N576" s="90" t="n">
        <x:v>2500.26</x:v>
      </x:c>
      <x:c r="O576" s="90" t="n">
        <x:v>10791.22</x:v>
      </x:c>
      <x:c r="P576" s="90" t="n">
        <x:v>5788.8</x:v>
      </x:c>
      <x:c r="Q576" s="90" t="n">
        <x:v>402.55</x:v>
      </x:c>
      <x:c r="R576" s="90" t="n">
        <x:v>-0.1</x:v>
      </x:c>
      <x:c r="S576" s="90" t="n">
        <x:v>0</x:v>
      </x:c>
      <x:c r="T576" s="90" t="n">
        <x:v>0</x:v>
      </x:c>
      <x:c r="U576" s="90">
        <x:v>0</x:v>
      </x:c>
      <x:c r="V576" s="90">
        <x:v>0</x:v>
      </x:c>
      <x:c r="W576" s="90">
        <x:v>0</x:v>
      </x:c>
      <x:c r="X576">
        <x:v>0</x:v>
      </x:c>
      <x:c r="Y576">
        <x:v>0</x:v>
      </x:c>
      <x:c r="Z576">
        <x:v>0</x:v>
      </x:c>
    </x:row>
    <x:row r="577" spans="2:26" ht="12.75" customHeight="1" x14ac:dyDescent="0.2">
      <x:c r="D577" t="s">
        <x:v>86</x:v>
      </x:c>
      <x:c r="E577" s="89" t="s">
        <x:v>70</x:v>
      </x:c>
      <x:c r="F577" s="371" t="n">
        <x:v>4192748.44</x:v>
      </x:c>
      <x:c r="G577" s="90" t="n">
        <x:v>217929.56</x:v>
      </x:c>
      <x:c r="H577" s="90" t="n">
        <x:v>113819.25</x:v>
      </x:c>
      <x:c r="I577" s="90" t="n">
        <x:v>62291.45</x:v>
      </x:c>
      <x:c r="J577" s="90" t="n">
        <x:v>927700.93</x:v>
      </x:c>
      <x:c r="K577" s="90" t="n">
        <x:v>32686.56</x:v>
      </x:c>
      <x:c r="L577" s="90" t="n">
        <x:v>0</x:v>
      </x:c>
      <x:c r="M577" s="90" t="n">
        <x:v>293738.65</x:v>
      </x:c>
      <x:c r="N577" s="90" t="n">
        <x:v>322922.7</x:v>
      </x:c>
      <x:c r="O577" s="90" t="n">
        <x:v>1593696.14</x:v>
      </x:c>
      <x:c r="P577" s="90" t="n">
        <x:v>573759.67</x:v>
      </x:c>
      <x:c r="Q577" s="90" t="n">
        <x:v>54228.15</x:v>
      </x:c>
      <x:c r="R577" s="90" t="n">
        <x:v>-24.62</x:v>
      </x:c>
      <x:c r="S577" s="90" t="n">
        <x:v>0</x:v>
      </x:c>
      <x:c r="T577" s="90" t="n">
        <x:v>0</x:v>
      </x:c>
      <x:c r="U577" s="90">
        <x:v>0</x:v>
      </x:c>
      <x:c r="V577" s="90">
        <x:v>0</x:v>
      </x:c>
      <x:c r="W577" s="90">
        <x:v>0</x:v>
      </x:c>
      <x:c r="X577">
        <x:v>0</x:v>
      </x:c>
      <x:c r="Y577">
        <x:v>0</x:v>
      </x:c>
      <x:c r="Z577">
        <x:v>0</x:v>
      </x:c>
    </x:row>
    <x:row r="578" spans="2:26" ht="12.75" customHeight="1" x14ac:dyDescent="0.2">
      <x:c r="E578" s="89" t="s">
        <x:v>72</x:v>
      </x:c>
      <x:c r="F578" s="371">
        <x:v>0</x:v>
      </x:c>
      <x:c r="G578" s="90">
        <x:v>0</x:v>
      </x:c>
      <x:c r="H578" s="90">
        <x:v>0</x:v>
      </x:c>
      <x:c r="I578" s="90">
        <x:v>0</x:v>
      </x:c>
      <x:c r="J578" s="90">
        <x:v>0</x:v>
      </x:c>
      <x:c r="K578" s="90">
        <x:v>0</x:v>
      </x:c>
      <x:c r="L578" s="90">
        <x:v>0</x:v>
      </x:c>
      <x:c r="M578" s="90">
        <x:v>0</x:v>
      </x:c>
      <x:c r="N578" s="90">
        <x:v>0</x:v>
      </x:c>
      <x:c r="O578" s="90">
        <x:v>0</x:v>
      </x:c>
      <x:c r="P578" s="90">
        <x:v>0</x:v>
      </x:c>
      <x:c r="Q578" s="90">
        <x:v>0</x:v>
      </x:c>
      <x:c r="R578" s="90">
        <x:v>0</x:v>
      </x:c>
      <x:c r="S578" s="90">
        <x:v>0</x:v>
      </x:c>
      <x:c r="T578" s="90">
        <x:v>0</x:v>
      </x:c>
      <x:c r="U578" s="90">
        <x:v>0</x:v>
      </x:c>
      <x:c r="V578" s="90">
        <x:v>0</x:v>
      </x:c>
      <x:c r="W578" s="90">
        <x:v>0</x:v>
      </x:c>
      <x:c r="X578" s="90">
        <x:v>0</x:v>
      </x:c>
      <x:c r="Y578" s="90">
        <x:v>0</x:v>
      </x:c>
      <x:c r="Z578" s="90">
        <x:v>0</x:v>
      </x:c>
    </x:row>
    <x:row r="579" spans="2:26" x14ac:dyDescent="0.2">
      <x:c r="E579" t="s">
        <x:v>81</x:v>
      </x:c>
      <x:c r="F579" s="90">
        <x:v>0</x:v>
      </x:c>
      <x:c r="G579" s="90">
        <x:v>0</x:v>
      </x:c>
      <x:c r="H579" s="90">
        <x:v>0</x:v>
      </x:c>
      <x:c r="I579" s="90">
        <x:v>0</x:v>
      </x:c>
      <x:c r="J579" s="90">
        <x:v>0</x:v>
      </x:c>
      <x:c r="K579" s="90">
        <x:v>0</x:v>
      </x:c>
      <x:c r="L579" s="90">
        <x:v>0</x:v>
      </x:c>
      <x:c r="M579" s="90">
        <x:v>0</x:v>
      </x:c>
      <x:c r="N579" s="90">
        <x:v>0</x:v>
      </x:c>
      <x:c r="O579" s="90">
        <x:v>0</x:v>
      </x:c>
      <x:c r="P579" s="90">
        <x:v>0</x:v>
      </x:c>
      <x:c r="Q579" s="90">
        <x:v>0</x:v>
      </x:c>
      <x:c r="R579" s="90">
        <x:v>0</x:v>
      </x:c>
      <x:c r="S579" s="90">
        <x:v>0</x:v>
      </x:c>
      <x:c r="T579" s="90">
        <x:v>0</x:v>
      </x:c>
      <x:c r="U579">
        <x:v>0</x:v>
      </x:c>
      <x:c r="V579">
        <x:v>0</x:v>
      </x:c>
      <x:c r="W579">
        <x:v>0</x:v>
      </x:c>
      <x:c r="X579">
        <x:v>0</x:v>
      </x:c>
      <x:c r="Y579">
        <x:v>0</x:v>
      </x:c>
      <x:c r="Z579" s="90">
        <x:v>0</x:v>
      </x:c>
    </x:row>
    <x:row r="580" spans="2:26" ht="12.75" customHeight="1" x14ac:dyDescent="0.2">
      <x:c r="D580" t="s">
        <x:v>87</x:v>
      </x:c>
      <x:c r="E580" s="89" t="s">
        <x:v>70</x:v>
      </x:c>
      <x:c r="F580" s="371">
        <x:v>0</x:v>
      </x:c>
      <x:c r="G580" s="90">
        <x:v>0</x:v>
      </x:c>
      <x:c r="H580" s="90">
        <x:v>0</x:v>
      </x:c>
      <x:c r="I580" s="90">
        <x:v>0</x:v>
      </x:c>
      <x:c r="J580" s="90">
        <x:v>0</x:v>
      </x:c>
      <x:c r="K580" s="90">
        <x:v>0</x:v>
      </x:c>
      <x:c r="L580" s="90">
        <x:v>0</x:v>
      </x:c>
      <x:c r="M580" s="90">
        <x:v>0</x:v>
      </x:c>
      <x:c r="N580" s="90">
        <x:v>0</x:v>
      </x:c>
      <x:c r="O580" s="90">
        <x:v>0</x:v>
      </x:c>
      <x:c r="P580" s="90">
        <x:v>0</x:v>
      </x:c>
      <x:c r="Q580" s="90">
        <x:v>0</x:v>
      </x:c>
      <x:c r="R580" s="90">
        <x:v>0</x:v>
      </x:c>
      <x:c r="S580" s="90">
        <x:v>0</x:v>
      </x:c>
      <x:c r="T580" s="90">
        <x:v>0</x:v>
      </x:c>
      <x:c r="U580" s="90">
        <x:v>0</x:v>
      </x:c>
      <x:c r="V580" s="90">
        <x:v>0</x:v>
      </x:c>
      <x:c r="W580" s="90">
        <x:v>0</x:v>
      </x:c>
      <x:c r="X580" s="90">
        <x:v>0</x:v>
      </x:c>
      <x:c r="Y580" s="90">
        <x:v>0</x:v>
      </x:c>
      <x:c r="Z580" s="90">
        <x:v>0</x:v>
      </x:c>
    </x:row>
    <x:row r="581" spans="2:26" s="94" customFormat="1" ht="12.75" customHeight="1" x14ac:dyDescent="0.2">
      <x:c r="C581" s="94" t="s">
        <x:v>119</x:v>
      </x:c>
      <x:c r="D581" s="94" t="s">
        <x:v>70</x:v>
      </x:c>
      <x:c r="E581" s="101"/>
      <x:c r="F581" s="93" t="n">
        <x:v>5383115.11</x:v>
      </x:c>
      <x:c r="G581" s="93" t="n">
        <x:v>295177.14</x:v>
      </x:c>
      <x:c r="H581" s="93" t="n">
        <x:v>155798.47</x:v>
      </x:c>
      <x:c r="I581" s="93" t="n">
        <x:v>83506.34</x:v>
      </x:c>
      <x:c r="J581" s="93" t="n">
        <x:v>1190857.38</x:v>
      </x:c>
      <x:c r="K581" s="93" t="n">
        <x:v>40011.82</x:v>
      </x:c>
      <x:c r="L581" s="93" t="n">
        <x:v>0</x:v>
      </x:c>
      <x:c r="M581" s="93" t="n">
        <x:v>357994.68</x:v>
      </x:c>
      <x:c r="N581" s="93" t="n">
        <x:v>405293.91</x:v>
      </x:c>
      <x:c r="O581" s="93" t="n">
        <x:v>2011747.21</x:v>
      </x:c>
      <x:c r="P581" s="93" t="n">
        <x:v>776565.21</x:v>
      </x:c>
      <x:c r="Q581" s="93" t="n">
        <x:v>66179.71</x:v>
      </x:c>
      <x:c r="R581" s="93" t="n">
        <x:v>-16.76</x:v>
      </x:c>
      <x:c r="S581" s="93" t="n">
        <x:v>0</x:v>
      </x:c>
      <x:c r="T581" s="93" t="n">
        <x:v>0</x:v>
      </x:c>
      <x:c r="U581" s="93">
        <x:v>0</x:v>
      </x:c>
      <x:c r="V581" s="93">
        <x:v>0</x:v>
      </x:c>
      <x:c r="W581" s="93">
        <x:v>0</x:v>
      </x:c>
      <x:c r="X581" s="94">
        <x:v>0</x:v>
      </x:c>
      <x:c r="Y581" s="94">
        <x:v>0</x:v>
      </x:c>
      <x:c r="Z581" s="94">
        <x:v>0</x:v>
      </x:c>
    </x:row>
    <x:row r="582" spans="2:26" s="378" customFormat="1" ht="12.75" customHeight="1" x14ac:dyDescent="0.2">
      <x:c r="B582" s="378" t="s">
        <x:v>122</x:v>
      </x:c>
      <x:c r="C582" s="378" t="s">
        <x:v>70</x:v>
      </x:c>
      <x:c r="E582" s="376"/>
      <x:c r="F582" s="377" t="n">
        <x:v>82573215.55</x:v>
      </x:c>
      <x:c r="G582" s="377" t="n">
        <x:v>6075269.33</x:v>
      </x:c>
      <x:c r="H582" s="377" t="n">
        <x:v>3380450.04</x:v>
      </x:c>
      <x:c r="I582" s="377" t="n">
        <x:v>1783357.17</x:v>
      </x:c>
      <x:c r="J582" s="377" t="n">
        <x:v>16603424.77</x:v>
      </x:c>
      <x:c r="K582" s="377" t="n">
        <x:v>514853.18</x:v>
      </x:c>
      <x:c r="L582" s="377" t="n">
        <x:v>5153.85</x:v>
      </x:c>
      <x:c r="M582" s="377" t="n">
        <x:v>4479556.15</x:v>
      </x:c>
      <x:c r="N582" s="377" t="n">
        <x:v>5391190.35</x:v>
      </x:c>
      <x:c r="O582" s="377" t="n">
        <x:v>27410403</x:v>
      </x:c>
      <x:c r="P582" s="377" t="n">
        <x:v>16085765.42</x:v>
      </x:c>
      <x:c r="Q582" s="377" t="n">
        <x:v>843874.77</x:v>
      </x:c>
      <x:c r="R582" s="377" t="n">
        <x:v>-83.41</x:v>
      </x:c>
      <x:c r="S582" s="377" t="n">
        <x:v>0</x:v>
      </x:c>
      <x:c r="T582" s="378" t="n">
        <x:v>0.93</x:v>
      </x:c>
      <x:c r="U582" s="378">
        <x:v>0</x:v>
      </x:c>
      <x:c r="V582" s="378">
        <x:v>0</x:v>
      </x:c>
      <x:c r="W582" s="378">
        <x:v>0</x:v>
      </x:c>
      <x:c r="X582" s="378">
        <x:v>0</x:v>
      </x:c>
      <x:c r="Y582" s="377">
        <x:v>0</x:v>
      </x:c>
      <x:c r="Z582" s="378">
        <x:v>0</x:v>
      </x:c>
    </x:row>
    <x:row r="583" spans="2:26" ht="12.75" customHeight="1" x14ac:dyDescent="0.2">
      <x:c r="E583" s="89" t="s">
        <x:v>72</x:v>
      </x:c>
      <x:c r="F583" s="90" t="n">
        <x:v>7003659421.17</x:v>
      </x:c>
      <x:c r="G583" s="90" t="n">
        <x:v>374774350.44</x:v>
      </x:c>
      <x:c r="H583" s="90" t="n">
        <x:v>208049577.95</x:v>
      </x:c>
      <x:c r="I583" s="90" t="n">
        <x:v>110764449.34</x:v>
      </x:c>
      <x:c r="J583" s="90" t="n">
        <x:v>1646166594.38</x:v>
      </x:c>
      <x:c r="K583" s="90" t="n">
        <x:v>57680588.87</x:v>
      </x:c>
      <x:c r="L583" s="90" t="n">
        <x:v>3969603.72</x:v>
      </x:c>
      <x:c r="M583" s="90" t="n">
        <x:v>504650259.18</x:v>
      </x:c>
      <x:c r="N583" s="90" t="n">
        <x:v>491338475.32</x:v>
      </x:c>
      <x:c r="O583" s="90" t="n">
        <x:v>2520403268.28</x:v>
      </x:c>
      <x:c r="P583" s="90" t="n">
        <x:v>991617251.91</x:v>
      </x:c>
      <x:c r="Q583" s="90" t="n">
        <x:v>94241315.8</x:v>
      </x:c>
      <x:c r="R583" s="90" t="n">
        <x:v>3685.98</x:v>
      </x:c>
      <x:c r="S583" s="90" t="n">
        <x:v>0</x:v>
      </x:c>
      <x:c r="T583" t="n">
        <x:v>0</x:v>
      </x:c>
      <x:c r="U583">
        <x:v>0</x:v>
      </x:c>
      <x:c r="V583">
        <x:v>0</x:v>
      </x:c>
      <x:c r="W583">
        <x:v>0</x:v>
      </x:c>
      <x:c r="X583">
        <x:v>0</x:v>
      </x:c>
      <x:c r="Y583" s="90">
        <x:v>0</x:v>
      </x:c>
      <x:c r="Z583">
        <x:v>0</x:v>
      </x:c>
    </x:row>
    <x:row r="584" spans="2:26" ht="12.75" customHeight="1" x14ac:dyDescent="0.2">
      <x:c r="E584" s="89" t="s">
        <x:v>81</x:v>
      </x:c>
      <x:c r="F584" s="371" t="n">
        <x:v>10284754.11</x:v>
      </x:c>
      <x:c r="G584" s="90" t="n">
        <x:v>1213427.94</x:v>
      </x:c>
      <x:c r="H584" s="90" t="n">
        <x:v>539696.13</x:v>
      </x:c>
      <x:c r="I584" s="90" t="n">
        <x:v>217499.02</x:v>
      </x:c>
      <x:c r="J584" s="90" t="n">
        <x:v>1729790.54</x:v>
      </x:c>
      <x:c r="K584" s="90" t="n">
        <x:v>64989.47</x:v>
      </x:c>
      <x:c r="L584" s="90" t="n">
        <x:v>4018.66</x:v>
      </x:c>
      <x:c r="M584" s="90" t="n">
        <x:v>564951.34</x:v>
      </x:c>
      <x:c r="N584" s="90" t="n">
        <x:v>638984.88</x:v>
      </x:c>
      <x:c r="O584" s="90" t="n">
        <x:v>1996805.8</x:v>
      </x:c>
      <x:c r="P584" s="90" t="n">
        <x:v>3208426.95</x:v>
      </x:c>
      <x:c r="Q584" s="90" t="n">
        <x:v>106120.33</x:v>
      </x:c>
      <x:c r="R584" s="90" t="n">
        <x:v>-27.34</x:v>
      </x:c>
      <x:c r="S584" s="90" t="n">
        <x:v>-0.04</x:v>
      </x:c>
      <x:c r="T584" t="n">
        <x:v>70.43</x:v>
      </x:c>
      <x:c r="U584">
        <x:v>0</x:v>
      </x:c>
      <x:c r="V584">
        <x:v>0</x:v>
      </x:c>
      <x:c r="W584">
        <x:v>0</x:v>
      </x:c>
      <x:c r="X584">
        <x:v>0</x:v>
      </x:c>
      <x:c r="Y584" s="90">
        <x:v>0</x:v>
      </x:c>
      <x:c r="Z584">
        <x:v>0</x:v>
      </x:c>
    </x:row>
    <x:row r="585" spans="2:26" ht="12.75" customHeight="1" x14ac:dyDescent="0.2">
      <x:c r="D585" t="s">
        <x:v>156</x:v>
      </x:c>
      <x:c r="E585" s="89" t="s">
        <x:v>70</x:v>
      </x:c>
      <x:c r="F585" s="90" t="n">
        <x:v>7013944175.28</x:v>
      </x:c>
      <x:c r="G585" s="90" t="n">
        <x:v>375987778.38</x:v>
      </x:c>
      <x:c r="H585" s="90" t="n">
        <x:v>208589274.08</x:v>
      </x:c>
      <x:c r="I585" s="90" t="n">
        <x:v>110981948.36</x:v>
      </x:c>
      <x:c r="J585" s="90" t="n">
        <x:v>1647896384.92</x:v>
      </x:c>
      <x:c r="K585" s="90" t="n">
        <x:v>57745578.34</x:v>
      </x:c>
      <x:c r="L585" s="90" t="n">
        <x:v>3973622.38</x:v>
      </x:c>
      <x:c r="M585" s="90" t="n">
        <x:v>505215210.52</x:v>
      </x:c>
      <x:c r="N585" s="90" t="n">
        <x:v>491977460.2</x:v>
      </x:c>
      <x:c r="O585" s="90" t="n">
        <x:v>2522400074.08</x:v>
      </x:c>
      <x:c r="P585" s="90" t="n">
        <x:v>994825678.86</x:v>
      </x:c>
      <x:c r="Q585" s="90" t="n">
        <x:v>94347436.13</x:v>
      </x:c>
      <x:c r="R585" s="90" t="n">
        <x:v>3658.64</x:v>
      </x:c>
      <x:c r="S585" s="90" t="n">
        <x:v>-0.04</x:v>
      </x:c>
      <x:c r="T585" t="n">
        <x:v>70.43</x:v>
      </x:c>
      <x:c r="U585">
        <x:v>0</x:v>
      </x:c>
      <x:c r="V585">
        <x:v>0</x:v>
      </x:c>
      <x:c r="W585">
        <x:v>0</x:v>
      </x:c>
      <x:c r="X585">
        <x:v>0</x:v>
      </x:c>
      <x:c r="Y585" s="90">
        <x:v>0</x:v>
      </x:c>
      <x:c r="Z585">
        <x:v>0</x:v>
      </x:c>
    </x:row>
    <x:row r="586" spans="2:26" s="656" customFormat="1" ht="12.75" customHeight="1" x14ac:dyDescent="0.2">
      <x:c r="C586" s="656" t="s">
        <x:v>155</x:v>
      </x:c>
      <x:c r="D586" s="657" t="s">
        <x:v>70</x:v>
      </x:c>
      <x:c r="E586" s="657"/>
      <x:c r="F586" s="658" t="n">
        <x:v>7013944175.28</x:v>
      </x:c>
      <x:c r="G586" s="658" t="n">
        <x:v>375987778.38</x:v>
      </x:c>
      <x:c r="H586" s="658" t="n">
        <x:v>208589274.08</x:v>
      </x:c>
      <x:c r="I586" s="658" t="n">
        <x:v>110981948.36</x:v>
      </x:c>
      <x:c r="J586" s="658" t="n">
        <x:v>1647896384.92</x:v>
      </x:c>
      <x:c r="K586" s="658" t="n">
        <x:v>57745578.34</x:v>
      </x:c>
      <x:c r="L586" s="658" t="n">
        <x:v>3973622.38</x:v>
      </x:c>
      <x:c r="M586" s="658" t="n">
        <x:v>505215210.52</x:v>
      </x:c>
      <x:c r="N586" s="658" t="n">
        <x:v>491977460.2</x:v>
      </x:c>
      <x:c r="O586" s="658" t="n">
        <x:v>2522400074.08</x:v>
      </x:c>
      <x:c r="P586" s="658" t="n">
        <x:v>994825678.86</x:v>
      </x:c>
      <x:c r="Q586" s="658" t="n">
        <x:v>94347436.13</x:v>
      </x:c>
      <x:c r="R586" s="658" t="n">
        <x:v>3658.64</x:v>
      </x:c>
      <x:c r="S586" s="658" t="n">
        <x:v>-0.04</x:v>
      </x:c>
      <x:c r="T586" s="656" t="n">
        <x:v>70.43</x:v>
      </x:c>
      <x:c r="U586" s="656">
        <x:v>0</x:v>
      </x:c>
      <x:c r="V586" s="656">
        <x:v>0</x:v>
      </x:c>
      <x:c r="W586" s="656">
        <x:v>0</x:v>
      </x:c>
      <x:c r="X586" s="656">
        <x:v>0</x:v>
      </x:c>
      <x:c r="Y586" s="658">
        <x:v>0</x:v>
      </x:c>
      <x:c r="Z586" s="656">
        <x:v>0</x:v>
      </x:c>
    </x:row>
    <x:row r="587" spans="2:26" ht="12.75" customHeight="1" x14ac:dyDescent="0.2">
      <x:c r="D587" s="89"/>
      <x:c r="E587" s="89" t="s">
        <x:v>72</x:v>
      </x:c>
      <x:c r="F587" s="371" t="n">
        <x:v>185863.09</x:v>
      </x:c>
      <x:c r="G587" s="90" t="n">
        <x:v>16002.5</x:v>
      </x:c>
      <x:c r="H587" s="90" t="n">
        <x:v>7661.13</x:v>
      </x:c>
      <x:c r="I587" s="90" t="n">
        <x:v>4162.52</x:v>
      </x:c>
      <x:c r="J587" s="90" t="n">
        <x:v>38697.85</x:v>
      </x:c>
      <x:c r="K587" s="90" t="n">
        <x:v>1085.83</x:v>
      </x:c>
      <x:c r="L587" s="90" t="n">
        <x:v>0</x:v>
      </x:c>
      <x:c r="M587" s="90" t="n">
        <x:v>9524.88</x:v>
      </x:c>
      <x:c r="N587" s="90" t="n">
        <x:v>10601.79</x:v>
      </x:c>
      <x:c r="O587" s="90" t="n">
        <x:v>53215.3</x:v>
      </x:c>
      <x:c r="P587" s="90" t="n">
        <x:v>43137.45</x:v>
      </x:c>
      <x:c r="Q587" s="90" t="n">
        <x:v>1771.62</x:v>
      </x:c>
      <x:c r="R587" s="90" t="n">
        <x:v>2.22</x:v>
      </x:c>
      <x:c r="S587" s="90" t="n">
        <x:v>0</x:v>
      </x:c>
      <x:c r="T587" s="90" t="n">
        <x:v>0</x:v>
      </x:c>
      <x:c r="U587" s="90">
        <x:v>0</x:v>
      </x:c>
      <x:c r="V587" s="90">
        <x:v>0</x:v>
      </x:c>
      <x:c r="W587" s="90">
        <x:v>0</x:v>
      </x:c>
      <x:c r="X587">
        <x:v>0</x:v>
      </x:c>
      <x:c r="Y587">
        <x:v>0</x:v>
      </x:c>
      <x:c r="Z587">
        <x:v>0</x:v>
      </x:c>
    </x:row>
    <x:row r="588" spans="2:26" ht="12.75" customHeight="1" x14ac:dyDescent="0.2">
      <x:c r="D588" s="89"/>
      <x:c r="E588" s="89" t="s">
        <x:v>81</x:v>
      </x:c>
      <x:c r="F588" s="371" t="n">
        <x:v>569.01</x:v>
      </x:c>
      <x:c r="G588" s="90" t="n">
        <x:v>55.63</x:v>
      </x:c>
      <x:c r="H588" s="90" t="n">
        <x:v>25.69</x:v>
      </x:c>
      <x:c r="I588" s="90" t="n">
        <x:v>14.66</x:v>
      </x:c>
      <x:c r="J588" s="90" t="n">
        <x:v>110.44</x:v>
      </x:c>
      <x:c r="K588" s="90" t="n">
        <x:v>2.94</x:v>
      </x:c>
      <x:c r="L588" s="90" t="n">
        <x:v>0</x:v>
      </x:c>
      <x:c r="M588" s="90" t="n">
        <x:v>25.75</x:v>
      </x:c>
      <x:c r="N588" s="90" t="n">
        <x:v>29.17</x:v>
      </x:c>
      <x:c r="O588" s="90" t="n">
        <x:v>152.04</x:v>
      </x:c>
      <x:c r="P588" s="90" t="n">
        <x:v>147.89</x:v>
      </x:c>
      <x:c r="Q588" s="90" t="n">
        <x:v>4.79</x:v>
      </x:c>
      <x:c r="R588" s="90" t="n">
        <x:v>0.01</x:v>
      </x:c>
      <x:c r="S588" s="90" t="n">
        <x:v>0</x:v>
      </x:c>
      <x:c r="T588" s="90" t="n">
        <x:v>0</x:v>
      </x:c>
      <x:c r="U588" s="90">
        <x:v>0</x:v>
      </x:c>
      <x:c r="V588" s="90">
        <x:v>0</x:v>
      </x:c>
      <x:c r="W588" s="90">
        <x:v>0</x:v>
      </x:c>
      <x:c r="X588">
        <x:v>0</x:v>
      </x:c>
      <x:c r="Y588">
        <x:v>0</x:v>
      </x:c>
      <x:c r="Z588">
        <x:v>0</x:v>
      </x:c>
    </x:row>
    <x:row r="589" spans="2:26" ht="12.75" customHeight="1" x14ac:dyDescent="0.2">
      <x:c r="D589" s="89" t="s">
        <x:v>115</x:v>
      </x:c>
      <x:c r="E589" s="89" t="s">
        <x:v>70</x:v>
      </x:c>
      <x:c r="F589" s="371" t="n">
        <x:v>186432.1</x:v>
      </x:c>
      <x:c r="G589" s="90" t="n">
        <x:v>16058.13</x:v>
      </x:c>
      <x:c r="H589" s="90" t="n">
        <x:v>7686.82</x:v>
      </x:c>
      <x:c r="I589" s="90" t="n">
        <x:v>4177.18</x:v>
      </x:c>
      <x:c r="J589" s="90" t="n">
        <x:v>38808.29</x:v>
      </x:c>
      <x:c r="K589" s="90" t="n">
        <x:v>1088.77</x:v>
      </x:c>
      <x:c r="L589" s="90" t="n">
        <x:v>0</x:v>
      </x:c>
      <x:c r="M589" s="90" t="n">
        <x:v>9550.63</x:v>
      </x:c>
      <x:c r="N589" s="90" t="n">
        <x:v>10630.96</x:v>
      </x:c>
      <x:c r="O589" s="90" t="n">
        <x:v>53367.34</x:v>
      </x:c>
      <x:c r="P589" s="90" t="n">
        <x:v>43285.34</x:v>
      </x:c>
      <x:c r="Q589" s="90" t="n">
        <x:v>1776.41</x:v>
      </x:c>
      <x:c r="R589" s="90" t="n">
        <x:v>2.23</x:v>
      </x:c>
      <x:c r="S589" s="90" t="n">
        <x:v>0</x:v>
      </x:c>
      <x:c r="T589" s="90" t="n">
        <x:v>0</x:v>
      </x:c>
      <x:c r="U589" s="90">
        <x:v>0</x:v>
      </x:c>
      <x:c r="V589" s="90">
        <x:v>0</x:v>
      </x:c>
      <x:c r="W589" s="90">
        <x:v>0</x:v>
      </x:c>
      <x:c r="X589">
        <x:v>0</x:v>
      </x:c>
      <x:c r="Y589">
        <x:v>0</x:v>
      </x:c>
      <x:c r="Z589">
        <x:v>0</x:v>
      </x:c>
    </x:row>
    <x:row r="590" spans="2:26" ht="12.75" customHeight="1" x14ac:dyDescent="0.2">
      <x:c r="D590" s="89"/>
      <x:c r="E590" s="89" t="s">
        <x:v>72</x:v>
      </x:c>
      <x:c r="F590" s="371">
        <x:v>0</x:v>
      </x:c>
      <x:c r="G590" s="90">
        <x:v>0</x:v>
      </x:c>
      <x:c r="H590" s="90">
        <x:v>0</x:v>
      </x:c>
      <x:c r="I590" s="90">
        <x:v>0</x:v>
      </x:c>
      <x:c r="J590" s="90">
        <x:v>0</x:v>
      </x:c>
      <x:c r="K590" s="90">
        <x:v>0</x:v>
      </x:c>
      <x:c r="L590" s="90">
        <x:v>0</x:v>
      </x:c>
      <x:c r="M590" s="90">
        <x:v>0</x:v>
      </x:c>
      <x:c r="N590" s="90">
        <x:v>0</x:v>
      </x:c>
      <x:c r="O590" s="90">
        <x:v>0</x:v>
      </x:c>
      <x:c r="P590" s="90">
        <x:v>0</x:v>
      </x:c>
      <x:c r="Q590" s="90">
        <x:v>0</x:v>
      </x:c>
      <x:c r="R590" s="90">
        <x:v>0</x:v>
      </x:c>
      <x:c r="S590" s="90">
        <x:v>0</x:v>
      </x:c>
      <x:c r="T590" s="90">
        <x:v>0</x:v>
      </x:c>
      <x:c r="U590" s="90">
        <x:v>0</x:v>
      </x:c>
      <x:c r="V590" s="90">
        <x:v>0</x:v>
      </x:c>
      <x:c r="W590" s="90">
        <x:v>0</x:v>
      </x:c>
      <x:c r="X590">
        <x:v>0</x:v>
      </x:c>
      <x:c r="Y590">
        <x:v>0</x:v>
      </x:c>
      <x:c r="Z590">
        <x:v>0</x:v>
      </x:c>
    </x:row>
    <x:row r="591" spans="2:26" ht="12.75" customHeight="1" x14ac:dyDescent="0.2">
      <x:c r="D591" s="89"/>
      <x:c r="E591" s="89" t="s">
        <x:v>81</x:v>
      </x:c>
      <x:c r="F591" s="90">
        <x:v>0</x:v>
      </x:c>
      <x:c r="G591" s="90">
        <x:v>0</x:v>
      </x:c>
      <x:c r="H591" s="90">
        <x:v>0</x:v>
      </x:c>
      <x:c r="I591" s="90">
        <x:v>0</x:v>
      </x:c>
      <x:c r="J591" s="90">
        <x:v>0</x:v>
      </x:c>
      <x:c r="K591" s="90">
        <x:v>0</x:v>
      </x:c>
      <x:c r="L591" s="90">
        <x:v>0</x:v>
      </x:c>
      <x:c r="M591" s="90">
        <x:v>0</x:v>
      </x:c>
      <x:c r="N591" s="90">
        <x:v>0</x:v>
      </x:c>
      <x:c r="O591" s="90">
        <x:v>0</x:v>
      </x:c>
      <x:c r="P591" s="90">
        <x:v>0</x:v>
      </x:c>
      <x:c r="Q591" s="90">
        <x:v>0</x:v>
      </x:c>
      <x:c r="R591" s="90">
        <x:v>0</x:v>
      </x:c>
      <x:c r="S591" s="90">
        <x:v>0</x:v>
      </x:c>
      <x:c r="T591" s="90">
        <x:v>0</x:v>
      </x:c>
      <x:c r="U591" s="90">
        <x:v>0</x:v>
      </x:c>
      <x:c r="V591" s="90">
        <x:v>0</x:v>
      </x:c>
      <x:c r="W591" s="90">
        <x:v>0</x:v>
      </x:c>
      <x:c r="X591">
        <x:v>0</x:v>
      </x:c>
      <x:c r="Y591">
        <x:v>0</x:v>
      </x:c>
      <x:c r="Z591">
        <x:v>0</x:v>
      </x:c>
    </x:row>
    <x:row r="592" spans="2:26" ht="12.75" customHeight="1" x14ac:dyDescent="0.2">
      <x:c r="D592" t="s">
        <x:v>116</x:v>
      </x:c>
      <x:c r="E592" s="89" t="s">
        <x:v>70</x:v>
      </x:c>
      <x:c r="F592" s="90">
        <x:v>0</x:v>
      </x:c>
      <x:c r="G592" s="90">
        <x:v>0</x:v>
      </x:c>
      <x:c r="H592" s="90">
        <x:v>0</x:v>
      </x:c>
      <x:c r="I592" s="90">
        <x:v>0</x:v>
      </x:c>
      <x:c r="J592" s="90">
        <x:v>0</x:v>
      </x:c>
      <x:c r="K592" s="90">
        <x:v>0</x:v>
      </x:c>
      <x:c r="L592" s="90">
        <x:v>0</x:v>
      </x:c>
      <x:c r="M592" s="90">
        <x:v>0</x:v>
      </x:c>
      <x:c r="N592" s="90">
        <x:v>0</x:v>
      </x:c>
      <x:c r="O592" s="90">
        <x:v>0</x:v>
      </x:c>
      <x:c r="P592" s="90">
        <x:v>0</x:v>
      </x:c>
      <x:c r="Q592" s="90">
        <x:v>0</x:v>
      </x:c>
      <x:c r="R592" s="90">
        <x:v>0</x:v>
      </x:c>
      <x:c r="S592" s="90">
        <x:v>0</x:v>
      </x:c>
      <x:c r="T592" s="90">
        <x:v>0</x:v>
      </x:c>
      <x:c r="U592" s="90">
        <x:v>0</x:v>
      </x:c>
      <x:c r="V592" s="90">
        <x:v>0</x:v>
      </x:c>
      <x:c r="W592" s="90">
        <x:v>0</x:v>
      </x:c>
      <x:c r="X592">
        <x:v>0</x:v>
      </x:c>
      <x:c r="Y592">
        <x:v>0</x:v>
      </x:c>
      <x:c r="Z592">
        <x:v>0</x:v>
      </x:c>
    </x:row>
    <x:row r="593" spans="3:26" ht="12.75" customHeight="1" x14ac:dyDescent="0.2">
      <x:c r="D593" s="89"/>
      <x:c r="E593" s="89" t="s">
        <x:v>72</x:v>
      </x:c>
      <x:c r="F593" s="371">
        <x:v>0</x:v>
      </x:c>
      <x:c r="G593" s="90">
        <x:v>0</x:v>
      </x:c>
      <x:c r="H593" s="90">
        <x:v>0</x:v>
      </x:c>
      <x:c r="I593" s="90">
        <x:v>0</x:v>
      </x:c>
      <x:c r="J593" s="90">
        <x:v>0</x:v>
      </x:c>
      <x:c r="K593" s="90">
        <x:v>0</x:v>
      </x:c>
      <x:c r="L593" s="90">
        <x:v>0</x:v>
      </x:c>
      <x:c r="M593" s="90">
        <x:v>0</x:v>
      </x:c>
      <x:c r="N593" s="90">
        <x:v>0</x:v>
      </x:c>
      <x:c r="O593" s="90">
        <x:v>0</x:v>
      </x:c>
      <x:c r="P593" s="90">
        <x:v>0</x:v>
      </x:c>
      <x:c r="Q593" s="90">
        <x:v>0</x:v>
      </x:c>
      <x:c r="R593" s="90">
        <x:v>0</x:v>
      </x:c>
      <x:c r="S593" s="90">
        <x:v>0</x:v>
      </x:c>
      <x:c r="T593" s="90">
        <x:v>0</x:v>
      </x:c>
      <x:c r="U593" s="90">
        <x:v>0</x:v>
      </x:c>
      <x:c r="V593" s="90">
        <x:v>0</x:v>
      </x:c>
      <x:c r="W593" s="90">
        <x:v>0</x:v>
      </x:c>
      <x:c r="X593">
        <x:v>0</x:v>
      </x:c>
      <x:c r="Y593">
        <x:v>0</x:v>
      </x:c>
      <x:c r="Z593">
        <x:v>0</x:v>
      </x:c>
    </x:row>
    <x:row r="594" spans="3:26" ht="12.75" customHeight="1" x14ac:dyDescent="0.2">
      <x:c r="D594" s="89"/>
      <x:c r="E594" s="89" t="s">
        <x:v>81</x:v>
      </x:c>
      <x:c r="F594" s="371">
        <x:v>0</x:v>
      </x:c>
      <x:c r="G594" s="90">
        <x:v>0</x:v>
      </x:c>
      <x:c r="H594" s="90">
        <x:v>0</x:v>
      </x:c>
      <x:c r="I594" s="90">
        <x:v>0</x:v>
      </x:c>
      <x:c r="J594" s="90">
        <x:v>0</x:v>
      </x:c>
      <x:c r="K594" s="90">
        <x:v>0</x:v>
      </x:c>
      <x:c r="L594" s="90">
        <x:v>0</x:v>
      </x:c>
      <x:c r="M594" s="90">
        <x:v>0</x:v>
      </x:c>
      <x:c r="N594" s="90">
        <x:v>0</x:v>
      </x:c>
      <x:c r="O594" s="90">
        <x:v>0</x:v>
      </x:c>
      <x:c r="P594" s="90">
        <x:v>0</x:v>
      </x:c>
      <x:c r="Q594" s="90">
        <x:v>0</x:v>
      </x:c>
      <x:c r="R594" s="90">
        <x:v>0</x:v>
      </x:c>
      <x:c r="S594" s="90">
        <x:v>0</x:v>
      </x:c>
      <x:c r="T594" s="90">
        <x:v>0</x:v>
      </x:c>
      <x:c r="U594" s="90">
        <x:v>0</x:v>
      </x:c>
      <x:c r="V594" s="90">
        <x:v>0</x:v>
      </x:c>
      <x:c r="W594" s="90">
        <x:v>0</x:v>
      </x:c>
      <x:c r="X594">
        <x:v>0</x:v>
      </x:c>
      <x:c r="Y594">
        <x:v>0</x:v>
      </x:c>
      <x:c r="Z594">
        <x:v>0</x:v>
      </x:c>
    </x:row>
    <x:row r="595" spans="3:26" ht="12.75" customHeight="1" x14ac:dyDescent="0.2">
      <x:c r="D595" s="773">
        <x:v>3</x:v>
      </x:c>
      <x:c r="E595" s="89" t="s">
        <x:v>70</x:v>
      </x:c>
      <x:c r="F595" s="371">
        <x:v>0</x:v>
      </x:c>
      <x:c r="G595" s="90">
        <x:v>0</x:v>
      </x:c>
      <x:c r="H595" s="90">
        <x:v>0</x:v>
      </x:c>
      <x:c r="I595" s="90">
        <x:v>0</x:v>
      </x:c>
      <x:c r="J595" s="90">
        <x:v>0</x:v>
      </x:c>
      <x:c r="K595" s="90">
        <x:v>0</x:v>
      </x:c>
      <x:c r="L595" s="90">
        <x:v>0</x:v>
      </x:c>
      <x:c r="M595" s="90">
        <x:v>0</x:v>
      </x:c>
      <x:c r="N595" s="90">
        <x:v>0</x:v>
      </x:c>
      <x:c r="O595" s="90">
        <x:v>0</x:v>
      </x:c>
      <x:c r="P595" s="90">
        <x:v>0</x:v>
      </x:c>
      <x:c r="Q595" s="90">
        <x:v>0</x:v>
      </x:c>
      <x:c r="R595" s="90">
        <x:v>0</x:v>
      </x:c>
      <x:c r="S595" s="90">
        <x:v>0</x:v>
      </x:c>
      <x:c r="T595" s="90">
        <x:v>0</x:v>
      </x:c>
      <x:c r="U595" s="90">
        <x:v>0</x:v>
      </x:c>
      <x:c r="V595" s="90">
        <x:v>0</x:v>
      </x:c>
      <x:c r="W595" s="90">
        <x:v>0</x:v>
      </x:c>
      <x:c r="X595">
        <x:v>0</x:v>
      </x:c>
      <x:c r="Y595">
        <x:v>0</x:v>
      </x:c>
      <x:c r="Z595">
        <x:v>0</x:v>
      </x:c>
    </x:row>
    <x:row r="596" spans="3:26" ht="12.75" customHeight="1" x14ac:dyDescent="0.2">
      <x:c r="D596" s="89"/>
      <x:c r="E596" s="89" t="s">
        <x:v>72</x:v>
      </x:c>
      <x:c r="F596" s="371">
        <x:v>0</x:v>
      </x:c>
      <x:c r="G596" s="90">
        <x:v>0</x:v>
      </x:c>
      <x:c r="H596" s="90">
        <x:v>0</x:v>
      </x:c>
      <x:c r="I596" s="90">
        <x:v>0</x:v>
      </x:c>
      <x:c r="J596" s="90">
        <x:v>0</x:v>
      </x:c>
      <x:c r="K596" s="90">
        <x:v>0</x:v>
      </x:c>
      <x:c r="L596" s="90">
        <x:v>0</x:v>
      </x:c>
      <x:c r="M596" s="90">
        <x:v>0</x:v>
      </x:c>
      <x:c r="N596" s="90">
        <x:v>0</x:v>
      </x:c>
      <x:c r="O596" s="90">
        <x:v>0</x:v>
      </x:c>
      <x:c r="P596" s="90">
        <x:v>0</x:v>
      </x:c>
      <x:c r="Q596" s="90">
        <x:v>0</x:v>
      </x:c>
      <x:c r="R596" s="90">
        <x:v>0</x:v>
      </x:c>
      <x:c r="S596" s="90">
        <x:v>0</x:v>
      </x:c>
      <x:c r="T596" s="90">
        <x:v>0</x:v>
      </x:c>
      <x:c r="U596" s="90">
        <x:v>0</x:v>
      </x:c>
      <x:c r="V596" s="90">
        <x:v>0</x:v>
      </x:c>
      <x:c r="W596" s="90">
        <x:v>0</x:v>
      </x:c>
      <x:c r="X596">
        <x:v>0</x:v>
      </x:c>
      <x:c r="Y596">
        <x:v>0</x:v>
      </x:c>
      <x:c r="Z596">
        <x:v>0</x:v>
      </x:c>
    </x:row>
    <x:row r="597" spans="3:26" ht="12.75" customHeight="1" x14ac:dyDescent="0.2">
      <x:c r="D597" s="89"/>
      <x:c r="E597" s="89" t="s">
        <x:v>81</x:v>
      </x:c>
      <x:c r="F597" s="371">
        <x:v>0</x:v>
      </x:c>
      <x:c r="G597" s="90">
        <x:v>0</x:v>
      </x:c>
      <x:c r="H597" s="90">
        <x:v>0</x:v>
      </x:c>
      <x:c r="I597" s="90">
        <x:v>0</x:v>
      </x:c>
      <x:c r="J597" s="90">
        <x:v>0</x:v>
      </x:c>
      <x:c r="K597" s="90">
        <x:v>0</x:v>
      </x:c>
      <x:c r="L597" s="90">
        <x:v>0</x:v>
      </x:c>
      <x:c r="M597" s="90">
        <x:v>0</x:v>
      </x:c>
      <x:c r="N597" s="90">
        <x:v>0</x:v>
      </x:c>
      <x:c r="O597" s="90">
        <x:v>0</x:v>
      </x:c>
      <x:c r="P597" s="90">
        <x:v>0</x:v>
      </x:c>
      <x:c r="Q597" s="90">
        <x:v>0</x:v>
      </x:c>
      <x:c r="R597" s="90">
        <x:v>0</x:v>
      </x:c>
      <x:c r="S597" s="90">
        <x:v>0</x:v>
      </x:c>
      <x:c r="T597" s="90">
        <x:v>0</x:v>
      </x:c>
      <x:c r="U597" s="90">
        <x:v>0</x:v>
      </x:c>
      <x:c r="V597" s="90">
        <x:v>0</x:v>
      </x:c>
      <x:c r="W597" s="90">
        <x:v>0</x:v>
      </x:c>
      <x:c r="X597">
        <x:v>0</x:v>
      </x:c>
      <x:c r="Y597">
        <x:v>0</x:v>
      </x:c>
      <x:c r="Z597">
        <x:v>0</x:v>
      </x:c>
    </x:row>
    <x:row r="598" spans="3:26" ht="12.75" customHeight="1" x14ac:dyDescent="0.2">
      <x:c r="D598" s="773">
        <x:v>4</x:v>
      </x:c>
      <x:c r="E598" s="89" t="s">
        <x:v>70</x:v>
      </x:c>
      <x:c r="F598" s="371">
        <x:v>0</x:v>
      </x:c>
      <x:c r="G598" s="90">
        <x:v>0</x:v>
      </x:c>
      <x:c r="H598" s="90">
        <x:v>0</x:v>
      </x:c>
      <x:c r="I598" s="90">
        <x:v>0</x:v>
      </x:c>
      <x:c r="J598" s="90">
        <x:v>0</x:v>
      </x:c>
      <x:c r="K598" s="90">
        <x:v>0</x:v>
      </x:c>
      <x:c r="L598" s="90">
        <x:v>0</x:v>
      </x:c>
      <x:c r="M598" s="90">
        <x:v>0</x:v>
      </x:c>
      <x:c r="N598" s="90">
        <x:v>0</x:v>
      </x:c>
      <x:c r="O598" s="90">
        <x:v>0</x:v>
      </x:c>
      <x:c r="P598" s="90">
        <x:v>0</x:v>
      </x:c>
      <x:c r="Q598" s="90">
        <x:v>0</x:v>
      </x:c>
      <x:c r="R598" s="90">
        <x:v>0</x:v>
      </x:c>
      <x:c r="S598" s="90">
        <x:v>0</x:v>
      </x:c>
      <x:c r="T598" s="90">
        <x:v>0</x:v>
      </x:c>
      <x:c r="U598" s="90">
        <x:v>0</x:v>
      </x:c>
      <x:c r="V598" s="90">
        <x:v>0</x:v>
      </x:c>
      <x:c r="W598" s="90">
        <x:v>0</x:v>
      </x:c>
      <x:c r="X598">
        <x:v>0</x:v>
      </x:c>
      <x:c r="Y598">
        <x:v>0</x:v>
      </x:c>
      <x:c r="Z598">
        <x:v>0</x:v>
      </x:c>
    </x:row>
    <x:row r="599" spans="3:26" ht="12.75" customHeight="1" x14ac:dyDescent="0.2">
      <x:c r="D599" s="89"/>
      <x:c r="E599" s="89" t="s">
        <x:v>72</x:v>
      </x:c>
      <x:c r="F599" s="371" t="n">
        <x:v>423621.34</x:v>
      </x:c>
      <x:c r="G599" s="90" t="n">
        <x:v>21345.89</x:v>
      </x:c>
      <x:c r="H599" s="90" t="n">
        <x:v>11893.8</x:v>
      </x:c>
      <x:c r="I599" s="90" t="n">
        <x:v>6325.72</x:v>
      </x:c>
      <x:c r="J599" s="90" t="n">
        <x:v>101980.27</x:v>
      </x:c>
      <x:c r="K599" s="90" t="n">
        <x:v>3558.66</x:v>
      </x:c>
      <x:c r="L599" s="90" t="n">
        <x:v>0</x:v>
      </x:c>
      <x:c r="M599" s="90" t="n">
        <x:v>31216.25</x:v>
      </x:c>
      <x:c r="N599" s="90" t="n">
        <x:v>30048.89</x:v>
      </x:c>
      <x:c r="O599" s="90" t="n">
        <x:v>154927.42</x:v>
      </x:c>
      <x:c r="P599" s="90" t="n">
        <x:v>56517.77</x:v>
      </x:c>
      <x:c r="Q599" s="90" t="n">
        <x:v>5806.18</x:v>
      </x:c>
      <x:c r="R599" s="90" t="n">
        <x:v>0.49</x:v>
      </x:c>
      <x:c r="S599" s="90" t="n">
        <x:v>0</x:v>
      </x:c>
      <x:c r="T599" s="90" t="n">
        <x:v>0</x:v>
      </x:c>
      <x:c r="U599" s="90">
        <x:v>0</x:v>
      </x:c>
      <x:c r="V599" s="90">
        <x:v>0</x:v>
      </x:c>
      <x:c r="W599" s="90">
        <x:v>0</x:v>
      </x:c>
      <x:c r="X599">
        <x:v>0</x:v>
      </x:c>
      <x:c r="Y599">
        <x:v>0</x:v>
      </x:c>
      <x:c r="Z599">
        <x:v>0</x:v>
      </x:c>
    </x:row>
    <x:row r="600" spans="3:26" ht="12.75" customHeight="1" x14ac:dyDescent="0.2">
      <x:c r="D600" s="89"/>
      <x:c r="E600" s="89" t="s">
        <x:v>81</x:v>
      </x:c>
      <x:c r="F600" s="90" t="n">
        <x:v>38.57</x:v>
      </x:c>
      <x:c r="G600" s="90" t="n">
        <x:v>1.66</x:v>
      </x:c>
      <x:c r="H600" s="90" t="n">
        <x:v>0.94</x:v>
      </x:c>
      <x:c r="I600" s="90" t="n">
        <x:v>0.49</x:v>
      </x:c>
      <x:c r="J600" s="90" t="n">
        <x:v>9.73</x:v>
      </x:c>
      <x:c r="K600" s="90" t="n">
        <x:v>0.33</x:v>
      </x:c>
      <x:c r="L600" s="90" t="n">
        <x:v>0</x:v>
      </x:c>
      <x:c r="M600" s="90" t="n">
        <x:v>2.94</x:v>
      </x:c>
      <x:c r="N600" s="90" t="n">
        <x:v>2.83</x:v>
      </x:c>
      <x:c r="O600" s="90" t="n">
        <x:v>14.69</x:v>
      </x:c>
      <x:c r="P600" s="90" t="n">
        <x:v>4.41</x:v>
      </x:c>
      <x:c r="Q600" s="90" t="n">
        <x:v>0.55</x:v>
      </x:c>
      <x:c r="R600" s="90" t="n">
        <x:v>0</x:v>
      </x:c>
      <x:c r="S600" s="90" t="n">
        <x:v>0</x:v>
      </x:c>
      <x:c r="T600" s="90" t="n">
        <x:v>0</x:v>
      </x:c>
      <x:c r="U600" s="90">
        <x:v>0</x:v>
      </x:c>
      <x:c r="V600" s="90">
        <x:v>0</x:v>
      </x:c>
      <x:c r="W600" s="90">
        <x:v>0</x:v>
      </x:c>
      <x:c r="X600">
        <x:v>0</x:v>
      </x:c>
      <x:c r="Y600">
        <x:v>0</x:v>
      </x:c>
      <x:c r="Z600">
        <x:v>0</x:v>
      </x:c>
    </x:row>
    <x:row r="601" spans="3:26" ht="12.75" customHeight="1" x14ac:dyDescent="0.2">
      <x:c r="D601" t="s">
        <x:v>118</x:v>
      </x:c>
      <x:c r="E601" s="89" t="s">
        <x:v>70</x:v>
      </x:c>
      <x:c r="F601" s="90" t="n">
        <x:v>423659.91</x:v>
      </x:c>
      <x:c r="G601" s="90" t="n">
        <x:v>21347.55</x:v>
      </x:c>
      <x:c r="H601" s="90" t="n">
        <x:v>11894.74</x:v>
      </x:c>
      <x:c r="I601" s="90" t="n">
        <x:v>6326.21</x:v>
      </x:c>
      <x:c r="J601" s="90" t="n">
        <x:v>101990</x:v>
      </x:c>
      <x:c r="K601" s="90" t="n">
        <x:v>3558.99</x:v>
      </x:c>
      <x:c r="L601" s="90" t="n">
        <x:v>0</x:v>
      </x:c>
      <x:c r="M601" s="90" t="n">
        <x:v>31219.19</x:v>
      </x:c>
      <x:c r="N601" s="90" t="n">
        <x:v>30051.72</x:v>
      </x:c>
      <x:c r="O601" s="90" t="n">
        <x:v>154942.11</x:v>
      </x:c>
      <x:c r="P601" s="90" t="n">
        <x:v>56522.18</x:v>
      </x:c>
      <x:c r="Q601" s="90" t="n">
        <x:v>5806.73</x:v>
      </x:c>
      <x:c r="R601" s="90" t="n">
        <x:v>0.49</x:v>
      </x:c>
      <x:c r="S601" s="90" t="n">
        <x:v>0</x:v>
      </x:c>
      <x:c r="T601" s="90" t="n">
        <x:v>0</x:v>
      </x:c>
      <x:c r="U601" s="90">
        <x:v>0</x:v>
      </x:c>
      <x:c r="V601" s="90">
        <x:v>0</x:v>
      </x:c>
      <x:c r="W601" s="90">
        <x:v>0</x:v>
      </x:c>
      <x:c r="X601">
        <x:v>0</x:v>
      </x:c>
      <x:c r="Y601">
        <x:v>0</x:v>
      </x:c>
      <x:c r="Z601">
        <x:v>0</x:v>
      </x:c>
    </x:row>
    <x:row r="602" spans="3:26" ht="12.75" customHeight="1" x14ac:dyDescent="0.2">
      <x:c r="D602" s="89"/>
      <x:c r="E602" s="89" t="s">
        <x:v>72</x:v>
      </x:c>
      <x:c r="F602" s="371">
        <x:v>0</x:v>
      </x:c>
      <x:c r="G602" s="90">
        <x:v>0</x:v>
      </x:c>
      <x:c r="H602" s="90">
        <x:v>0</x:v>
      </x:c>
      <x:c r="I602" s="90">
        <x:v>0</x:v>
      </x:c>
      <x:c r="J602" s="90">
        <x:v>0</x:v>
      </x:c>
      <x:c r="K602" s="90">
        <x:v>0</x:v>
      </x:c>
      <x:c r="L602" s="90">
        <x:v>0</x:v>
      </x:c>
      <x:c r="M602" s="90">
        <x:v>0</x:v>
      </x:c>
      <x:c r="N602" s="90">
        <x:v>0</x:v>
      </x:c>
      <x:c r="O602" s="90">
        <x:v>0</x:v>
      </x:c>
      <x:c r="P602" s="90">
        <x:v>0</x:v>
      </x:c>
      <x:c r="Q602" s="90">
        <x:v>0</x:v>
      </x:c>
      <x:c r="R602" s="90">
        <x:v>0</x:v>
      </x:c>
      <x:c r="S602" s="90">
        <x:v>0</x:v>
      </x:c>
      <x:c r="T602" s="90">
        <x:v>0</x:v>
      </x:c>
      <x:c r="U602" s="90">
        <x:v>0</x:v>
      </x:c>
      <x:c r="V602" s="90">
        <x:v>0</x:v>
      </x:c>
      <x:c r="W602" s="90">
        <x:v>0</x:v>
      </x:c>
      <x:c r="X602">
        <x:v>0</x:v>
      </x:c>
      <x:c r="Y602">
        <x:v>0</x:v>
      </x:c>
      <x:c r="Z602">
        <x:v>0</x:v>
      </x:c>
    </x:row>
    <x:row r="603" spans="3:26" ht="12.75" customHeight="1" x14ac:dyDescent="0.2">
      <x:c r="D603" s="89"/>
      <x:c r="E603" s="89" t="s">
        <x:v>81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 s="90">
        <x:v>0</x:v>
      </x:c>
      <x:c r="V603" s="90">
        <x:v>0</x:v>
      </x:c>
      <x:c r="W603" s="90">
        <x:v>0</x:v>
      </x:c>
      <x:c r="X603">
        <x:v>0</x:v>
      </x:c>
      <x:c r="Y603">
        <x:v>0</x:v>
      </x:c>
      <x:c r="Z603">
        <x:v>0</x:v>
      </x:c>
    </x:row>
    <x:row r="604" spans="3:26" ht="12.75" customHeight="1" x14ac:dyDescent="0.2">
      <x:c r="D604" s="772">
        <x:v>6</x:v>
      </x:c>
      <x:c r="E604" s="89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 s="90">
        <x:v>0</x:v>
      </x:c>
      <x:c r="V604" s="90">
        <x:v>0</x:v>
      </x:c>
      <x:c r="W604" s="90">
        <x:v>0</x:v>
      </x:c>
      <x:c r="X604">
        <x:v>0</x:v>
      </x:c>
      <x:c r="Y604">
        <x:v>0</x:v>
      </x:c>
      <x:c r="Z604">
        <x:v>0</x:v>
      </x:c>
    </x:row>
    <x:row r="605" spans="3:26" ht="12.75" customHeight="1" x14ac:dyDescent="0.2">
      <x:c r="D605" s="89"/>
      <x:c r="E605" s="89" t="s">
        <x:v>72</x:v>
      </x:c>
      <x:c r="F605" s="90">
        <x:v>0</x:v>
      </x:c>
      <x:c r="G605" s="90">
        <x:v>0</x:v>
      </x:c>
      <x:c r="H605" s="90">
        <x:v>0</x:v>
      </x:c>
      <x:c r="I605" s="90">
        <x:v>0</x:v>
      </x:c>
      <x:c r="J605" s="90">
        <x:v>0</x:v>
      </x:c>
      <x:c r="K605" s="90">
        <x:v>0</x:v>
      </x:c>
      <x:c r="L605" s="90">
        <x:v>0</x:v>
      </x:c>
      <x:c r="M605" s="90">
        <x:v>0</x:v>
      </x:c>
      <x:c r="N605" s="90">
        <x:v>0</x:v>
      </x:c>
      <x:c r="O605" s="90">
        <x:v>0</x:v>
      </x:c>
      <x:c r="P605" s="90">
        <x:v>0</x:v>
      </x:c>
      <x:c r="Q605" s="90">
        <x:v>0</x:v>
      </x:c>
      <x:c r="R605" s="90">
        <x:v>0</x:v>
      </x:c>
      <x:c r="S605" s="90">
        <x:v>0</x:v>
      </x:c>
      <x:c r="T605" s="90">
        <x:v>0</x:v>
      </x:c>
      <x:c r="U605" s="90">
        <x:v>0</x:v>
      </x:c>
      <x:c r="V605" s="90">
        <x:v>0</x:v>
      </x:c>
      <x:c r="W605" s="90">
        <x:v>0</x:v>
      </x:c>
      <x:c r="X605">
        <x:v>0</x:v>
      </x:c>
      <x:c r="Y605">
        <x:v>0</x:v>
      </x:c>
      <x:c r="Z605">
        <x:v>0</x:v>
      </x:c>
    </x:row>
    <x:row r="606" spans="3:26" ht="12.75" customHeight="1" x14ac:dyDescent="0.2">
      <x:c r="E606" s="89" t="s">
        <x:v>81</x:v>
      </x:c>
      <x:c r="F606" s="90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>
        <x:v>0</x:v>
      </x:c>
      <x:c r="Y606">
        <x:v>0</x:v>
      </x:c>
      <x:c r="Z606">
        <x:v>0</x:v>
      </x:c>
    </x:row>
    <x:row r="607" spans="3:26" ht="12.75" customHeight="1" x14ac:dyDescent="0.2">
      <x:c r="D607" s="772">
        <x:v>9</x:v>
      </x:c>
      <x:c r="E607" s="89" t="s">
        <x:v>70</x:v>
      </x:c>
      <x:c r="F607" s="90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>
        <x:v>0</x:v>
      </x:c>
      <x:c r="Y607">
        <x:v>0</x:v>
      </x:c>
      <x:c r="Z607">
        <x:v>0</x:v>
      </x:c>
    </x:row>
    <x:row r="608" spans="3:26" s="224" customFormat="1" ht="12.75" customHeight="1" x14ac:dyDescent="0.2">
      <x:c r="C608" s="223" t="s">
        <x:v>120</x:v>
      </x:c>
      <x:c r="D608" s="223" t="s">
        <x:v>70</x:v>
      </x:c>
      <x:c r="F608" s="225" t="n">
        <x:v>610092.01</x:v>
      </x:c>
      <x:c r="G608" s="225" t="n">
        <x:v>37405.68</x:v>
      </x:c>
      <x:c r="H608" s="225" t="n">
        <x:v>19581.56</x:v>
      </x:c>
      <x:c r="I608" s="225" t="n">
        <x:v>10503.39</x:v>
      </x:c>
      <x:c r="J608" s="225" t="n">
        <x:v>140798.29</x:v>
      </x:c>
      <x:c r="K608" s="225" t="n">
        <x:v>4647.76</x:v>
      </x:c>
      <x:c r="L608" s="225" t="n">
        <x:v>0</x:v>
      </x:c>
      <x:c r="M608" s="225" t="n">
        <x:v>40769.82</x:v>
      </x:c>
      <x:c r="N608" s="225" t="n">
        <x:v>40682.68</x:v>
      </x:c>
      <x:c r="O608" s="225" t="n">
        <x:v>208309.45</x:v>
      </x:c>
      <x:c r="P608" s="225" t="n">
        <x:v>99807.52</x:v>
      </x:c>
      <x:c r="Q608" s="225" t="n">
        <x:v>7583.14</x:v>
      </x:c>
      <x:c r="R608" s="225" t="n">
        <x:v>2.72</x:v>
      </x:c>
      <x:c r="S608" s="225" t="n">
        <x:v>0</x:v>
      </x:c>
      <x:c r="T608" s="224" t="n">
        <x:v>0</x:v>
      </x:c>
      <x:c r="U608" s="224">
        <x:v>0</x:v>
      </x:c>
      <x:c r="V608" s="224">
        <x:v>0</x:v>
      </x:c>
      <x:c r="W608" s="224">
        <x:v>0</x:v>
      </x:c>
      <x:c r="X608" s="224">
        <x:v>0</x:v>
      </x:c>
      <x:c r="Y608" s="225">
        <x:v>0</x:v>
      </x:c>
      <x:c r="Z608" s="224">
        <x:v>0</x:v>
      </x:c>
    </x:row>
    <x:row r="609" spans="1:26" ht="12.75" customHeight="1" x14ac:dyDescent="0.2">
      <x:c r="E609" s="89" t="s">
        <x:v>72</x:v>
      </x:c>
      <x:c r="F609" s="90" t="n">
        <x:v>247413415.55</x:v>
      </x:c>
      <x:c r="G609" s="90" t="n">
        <x:v>14994454.03</x:v>
      </x:c>
      <x:c r="H609" s="90" t="n">
        <x:v>8467042.5</x:v>
      </x:c>
      <x:c r="I609" s="90" t="n">
        <x:v>4477664.23</x:v>
      </x:c>
      <x:c r="J609" s="90" t="n">
        <x:v>55730321.33</x:v>
      </x:c>
      <x:c r="K609" s="90" t="n">
        <x:v>1402128.83</x:v>
      </x:c>
      <x:c r="L609" s="90" t="n">
        <x:v>0</x:v>
      </x:c>
      <x:c r="M609" s="90" t="n">
        <x:v>12295038.92</x:v>
      </x:c>
      <x:c r="N609" s="90" t="n">
        <x:v>17597190.58</x:v>
      </x:c>
      <x:c r="O609" s="90" t="n">
        <x:v>90302516.07</x:v>
      </x:c>
      <x:c r="P609" s="90" t="n">
        <x:v>39849368.88</x:v>
      </x:c>
      <x:c r="Q609" s="90" t="n">
        <x:v>2297854.7</x:v>
      </x:c>
      <x:c r="R609" s="90" t="n">
        <x:v>-164.52</x:v>
      </x:c>
      <x:c r="S609" s="90" t="n">
        <x:v>0</x:v>
      </x:c>
      <x:c r="T609" t="n">
        <x:v>0</x:v>
      </x:c>
      <x:c r="U609">
        <x:v>0</x:v>
      </x:c>
      <x:c r="V609">
        <x:v>0</x:v>
      </x:c>
      <x:c r="W609">
        <x:v>0</x:v>
      </x:c>
      <x:c r="X609">
        <x:v>0</x:v>
      </x:c>
      <x:c r="Y609" s="90">
        <x:v>0</x:v>
      </x:c>
      <x:c r="Z609">
        <x:v>0</x:v>
      </x:c>
    </x:row>
    <x:row r="610" spans="1:26" ht="12.75" customHeight="1" x14ac:dyDescent="0.2">
      <x:c r="D610" s="89"/>
      <x:c r="E610" s="89" t="s">
        <x:v>81</x:v>
      </x:c>
      <x:c r="F610" s="90" t="n">
        <x:v>784802.64</x:v>
      </x:c>
      <x:c r="G610" s="90" t="n">
        <x:v>71138.67</x:v>
      </x:c>
      <x:c r="H610" s="90" t="n">
        <x:v>40381.87</x:v>
      </x:c>
      <x:c r="I610" s="90" t="n">
        <x:v>21492.72</x:v>
      </x:c>
      <x:c r="J610" s="90" t="n">
        <x:v>199129.87</x:v>
      </x:c>
      <x:c r="K610" s="90" t="n">
        <x:v>5136.65</x:v>
      </x:c>
      <x:c r="L610" s="90" t="n">
        <x:v>0</x:v>
      </x:c>
      <x:c r="M610" s="90" t="n">
        <x:v>44905.13</x:v>
      </x:c>
      <x:c r="N610" s="90" t="n">
        <x:v>63932.38</x:v>
      </x:c>
      <x:c r="O610" s="90" t="n">
        <x:v>139794.21</x:v>
      </x:c>
      <x:c r="P610" s="90" t="n">
        <x:v>190453.81</x:v>
      </x:c>
      <x:c r="Q610" s="90" t="n">
        <x:v>8437.8</x:v>
      </x:c>
      <x:c r="R610" s="90" t="n">
        <x:v>-0.53</x:v>
      </x:c>
      <x:c r="S610" s="90" t="n">
        <x:v>0.02</x:v>
      </x:c>
      <x:c r="T610" t="n">
        <x:v>0.04</x:v>
      </x:c>
      <x:c r="U610">
        <x:v>0</x:v>
      </x:c>
      <x:c r="V610">
        <x:v>0</x:v>
      </x:c>
      <x:c r="W610">
        <x:v>0</x:v>
      </x:c>
      <x:c r="X610">
        <x:v>0</x:v>
      </x:c>
      <x:c r="Y610" s="90">
        <x:v>0</x:v>
      </x:c>
      <x:c r="Z610">
        <x:v>0</x:v>
      </x:c>
    </x:row>
    <x:row r="611" spans="1:26" ht="12.75" customHeight="1" x14ac:dyDescent="0.2">
      <x:c r="D611" t="s">
        <x:v>82</x:v>
      </x:c>
      <x:c r="E611" s="89" t="s">
        <x:v>70</x:v>
      </x:c>
      <x:c r="F611" s="90" t="n">
        <x:v>248198218.19</x:v>
      </x:c>
      <x:c r="G611" s="90" t="n">
        <x:v>15065592.7</x:v>
      </x:c>
      <x:c r="H611" s="90" t="n">
        <x:v>8507424.37</x:v>
      </x:c>
      <x:c r="I611" s="90" t="n">
        <x:v>4499156.95</x:v>
      </x:c>
      <x:c r="J611" s="90" t="n">
        <x:v>55929451.2</x:v>
      </x:c>
      <x:c r="K611" s="90" t="n">
        <x:v>1407265.48</x:v>
      </x:c>
      <x:c r="L611" s="90" t="n">
        <x:v>0</x:v>
      </x:c>
      <x:c r="M611" s="90" t="n">
        <x:v>12339944.05</x:v>
      </x:c>
      <x:c r="N611" s="90" t="n">
        <x:v>17661122.96</x:v>
      </x:c>
      <x:c r="O611" s="90" t="n">
        <x:v>90442310.28</x:v>
      </x:c>
      <x:c r="P611" s="90" t="n">
        <x:v>40039822.69</x:v>
      </x:c>
      <x:c r="Q611" s="90" t="n">
        <x:v>2306292.5</x:v>
      </x:c>
      <x:c r="R611" s="90" t="n">
        <x:v>-165.05</x:v>
      </x:c>
      <x:c r="S611" s="90" t="n">
        <x:v>0.02</x:v>
      </x:c>
      <x:c r="T611" t="n">
        <x:v>0.04</x:v>
      </x:c>
      <x:c r="U611">
        <x:v>0</x:v>
      </x:c>
      <x:c r="V611">
        <x:v>0</x:v>
      </x:c>
      <x:c r="W611">
        <x:v>0</x:v>
      </x:c>
      <x:c r="X611">
        <x:v>0</x:v>
      </x:c>
      <x:c r="Y611" s="90">
        <x:v>0</x:v>
      </x:c>
      <x:c r="Z611">
        <x:v>0</x:v>
      </x:c>
    </x:row>
    <x:row r="612" spans="1:26" ht="12.75" customHeight="1" x14ac:dyDescent="0.2">
      <x:c r="E612" s="89" t="s">
        <x:v>72</x:v>
      </x:c>
      <x:c r="F612" s="90" t="n">
        <x:v>164459620.85</x:v>
      </x:c>
      <x:c r="G612" s="90" t="n">
        <x:v>14657052.93</x:v>
      </x:c>
      <x:c r="H612" s="90" t="n">
        <x:v>7987019.55</x:v>
      </x:c>
      <x:c r="I612" s="90" t="n">
        <x:v>4165294.51</x:v>
      </x:c>
      <x:c r="J612" s="90" t="n">
        <x:v>28566888.76</x:v>
      </x:c>
      <x:c r="K612" s="90" t="n">
        <x:v>906393.52</x:v>
      </x:c>
      <x:c r="L612" s="90" t="n">
        <x:v>945653.36</x:v>
      </x:c>
      <x:c r="M612" s="90" t="n">
        <x:v>7999818.32</x:v>
      </x:c>
      <x:c r="N612" s="90" t="n">
        <x:v>9872400.5</x:v>
      </x:c>
      <x:c r="O612" s="90" t="n">
        <x:v>48974036.54</x:v>
      </x:c>
      <x:c r="P612" s="90" t="n">
        <x:v>38902335.22</x:v>
      </x:c>
      <x:c r="Q612" s="90" t="n">
        <x:v>1483196.74</x:v>
      </x:c>
      <x:c r="R612" s="90" t="n">
        <x:v>-469.1</x:v>
      </x:c>
      <x:c r="S612" s="90" t="n">
        <x:v>0</x:v>
      </x:c>
      <x:c r="T612" t="n">
        <x:v>0</x:v>
      </x:c>
      <x:c r="U612">
        <x:v>0</x:v>
      </x:c>
      <x:c r="V612">
        <x:v>0</x:v>
      </x:c>
      <x:c r="W612">
        <x:v>0</x:v>
      </x:c>
      <x:c r="X612">
        <x:v>0</x:v>
      </x:c>
      <x:c r="Y612" s="90">
        <x:v>0</x:v>
      </x:c>
      <x:c r="Z612">
        <x:v>0</x:v>
      </x:c>
    </x:row>
    <x:row r="613" spans="1:26" ht="12.75" customHeight="1" x14ac:dyDescent="0.2">
      <x:c r="D613" s="89"/>
      <x:c r="E613" s="89" t="s">
        <x:v>81</x:v>
      </x:c>
      <x:c r="F613" s="90" t="n">
        <x:v>10830660.56</x:v>
      </x:c>
      <x:c r="G613" s="90" t="n">
        <x:v>1178876.96</x:v>
      </x:c>
      <x:c r="H613" s="90" t="n">
        <x:v>542814.75</x:v>
      </x:c>
      <x:c r="I613" s="90" t="n">
        <x:v>225396.96</x:v>
      </x:c>
      <x:c r="J613" s="90" t="n">
        <x:v>1871755.34</x:v>
      </x:c>
      <x:c r="K613" s="90" t="n">
        <x:v>69102.42</x:v>
      </x:c>
      <x:c r="L613" s="90" t="n">
        <x:v>9054.48</x:v>
      </x:c>
      <x:c r="M613" s="90" t="n">
        <x:v>605610.96</x:v>
      </x:c>
      <x:c r="N613" s="90" t="n">
        <x:v>733582.6</x:v>
      </x:c>
      <x:c r="O613" s="90" t="n">
        <x:v>2391699.87</x:v>
      </x:c>
      <x:c r="P613" s="90" t="n">
        <x:v>3089845.51</x:v>
      </x:c>
      <x:c r="Q613" s="90" t="n">
        <x:v>112817.53</x:v>
      </x:c>
      <x:c r="R613" s="90" t="n">
        <x:v>103.06</x:v>
      </x:c>
      <x:c r="S613" s="90" t="n">
        <x:v>-0.04</x:v>
      </x:c>
      <x:c r="T613" t="n">
        <x:v>0.16</x:v>
      </x:c>
      <x:c r="U613">
        <x:v>0</x:v>
      </x:c>
      <x:c r="V613">
        <x:v>0</x:v>
      </x:c>
      <x:c r="W613">
        <x:v>0</x:v>
      </x:c>
      <x:c r="X613">
        <x:v>0</x:v>
      </x:c>
      <x:c r="Y613" s="90">
        <x:v>0</x:v>
      </x:c>
      <x:c r="Z613">
        <x:v>0</x:v>
      </x:c>
    </x:row>
    <x:row r="614" spans="1:26" ht="12.75" customHeight="1" x14ac:dyDescent="0.2">
      <x:c r="C614" s="89"/>
      <x:c r="D614" s="89" t="s">
        <x:v>86</x:v>
      </x:c>
      <x:c r="E614" t="s">
        <x:v>70</x:v>
      </x:c>
      <x:c r="F614" s="90" t="n">
        <x:v>175290281.41</x:v>
      </x:c>
      <x:c r="G614" s="90" t="n">
        <x:v>15835929.89</x:v>
      </x:c>
      <x:c r="H614" s="90" t="n">
        <x:v>8529834.3</x:v>
      </x:c>
      <x:c r="I614" s="90" t="n">
        <x:v>4390691.47</x:v>
      </x:c>
      <x:c r="J614" s="90" t="n">
        <x:v>30438644.1</x:v>
      </x:c>
      <x:c r="K614" s="90" t="n">
        <x:v>975495.94</x:v>
      </x:c>
      <x:c r="L614" s="90" t="n">
        <x:v>954707.84</x:v>
      </x:c>
      <x:c r="M614" s="90" t="n">
        <x:v>8605429.28</x:v>
      </x:c>
      <x:c r="N614" s="90" t="n">
        <x:v>10605983.1</x:v>
      </x:c>
      <x:c r="O614" s="90" t="n">
        <x:v>51365736.41</x:v>
      </x:c>
      <x:c r="P614" s="90" t="n">
        <x:v>41992180.73</x:v>
      </x:c>
      <x:c r="Q614" s="90" t="n">
        <x:v>1596014.27</x:v>
      </x:c>
      <x:c r="R614" s="90" t="n">
        <x:v>-366.04</x:v>
      </x:c>
      <x:c r="S614" s="90" t="n">
        <x:v>-0.04</x:v>
      </x:c>
      <x:c r="T614" t="n">
        <x:v>0.16</x:v>
      </x:c>
      <x:c r="U614">
        <x:v>0</x:v>
      </x:c>
      <x:c r="V614">
        <x:v>0</x:v>
      </x:c>
      <x:c r="W614">
        <x:v>0</x:v>
      </x:c>
      <x:c r="X614">
        <x:v>0</x:v>
      </x:c>
      <x:c r="Y614" s="90">
        <x:v>0</x:v>
      </x:c>
      <x:c r="Z614">
        <x:v>0</x:v>
      </x:c>
    </x:row>
    <x:row r="615" spans="1:26" ht="12.75" customHeight="1" x14ac:dyDescent="0.2">
      <x:c r="B615" s="89"/>
      <x:c r="C615" s="89"/>
      <x:c r="E615" t="s">
        <x:v>72</x:v>
      </x:c>
      <x:c r="F615" s="90" t="n">
        <x:v>431102152.11</x:v>
      </x:c>
      <x:c r="G615" s="90" t="n">
        <x:v>65084742.22</x:v>
      </x:c>
      <x:c r="H615" s="90" t="n">
        <x:v>36405427.94</x:v>
      </x:c>
      <x:c r="I615" s="90" t="n">
        <x:v>19272428.57</x:v>
      </x:c>
      <x:c r="J615" s="90" t="n">
        <x:v>41772787.9</x:v>
      </x:c>
      <x:c r="K615" s="90" t="n">
        <x:v>1023645.19</x:v>
      </x:c>
      <x:c r="L615" s="90" t="n">
        <x:v>5116662.03</x:v>
      </x:c>
      <x:c r="M615" s="90" t="n">
        <x:v>8970241.97</x:v>
      </x:c>
      <x:c r="N615" s="90" t="n">
        <x:v>12900633.08</x:v>
      </x:c>
      <x:c r="O615" s="90" t="n">
        <x:v>66313235.33</x:v>
      </x:c>
      <x:c r="P615" s="90" t="n">
        <x:v>172565599.1</x:v>
      </x:c>
      <x:c r="Q615" s="90" t="n">
        <x:v>1676991.19</x:v>
      </x:c>
      <x:c r="R615" s="90" t="n">
        <x:v>-242.41</x:v>
      </x:c>
      <x:c r="S615" s="90" t="n">
        <x:v>0</x:v>
      </x:c>
      <x:c r="T615" t="n">
        <x:v>0</x:v>
      </x:c>
      <x:c r="U615">
        <x:v>0</x:v>
      </x:c>
      <x:c r="V615">
        <x:v>0</x:v>
      </x:c>
      <x:c r="W615">
        <x:v>0</x:v>
      </x:c>
      <x:c r="X615">
        <x:v>0</x:v>
      </x:c>
      <x:c r="Y615" s="90">
        <x:v>0</x:v>
      </x:c>
      <x:c r="Z615">
        <x:v>0</x:v>
      </x:c>
    </x:row>
    <x:row r="616" spans="1:26" ht="12.75" customHeight="1" x14ac:dyDescent="0.2">
      <x:c r="A616" s="89"/>
      <x:c r="B616" s="89"/>
      <x:c r="E616" t="s">
        <x:v>81</x:v>
      </x:c>
      <x:c r="F616" s="90" t="n">
        <x:v>2147962.06</x:v>
      </x:c>
      <x:c r="G616" s="90" t="n">
        <x:v>363584.9</x:v>
      </x:c>
      <x:c r="H616" s="90" t="n">
        <x:v>201010.36</x:v>
      </x:c>
      <x:c r="I616" s="90" t="n">
        <x:v>106698.99</x:v>
      </x:c>
      <x:c r="J616" s="90" t="n">
        <x:v>188482.26</x:v>
      </x:c>
      <x:c r="K616" s="90" t="n">
        <x:v>4718.29</x:v>
      </x:c>
      <x:c r="L616" s="90" t="n">
        <x:v>18129.29</x:v>
      </x:c>
      <x:c r="M616" s="90" t="n">
        <x:v>41285.19</x:v>
      </x:c>
      <x:c r="N616" s="90" t="n">
        <x:v>58737.46</x:v>
      </x:c>
      <x:c r="O616" s="90" t="n">
        <x:v>185192.24</x:v>
      </x:c>
      <x:c r="P616" s="90" t="n">
        <x:v>972385.02</x:v>
      </x:c>
      <x:c r="Q616" s="90" t="n">
        <x:v>7738.51</x:v>
      </x:c>
      <x:c r="R616" s="90" t="n">
        <x:v>-0.45</x:v>
      </x:c>
      <x:c r="S616" s="90" t="n">
        <x:v>0</x:v>
      </x:c>
      <x:c r="T616" t="n">
        <x:v>0</x:v>
      </x:c>
      <x:c r="U616">
        <x:v>0</x:v>
      </x:c>
      <x:c r="V616">
        <x:v>0</x:v>
      </x:c>
      <x:c r="W616">
        <x:v>0</x:v>
      </x:c>
      <x:c r="X616">
        <x:v>0</x:v>
      </x:c>
      <x:c r="Y616" s="90">
        <x:v>0</x:v>
      </x:c>
      <x:c r="Z616">
        <x:v>0</x:v>
      </x:c>
    </x:row>
    <x:row r="617" spans="1:26" ht="12.75" customHeight="1" x14ac:dyDescent="0.2">
      <x:c r="A617" s="89"/>
      <x:c r="B617" s="89"/>
      <x:c r="D617" t="s">
        <x:v>87</x:v>
      </x:c>
      <x:c r="E617" t="s">
        <x:v>70</x:v>
      </x:c>
      <x:c r="F617" s="371" t="n">
        <x:v>433250114.17</x:v>
      </x:c>
      <x:c r="G617" s="90" t="n">
        <x:v>65448327.12</x:v>
      </x:c>
      <x:c r="H617" s="90" t="n">
        <x:v>36606438.3</x:v>
      </x:c>
      <x:c r="I617" s="90" t="n">
        <x:v>19379127.56</x:v>
      </x:c>
      <x:c r="J617" s="90" t="n">
        <x:v>41961270.16</x:v>
      </x:c>
      <x:c r="K617" s="90" t="n">
        <x:v>1028363.48</x:v>
      </x:c>
      <x:c r="L617" s="90" t="n">
        <x:v>5134791.32</x:v>
      </x:c>
      <x:c r="M617" s="90" t="n">
        <x:v>9011527.16</x:v>
      </x:c>
      <x:c r="N617" s="90" t="n">
        <x:v>12959370.54</x:v>
      </x:c>
      <x:c r="O617" s="90" t="n">
        <x:v>66498427.57</x:v>
      </x:c>
      <x:c r="P617" s="90" t="n">
        <x:v>173537984.12</x:v>
      </x:c>
      <x:c r="Q617" s="90" t="n">
        <x:v>1684729.7</x:v>
      </x:c>
      <x:c r="R617" s="90" t="n">
        <x:v>-242.86</x:v>
      </x:c>
      <x:c r="S617" s="90" t="n">
        <x:v>0</x:v>
      </x:c>
      <x:c r="T617" t="n">
        <x:v>0</x:v>
      </x:c>
      <x:c r="U617">
        <x:v>0</x:v>
      </x:c>
      <x:c r="V617">
        <x:v>0</x:v>
      </x:c>
      <x:c r="W617">
        <x:v>0</x:v>
      </x:c>
      <x:c r="X617">
        <x:v>0</x:v>
      </x:c>
      <x:c r="Y617" s="90">
        <x:v>0</x:v>
      </x:c>
      <x:c r="Z617">
        <x:v>0</x:v>
      </x:c>
    </x:row>
    <x:row r="618" spans="1:26" s="94" customFormat="1" ht="12.75" customHeight="1" x14ac:dyDescent="0.2">
      <x:c r="C618" s="101" t="s">
        <x:v>119</x:v>
      </x:c>
      <x:c r="D618" s="101" t="s">
        <x:v>70</x:v>
      </x:c>
      <x:c r="F618" s="93" t="n">
        <x:v>856738613.77</x:v>
      </x:c>
      <x:c r="G618" s="93" t="n">
        <x:v>96349849.71</x:v>
      </x:c>
      <x:c r="H618" s="93" t="n">
        <x:v>53643696.97</x:v>
      </x:c>
      <x:c r="I618" s="93" t="n">
        <x:v>28268975.98</x:v>
      </x:c>
      <x:c r="J618" s="93" t="n">
        <x:v>128329365.46</x:v>
      </x:c>
      <x:c r="K618" s="93" t="n">
        <x:v>3411124.9</x:v>
      </x:c>
      <x:c r="L618" s="93" t="n">
        <x:v>6089499.16</x:v>
      </x:c>
      <x:c r="M618" s="93" t="n">
        <x:v>29956900.49</x:v>
      </x:c>
      <x:c r="N618" s="93" t="n">
        <x:v>41226476.6</x:v>
      </x:c>
      <x:c r="O618" s="93" t="n">
        <x:v>208306474.26</x:v>
      </x:c>
      <x:c r="P618" s="93" t="n">
        <x:v>255569987.54</x:v>
      </x:c>
      <x:c r="Q618" s="93" t="n">
        <x:v>5587036.47</x:v>
      </x:c>
      <x:c r="R618" s="93" t="n">
        <x:v>-773.95</x:v>
      </x:c>
      <x:c r="S618" s="93" t="n">
        <x:v>-0.02</x:v>
      </x:c>
      <x:c r="T618" s="94" t="n">
        <x:v>0.2</x:v>
      </x:c>
      <x:c r="U618" s="94">
        <x:v>0</x:v>
      </x:c>
      <x:c r="V618" s="94">
        <x:v>0</x:v>
      </x:c>
      <x:c r="W618" s="94">
        <x:v>0</x:v>
      </x:c>
      <x:c r="X618" s="94">
        <x:v>0</x:v>
      </x:c>
      <x:c r="Y618" s="93">
        <x:v>0</x:v>
      </x:c>
      <x:c r="Z618" s="94">
        <x:v>0</x:v>
      </x:c>
    </x:row>
    <x:row r="619" spans="1:26" s="226" customFormat="1" ht="12.75" customHeight="1" x14ac:dyDescent="0.2">
      <x:c r="B619" s="98" t="s">
        <x:v>112</x:v>
      </x:c>
      <x:c r="C619" s="98" t="s">
        <x:v>70</x:v>
      </x:c>
      <x:c r="F619" s="100" t="n">
        <x:v>7871292881.06</x:v>
      </x:c>
      <x:c r="G619" s="100" t="n">
        <x:v>472375033.77</x:v>
      </x:c>
      <x:c r="H619" s="100" t="n">
        <x:v>262252552.61</x:v>
      </x:c>
      <x:c r="I619" s="100" t="n">
        <x:v>139261427.73</x:v>
      </x:c>
      <x:c r="J619" s="100" t="n">
        <x:v>1776366548.67</x:v>
      </x:c>
      <x:c r="K619" s="100" t="n">
        <x:v>61161351</x:v>
      </x:c>
      <x:c r="L619" s="100" t="n">
        <x:v>10063121.54</x:v>
      </x:c>
      <x:c r="M619" s="100" t="n">
        <x:v>535212880.83</x:v>
      </x:c>
      <x:c r="N619" s="100" t="n">
        <x:v>533244619.48</x:v>
      </x:c>
      <x:c r="O619" s="100" t="n">
        <x:v>2730914857.79</x:v>
      </x:c>
      <x:c r="P619" s="100" t="n">
        <x:v>1250495473.92</x:v>
      </x:c>
      <x:c r="Q619" s="100" t="n">
        <x:v>99942055.74</x:v>
      </x:c>
      <x:c r="R619" s="100" t="n">
        <x:v>2887.41</x:v>
      </x:c>
      <x:c r="S619" s="100" t="n">
        <x:v>-0.06</x:v>
      </x:c>
      <x:c r="T619" s="226" t="n">
        <x:v>70.63</x:v>
      </x:c>
      <x:c r="U619" s="226">
        <x:v>0</x:v>
      </x:c>
      <x:c r="V619" s="226">
        <x:v>0</x:v>
      </x:c>
      <x:c r="W619" s="226">
        <x:v>0</x:v>
      </x:c>
      <x:c r="X619" s="226">
        <x:v>0</x:v>
      </x:c>
      <x:c r="Y619" s="100">
        <x:v>0</x:v>
      </x:c>
      <x:c r="Z619" s="226">
        <x:v>0</x:v>
      </x:c>
    </x:row>
    <x:row r="620" spans="1:26" ht="12" customHeight="1" x14ac:dyDescent="0.2">
      <x:c r="A620" s="89" t="s">
        <x:v>78</x:v>
      </x:c>
      <x:c r="B620" s="89" t="s">
        <x:v>70</x:v>
      </x:c>
      <x:c r="F620" s="371" t="n">
        <x:v>7953866096.61</x:v>
      </x:c>
      <x:c r="G620" s="90" t="n">
        <x:v>478450303.1</x:v>
      </x:c>
      <x:c r="H620" s="90" t="n">
        <x:v>265633002.65</x:v>
      </x:c>
      <x:c r="I620" s="90" t="n">
        <x:v>141044784.9</x:v>
      </x:c>
      <x:c r="J620" s="90" t="n">
        <x:v>1792969973.44</x:v>
      </x:c>
      <x:c r="K620" s="90" t="n">
        <x:v>61676204.18</x:v>
      </x:c>
      <x:c r="L620" s="90" t="n">
        <x:v>10068275.39</x:v>
      </x:c>
      <x:c r="M620" s="90" t="n">
        <x:v>539692436.98</x:v>
      </x:c>
      <x:c r="N620" s="90" t="n">
        <x:v>538635809.83</x:v>
      </x:c>
      <x:c r="O620" s="90" t="n">
        <x:v>2758325260.79</x:v>
      </x:c>
      <x:c r="P620" s="90" t="n">
        <x:v>1266581239.34</x:v>
      </x:c>
      <x:c r="Q620" s="90" t="n">
        <x:v>100785930.51</x:v>
      </x:c>
      <x:c r="R620" s="90" t="n">
        <x:v>2804</x:v>
      </x:c>
      <x:c r="S620" s="90" t="n">
        <x:v>-0.06</x:v>
      </x:c>
      <x:c r="T620" t="n">
        <x:v>71.56</x:v>
      </x:c>
      <x:c r="U620">
        <x:v>0</x:v>
      </x:c>
      <x:c r="V620">
        <x:v>0</x:v>
      </x:c>
      <x:c r="W620">
        <x:v>0</x:v>
      </x:c>
      <x:c r="X620">
        <x:v>0</x:v>
      </x:c>
      <x:c r="Y620" s="90">
        <x:v>0</x:v>
      </x:c>
      <x:c r="Z620">
        <x:v>0</x:v>
      </x:c>
    </x:row>
    <x:row r="621" spans="1:26" ht="12.75" customHeight="1" x14ac:dyDescent="0.2">
      <x:c r="B621" s="89"/>
      <x:c r="C621" s="89"/>
      <x:c r="E621" t="s">
        <x:v>73</x:v>
      </x:c>
      <x:c r="F621" s="90" t="n">
        <x:v>1179394.28</x:v>
      </x:c>
      <x:c r="G621" s="90" t="n">
        <x:v>424553.57</x:v>
      </x:c>
      <x:c r="H621" s="90" t="n">
        <x:v>241376.53</x:v>
      </x:c>
      <x:c r="I621" s="90" t="n">
        <x:v>128370.81</x:v>
      </x:c>
      <x:c r="J621" s="90" t="n">
        <x:v>-317773.76</x:v>
      </x:c>
      <x:c r="K621" s="90" t="n">
        <x:v>-1931.27</x:v>
      </x:c>
      <x:c r="L621" s="90" t="n">
        <x:v>0</x:v>
      </x:c>
      <x:c r="M621" s="90" t="n">
        <x:v>-16024.45</x:v>
      </x:c>
      <x:c r="N621" s="90" t="n">
        <x:v>-67996.77</x:v>
      </x:c>
      <x:c r="O621" s="90" t="n">
        <x:v>-336499.14</x:v>
      </x:c>
      <x:c r="P621" s="90" t="n">
        <x:v>1128571.78</x:v>
      </x:c>
      <x:c r="Q621" s="90" t="n">
        <x:v>-3253.02</x:v>
      </x:c>
      <x:c r="R621" s="90" t="n">
        <x:v>0</x:v>
      </x:c>
      <x:c r="S621" s="90" t="n">
        <x:v>0</x:v>
      </x:c>
      <x:c r="T621" s="90" t="n">
        <x:v>0</x:v>
      </x:c>
      <x:c r="U621" s="90">
        <x:v>0</x:v>
      </x:c>
      <x:c r="V621" s="90">
        <x:v>0</x:v>
      </x:c>
      <x:c r="W621" s="90">
        <x:v>0</x:v>
      </x:c>
      <x:c r="X621">
        <x:v>0</x:v>
      </x:c>
      <x:c r="Y621">
        <x:v>0</x:v>
      </x:c>
      <x:c r="Z621">
        <x:v>0</x:v>
      </x:c>
    </x:row>
    <x:row r="622" spans="1:26" ht="12.75" customHeight="1" x14ac:dyDescent="0.2">
      <x:c r="B622" s="89"/>
      <x:c r="C622" s="89"/>
      <x:c r="D622" t="s">
        <x:v>156</x:v>
      </x:c>
      <x:c r="E622" t="s">
        <x:v>70</x:v>
      </x:c>
      <x:c r="F622" s="90" t="n">
        <x:v>1179394.28</x:v>
      </x:c>
      <x:c r="G622" s="90" t="n">
        <x:v>424553.57</x:v>
      </x:c>
      <x:c r="H622" s="90" t="n">
        <x:v>241376.53</x:v>
      </x:c>
      <x:c r="I622" s="90" t="n">
        <x:v>128370.81</x:v>
      </x:c>
      <x:c r="J622" s="90" t="n">
        <x:v>-317773.76</x:v>
      </x:c>
      <x:c r="K622" s="90" t="n">
        <x:v>-1931.27</x:v>
      </x:c>
      <x:c r="L622" s="90" t="n">
        <x:v>0</x:v>
      </x:c>
      <x:c r="M622" s="90" t="n">
        <x:v>-16024.45</x:v>
      </x:c>
      <x:c r="N622" s="90" t="n">
        <x:v>-67996.77</x:v>
      </x:c>
      <x:c r="O622" s="90" t="n">
        <x:v>-336499.14</x:v>
      </x:c>
      <x:c r="P622" s="90" t="n">
        <x:v>1128571.78</x:v>
      </x:c>
      <x:c r="Q622" s="90" t="n">
        <x:v>-3253.02</x:v>
      </x:c>
      <x:c r="R622" s="90" t="n">
        <x:v>0</x:v>
      </x:c>
      <x:c r="S622" s="90" t="n">
        <x:v>0</x:v>
      </x:c>
      <x:c r="T622" s="90" t="n">
        <x:v>0</x:v>
      </x:c>
      <x:c r="U622" s="90">
        <x:v>0</x:v>
      </x:c>
      <x:c r="V622" s="90">
        <x:v>0</x:v>
      </x:c>
      <x:c r="W622" s="90">
        <x:v>0</x:v>
      </x:c>
      <x:c r="X622">
        <x:v>0</x:v>
      </x:c>
      <x:c r="Y622">
        <x:v>0</x:v>
      </x:c>
      <x:c r="Z622">
        <x:v>0</x:v>
      </x:c>
    </x:row>
    <x:row r="623" spans="1:26" s="656" customFormat="1" ht="12.75" customHeight="1" x14ac:dyDescent="0.2">
      <x:c r="C623" s="656" t="s">
        <x:v>155</x:v>
      </x:c>
      <x:c r="D623" s="657" t="s">
        <x:v>70</x:v>
      </x:c>
      <x:c r="E623" s="657"/>
      <x:c r="F623" s="658" t="n">
        <x:v>1179394.28</x:v>
      </x:c>
      <x:c r="G623" s="658" t="n">
        <x:v>424553.57</x:v>
      </x:c>
      <x:c r="H623" s="658" t="n">
        <x:v>241376.53</x:v>
      </x:c>
      <x:c r="I623" s="658" t="n">
        <x:v>128370.81</x:v>
      </x:c>
      <x:c r="J623" s="658" t="n">
        <x:v>-317773.76</x:v>
      </x:c>
      <x:c r="K623" s="658" t="n">
        <x:v>-1931.27</x:v>
      </x:c>
      <x:c r="L623" s="658" t="n">
        <x:v>0</x:v>
      </x:c>
      <x:c r="M623" s="658" t="n">
        <x:v>-16024.45</x:v>
      </x:c>
      <x:c r="N623" s="658" t="n">
        <x:v>-67996.77</x:v>
      </x:c>
      <x:c r="O623" s="658" t="n">
        <x:v>-336499.14</x:v>
      </x:c>
      <x:c r="P623" s="658" t="n">
        <x:v>1128571.78</x:v>
      </x:c>
      <x:c r="Q623" s="658" t="n">
        <x:v>-3253.02</x:v>
      </x:c>
      <x:c r="R623" s="658" t="n">
        <x:v>0</x:v>
      </x:c>
      <x:c r="S623" s="658" t="n">
        <x:v>0</x:v>
      </x:c>
      <x:c r="T623" s="658" t="n">
        <x:v>0</x:v>
      </x:c>
      <x:c r="U623" s="658">
        <x:v>0</x:v>
      </x:c>
      <x:c r="V623" s="658">
        <x:v>0</x:v>
      </x:c>
      <x:c r="W623" s="658">
        <x:v>0</x:v>
      </x:c>
      <x:c r="X623" s="656">
        <x:v>0</x:v>
      </x:c>
      <x:c r="Y623" s="656">
        <x:v>0</x:v>
      </x:c>
      <x:c r="Z623" s="656">
        <x:v>0</x:v>
      </x:c>
    </x:row>
    <x:row r="624" spans="1:26" ht="12.75" customHeight="1" x14ac:dyDescent="0.2">
      <x:c r="E624" s="89" t="s">
        <x:v>73</x:v>
      </x:c>
      <x:c r="F624" s="90" t="n">
        <x:v>-19130.7</x:v>
      </x:c>
      <x:c r="G624" s="90" t="n">
        <x:v>-912.73</x:v>
      </x:c>
      <x:c r="H624" s="90" t="n">
        <x:v>-515.34</x:v>
      </x:c>
      <x:c r="I624" s="90" t="n">
        <x:v>-270.49</x:v>
      </x:c>
      <x:c r="J624" s="90" t="n">
        <x:v>-4378.86</x:v>
      </x:c>
      <x:c r="K624" s="90" t="n">
        <x:v>-165.45</x:v>
      </x:c>
      <x:c r="L624" s="90" t="n">
        <x:v>0</x:v>
      </x:c>
      <x:c r="M624" s="90" t="n">
        <x:v>-1451.31</x:v>
      </x:c>
      <x:c r="N624" s="90" t="n">
        <x:v>-1418.87</x:v>
      </x:c>
      <x:c r="O624" s="90" t="n">
        <x:v>-7331.54</x:v>
      </x:c>
      <x:c r="P624" s="90" t="n">
        <x:v>-2416.16</x:v>
      </x:c>
      <x:c r="Q624" s="90" t="n">
        <x:v>-269.95</x:v>
      </x:c>
      <x:c r="R624" s="90" t="n">
        <x:v>0</x:v>
      </x:c>
      <x:c r="S624" s="90" t="n">
        <x:v>0</x:v>
      </x:c>
      <x:c r="T624" t="n">
        <x:v>0</x:v>
      </x:c>
      <x:c r="U624">
        <x:v>0</x:v>
      </x:c>
      <x:c r="V624">
        <x:v>0</x:v>
      </x:c>
      <x:c r="W624">
        <x:v>0</x:v>
      </x:c>
      <x:c r="X624">
        <x:v>0</x:v>
      </x:c>
      <x:c r="Y624" s="90">
        <x:v>0</x:v>
      </x:c>
      <x:c r="Z624">
        <x:v>0</x:v>
      </x:c>
    </x:row>
    <x:row r="625" spans="3:26" ht="12.75" customHeight="1" x14ac:dyDescent="0.2">
      <x:c r="D625" t="s">
        <x:v>115</x:v>
      </x:c>
      <x:c r="E625" s="89" t="s">
        <x:v>70</x:v>
      </x:c>
      <x:c r="F625" s="371" t="n">
        <x:v>-19130.7</x:v>
      </x:c>
      <x:c r="G625" s="90" t="n">
        <x:v>-912.73</x:v>
      </x:c>
      <x:c r="H625" s="90" t="n">
        <x:v>-515.34</x:v>
      </x:c>
      <x:c r="I625" s="90" t="n">
        <x:v>-270.49</x:v>
      </x:c>
      <x:c r="J625" s="90" t="n">
        <x:v>-4378.86</x:v>
      </x:c>
      <x:c r="K625" s="90" t="n">
        <x:v>-165.45</x:v>
      </x:c>
      <x:c r="L625" s="90" t="n">
        <x:v>0</x:v>
      </x:c>
      <x:c r="M625" s="90" t="n">
        <x:v>-1451.31</x:v>
      </x:c>
      <x:c r="N625" s="90" t="n">
        <x:v>-1418.87</x:v>
      </x:c>
      <x:c r="O625" s="90" t="n">
        <x:v>-7331.54</x:v>
      </x:c>
      <x:c r="P625" s="90" t="n">
        <x:v>-2416.16</x:v>
      </x:c>
      <x:c r="Q625" s="90" t="n">
        <x:v>-269.95</x:v>
      </x:c>
      <x:c r="R625" s="90" t="n">
        <x:v>0</x:v>
      </x:c>
      <x:c r="S625" s="90" t="n">
        <x:v>0</x:v>
      </x:c>
      <x:c r="T625" t="n">
        <x:v>0</x:v>
      </x:c>
      <x:c r="U625">
        <x:v>0</x:v>
      </x:c>
      <x:c r="V625">
        <x:v>0</x:v>
      </x:c>
      <x:c r="W625">
        <x:v>0</x:v>
      </x:c>
      <x:c r="X625">
        <x:v>0</x:v>
      </x:c>
      <x:c r="Y625" s="90">
        <x:v>0</x:v>
      </x:c>
      <x:c r="Z625">
        <x:v>0</x:v>
      </x:c>
    </x:row>
    <x:row r="626" spans="3:26" ht="12.75" customHeight="1" x14ac:dyDescent="0.2">
      <x:c r="E626" s="89" t="s">
        <x:v>73</x:v>
      </x:c>
      <x:c r="F626" s="371">
        <x:v>0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>
        <x:v>0</x:v>
      </x:c>
      <x:c r="U626">
        <x:v>0</x:v>
      </x:c>
      <x:c r="V626">
        <x:v>0</x:v>
      </x:c>
      <x:c r="W626">
        <x:v>0</x:v>
      </x:c>
      <x:c r="X626">
        <x:v>0</x:v>
      </x:c>
      <x:c r="Y626" s="90">
        <x:v>0</x:v>
      </x:c>
      <x:c r="Z626">
        <x:v>0</x:v>
      </x:c>
    </x:row>
    <x:row r="627" spans="3:26" ht="12.75" customHeight="1" x14ac:dyDescent="0.2">
      <x:c r="D627" s="772">
        <x:v>2</x:v>
      </x:c>
      <x:c r="E627" s="89" t="s">
        <x:v>70</x:v>
      </x:c>
      <x:c r="F627" s="371">
        <x:v>0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>
        <x:v>0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>
        <x:v>0</x:v>
      </x:c>
      <x:c r="U627">
        <x:v>0</x:v>
      </x:c>
      <x:c r="V627">
        <x:v>0</x:v>
      </x:c>
      <x:c r="W627">
        <x:v>0</x:v>
      </x:c>
      <x:c r="X627">
        <x:v>0</x:v>
      </x:c>
      <x:c r="Y627" s="90">
        <x:v>0</x:v>
      </x:c>
      <x:c r="Z627">
        <x:v>0</x:v>
      </x:c>
    </x:row>
    <x:row r="628" spans="3:26" ht="12.75" customHeight="1" x14ac:dyDescent="0.2">
      <x:c r="E628" s="89" t="s">
        <x:v>73</x:v>
      </x:c>
      <x:c r="F628" s="371">
        <x:v>0</x:v>
      </x:c>
      <x:c r="G628" s="90">
        <x:v>0</x:v>
      </x:c>
      <x:c r="H628" s="90">
        <x:v>0</x:v>
      </x:c>
      <x:c r="I628" s="90">
        <x:v>0</x:v>
      </x:c>
      <x:c r="J628" s="90">
        <x:v>0</x:v>
      </x:c>
      <x:c r="K628" s="90">
        <x:v>0</x:v>
      </x:c>
      <x:c r="L628" s="90">
        <x:v>0</x:v>
      </x:c>
      <x:c r="M628" s="90">
        <x:v>0</x:v>
      </x:c>
      <x:c r="N628" s="90">
        <x:v>0</x:v>
      </x:c>
      <x:c r="O628" s="90">
        <x:v>0</x:v>
      </x:c>
      <x:c r="P628" s="90">
        <x:v>0</x:v>
      </x:c>
      <x:c r="Q628" s="90">
        <x:v>0</x:v>
      </x:c>
      <x:c r="R628" s="90">
        <x:v>0</x:v>
      </x:c>
      <x:c r="S628" s="90">
        <x:v>0</x:v>
      </x:c>
      <x:c r="T628">
        <x:v>0</x:v>
      </x:c>
      <x:c r="U628">
        <x:v>0</x:v>
      </x:c>
      <x:c r="V628">
        <x:v>0</x:v>
      </x:c>
      <x:c r="W628">
        <x:v>0</x:v>
      </x:c>
      <x:c r="X628">
        <x:v>0</x:v>
      </x:c>
      <x:c r="Y628" s="90">
        <x:v>0</x:v>
      </x:c>
      <x:c r="Z628">
        <x:v>0</x:v>
      </x:c>
    </x:row>
    <x:row r="629" spans="3:26" ht="12.75" customHeight="1" x14ac:dyDescent="0.2">
      <x:c r="D629" s="772">
        <x:v>3</x:v>
      </x:c>
      <x:c r="E629" s="89" t="s">
        <x:v>70</x:v>
      </x:c>
      <x:c r="F629" s="371">
        <x:v>0</x:v>
      </x:c>
      <x:c r="G629" s="90">
        <x:v>0</x:v>
      </x:c>
      <x:c r="H629" s="90">
        <x:v>0</x:v>
      </x:c>
      <x:c r="I629" s="90">
        <x:v>0</x:v>
      </x:c>
      <x:c r="J629" s="90">
        <x:v>0</x:v>
      </x:c>
      <x:c r="K629" s="90">
        <x:v>0</x:v>
      </x:c>
      <x:c r="L629" s="90">
        <x:v>0</x:v>
      </x:c>
      <x:c r="M629" s="90">
        <x:v>0</x:v>
      </x:c>
      <x:c r="N629" s="90">
        <x:v>0</x:v>
      </x:c>
      <x:c r="O629" s="90">
        <x:v>0</x:v>
      </x:c>
      <x:c r="P629" s="90">
        <x:v>0</x:v>
      </x:c>
      <x:c r="Q629" s="90">
        <x:v>0</x:v>
      </x:c>
      <x:c r="R629" s="90">
        <x:v>0</x:v>
      </x:c>
      <x:c r="S629" s="90">
        <x:v>0</x:v>
      </x:c>
      <x:c r="T629">
        <x:v>0</x:v>
      </x:c>
      <x:c r="U629">
        <x:v>0</x:v>
      </x:c>
      <x:c r="V629">
        <x:v>0</x:v>
      </x:c>
      <x:c r="W629">
        <x:v>0</x:v>
      </x:c>
      <x:c r="X629">
        <x:v>0</x:v>
      </x:c>
      <x:c r="Y629" s="90">
        <x:v>0</x:v>
      </x:c>
      <x:c r="Z629">
        <x:v>0</x:v>
      </x:c>
    </x:row>
    <x:row r="630" spans="3:26" ht="12.75" customHeight="1" x14ac:dyDescent="0.2">
      <x:c r="D630" s="772"/>
      <x:c r="E630" s="89" t="s">
        <x:v>73</x:v>
      </x:c>
      <x:c r="F630" s="90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 s="90">
        <x:v>0</x:v>
      </x:c>
      <x:c r="Z630">
        <x:v>0</x:v>
      </x:c>
    </x:row>
    <x:row r="631" spans="3:26" ht="12.75" customHeight="1" x14ac:dyDescent="0.2">
      <x:c r="D631" s="772">
        <x:v>4</x:v>
      </x:c>
      <x:c r="E631" s="89" t="s">
        <x:v>70</x:v>
      </x:c>
      <x:c r="F631" s="371">
        <x:v>0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 s="90">
        <x:v>0</x:v>
      </x:c>
      <x:c r="Z631">
        <x:v>0</x:v>
      </x:c>
    </x:row>
    <x:row r="632" spans="3:26" ht="12.75" customHeight="1" x14ac:dyDescent="0.2">
      <x:c r="D632" s="772"/>
      <x:c r="E632" s="89" t="s">
        <x:v>73</x:v>
      </x:c>
      <x:c r="F632" s="371" t="n">
        <x:v>-61428.75</x:v>
      </x:c>
      <x:c r="G632" s="90" t="n">
        <x:v>3251.68</x:v>
      </x:c>
      <x:c r="H632" s="90" t="n">
        <x:v>1848.74</x:v>
      </x:c>
      <x:c r="I632" s="90" t="n">
        <x:v>975.9</x:v>
      </x:c>
      <x:c r="J632" s="90" t="n">
        <x:v>-24869.18</x:v>
      </x:c>
      <x:c r="K632" s="90" t="n">
        <x:v>-649.33</x:v>
      </x:c>
      <x:c r="L632" s="90" t="n">
        <x:v>0</x:v>
      </x:c>
      <x:c r="M632" s="90" t="n">
        <x:v>-5696.05</x:v>
      </x:c>
      <x:c r="N632" s="90" t="n">
        <x:v>-7187.5</x:v>
      </x:c>
      <x:c r="O632" s="90" t="n">
        <x:v>-36759.58</x:v>
      </x:c>
      <x:c r="P632" s="90" t="n">
        <x:v>8716</x:v>
      </x:c>
      <x:c r="Q632" s="90" t="n">
        <x:v>-1059.43</x:v>
      </x:c>
      <x:c r="R632" s="90" t="n">
        <x:v>0</x:v>
      </x:c>
      <x:c r="S632" s="90" t="n">
        <x:v>0</x:v>
      </x:c>
      <x:c r="T632" t="n">
        <x:v>0</x:v>
      </x:c>
      <x:c r="U632">
        <x:v>0</x:v>
      </x:c>
      <x:c r="V632">
        <x:v>0</x:v>
      </x:c>
      <x:c r="W632">
        <x:v>0</x:v>
      </x:c>
      <x:c r="X632">
        <x:v>0</x:v>
      </x:c>
      <x:c r="Y632" s="90">
        <x:v>0</x:v>
      </x:c>
      <x:c r="Z632">
        <x:v>0</x:v>
      </x:c>
    </x:row>
    <x:row r="633" spans="3:26" ht="12.75" customHeight="1" x14ac:dyDescent="0.2">
      <x:c r="D633" s="772" t="s">
        <x:v>118</x:v>
      </x:c>
      <x:c r="E633" s="89" t="s">
        <x:v>70</x:v>
      </x:c>
      <x:c r="F633" s="371" t="n">
        <x:v>-61428.75</x:v>
      </x:c>
      <x:c r="G633" s="90" t="n">
        <x:v>3251.68</x:v>
      </x:c>
      <x:c r="H633" s="90" t="n">
        <x:v>1848.74</x:v>
      </x:c>
      <x:c r="I633" s="90" t="n">
        <x:v>975.9</x:v>
      </x:c>
      <x:c r="J633" s="90" t="n">
        <x:v>-24869.18</x:v>
      </x:c>
      <x:c r="K633" s="90" t="n">
        <x:v>-649.33</x:v>
      </x:c>
      <x:c r="L633" s="90" t="n">
        <x:v>0</x:v>
      </x:c>
      <x:c r="M633" s="90" t="n">
        <x:v>-5696.05</x:v>
      </x:c>
      <x:c r="N633" s="90" t="n">
        <x:v>-7187.5</x:v>
      </x:c>
      <x:c r="O633" s="90" t="n">
        <x:v>-36759.58</x:v>
      </x:c>
      <x:c r="P633" s="90" t="n">
        <x:v>8716</x:v>
      </x:c>
      <x:c r="Q633" s="90" t="n">
        <x:v>-1059.43</x:v>
      </x:c>
      <x:c r="R633" s="90" t="n">
        <x:v>0</x:v>
      </x:c>
      <x:c r="S633" s="90" t="n">
        <x:v>0</x:v>
      </x:c>
      <x:c r="T633" t="n">
        <x:v>0</x:v>
      </x:c>
      <x:c r="U633">
        <x:v>0</x:v>
      </x:c>
      <x:c r="V633">
        <x:v>0</x:v>
      </x:c>
      <x:c r="W633">
        <x:v>0</x:v>
      </x:c>
      <x:c r="X633">
        <x:v>0</x:v>
      </x:c>
      <x:c r="Y633" s="90">
        <x:v>0</x:v>
      </x:c>
      <x:c r="Z633">
        <x:v>0</x:v>
      </x:c>
    </x:row>
    <x:row r="634" spans="3:26" ht="12.75" customHeight="1" x14ac:dyDescent="0.2">
      <x:c r="D634" s="772"/>
      <x:c r="E634" s="89" t="s">
        <x:v>73</x:v>
      </x:c>
      <x:c r="F634" s="371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 s="90">
        <x:v>0</x:v>
      </x:c>
      <x:c r="Z634">
        <x:v>0</x:v>
      </x:c>
    </x:row>
    <x:row r="635" spans="3:26" ht="12.75" customHeight="1" x14ac:dyDescent="0.2">
      <x:c r="D635" s="772">
        <x:v>6</x:v>
      </x:c>
      <x:c r="E635" s="89" t="s">
        <x:v>70</x:v>
      </x:c>
      <x:c r="F635" s="371">
        <x:v>0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 s="90">
        <x:v>0</x:v>
      </x:c>
      <x:c r="Z635">
        <x:v>0</x:v>
      </x:c>
    </x:row>
    <x:row r="636" spans="3:26" ht="12.75" customHeight="1" x14ac:dyDescent="0.2">
      <x:c r="E636" s="89" t="s">
        <x:v>73</x:v>
      </x:c>
      <x:c r="F636" s="371">
        <x:v>0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 s="90">
        <x:v>0</x:v>
      </x:c>
      <x:c r="Z636">
        <x:v>0</x:v>
      </x:c>
    </x:row>
    <x:row r="637" spans="3:26" ht="12.75" customHeight="1" x14ac:dyDescent="0.2">
      <x:c r="D637" s="772">
        <x:v>9</x:v>
      </x:c>
      <x:c r="E637" s="89" t="s">
        <x:v>70</x:v>
      </x:c>
      <x:c r="F637" s="371">
        <x:v>0</x:v>
      </x:c>
      <x:c r="G637" s="90">
        <x:v>0</x:v>
      </x:c>
      <x:c r="H637" s="90">
        <x:v>0</x:v>
      </x:c>
      <x:c r="I637" s="90">
        <x:v>0</x:v>
      </x:c>
      <x:c r="J637" s="90">
        <x:v>0</x:v>
      </x:c>
      <x:c r="K637" s="90">
        <x:v>0</x:v>
      </x:c>
      <x:c r="L637" s="90">
        <x:v>0</x:v>
      </x:c>
      <x:c r="M637" s="90">
        <x:v>0</x:v>
      </x:c>
      <x:c r="N637" s="90">
        <x:v>0</x:v>
      </x:c>
      <x:c r="O637" s="90">
        <x:v>0</x:v>
      </x:c>
      <x:c r="P637" s="90">
        <x:v>0</x:v>
      </x:c>
      <x:c r="Q637" s="90">
        <x:v>0</x:v>
      </x:c>
      <x:c r="R637" s="90">
        <x:v>0</x:v>
      </x:c>
      <x:c r="S637" s="90">
        <x:v>0</x:v>
      </x:c>
      <x:c r="T637">
        <x:v>0</x:v>
      </x:c>
      <x:c r="U637">
        <x:v>0</x:v>
      </x:c>
      <x:c r="V637">
        <x:v>0</x:v>
      </x:c>
      <x:c r="W637">
        <x:v>0</x:v>
      </x:c>
      <x:c r="X637">
        <x:v>0</x:v>
      </x:c>
      <x:c r="Y637" s="90">
        <x:v>0</x:v>
      </x:c>
      <x:c r="Z637">
        <x:v>0</x:v>
      </x:c>
    </x:row>
    <x:row r="638" spans="3:26" s="224" customFormat="1" ht="12.75" customHeight="1" x14ac:dyDescent="0.2">
      <x:c r="C638" s="223" t="s">
        <x:v>120</x:v>
      </x:c>
      <x:c r="D638" s="223" t="s">
        <x:v>70</x:v>
      </x:c>
      <x:c r="F638" s="225" t="n">
        <x:v>-80559.45</x:v>
      </x:c>
      <x:c r="G638" s="225" t="n">
        <x:v>2338.95</x:v>
      </x:c>
      <x:c r="H638" s="225" t="n">
        <x:v>1333.4</x:v>
      </x:c>
      <x:c r="I638" s="225" t="n">
        <x:v>705.41</x:v>
      </x:c>
      <x:c r="J638" s="225" t="n">
        <x:v>-29248.04</x:v>
      </x:c>
      <x:c r="K638" s="225" t="n">
        <x:v>-814.78</x:v>
      </x:c>
      <x:c r="L638" s="225" t="n">
        <x:v>0</x:v>
      </x:c>
      <x:c r="M638" s="225" t="n">
        <x:v>-7147.36</x:v>
      </x:c>
      <x:c r="N638" s="225" t="n">
        <x:v>-8606.37</x:v>
      </x:c>
      <x:c r="O638" s="225" t="n">
        <x:v>-44091.12</x:v>
      </x:c>
      <x:c r="P638" s="225" t="n">
        <x:v>6299.84</x:v>
      </x:c>
      <x:c r="Q638" s="225" t="n">
        <x:v>-1329.38</x:v>
      </x:c>
      <x:c r="R638" s="225" t="n">
        <x:v>0</x:v>
      </x:c>
      <x:c r="S638" s="225" t="n">
        <x:v>0</x:v>
      </x:c>
      <x:c r="T638" s="224" t="n">
        <x:v>0</x:v>
      </x:c>
      <x:c r="U638" s="224">
        <x:v>0</x:v>
      </x:c>
      <x:c r="V638" s="224">
        <x:v>0</x:v>
      </x:c>
      <x:c r="W638" s="224">
        <x:v>0</x:v>
      </x:c>
      <x:c r="X638" s="224">
        <x:v>0</x:v>
      </x:c>
      <x:c r="Y638" s="225">
        <x:v>0</x:v>
      </x:c>
      <x:c r="Z638" s="224">
        <x:v>0</x:v>
      </x:c>
    </x:row>
    <x:row r="639" spans="3:26" ht="12.75" customHeight="1" x14ac:dyDescent="0.2">
      <x:c r="D639" s="89"/>
      <x:c r="E639" s="89" t="s">
        <x:v>73</x:v>
      </x:c>
      <x:c r="F639" s="371" t="n">
        <x:v>-304296.67</x:v>
      </x:c>
      <x:c r="G639" s="90" t="n">
        <x:v>-21168.01</x:v>
      </x:c>
      <x:c r="H639" s="90" t="n">
        <x:v>-11886.78</x:v>
      </x:c>
      <x:c r="I639" s="90" t="n">
        <x:v>-6277.41</x:v>
      </x:c>
      <x:c r="J639" s="90" t="n">
        <x:v>-65112.4</x:v>
      </x:c>
      <x:c r="K639" s="90" t="n">
        <x:v>-1675.59</x:v>
      </x:c>
      <x:c r="L639" s="90" t="n">
        <x:v>0</x:v>
      </x:c>
      <x:c r="M639" s="90" t="n">
        <x:v>-14698.46</x:v>
      </x:c>
      <x:c r="N639" s="90" t="n">
        <x:v>-20458.47</x:v>
      </x:c>
      <x:c r="O639" s="90" t="n">
        <x:v>-103837.39</x:v>
      </x:c>
      <x:c r="P639" s="90" t="n">
        <x:v>-56448.29</x:v>
      </x:c>
      <x:c r="Q639" s="90" t="n">
        <x:v>-2733.87</x:v>
      </x:c>
      <x:c r="R639" s="90" t="n">
        <x:v>0</x:v>
      </x:c>
      <x:c r="S639" s="90" t="n">
        <x:v>0</x:v>
      </x:c>
      <x:c r="T639" s="90" t="n">
        <x:v>0</x:v>
      </x:c>
      <x:c r="U639" s="90">
        <x:v>0</x:v>
      </x:c>
      <x:c r="V639" s="90">
        <x:v>0</x:v>
      </x:c>
      <x:c r="W639" s="90">
        <x:v>0</x:v>
      </x:c>
      <x:c r="X639">
        <x:v>0</x:v>
      </x:c>
      <x:c r="Y639">
        <x:v>0</x:v>
      </x:c>
      <x:c r="Z639">
        <x:v>0</x:v>
      </x:c>
    </x:row>
    <x:row r="640" spans="3:26" ht="12.75" customHeight="1" x14ac:dyDescent="0.2">
      <x:c r="D640" s="89" t="s">
        <x:v>82</x:v>
      </x:c>
      <x:c r="E640" s="89" t="s">
        <x:v>70</x:v>
      </x:c>
      <x:c r="F640" s="371" t="n">
        <x:v>-304296.67</x:v>
      </x:c>
      <x:c r="G640" s="90" t="n">
        <x:v>-21168.01</x:v>
      </x:c>
      <x:c r="H640" s="90" t="n">
        <x:v>-11886.78</x:v>
      </x:c>
      <x:c r="I640" s="90" t="n">
        <x:v>-6277.41</x:v>
      </x:c>
      <x:c r="J640" s="90" t="n">
        <x:v>-65112.4</x:v>
      </x:c>
      <x:c r="K640" s="90" t="n">
        <x:v>-1675.59</x:v>
      </x:c>
      <x:c r="L640" s="90" t="n">
        <x:v>0</x:v>
      </x:c>
      <x:c r="M640" s="90" t="n">
        <x:v>-14698.46</x:v>
      </x:c>
      <x:c r="N640" s="90" t="n">
        <x:v>-20458.47</x:v>
      </x:c>
      <x:c r="O640" s="90" t="n">
        <x:v>-103837.39</x:v>
      </x:c>
      <x:c r="P640" s="90" t="n">
        <x:v>-56448.29</x:v>
      </x:c>
      <x:c r="Q640" s="90" t="n">
        <x:v>-2733.87</x:v>
      </x:c>
      <x:c r="R640" s="90" t="n">
        <x:v>0</x:v>
      </x:c>
      <x:c r="S640" s="90" t="n">
        <x:v>0</x:v>
      </x:c>
      <x:c r="T640" s="90" t="n">
        <x:v>0</x:v>
      </x:c>
      <x:c r="U640" s="90">
        <x:v>0</x:v>
      </x:c>
      <x:c r="V640" s="90">
        <x:v>0</x:v>
      </x:c>
      <x:c r="W640" s="90">
        <x:v>0</x:v>
      </x:c>
      <x:c r="X640">
        <x:v>0</x:v>
      </x:c>
      <x:c r="Y640">
        <x:v>0</x:v>
      </x:c>
      <x:c r="Z640">
        <x:v>0</x:v>
      </x:c>
    </x:row>
    <x:row r="641" spans="2:26" ht="12.75" customHeight="1" x14ac:dyDescent="0.2">
      <x:c r="D641" s="89"/>
      <x:c r="E641" s="89" t="s">
        <x:v>73</x:v>
      </x:c>
      <x:c r="F641" s="371" t="n">
        <x:v>-2952.44</x:v>
      </x:c>
      <x:c r="G641" s="90" t="n">
        <x:v>19142.75</x:v>
      </x:c>
      <x:c r="H641" s="90" t="n">
        <x:v>10610.65</x:v>
      </x:c>
      <x:c r="I641" s="90" t="n">
        <x:v>5757.8</x:v>
      </x:c>
      <x:c r="J641" s="90" t="n">
        <x:v>-31327.54</x:v>
      </x:c>
      <x:c r="K641" s="90" t="n">
        <x:v>-382.53</x:v>
      </x:c>
      <x:c r="L641" s="90" t="n">
        <x:v>0</x:v>
      </x:c>
      <x:c r="M641" s="90" t="n">
        <x:v>-3356.49</x:v>
      </x:c>
      <x:c r="N641" s="90" t="n">
        <x:v>-8659.46</x:v>
      </x:c>
      <x:c r="O641" s="90" t="n">
        <x:v>-45295.67</x:v>
      </x:c>
      <x:c r="P641" s="90" t="n">
        <x:v>51393.61</x:v>
      </x:c>
      <x:c r="Q641" s="90" t="n">
        <x:v>-835.56</x:v>
      </x:c>
      <x:c r="R641" s="90" t="n">
        <x:v>0</x:v>
      </x:c>
      <x:c r="S641" s="90" t="n">
        <x:v>0</x:v>
      </x:c>
      <x:c r="T641" s="90" t="n">
        <x:v>0</x:v>
      </x:c>
      <x:c r="U641" s="90">
        <x:v>0</x:v>
      </x:c>
      <x:c r="V641" s="90">
        <x:v>0</x:v>
      </x:c>
      <x:c r="W641" s="90">
        <x:v>0</x:v>
      </x:c>
      <x:c r="X641">
        <x:v>0</x:v>
      </x:c>
      <x:c r="Y641">
        <x:v>0</x:v>
      </x:c>
      <x:c r="Z641">
        <x:v>0</x:v>
      </x:c>
    </x:row>
    <x:row r="642" spans="2:26" ht="12.75" customHeight="1" x14ac:dyDescent="0.2">
      <x:c r="D642" s="89" t="s">
        <x:v>86</x:v>
      </x:c>
      <x:c r="E642" s="89" t="s">
        <x:v>70</x:v>
      </x:c>
      <x:c r="F642" s="371" t="n">
        <x:v>-2952.44</x:v>
      </x:c>
      <x:c r="G642" s="90" t="n">
        <x:v>19142.75</x:v>
      </x:c>
      <x:c r="H642" s="90" t="n">
        <x:v>10610.65</x:v>
      </x:c>
      <x:c r="I642" s="90" t="n">
        <x:v>5757.8</x:v>
      </x:c>
      <x:c r="J642" s="90" t="n">
        <x:v>-31327.54</x:v>
      </x:c>
      <x:c r="K642" s="90" t="n">
        <x:v>-382.53</x:v>
      </x:c>
      <x:c r="L642" s="90" t="n">
        <x:v>0</x:v>
      </x:c>
      <x:c r="M642" s="90" t="n">
        <x:v>-3356.49</x:v>
      </x:c>
      <x:c r="N642" s="90" t="n">
        <x:v>-8659.46</x:v>
      </x:c>
      <x:c r="O642" s="90" t="n">
        <x:v>-45295.67</x:v>
      </x:c>
      <x:c r="P642" s="90" t="n">
        <x:v>51393.61</x:v>
      </x:c>
      <x:c r="Q642" s="90" t="n">
        <x:v>-835.56</x:v>
      </x:c>
      <x:c r="R642" s="90" t="n">
        <x:v>0</x:v>
      </x:c>
      <x:c r="S642" s="90" t="n">
        <x:v>0</x:v>
      </x:c>
      <x:c r="T642" s="90" t="n">
        <x:v>0</x:v>
      </x:c>
      <x:c r="U642" s="90">
        <x:v>0</x:v>
      </x:c>
      <x:c r="V642" s="90">
        <x:v>0</x:v>
      </x:c>
      <x:c r="W642" s="90">
        <x:v>0</x:v>
      </x:c>
      <x:c r="X642">
        <x:v>0</x:v>
      </x:c>
      <x:c r="Y642">
        <x:v>0</x:v>
      </x:c>
      <x:c r="Z642">
        <x:v>0</x:v>
      </x:c>
    </x:row>
    <x:row r="643" spans="2:26" x14ac:dyDescent="0.2">
      <x:c r="E643" t="s">
        <x:v>73</x:v>
      </x:c>
      <x:c r="F643" s="90">
        <x:v>0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 s="90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s="90">
        <x:v>0</x:v>
      </x:c>
    </x:row>
    <x:row r="644" spans="2:26" x14ac:dyDescent="0.2">
      <x:c r="D644" t="s">
        <x:v>87</x:v>
      </x:c>
      <x:c r="E644" t="s">
        <x:v>70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 s="90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s="90">
        <x:v>0</x:v>
      </x:c>
    </x:row>
    <x:row r="645" spans="2:26" s="94" customFormat="1" ht="12.75" customHeight="1" x14ac:dyDescent="0.2">
      <x:c r="C645" s="94" t="s">
        <x:v>119</x:v>
      </x:c>
      <x:c r="D645" s="94" t="s">
        <x:v>70</x:v>
      </x:c>
      <x:c r="E645" s="101"/>
      <x:c r="F645" s="93" t="n">
        <x:v>-307249.11</x:v>
      </x:c>
      <x:c r="G645" s="93" t="n">
        <x:v>-2025.26</x:v>
      </x:c>
      <x:c r="H645" s="93" t="n">
        <x:v>-1276.13</x:v>
      </x:c>
      <x:c r="I645" s="93" t="n">
        <x:v>-519.61</x:v>
      </x:c>
      <x:c r="J645" s="93" t="n">
        <x:v>-96439.94</x:v>
      </x:c>
      <x:c r="K645" s="93" t="n">
        <x:v>-2058.12</x:v>
      </x:c>
      <x:c r="L645" s="93" t="n">
        <x:v>0</x:v>
      </x:c>
      <x:c r="M645" s="93" t="n">
        <x:v>-18054.95</x:v>
      </x:c>
      <x:c r="N645" s="93" t="n">
        <x:v>-29117.93</x:v>
      </x:c>
      <x:c r="O645" s="93" t="n">
        <x:v>-149133.06</x:v>
      </x:c>
      <x:c r="P645" s="93" t="n">
        <x:v>-5054.68</x:v>
      </x:c>
      <x:c r="Q645" s="93" t="n">
        <x:v>-3569.43</x:v>
      </x:c>
      <x:c r="R645" s="93" t="n">
        <x:v>0</x:v>
      </x:c>
      <x:c r="S645" s="93" t="n">
        <x:v>0</x:v>
      </x:c>
      <x:c r="T645" s="93" t="n">
        <x:v>0</x:v>
      </x:c>
      <x:c r="U645" s="93">
        <x:v>0</x:v>
      </x:c>
      <x:c r="V645" s="93">
        <x:v>0</x:v>
      </x:c>
      <x:c r="W645" s="93">
        <x:v>0</x:v>
      </x:c>
      <x:c r="X645" s="94">
        <x:v>0</x:v>
      </x:c>
      <x:c r="Y645" s="94">
        <x:v>0</x:v>
      </x:c>
      <x:c r="Z645" s="94">
        <x:v>0</x:v>
      </x:c>
    </x:row>
    <x:row r="646" spans="2:26" s="378" customFormat="1" ht="12.75" customHeight="1" x14ac:dyDescent="0.2">
      <x:c r="B646" s="378" t="s">
        <x:v>122</x:v>
      </x:c>
      <x:c r="C646" s="378" t="s">
        <x:v>70</x:v>
      </x:c>
      <x:c r="E646" s="376"/>
      <x:c r="F646" s="377" t="n">
        <x:v>791585.72</x:v>
      </x:c>
      <x:c r="G646" s="377" t="n">
        <x:v>424867.26</x:v>
      </x:c>
      <x:c r="H646" s="377" t="n">
        <x:v>241433.8</x:v>
      </x:c>
      <x:c r="I646" s="377" t="n">
        <x:v>128556.61</x:v>
      </x:c>
      <x:c r="J646" s="377" t="n">
        <x:v>-443461.74</x:v>
      </x:c>
      <x:c r="K646" s="377" t="n">
        <x:v>-4804.17</x:v>
      </x:c>
      <x:c r="L646" s="377" t="n">
        <x:v>0</x:v>
      </x:c>
      <x:c r="M646" s="377" t="n">
        <x:v>-41226.76</x:v>
      </x:c>
      <x:c r="N646" s="377" t="n">
        <x:v>-105721.07</x:v>
      </x:c>
      <x:c r="O646" s="377" t="n">
        <x:v>-529723.32</x:v>
      </x:c>
      <x:c r="P646" s="377" t="n">
        <x:v>1129816.94</x:v>
      </x:c>
      <x:c r="Q646" s="377" t="n">
        <x:v>-8151.83</x:v>
      </x:c>
      <x:c r="R646" s="377" t="n">
        <x:v>0</x:v>
      </x:c>
      <x:c r="S646" s="377" t="n">
        <x:v>0</x:v>
      </x:c>
      <x:c r="T646" s="378" t="n">
        <x:v>0</x:v>
      </x:c>
      <x:c r="U646" s="378">
        <x:v>0</x:v>
      </x:c>
      <x:c r="V646" s="378">
        <x:v>0</x:v>
      </x:c>
      <x:c r="W646" s="378">
        <x:v>0</x:v>
      </x:c>
      <x:c r="X646" s="378">
        <x:v>0</x:v>
      </x:c>
      <x:c r="Y646" s="377">
        <x:v>0</x:v>
      </x:c>
      <x:c r="Z646" s="378">
        <x:v>0</x:v>
      </x:c>
    </x:row>
    <x:row r="647" spans="2:26" ht="12.75" customHeight="1" x14ac:dyDescent="0.2">
      <x:c r="E647" s="89" t="s">
        <x:v>73</x:v>
      </x:c>
      <x:c r="F647" s="90" t="n">
        <x:v>-349925534.42</x:v>
      </x:c>
      <x:c r="G647" s="90" t="n">
        <x:v>32112276.36</x:v>
      </x:c>
      <x:c r="H647" s="90" t="n">
        <x:v>17725320.07</x:v>
      </x:c>
      <x:c r="I647" s="90" t="n">
        <x:v>9388911.52</x:v>
      </x:c>
      <x:c r="J647" s="90" t="n">
        <x:v>-155721097.44</x:v>
      </x:c>
      <x:c r="K647" s="90" t="n">
        <x:v>-5318836.08</x:v>
      </x:c>
      <x:c r="L647" s="90" t="n">
        <x:v>0</x:v>
      </x:c>
      <x:c r="M647" s="90" t="n">
        <x:v>-46686614.83</x:v>
      </x:c>
      <x:c r="N647" s="90" t="n">
        <x:v>-45114890.04</x:v>
      </x:c>
      <x:c r="O647" s="90" t="n">
        <x:v>-232756356.6</x:v>
      </x:c>
      <x:c r="P647" s="90" t="n">
        <x:v>85124027.64</x:v>
      </x:c>
      <x:c r="Q647" s="90" t="n">
        <x:v>-8678275.02</x:v>
      </x:c>
      <x:c r="R647" s="90" t="n">
        <x:v>0</x:v>
      </x:c>
      <x:c r="S647" s="90" t="n">
        <x:v>0</x:v>
      </x:c>
      <x:c r="T647" t="n">
        <x:v>0</x:v>
      </x:c>
      <x:c r="U647">
        <x:v>0</x:v>
      </x:c>
      <x:c r="V647">
        <x:v>0</x:v>
      </x:c>
      <x:c r="W647">
        <x:v>0</x:v>
      </x:c>
      <x:c r="X647">
        <x:v>0</x:v>
      </x:c>
      <x:c r="Y647" s="90">
        <x:v>0</x:v>
      </x:c>
      <x:c r="Z647">
        <x:v>0</x:v>
      </x:c>
    </x:row>
    <x:row r="648" spans="2:26" ht="12.75" customHeight="1" x14ac:dyDescent="0.2">
      <x:c r="D648" s="89" t="s">
        <x:v>156</x:v>
      </x:c>
      <x:c r="E648" s="89" t="s">
        <x:v>70</x:v>
      </x:c>
      <x:c r="F648" s="90" t="n">
        <x:v>-349925534.42</x:v>
      </x:c>
      <x:c r="G648" s="90" t="n">
        <x:v>32112276.36</x:v>
      </x:c>
      <x:c r="H648" s="90" t="n">
        <x:v>17725320.07</x:v>
      </x:c>
      <x:c r="I648" s="90" t="n">
        <x:v>9388911.52</x:v>
      </x:c>
      <x:c r="J648" s="90" t="n">
        <x:v>-155721097.44</x:v>
      </x:c>
      <x:c r="K648" s="90" t="n">
        <x:v>-5318836.08</x:v>
      </x:c>
      <x:c r="L648" s="90" t="n">
        <x:v>0</x:v>
      </x:c>
      <x:c r="M648" s="90" t="n">
        <x:v>-46686614.83</x:v>
      </x:c>
      <x:c r="N648" s="90" t="n">
        <x:v>-45114890.04</x:v>
      </x:c>
      <x:c r="O648" s="90" t="n">
        <x:v>-232756356.6</x:v>
      </x:c>
      <x:c r="P648" s="90" t="n">
        <x:v>85124027.64</x:v>
      </x:c>
      <x:c r="Q648" s="90" t="n">
        <x:v>-8678275.02</x:v>
      </x:c>
      <x:c r="R648" s="90" t="n">
        <x:v>0</x:v>
      </x:c>
      <x:c r="S648" s="90" t="n">
        <x:v>0</x:v>
      </x:c>
      <x:c r="T648" t="n">
        <x:v>0</x:v>
      </x:c>
      <x:c r="U648">
        <x:v>0</x:v>
      </x:c>
      <x:c r="V648">
        <x:v>0</x:v>
      </x:c>
      <x:c r="W648">
        <x:v>0</x:v>
      </x:c>
      <x:c r="X648">
        <x:v>0</x:v>
      </x:c>
      <x:c r="Y648" s="90">
        <x:v>0</x:v>
      </x:c>
      <x:c r="Z648">
        <x:v>0</x:v>
      </x:c>
    </x:row>
    <x:row r="649" spans="2:26" s="656" customFormat="1" ht="12.75" customHeight="1" x14ac:dyDescent="0.2">
      <x:c r="C649" s="656" t="s">
        <x:v>155</x:v>
      </x:c>
      <x:c r="D649" s="657" t="s">
        <x:v>70</x:v>
      </x:c>
      <x:c r="E649" s="657"/>
      <x:c r="F649" s="738" t="n">
        <x:v>-349925534.42</x:v>
      </x:c>
      <x:c r="G649" s="658" t="n">
        <x:v>32112276.36</x:v>
      </x:c>
      <x:c r="H649" s="658" t="n">
        <x:v>17725320.07</x:v>
      </x:c>
      <x:c r="I649" s="658" t="n">
        <x:v>9388911.52</x:v>
      </x:c>
      <x:c r="J649" s="658" t="n">
        <x:v>-155721097.44</x:v>
      </x:c>
      <x:c r="K649" s="658" t="n">
        <x:v>-5318836.08</x:v>
      </x:c>
      <x:c r="L649" s="658" t="n">
        <x:v>0</x:v>
      </x:c>
      <x:c r="M649" s="658" t="n">
        <x:v>-46686614.83</x:v>
      </x:c>
      <x:c r="N649" s="658" t="n">
        <x:v>-45114890.04</x:v>
      </x:c>
      <x:c r="O649" s="658" t="n">
        <x:v>-232756356.6</x:v>
      </x:c>
      <x:c r="P649" s="658" t="n">
        <x:v>85124027.64</x:v>
      </x:c>
      <x:c r="Q649" s="658" t="n">
        <x:v>-8678275.02</x:v>
      </x:c>
      <x:c r="R649" s="658" t="n">
        <x:v>0</x:v>
      </x:c>
      <x:c r="S649" s="658" t="n">
        <x:v>0</x:v>
      </x:c>
      <x:c r="T649" s="656" t="n">
        <x:v>0</x:v>
      </x:c>
      <x:c r="U649" s="656">
        <x:v>0</x:v>
      </x:c>
      <x:c r="V649" s="656">
        <x:v>0</x:v>
      </x:c>
      <x:c r="W649" s="656">
        <x:v>0</x:v>
      </x:c>
      <x:c r="X649" s="656">
        <x:v>0</x:v>
      </x:c>
      <x:c r="Y649" s="658">
        <x:v>0</x:v>
      </x:c>
      <x:c r="Z649" s="656">
        <x:v>0</x:v>
      </x:c>
    </x:row>
    <x:row r="650" spans="2:26" ht="12.75" customHeight="1" x14ac:dyDescent="0.2">
      <x:c r="D650" s="89"/>
      <x:c r="E650" s="89" t="s">
        <x:v>73</x:v>
      </x:c>
      <x:c r="F650" s="371" t="n">
        <x:v>-6482.1</x:v>
      </x:c>
      <x:c r="G650" s="90" t="n">
        <x:v>-283.59</x:v>
      </x:c>
      <x:c r="H650" s="90" t="n">
        <x:v>-158.34</x:v>
      </x:c>
      <x:c r="I650" s="90" t="n">
        <x:v>-84.04</x:v>
      </x:c>
      <x:c r="J650" s="90" t="n">
        <x:v>-1646.56</x:v>
      </x:c>
      <x:c r="K650" s="90" t="n">
        <x:v>-55.75</x:v>
      </x:c>
      <x:c r="L650" s="90" t="n">
        <x:v>0</x:v>
      </x:c>
      <x:c r="M650" s="90" t="n">
        <x:v>-489.03</x:v>
      </x:c>
      <x:c r="N650" s="90" t="n">
        <x:v>-475.91</x:v>
      </x:c>
      <x:c r="O650" s="90" t="n">
        <x:v>-2447.06</x:v>
      </x:c>
      <x:c r="P650" s="90" t="n">
        <x:v>-750.86</x:v>
      </x:c>
      <x:c r="Q650" s="90" t="n">
        <x:v>-90.96</x:v>
      </x:c>
      <x:c r="R650" s="90" t="n">
        <x:v>0</x:v>
      </x:c>
      <x:c r="S650" s="90" t="n">
        <x:v>0</x:v>
      </x:c>
      <x:c r="T650" s="90" t="n">
        <x:v>0</x:v>
      </x:c>
      <x:c r="U650" s="90">
        <x:v>0</x:v>
      </x:c>
      <x:c r="V650" s="90">
        <x:v>0</x:v>
      </x:c>
      <x:c r="W650" s="90">
        <x:v>0</x:v>
      </x:c>
      <x:c r="X650">
        <x:v>0</x:v>
      </x:c>
      <x:c r="Y650">
        <x:v>0</x:v>
      </x:c>
      <x:c r="Z650">
        <x:v>0</x:v>
      </x:c>
    </x:row>
    <x:row r="651" spans="2:26" ht="12.75" customHeight="1" x14ac:dyDescent="0.2">
      <x:c r="D651" s="89" t="s">
        <x:v>115</x:v>
      </x:c>
      <x:c r="E651" s="89" t="s">
        <x:v>70</x:v>
      </x:c>
      <x:c r="F651" s="371" t="n">
        <x:v>-6482.1</x:v>
      </x:c>
      <x:c r="G651" s="90" t="n">
        <x:v>-283.59</x:v>
      </x:c>
      <x:c r="H651" s="90" t="n">
        <x:v>-158.34</x:v>
      </x:c>
      <x:c r="I651" s="90" t="n">
        <x:v>-84.04</x:v>
      </x:c>
      <x:c r="J651" s="90" t="n">
        <x:v>-1646.56</x:v>
      </x:c>
      <x:c r="K651" s="90" t="n">
        <x:v>-55.75</x:v>
      </x:c>
      <x:c r="L651" s="90" t="n">
        <x:v>0</x:v>
      </x:c>
      <x:c r="M651" s="90" t="n">
        <x:v>-489.03</x:v>
      </x:c>
      <x:c r="N651" s="90" t="n">
        <x:v>-475.91</x:v>
      </x:c>
      <x:c r="O651" s="90" t="n">
        <x:v>-2447.06</x:v>
      </x:c>
      <x:c r="P651" s="90" t="n">
        <x:v>-750.86</x:v>
      </x:c>
      <x:c r="Q651" s="90" t="n">
        <x:v>-90.96</x:v>
      </x:c>
      <x:c r="R651" s="90" t="n">
        <x:v>0</x:v>
      </x:c>
      <x:c r="S651" s="90" t="n">
        <x:v>0</x:v>
      </x:c>
      <x:c r="T651" s="90" t="n">
        <x:v>0</x:v>
      </x:c>
      <x:c r="U651" s="90">
        <x:v>0</x:v>
      </x:c>
      <x:c r="V651" s="90">
        <x:v>0</x:v>
      </x:c>
      <x:c r="W651" s="90">
        <x:v>0</x:v>
      </x:c>
      <x:c r="X651">
        <x:v>0</x:v>
      </x:c>
      <x:c r="Y651">
        <x:v>0</x:v>
      </x:c>
      <x:c r="Z651">
        <x:v>0</x:v>
      </x:c>
    </x:row>
    <x:row r="652" spans="2:26" ht="12.75" customHeight="1" x14ac:dyDescent="0.2">
      <x:c r="D652" s="89"/>
      <x:c r="E652" s="89" t="s">
        <x:v>73</x:v>
      </x:c>
      <x:c r="F652" s="371">
        <x:v>0</x:v>
      </x:c>
      <x:c r="G652" s="90">
        <x:v>0</x:v>
      </x:c>
      <x:c r="H652" s="90">
        <x:v>0</x:v>
      </x:c>
      <x:c r="I652" s="90">
        <x:v>0</x:v>
      </x:c>
      <x:c r="J652" s="90">
        <x:v>0</x:v>
      </x:c>
      <x:c r="K652" s="90">
        <x:v>0</x:v>
      </x:c>
      <x:c r="L652" s="90">
        <x:v>0</x:v>
      </x:c>
      <x:c r="M652" s="90">
        <x:v>0</x:v>
      </x:c>
      <x:c r="N652" s="90">
        <x:v>0</x:v>
      </x:c>
      <x:c r="O652" s="90">
        <x:v>0</x:v>
      </x:c>
      <x:c r="P652" s="90">
        <x:v>0</x:v>
      </x:c>
      <x:c r="Q652" s="90">
        <x:v>0</x:v>
      </x:c>
      <x:c r="R652" s="90">
        <x:v>0</x:v>
      </x:c>
      <x:c r="S652" s="90">
        <x:v>0</x:v>
      </x:c>
      <x:c r="T652" s="90">
        <x:v>0</x:v>
      </x:c>
      <x:c r="U652" s="90">
        <x:v>0</x:v>
      </x:c>
      <x:c r="V652" s="90">
        <x:v>0</x:v>
      </x:c>
      <x:c r="W652" s="90">
        <x:v>0</x:v>
      </x:c>
      <x:c r="X652">
        <x:v>0</x:v>
      </x:c>
      <x:c r="Y652">
        <x:v>0</x:v>
      </x:c>
      <x:c r="Z652">
        <x:v>0</x:v>
      </x:c>
    </x:row>
    <x:row r="653" spans="2:26" ht="12.75" customHeight="1" x14ac:dyDescent="0.2">
      <x:c r="D653" s="89" t="s">
        <x:v>116</x:v>
      </x:c>
      <x:c r="E653" s="89" t="s">
        <x:v>70</x:v>
      </x:c>
      <x:c r="F653" s="371">
        <x:v>0</x:v>
      </x:c>
      <x:c r="G653" s="90">
        <x:v>0</x:v>
      </x:c>
      <x:c r="H653" s="90">
        <x:v>0</x:v>
      </x:c>
      <x:c r="I653" s="90">
        <x:v>0</x:v>
      </x:c>
      <x:c r="J653" s="90">
        <x:v>0</x:v>
      </x:c>
      <x:c r="K653" s="90">
        <x:v>0</x:v>
      </x:c>
      <x:c r="L653" s="90">
        <x:v>0</x:v>
      </x:c>
      <x:c r="M653" s="90">
        <x:v>0</x:v>
      </x:c>
      <x:c r="N653" s="90">
        <x:v>0</x:v>
      </x:c>
      <x:c r="O653" s="90">
        <x:v>0</x:v>
      </x:c>
      <x:c r="P653" s="90">
        <x:v>0</x:v>
      </x:c>
      <x:c r="Q653" s="90">
        <x:v>0</x:v>
      </x:c>
      <x:c r="R653" s="90">
        <x:v>0</x:v>
      </x:c>
      <x:c r="S653" s="90">
        <x:v>0</x:v>
      </x:c>
      <x:c r="T653" s="90">
        <x:v>0</x:v>
      </x:c>
      <x:c r="U653" s="90">
        <x:v>0</x:v>
      </x:c>
      <x:c r="V653" s="90">
        <x:v>0</x:v>
      </x:c>
      <x:c r="W653" s="90">
        <x:v>0</x:v>
      </x:c>
      <x:c r="X653">
        <x:v>0</x:v>
      </x:c>
      <x:c r="Y653">
        <x:v>0</x:v>
      </x:c>
      <x:c r="Z653">
        <x:v>0</x:v>
      </x:c>
    </x:row>
    <x:row r="654" spans="2:26" ht="12.75" customHeight="1" x14ac:dyDescent="0.2">
      <x:c r="D654" s="89"/>
      <x:c r="E654" s="89" t="s">
        <x:v>73</x:v>
      </x:c>
      <x:c r="F654" s="371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 s="90">
        <x:v>0</x:v>
      </x:c>
      <x:c r="V654" s="90">
        <x:v>0</x:v>
      </x:c>
      <x:c r="W654" s="90">
        <x:v>0</x:v>
      </x:c>
      <x:c r="X654">
        <x:v>0</x:v>
      </x:c>
      <x:c r="Y654">
        <x:v>0</x:v>
      </x:c>
      <x:c r="Z654">
        <x:v>0</x:v>
      </x:c>
    </x:row>
    <x:row r="655" spans="2:26" ht="12.75" customHeight="1" x14ac:dyDescent="0.2">
      <x:c r="D655" s="773">
        <x:v>3</x:v>
      </x:c>
      <x:c r="E655" s="89" t="s">
        <x:v>70</x:v>
      </x:c>
      <x:c r="F655" s="371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 s="90">
        <x:v>0</x:v>
      </x:c>
      <x:c r="V655" s="90">
        <x:v>0</x:v>
      </x:c>
      <x:c r="W655" s="90">
        <x:v>0</x:v>
      </x:c>
      <x:c r="X655">
        <x:v>0</x:v>
      </x:c>
      <x:c r="Y655">
        <x:v>0</x:v>
      </x:c>
      <x:c r="Z655">
        <x:v>0</x:v>
      </x:c>
    </x:row>
    <x:row r="656" spans="2:26" ht="12.75" customHeight="1" x14ac:dyDescent="0.2">
      <x:c r="D656" s="89"/>
      <x:c r="E656" s="89" t="s">
        <x:v>73</x:v>
      </x:c>
      <x:c r="F656" s="371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 s="90">
        <x:v>0</x:v>
      </x:c>
      <x:c r="V656" s="90">
        <x:v>0</x:v>
      </x:c>
      <x:c r="W656" s="90">
        <x:v>0</x:v>
      </x:c>
      <x:c r="X656">
        <x:v>0</x:v>
      </x:c>
      <x:c r="Y656">
        <x:v>0</x:v>
      </x:c>
      <x:c r="Z656">
        <x:v>0</x:v>
      </x:c>
    </x:row>
    <x:row r="657" spans="2:26" ht="12.75" customHeight="1" x14ac:dyDescent="0.2">
      <x:c r="D657" s="773">
        <x:v>4</x:v>
      </x:c>
      <x:c r="E657" s="89" t="s">
        <x:v>70</x:v>
      </x:c>
      <x:c r="F657" s="371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 s="90">
        <x:v>0</x:v>
      </x:c>
      <x:c r="V657" s="90">
        <x:v>0</x:v>
      </x:c>
      <x:c r="W657" s="90">
        <x:v>0</x:v>
      </x:c>
      <x:c r="X657">
        <x:v>0</x:v>
      </x:c>
      <x:c r="Y657">
        <x:v>0</x:v>
      </x:c>
      <x:c r="Z657">
        <x:v>0</x:v>
      </x:c>
    </x:row>
    <x:row r="658" spans="2:26" ht="12.75" customHeight="1" x14ac:dyDescent="0.2">
      <x:c r="D658" s="89"/>
      <x:c r="E658" s="89" t="s">
        <x:v>73</x:v>
      </x:c>
      <x:c r="F658" s="371" t="n">
        <x:v>-51999.91</x:v>
      </x:c>
      <x:c r="G658" s="90" t="n">
        <x:v>-1115.4</x:v>
      </x:c>
      <x:c r="H658" s="90" t="n">
        <x:v>-621.49</x:v>
      </x:c>
      <x:c r="I658" s="90" t="n">
        <x:v>-330.53</x:v>
      </x:c>
      <x:c r="J658" s="90" t="n">
        <x:v>-14615.11</x:v>
      </x:c>
      <x:c r="K658" s="90" t="n">
        <x:v>-510.79</x:v>
      </x:c>
      <x:c r="L658" s="90" t="n">
        <x:v>0</x:v>
      </x:c>
      <x:c r="M658" s="90" t="n">
        <x:v>-4480.55</x:v>
      </x:c>
      <x:c r="N658" s="90" t="n">
        <x:v>-4310.58</x:v>
      </x:c>
      <x:c r="O658" s="90" t="n">
        <x:v>-22228.78</x:v>
      </x:c>
      <x:c r="P658" s="90" t="n">
        <x:v>-2953.3</x:v>
      </x:c>
      <x:c r="Q658" s="90" t="n">
        <x:v>-833.38</x:v>
      </x:c>
      <x:c r="R658" s="90" t="n">
        <x:v>0</x:v>
      </x:c>
      <x:c r="S658" s="90" t="n">
        <x:v>0</x:v>
      </x:c>
      <x:c r="T658" s="90" t="n">
        <x:v>0</x:v>
      </x:c>
      <x:c r="U658" s="90">
        <x:v>0</x:v>
      </x:c>
      <x:c r="V658" s="90">
        <x:v>0</x:v>
      </x:c>
      <x:c r="W658" s="90">
        <x:v>0</x:v>
      </x:c>
      <x:c r="X658">
        <x:v>0</x:v>
      </x:c>
      <x:c r="Y658">
        <x:v>0</x:v>
      </x:c>
      <x:c r="Z658">
        <x:v>0</x:v>
      </x:c>
    </x:row>
    <x:row r="659" spans="2:26" ht="12.75" customHeight="1" x14ac:dyDescent="0.2">
      <x:c r="D659" s="89" t="s">
        <x:v>118</x:v>
      </x:c>
      <x:c r="E659" s="89" t="s">
        <x:v>70</x:v>
      </x:c>
      <x:c r="F659" s="371" t="n">
        <x:v>-51999.91</x:v>
      </x:c>
      <x:c r="G659" s="90" t="n">
        <x:v>-1115.4</x:v>
      </x:c>
      <x:c r="H659" s="90" t="n">
        <x:v>-621.49</x:v>
      </x:c>
      <x:c r="I659" s="90" t="n">
        <x:v>-330.53</x:v>
      </x:c>
      <x:c r="J659" s="90" t="n">
        <x:v>-14615.11</x:v>
      </x:c>
      <x:c r="K659" s="90" t="n">
        <x:v>-510.79</x:v>
      </x:c>
      <x:c r="L659" s="90" t="n">
        <x:v>0</x:v>
      </x:c>
      <x:c r="M659" s="90" t="n">
        <x:v>-4480.55</x:v>
      </x:c>
      <x:c r="N659" s="90" t="n">
        <x:v>-4310.58</x:v>
      </x:c>
      <x:c r="O659" s="90" t="n">
        <x:v>-22228.78</x:v>
      </x:c>
      <x:c r="P659" s="90" t="n">
        <x:v>-2953.3</x:v>
      </x:c>
      <x:c r="Q659" s="90" t="n">
        <x:v>-833.38</x:v>
      </x:c>
      <x:c r="R659" s="90" t="n">
        <x:v>0</x:v>
      </x:c>
      <x:c r="S659" s="90" t="n">
        <x:v>0</x:v>
      </x:c>
      <x:c r="T659" s="90" t="n">
        <x:v>0</x:v>
      </x:c>
      <x:c r="U659" s="90">
        <x:v>0</x:v>
      </x:c>
      <x:c r="V659" s="90">
        <x:v>0</x:v>
      </x:c>
      <x:c r="W659" s="90">
        <x:v>0</x:v>
      </x:c>
      <x:c r="X659">
        <x:v>0</x:v>
      </x:c>
      <x:c r="Y659">
        <x:v>0</x:v>
      </x:c>
      <x:c r="Z659">
        <x:v>0</x:v>
      </x:c>
    </x:row>
    <x:row r="660" spans="2:26" ht="12.75" customHeight="1" x14ac:dyDescent="0.2">
      <x:c r="D660" s="89"/>
      <x:c r="E660" s="89" t="s">
        <x:v>73</x:v>
      </x:c>
      <x:c r="F660" s="371">
        <x:v>0</x:v>
      </x:c>
      <x:c r="G660" s="90">
        <x:v>0</x:v>
      </x:c>
      <x:c r="H660" s="90">
        <x:v>0</x:v>
      </x:c>
      <x:c r="I660" s="90">
        <x:v>0</x:v>
      </x:c>
      <x:c r="J660" s="90">
        <x:v>0</x:v>
      </x:c>
      <x:c r="K660" s="90">
        <x:v>0</x:v>
      </x:c>
      <x:c r="L660" s="90">
        <x:v>0</x:v>
      </x:c>
      <x:c r="M660" s="90">
        <x:v>0</x:v>
      </x:c>
      <x:c r="N660" s="90">
        <x:v>0</x:v>
      </x:c>
      <x:c r="O660" s="90">
        <x:v>0</x:v>
      </x:c>
      <x:c r="P660" s="90">
        <x:v>0</x:v>
      </x:c>
      <x:c r="Q660" s="90">
        <x:v>0</x:v>
      </x:c>
      <x:c r="R660" s="90">
        <x:v>0</x:v>
      </x:c>
      <x:c r="S660" s="90">
        <x:v>0</x:v>
      </x:c>
      <x:c r="T660" s="90">
        <x:v>0</x:v>
      </x:c>
      <x:c r="U660" s="90">
        <x:v>0</x:v>
      </x:c>
      <x:c r="V660" s="90">
        <x:v>0</x:v>
      </x:c>
      <x:c r="W660" s="90">
        <x:v>0</x:v>
      </x:c>
      <x:c r="X660">
        <x:v>0</x:v>
      </x:c>
      <x:c r="Y660">
        <x:v>0</x:v>
      </x:c>
      <x:c r="Z660">
        <x:v>0</x:v>
      </x:c>
    </x:row>
    <x:row r="661" spans="2:26" ht="12.75" customHeight="1" x14ac:dyDescent="0.2">
      <x:c r="D661" s="773">
        <x:v>6</x:v>
      </x:c>
      <x:c r="E661" s="89" t="s">
        <x:v>70</x:v>
      </x:c>
      <x:c r="F661" s="371">
        <x:v>0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 s="90">
        <x:v>0</x:v>
      </x:c>
      <x:c r="U661" s="90">
        <x:v>0</x:v>
      </x:c>
      <x:c r="V661" s="90">
        <x:v>0</x:v>
      </x:c>
      <x:c r="W661" s="90">
        <x:v>0</x:v>
      </x:c>
      <x:c r="X661">
        <x:v>0</x:v>
      </x:c>
      <x:c r="Y661">
        <x:v>0</x:v>
      </x:c>
      <x:c r="Z661">
        <x:v>0</x:v>
      </x:c>
    </x:row>
    <x:row r="662" spans="2:26" ht="12.75" customHeight="1" x14ac:dyDescent="0.2">
      <x:c r="D662" s="89"/>
      <x:c r="E662" s="89" t="s">
        <x:v>73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 s="90">
        <x:v>0</x:v>
      </x:c>
      <x:c r="U662" s="90">
        <x:v>0</x:v>
      </x:c>
      <x:c r="V662" s="90">
        <x:v>0</x:v>
      </x:c>
      <x:c r="W662" s="90">
        <x:v>0</x:v>
      </x:c>
      <x:c r="X662">
        <x:v>0</x:v>
      </x:c>
      <x:c r="Y662">
        <x:v>0</x:v>
      </x:c>
      <x:c r="Z662">
        <x:v>0</x:v>
      </x:c>
    </x:row>
    <x:row r="663" spans="2:26" ht="12.75" customHeight="1" x14ac:dyDescent="0.2">
      <x:c r="D663" s="773">
        <x:v>9</x:v>
      </x:c>
      <x:c r="E663" s="89" t="s">
        <x:v>70</x:v>
      </x:c>
      <x:c r="F663" s="371">
        <x:v>0</x:v>
      </x:c>
      <x:c r="G663" s="90">
        <x:v>0</x:v>
      </x:c>
      <x:c r="H663" s="90">
        <x:v>0</x:v>
      </x:c>
      <x:c r="I663" s="90">
        <x:v>0</x:v>
      </x:c>
      <x:c r="J663" s="90">
        <x:v>0</x:v>
      </x:c>
      <x:c r="K663" s="90">
        <x:v>0</x:v>
      </x:c>
      <x:c r="L663" s="90">
        <x:v>0</x:v>
      </x:c>
      <x:c r="M663" s="90">
        <x:v>0</x:v>
      </x:c>
      <x:c r="N663" s="90">
        <x:v>0</x:v>
      </x:c>
      <x:c r="O663" s="90">
        <x:v>0</x:v>
      </x:c>
      <x:c r="P663" s="90">
        <x:v>0</x:v>
      </x:c>
      <x:c r="Q663" s="90">
        <x:v>0</x:v>
      </x:c>
      <x:c r="R663" s="90">
        <x:v>0</x:v>
      </x:c>
      <x:c r="S663" s="90">
        <x:v>0</x:v>
      </x:c>
      <x:c r="T663" s="90">
        <x:v>0</x:v>
      </x:c>
      <x:c r="U663" s="90">
        <x:v>0</x:v>
      </x:c>
      <x:c r="V663" s="90">
        <x:v>0</x:v>
      </x:c>
      <x:c r="W663" s="90">
        <x:v>0</x:v>
      </x:c>
      <x:c r="X663">
        <x:v>0</x:v>
      </x:c>
      <x:c r="Y663">
        <x:v>0</x:v>
      </x:c>
      <x:c r="Z663">
        <x:v>0</x:v>
      </x:c>
    </x:row>
    <x:row r="664" spans="2:26" s="224" customFormat="1" ht="12.75" customHeight="1" x14ac:dyDescent="0.2">
      <x:c r="C664" s="223" t="s">
        <x:v>120</x:v>
      </x:c>
      <x:c r="D664" s="223" t="s">
        <x:v>70</x:v>
      </x:c>
      <x:c r="F664" s="225" t="n">
        <x:v>-58482.01</x:v>
      </x:c>
      <x:c r="G664" s="225" t="n">
        <x:v>-1398.99</x:v>
      </x:c>
      <x:c r="H664" s="225" t="n">
        <x:v>-779.83</x:v>
      </x:c>
      <x:c r="I664" s="225" t="n">
        <x:v>-414.57</x:v>
      </x:c>
      <x:c r="J664" s="225" t="n">
        <x:v>-16261.67</x:v>
      </x:c>
      <x:c r="K664" s="225" t="n">
        <x:v>-566.54</x:v>
      </x:c>
      <x:c r="L664" s="225" t="n">
        <x:v>0</x:v>
      </x:c>
      <x:c r="M664" s="225" t="n">
        <x:v>-4969.58</x:v>
      </x:c>
      <x:c r="N664" s="225" t="n">
        <x:v>-4786.49</x:v>
      </x:c>
      <x:c r="O664" s="225" t="n">
        <x:v>-24675.84</x:v>
      </x:c>
      <x:c r="P664" s="225" t="n">
        <x:v>-3704.16</x:v>
      </x:c>
      <x:c r="Q664" s="225" t="n">
        <x:v>-924.34</x:v>
      </x:c>
      <x:c r="R664" s="225" t="n">
        <x:v>0</x:v>
      </x:c>
      <x:c r="S664" s="225" t="n">
        <x:v>0</x:v>
      </x:c>
      <x:c r="T664" s="224" t="n">
        <x:v>0</x:v>
      </x:c>
      <x:c r="U664" s="224">
        <x:v>0</x:v>
      </x:c>
      <x:c r="V664" s="224">
        <x:v>0</x:v>
      </x:c>
      <x:c r="W664" s="224">
        <x:v>0</x:v>
      </x:c>
      <x:c r="X664" s="224">
        <x:v>0</x:v>
      </x:c>
      <x:c r="Y664" s="225">
        <x:v>0</x:v>
      </x:c>
      <x:c r="Z664" s="224">
        <x:v>0</x:v>
      </x:c>
    </x:row>
    <x:row r="665" spans="2:26" ht="12.75" customHeight="1" x14ac:dyDescent="0.2">
      <x:c r="E665" s="89" t="s">
        <x:v>73</x:v>
      </x:c>
      <x:c r="F665" s="90" t="n">
        <x:v>4231841.81</x:v>
      </x:c>
      <x:c r="G665" s="90" t="n">
        <x:v>2106954.1</x:v>
      </x:c>
      <x:c r="H665" s="90" t="n">
        <x:v>1201280.75</x:v>
      </x:c>
      <x:c r="I665" s="90" t="n">
        <x:v>631244.68</x:v>
      </x:c>
      <x:c r="J665" s="90" t="n">
        <x:v>-1605073.7</x:v>
      </x:c>
      <x:c r="K665" s="90" t="n">
        <x:v>-41303.44</x:v>
      </x:c>
      <x:c r="L665" s="90" t="n">
        <x:v>0</x:v>
      </x:c>
      <x:c r="M665" s="90" t="n">
        <x:v>-362366.5</x:v>
      </x:c>
      <x:c r="N665" s="90" t="n">
        <x:v>-526249.52</x:v>
      </x:c>
      <x:c r="O665" s="90" t="n">
        <x:v>-2717524.23</x:v>
      </x:c>
      <x:c r="P665" s="90" t="n">
        <x:v>5612277.79</x:v>
      </x:c>
      <x:c r="Q665" s="90" t="n">
        <x:v>-67398.12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 s="90">
        <x:v>0</x:v>
      </x:c>
      <x:c r="Z665">
        <x:v>0</x:v>
      </x:c>
    </x:row>
    <x:row r="666" spans="2:26" ht="12.75" customHeight="1" x14ac:dyDescent="0.2">
      <x:c r="D666" s="89" t="s">
        <x:v>82</x:v>
      </x:c>
      <x:c r="E666" s="89" t="s">
        <x:v>70</x:v>
      </x:c>
      <x:c r="F666" s="90" t="n">
        <x:v>4231841.81</x:v>
      </x:c>
      <x:c r="G666" s="90" t="n">
        <x:v>2106954.1</x:v>
      </x:c>
      <x:c r="H666" s="90" t="n">
        <x:v>1201280.75</x:v>
      </x:c>
      <x:c r="I666" s="90" t="n">
        <x:v>631244.68</x:v>
      </x:c>
      <x:c r="J666" s="90" t="n">
        <x:v>-1605073.7</x:v>
      </x:c>
      <x:c r="K666" s="90" t="n">
        <x:v>-41303.44</x:v>
      </x:c>
      <x:c r="L666" s="90" t="n">
        <x:v>0</x:v>
      </x:c>
      <x:c r="M666" s="90" t="n">
        <x:v>-362366.5</x:v>
      </x:c>
      <x:c r="N666" s="90" t="n">
        <x:v>-526249.52</x:v>
      </x:c>
      <x:c r="O666" s="90" t="n">
        <x:v>-2717524.23</x:v>
      </x:c>
      <x:c r="P666" s="90" t="n">
        <x:v>5612277.79</x:v>
      </x:c>
      <x:c r="Q666" s="90" t="n">
        <x:v>-67398.12</x:v>
      </x:c>
      <x:c r="R666" s="90" t="n">
        <x:v>0</x:v>
      </x:c>
      <x:c r="S666" s="90" t="n">
        <x:v>0</x:v>
      </x:c>
      <x:c r="T666" t="n">
        <x:v>0</x:v>
      </x:c>
      <x:c r="U666">
        <x:v>0</x:v>
      </x:c>
      <x:c r="V666">
        <x:v>0</x:v>
      </x:c>
      <x:c r="W666">
        <x:v>0</x:v>
      </x:c>
      <x:c r="X666">
        <x:v>0</x:v>
      </x:c>
      <x:c r="Y666" s="90">
        <x:v>0</x:v>
      </x:c>
      <x:c r="Z666">
        <x:v>0</x:v>
      </x:c>
    </x:row>
    <x:row r="667" spans="2:26" ht="12.75" customHeight="1" x14ac:dyDescent="0.2">
      <x:c r="E667" s="89" t="s">
        <x:v>73</x:v>
      </x:c>
      <x:c r="F667" s="90" t="n">
        <x:v>28532548.89</x:v>
      </x:c>
      <x:c r="G667" s="90" t="n">
        <x:v>7134962.68</x:v>
      </x:c>
      <x:c r="H667" s="90" t="n">
        <x:v>4021732.81</x:v>
      </x:c>
      <x:c r="I667" s="90" t="n">
        <x:v>2124900.32</x:v>
      </x:c>
      <x:c r="J667" s="90" t="n">
        <x:v>-1244247.19</x:v>
      </x:c>
      <x:c r="K667" s="90" t="n">
        <x:v>-42984.08</x:v>
      </x:c>
      <x:c r="L667" s="90" t="n">
        <x:v>0</x:v>
      </x:c>
      <x:c r="M667" s="90" t="n">
        <x:v>-377650.97</x:v>
      </x:c>
      <x:c r="N667" s="90" t="n">
        <x:v>-379863</x:v>
      </x:c>
      <x:c r="O667" s="90" t="n">
        <x:v>-1648993.03</x:v>
      </x:c>
      <x:c r="P667" s="90" t="n">
        <x:v>19014853.94</x:v>
      </x:c>
      <x:c r="Q667" s="90" t="n">
        <x:v>-70162.59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 s="90">
        <x:v>0</x:v>
      </x:c>
      <x:c r="Z667">
        <x:v>0</x:v>
      </x:c>
    </x:row>
    <x:row r="668" spans="2:26" ht="12.75" customHeight="1" x14ac:dyDescent="0.2">
      <x:c r="D668" s="89" t="s">
        <x:v>86</x:v>
      </x:c>
      <x:c r="E668" s="89" t="s">
        <x:v>70</x:v>
      </x:c>
      <x:c r="F668" s="90" t="n">
        <x:v>28532548.89</x:v>
      </x:c>
      <x:c r="G668" s="90" t="n">
        <x:v>7134962.68</x:v>
      </x:c>
      <x:c r="H668" s="90" t="n">
        <x:v>4021732.81</x:v>
      </x:c>
      <x:c r="I668" s="90" t="n">
        <x:v>2124900.32</x:v>
      </x:c>
      <x:c r="J668" s="90" t="n">
        <x:v>-1244247.19</x:v>
      </x:c>
      <x:c r="K668" s="90" t="n">
        <x:v>-42984.08</x:v>
      </x:c>
      <x:c r="L668" s="90" t="n">
        <x:v>0</x:v>
      </x:c>
      <x:c r="M668" s="90" t="n">
        <x:v>-377650.97</x:v>
      </x:c>
      <x:c r="N668" s="90" t="n">
        <x:v>-379863</x:v>
      </x:c>
      <x:c r="O668" s="90" t="n">
        <x:v>-1648993.03</x:v>
      </x:c>
      <x:c r="P668" s="90" t="n">
        <x:v>19014853.94</x:v>
      </x:c>
      <x:c r="Q668" s="90" t="n">
        <x:v>-70162.59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 s="90">
        <x:v>0</x:v>
      </x:c>
      <x:c r="Z668">
        <x:v>0</x:v>
      </x:c>
    </x:row>
    <x:row r="669" spans="2:26" ht="12.75" customHeight="1" x14ac:dyDescent="0.2">
      <x:c r="E669" s="89" t="s">
        <x:v>73</x:v>
      </x:c>
      <x:c r="F669" s="90" t="n">
        <x:v>118005043.83</x:v>
      </x:c>
      <x:c r="G669" s="90" t="n">
        <x:v>24026262.47</x:v>
      </x:c>
      <x:c r="H669" s="90" t="n">
        <x:v>13553122.73</x:v>
      </x:c>
      <x:c r="I669" s="90" t="n">
        <x:v>7149125.92</x:v>
      </x:c>
      <x:c r="J669" s="90" t="n">
        <x:v>2980728.28</x:v>
      </x:c>
      <x:c r="K669" s="90" t="n">
        <x:v>75062.46</x:v>
      </x:c>
      <x:c r="L669" s="90" t="n">
        <x:v>0</x:v>
      </x:c>
      <x:c r="M669" s="90" t="n">
        <x:v>658478</x:v>
      </x:c>
      <x:c r="N669" s="90" t="n">
        <x:v>910695.93</x:v>
      </x:c>
      <x:c r="O669" s="90" t="n">
        <x:v>4654641.7</x:v>
      </x:c>
      <x:c r="P669" s="90" t="n">
        <x:v>63874439.48</x:v>
      </x:c>
      <x:c r="Q669" s="90" t="n">
        <x:v>122486.86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 s="90">
        <x:v>0</x:v>
      </x:c>
      <x:c r="Z669">
        <x:v>0</x:v>
      </x:c>
    </x:row>
    <x:row r="670" spans="2:26" ht="12.75" customHeight="1" x14ac:dyDescent="0.2">
      <x:c r="D670" s="89" t="s">
        <x:v>87</x:v>
      </x:c>
      <x:c r="E670" s="89" t="s">
        <x:v>70</x:v>
      </x:c>
      <x:c r="F670" s="90" t="n">
        <x:v>118005043.83</x:v>
      </x:c>
      <x:c r="G670" s="90" t="n">
        <x:v>24026262.47</x:v>
      </x:c>
      <x:c r="H670" s="90" t="n">
        <x:v>13553122.73</x:v>
      </x:c>
      <x:c r="I670" s="90" t="n">
        <x:v>7149125.92</x:v>
      </x:c>
      <x:c r="J670" s="90" t="n">
        <x:v>2980728.28</x:v>
      </x:c>
      <x:c r="K670" s="90" t="n">
        <x:v>75062.46</x:v>
      </x:c>
      <x:c r="L670" s="90" t="n">
        <x:v>0</x:v>
      </x:c>
      <x:c r="M670" s="90" t="n">
        <x:v>658478</x:v>
      </x:c>
      <x:c r="N670" s="90" t="n">
        <x:v>910695.93</x:v>
      </x:c>
      <x:c r="O670" s="90" t="n">
        <x:v>4654641.7</x:v>
      </x:c>
      <x:c r="P670" s="90" t="n">
        <x:v>63874439.48</x:v>
      </x:c>
      <x:c r="Q670" s="90" t="n">
        <x:v>122486.86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 s="90">
        <x:v>0</x:v>
      </x:c>
      <x:c r="Z670">
        <x:v>0</x:v>
      </x:c>
    </x:row>
    <x:row r="671" spans="2:26" s="94" customFormat="1" ht="12.75" customHeight="1" x14ac:dyDescent="0.2">
      <x:c r="C671" s="101" t="s">
        <x:v>119</x:v>
      </x:c>
      <x:c r="D671" s="101" t="s">
        <x:v>70</x:v>
      </x:c>
      <x:c r="F671" s="93" t="n">
        <x:v>150769434.53</x:v>
      </x:c>
      <x:c r="G671" s="93" t="n">
        <x:v>33268179.25</x:v>
      </x:c>
      <x:c r="H671" s="93" t="n">
        <x:v>18776136.29</x:v>
      </x:c>
      <x:c r="I671" s="93" t="n">
        <x:v>9905270.92</x:v>
      </x:c>
      <x:c r="J671" s="93" t="n">
        <x:v>131407.39</x:v>
      </x:c>
      <x:c r="K671" s="93" t="n">
        <x:v>-9225.05999999999</x:v>
      </x:c>
      <x:c r="L671" s="93" t="n">
        <x:v>0</x:v>
      </x:c>
      <x:c r="M671" s="93" t="n">
        <x:v>-81539.47</x:v>
      </x:c>
      <x:c r="N671" s="93" t="n">
        <x:v>4583.41</x:v>
      </x:c>
      <x:c r="O671" s="93" t="n">
        <x:v>288124.44</x:v>
      </x:c>
      <x:c r="P671" s="93" t="n">
        <x:v>88501571.21</x:v>
      </x:c>
      <x:c r="Q671" s="93" t="n">
        <x:v>-15073.85</x:v>
      </x:c>
      <x:c r="R671" s="93" t="n">
        <x:v>0</x:v>
      </x:c>
      <x:c r="S671" s="93" t="n">
        <x:v>0</x:v>
      </x:c>
      <x:c r="T671" s="94" t="n">
        <x:v>0</x:v>
      </x:c>
      <x:c r="U671" s="94">
        <x:v>0</x:v>
      </x:c>
      <x:c r="V671" s="94">
        <x:v>0</x:v>
      </x:c>
      <x:c r="W671" s="94">
        <x:v>0</x:v>
      </x:c>
      <x:c r="X671" s="94">
        <x:v>0</x:v>
      </x:c>
      <x:c r="Y671" s="93">
        <x:v>0</x:v>
      </x:c>
      <x:c r="Z671" s="94">
        <x:v>0</x:v>
      </x:c>
    </x:row>
    <x:row r="672" spans="2:26" s="226" customFormat="1" ht="12.75" customHeight="1" x14ac:dyDescent="0.2">
      <x:c r="B672" s="98" t="s">
        <x:v>112</x:v>
      </x:c>
      <x:c r="C672" s="98" t="s">
        <x:v>70</x:v>
      </x:c>
      <x:c r="F672" s="100" t="n">
        <x:v>-199214581.9</x:v>
      </x:c>
      <x:c r="G672" s="100" t="n">
        <x:v>65379056.62</x:v>
      </x:c>
      <x:c r="H672" s="100" t="n">
        <x:v>36500676.53</x:v>
      </x:c>
      <x:c r="I672" s="100" t="n">
        <x:v>19293767.87</x:v>
      </x:c>
      <x:c r="J672" s="100" t="n">
        <x:v>-155605951.72</x:v>
      </x:c>
      <x:c r="K672" s="100" t="n">
        <x:v>-5328627.68</x:v>
      </x:c>
      <x:c r="L672" s="100" t="n">
        <x:v>0</x:v>
      </x:c>
      <x:c r="M672" s="100" t="n">
        <x:v>-46773123.88</x:v>
      </x:c>
      <x:c r="N672" s="100" t="n">
        <x:v>-45115093.12</x:v>
      </x:c>
      <x:c r="O672" s="100" t="n">
        <x:v>-232492908</x:v>
      </x:c>
      <x:c r="P672" s="100" t="n">
        <x:v>173621894.69</x:v>
      </x:c>
      <x:c r="Q672" s="100" t="n">
        <x:v>-8694273.21</x:v>
      </x:c>
      <x:c r="R672" s="100" t="n">
        <x:v>0</x:v>
      </x:c>
      <x:c r="S672" s="100" t="n">
        <x:v>0</x:v>
      </x:c>
      <x:c r="T672" s="226" t="n">
        <x:v>0</x:v>
      </x:c>
      <x:c r="U672" s="226">
        <x:v>0</x:v>
      </x:c>
      <x:c r="V672" s="226">
        <x:v>0</x:v>
      </x:c>
      <x:c r="W672" s="226">
        <x:v>0</x:v>
      </x:c>
      <x:c r="X672" s="226">
        <x:v>0</x:v>
      </x:c>
      <x:c r="Y672" s="100">
        <x:v>0</x:v>
      </x:c>
      <x:c r="Z672" s="226">
        <x:v>0</x:v>
      </x:c>
    </x:row>
    <x:row r="673" spans="1:26" ht="12.75" customHeight="1" x14ac:dyDescent="0.2">
      <x:c r="A673" s="89" t="s">
        <x:v>79</x:v>
      </x:c>
      <x:c r="B673" s="89" t="s">
        <x:v>70</x:v>
      </x:c>
      <x:c r="F673" s="90" t="n">
        <x:v>-198422996.18</x:v>
      </x:c>
      <x:c r="G673" s="90" t="n">
        <x:v>65803923.88</x:v>
      </x:c>
      <x:c r="H673" s="90" t="n">
        <x:v>36742110.33</x:v>
      </x:c>
      <x:c r="I673" s="90" t="n">
        <x:v>19422324.48</x:v>
      </x:c>
      <x:c r="J673" s="90" t="n">
        <x:v>-156049413.46</x:v>
      </x:c>
      <x:c r="K673" s="90" t="n">
        <x:v>-5333431.85</x:v>
      </x:c>
      <x:c r="L673" s="90" t="n">
        <x:v>0</x:v>
      </x:c>
      <x:c r="M673" s="90" t="n">
        <x:v>-46814350.64</x:v>
      </x:c>
      <x:c r="N673" s="90" t="n">
        <x:v>-45220814.19</x:v>
      </x:c>
      <x:c r="O673" s="90" t="n">
        <x:v>-233022631.32</x:v>
      </x:c>
      <x:c r="P673" s="90" t="n">
        <x:v>174751711.63</x:v>
      </x:c>
      <x:c r="Q673" s="90" t="n">
        <x:v>-8702425.04</x:v>
      </x:c>
      <x:c r="R673" s="90" t="n">
        <x:v>0</x:v>
      </x:c>
      <x:c r="S673" s="90" t="n">
        <x:v>0</x:v>
      </x:c>
      <x:c r="T673" t="n">
        <x:v>0</x:v>
      </x:c>
      <x:c r="U673">
        <x:v>0</x:v>
      </x:c>
      <x:c r="V673">
        <x:v>0</x:v>
      </x:c>
      <x:c r="W673">
        <x:v>0</x:v>
      </x:c>
      <x:c r="X673">
        <x:v>0</x:v>
      </x:c>
      <x:c r="Y673" s="90">
        <x:v>0</x:v>
      </x:c>
      <x:c r="Z673">
        <x:v>0</x:v>
      </x:c>
    </x:row>
    <x:row r="674" spans="1:26" ht="12.75" customHeight="1" x14ac:dyDescent="0.2">
      <x:c r="A674" s="89" t="s">
        <x:v>70</x:v>
      </x:c>
      <x:c r="F674" s="90" t="n">
        <x:v>7755414806.28</x:v>
      </x:c>
      <x:c r="G674" s="90" t="n">
        <x:v>544251938.58</x:v>
      </x:c>
      <x:c r="H674" s="90" t="n">
        <x:v>302374140.8</x:v>
      </x:c>
      <x:c r="I674" s="90" t="n">
        <x:v>160466684.82</x:v>
      </x:c>
      <x:c r="J674" s="90" t="n">
        <x:v>1636915301.02</x:v>
      </x:c>
      <x:c r="K674" s="90" t="n">
        <x:v>56342558.13</x:v>
      </x:c>
      <x:c r="L674" s="90" t="n">
        <x:v>10068275.39</x:v>
      </x:c>
      <x:c r="M674" s="90" t="n">
        <x:v>492876207.74</x:v>
      </x:c>
      <x:c r="N674" s="90" t="n">
        <x:v>493412606.8</x:v>
      </x:c>
      <x:c r="O674" s="90" t="n">
        <x:v>2525293857.95</x:v>
      </x:c>
      <x:c r="P674" s="90" t="n">
        <x:v>1441327203.58</x:v>
      </x:c>
      <x:c r="Q674" s="90" t="n">
        <x:v>92083155.97</x:v>
      </x:c>
      <x:c r="R674" s="90" t="n">
        <x:v>2804</x:v>
      </x:c>
      <x:c r="S674" s="90" t="n">
        <x:v>-0.06</x:v>
      </x:c>
      <x:c r="T674" t="n">
        <x:v>71.56</x:v>
      </x:c>
      <x:c r="U674">
        <x:v>0</x:v>
      </x:c>
      <x:c r="V674">
        <x:v>0</x:v>
      </x:c>
      <x:c r="W674">
        <x:v>0</x:v>
      </x:c>
      <x:c r="X674">
        <x:v>0</x:v>
      </x:c>
      <x:c r="Y674" s="90">
        <x:v>0</x:v>
      </x:c>
      <x:c r="Z674">
        <x:v>0</x:v>
      </x:c>
    </x:row>
    <x:row r="675" spans="1:26" ht="12.75" customHeight="1" x14ac:dyDescent="0.2">
      <x:c r="A675" s="89"/>
      <x:c r="F675" s="90"/>
      <x:c r="G675" s="90"/>
      <x:c r="H675" s="90"/>
      <x:c r="I675" s="90"/>
      <x:c r="J675" s="90"/>
      <x:c r="K675" s="90"/>
      <x:c r="L675" s="90"/>
      <x:c r="M675" s="90"/>
      <x:c r="N675" s="90"/>
      <x:c r="O675" s="90"/>
      <x:c r="P675" s="90"/>
      <x:c r="Q675" s="90"/>
      <x:c r="R675" s="90"/>
      <x:c r="S675" s="90"/>
      <x:c r="T675" s="90"/>
      <x:c r="U675" s="90"/>
      <x:c r="V675" s="90"/>
      <x:c r="W675" s="90"/>
    </x:row>
    <x:row r="676" spans="1:26" ht="12.75" hidden="1" customHeight="1" x14ac:dyDescent="0.2">
      <x:c r="A676" s="89"/>
      <x:c r="F676" s="90"/>
      <x:c r="G676" s="90"/>
      <x:c r="H676" s="90"/>
      <x:c r="I676" s="90"/>
      <x:c r="J676" s="90"/>
      <x:c r="K676" s="90"/>
      <x:c r="L676" s="90"/>
      <x:c r="M676" s="90"/>
      <x:c r="N676" s="90"/>
      <x:c r="O676" s="90"/>
      <x:c r="P676" s="90"/>
      <x:c r="Q676" s="90"/>
      <x:c r="R676" s="90"/>
      <x:c r="S676" s="90"/>
    </x:row>
    <x:row r="677" spans="1:26" ht="12.75" hidden="1" customHeight="1" x14ac:dyDescent="0.2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</x:row>
    <x:row r="678" spans="1:26" ht="12.75" hidden="1" customHeight="1" x14ac:dyDescent="0.2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26" ht="12.75" hidden="1" customHeight="1" x14ac:dyDescent="0.2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26" ht="12.75" hidden="1" customHeight="1" x14ac:dyDescent="0.2">
      <x:c r="A680" s="89"/>
      <x:c r="F680" s="90"/>
      <x:c r="G680" s="90"/>
      <x:c r="H680" s="90"/>
      <x:c r="I680" s="90"/>
      <x:c r="J680" s="90"/>
      <x:c r="K680" s="90"/>
      <x:c r="L680" s="90"/>
      <x:c r="M680" s="90"/>
      <x:c r="N680" s="90"/>
      <x:c r="O680" s="90"/>
      <x:c r="P680" s="90"/>
      <x:c r="Q680" s="90"/>
      <x:c r="R680" s="90"/>
      <x:c r="S680" s="90"/>
    </x:row>
    <x:row r="681" spans="1:26" ht="12.75" hidden="1" customHeight="1" x14ac:dyDescent="0.2">
      <x:c r="A681" s="89"/>
      <x:c r="F681" s="90"/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26" ht="12.75" hidden="1" customHeight="1" x14ac:dyDescent="0.2">
      <x:c r="A682" s="89"/>
      <x:c r="F682" s="90"/>
      <x:c r="G682" s="90"/>
      <x:c r="H682" s="90"/>
      <x:c r="I682" s="90"/>
      <x:c r="J682" s="90"/>
      <x:c r="K682" s="90"/>
      <x:c r="L682" s="90"/>
      <x:c r="M682" s="90"/>
      <x:c r="N682" s="90"/>
      <x:c r="O682" s="90"/>
      <x:c r="P682" s="90"/>
      <x:c r="Q682" s="90"/>
      <x:c r="R682" s="90"/>
      <x:c r="S682" s="90"/>
    </x:row>
    <x:row r="683" spans="1:26" ht="12.75" hidden="1" customHeight="1" x14ac:dyDescent="0.2">
      <x:c r="A683" s="89"/>
      <x:c r="F683" s="90"/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  <x:c r="S683" s="90"/>
    </x:row>
    <x:row r="684" spans="1:26" ht="12.75" hidden="1" customHeight="1" x14ac:dyDescent="0.2">
      <x:c r="A684" s="89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26" ht="12.75" hidden="1" customHeight="1" x14ac:dyDescent="0.2">
      <x:c r="A685" s="89"/>
      <x:c r="F685" s="90"/>
      <x:c r="G685" s="90"/>
      <x:c r="H685" s="90"/>
      <x:c r="I685" s="90"/>
      <x:c r="J685" s="90"/>
      <x:c r="K685" s="90"/>
      <x:c r="L685" s="90"/>
      <x:c r="M685" s="90"/>
      <x:c r="N685" s="90"/>
      <x:c r="O685" s="90"/>
      <x:c r="P685" s="90"/>
      <x:c r="Q685" s="90"/>
      <x:c r="R685" s="90"/>
      <x:c r="S685" s="90"/>
    </x:row>
    <x:row r="686" spans="1:26" ht="12.75" hidden="1" customHeight="1" x14ac:dyDescent="0.2">
      <x:c r="A686" s="89"/>
      <x:c r="F686" s="90"/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26" ht="12.75" hidden="1" customHeight="1" x14ac:dyDescent="0.2">
      <x:c r="A687" s="89"/>
      <x:c r="F687" s="90"/>
      <x:c r="G687" s="90"/>
      <x:c r="H687" s="90"/>
      <x:c r="I687" s="90"/>
      <x:c r="J687" s="90"/>
      <x:c r="K687" s="90"/>
      <x:c r="L687" s="90"/>
      <x:c r="M687" s="90"/>
      <x:c r="N687" s="90"/>
      <x:c r="O687" s="90"/>
      <x:c r="P687" s="90"/>
      <x:c r="Q687" s="90"/>
      <x:c r="R687" s="90"/>
      <x:c r="S687" s="90"/>
    </x:row>
    <x:row r="688" spans="1:26" ht="12.75" hidden="1" customHeight="1" x14ac:dyDescent="0.2">
      <x:c r="A688" s="89"/>
      <x:c r="F688" s="90"/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  <x:c r="S688" s="90"/>
    </x:row>
    <x:row r="689" spans="1:41" ht="12.75" hidden="1" customHeight="1" x14ac:dyDescent="0.2">
      <x:c r="A689" s="89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hidden="1" customHeight="1" x14ac:dyDescent="0.2">
      <x:c r="A690" s="89"/>
      <x:c r="F690" s="90"/>
      <x:c r="G690" s="90"/>
      <x:c r="H690" s="90"/>
      <x:c r="I690" s="90"/>
      <x:c r="J690" s="90"/>
      <x:c r="K690" s="90"/>
      <x:c r="L690" s="90"/>
      <x:c r="M690" s="90"/>
      <x:c r="N690" s="90"/>
      <x:c r="O690" s="90"/>
      <x:c r="P690" s="90"/>
      <x:c r="Q690" s="90"/>
      <x:c r="R690" s="90"/>
      <x:c r="S690" s="90"/>
    </x:row>
    <x:row r="691" spans="1:41" ht="12.75" customHeight="1" x14ac:dyDescent="0.2">
      <x:c r="A691" s="89"/>
      <x:c r="F691" s="90"/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">
      <x:c r="C692" s="778" t="s">
        <x:v>2</x:v>
      </x:c>
      <x:c r="D692" s="776" t="s">
        <x:v>132</x:v>
      </x:c>
      <x:c r="E692" s="98" t="s">
        <x:v>70</x:v>
      </x:c>
      <x:c r="F692" s="100">
        <x:f>F619+F672+F544-L544-L619</x:f>
        <x:v>0</x:v>
      </x:c>
      <x:c r="G692" s="100">
        <x:f t="shared" ref="G692:AO692" si="25">G619+G544</x:f>
        <x:v>0</x:v>
      </x:c>
      <x:c r="H692" s="100">
        <x:f t="shared" si="25"/>
        <x:v>0</x:v>
      </x:c>
      <x:c r="I692" s="100">
        <x:f t="shared" si="25"/>
        <x:v>0</x:v>
      </x:c>
      <x:c r="J692" s="100">
        <x:f t="shared" si="25"/>
        <x:v>0</x:v>
      </x:c>
      <x:c r="K692" s="100">
        <x:f t="shared" si="25"/>
        <x:v>0</x:v>
      </x:c>
      <x:c r="L692" s="100">
        <x:f t="shared" si="25"/>
        <x:v>0</x:v>
      </x:c>
      <x:c r="M692" s="100">
        <x:f t="shared" si="25"/>
        <x:v>0</x:v>
      </x:c>
      <x:c r="N692" s="100">
        <x:f t="shared" si="25"/>
        <x:v>0</x:v>
      </x:c>
      <x:c r="O692" s="100">
        <x:f t="shared" si="25"/>
        <x:v>0</x:v>
      </x:c>
      <x:c r="P692" s="100">
        <x:f t="shared" si="25"/>
        <x:v>0</x:v>
      </x:c>
      <x:c r="Q692" s="100">
        <x:f t="shared" si="25"/>
        <x:v>0</x:v>
      </x:c>
      <x:c r="R692" s="100">
        <x:f t="shared" si="25"/>
        <x:v>0</x:v>
      </x:c>
      <x:c r="S692" s="100">
        <x:f t="shared" si="25"/>
        <x:v>0</x:v>
      </x:c>
      <x:c r="T692" s="100">
        <x:f t="shared" si="25"/>
        <x:v>0</x:v>
      </x:c>
      <x:c r="U692" s="100">
        <x:f t="shared" si="25"/>
        <x:v>0</x:v>
      </x:c>
      <x:c r="V692" s="100">
        <x:f t="shared" si="25"/>
        <x:v>0</x:v>
      </x:c>
      <x:c r="W692" s="100">
        <x:f t="shared" si="25"/>
        <x:v>0</x:v>
      </x:c>
      <x:c r="X692" s="100">
        <x:f t="shared" si="25"/>
        <x:v>0</x:v>
      </x:c>
      <x:c r="Y692" s="100">
        <x:f t="shared" si="25"/>
        <x:v>0</x:v>
      </x:c>
      <x:c r="Z692" s="100">
        <x:f t="shared" si="25"/>
        <x:v>0</x:v>
      </x:c>
      <x:c r="AA692" s="100">
        <x:f t="shared" si="25"/>
        <x:v>0</x:v>
      </x:c>
      <x:c r="AB692" s="100">
        <x:f t="shared" si="25"/>
        <x:v>0</x:v>
      </x:c>
      <x:c r="AC692" s="100">
        <x:f t="shared" si="25"/>
        <x:v>0</x:v>
      </x:c>
      <x:c r="AD692" s="100">
        <x:f t="shared" si="25"/>
        <x:v>0</x:v>
      </x:c>
      <x:c r="AE692" s="100">
        <x:f t="shared" si="25"/>
        <x:v>0</x:v>
      </x:c>
      <x:c r="AF692" s="100">
        <x:f t="shared" si="25"/>
        <x:v>0</x:v>
      </x:c>
      <x:c r="AG692" s="100">
        <x:f t="shared" si="25"/>
        <x:v>0</x:v>
      </x:c>
      <x:c r="AH692" s="100">
        <x:f t="shared" si="25"/>
        <x:v>0</x:v>
      </x:c>
      <x:c r="AI692" s="100">
        <x:f t="shared" si="25"/>
        <x:v>0</x:v>
      </x:c>
      <x:c r="AJ692" s="100">
        <x:f t="shared" si="25"/>
        <x:v>0</x:v>
      </x:c>
      <x:c r="AK692" s="100">
        <x:f t="shared" si="25"/>
        <x:v>0</x:v>
      </x:c>
      <x:c r="AL692" s="100">
        <x:f t="shared" si="25"/>
        <x:v>0</x:v>
      </x:c>
      <x:c r="AM692" s="100">
        <x:f t="shared" si="25"/>
        <x:v>0</x:v>
      </x:c>
      <x:c r="AN692" s="100">
        <x:f t="shared" si="25"/>
        <x:v>0</x:v>
      </x:c>
      <x:c r="AO692" s="100">
        <x:f t="shared" si="25"/>
        <x:v>0</x:v>
      </x:c>
    </x:row>
    <x:row r="693" spans="1:41" ht="12.75" customHeight="1" x14ac:dyDescent="0.2">
      <x:c r="C693" s="778"/>
      <x:c r="D693" s="776"/>
      <x:c r="E693" s="98" t="s">
        <x:v>73</x:v>
      </x:c>
      <x:c r="F693" s="100">
        <x:f>F672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  <x:c r="S693" s="90"/>
    </x:row>
    <x:row r="694" spans="1:41" ht="12.75" customHeight="1" x14ac:dyDescent="0.2">
      <x:c r="C694" s="778"/>
      <x:c r="D694" s="776" t="s">
        <x:v>133</x:v>
      </x:c>
      <x:c r="E694" s="233" t="s">
        <x:v>70</x:v>
      </x:c>
      <x:c r="F694" s="234">
        <x:f>F646+F582-L582</x:f>
        <x:v>0</x:v>
      </x:c>
      <x:c r="G694" s="234">
        <x:f t="shared" ref="G694:AA694" si="26">G582</x:f>
        <x:v>0</x:v>
      </x:c>
      <x:c r="H694" s="234">
        <x:f t="shared" si="26"/>
        <x:v>0</x:v>
      </x:c>
      <x:c r="I694" s="234">
        <x:f t="shared" si="26"/>
        <x:v>0</x:v>
      </x:c>
      <x:c r="J694" s="234">
        <x:f t="shared" si="26"/>
        <x:v>0</x:v>
      </x:c>
      <x:c r="K694" s="234">
        <x:f t="shared" si="26"/>
        <x:v>0</x:v>
      </x:c>
      <x:c r="L694" s="234">
        <x:f t="shared" si="26"/>
        <x:v>0</x:v>
      </x:c>
      <x:c r="M694" s="234">
        <x:f t="shared" si="26"/>
        <x:v>0</x:v>
      </x:c>
      <x:c r="N694" s="234">
        <x:f t="shared" si="26"/>
        <x:v>0</x:v>
      </x:c>
      <x:c r="O694" s="234">
        <x:f t="shared" si="26"/>
        <x:v>0</x:v>
      </x:c>
      <x:c r="P694" s="234">
        <x:f t="shared" si="26"/>
        <x:v>0</x:v>
      </x:c>
      <x:c r="Q694" s="234">
        <x:f t="shared" si="26"/>
        <x:v>0</x:v>
      </x:c>
      <x:c r="R694" s="234">
        <x:f t="shared" si="26"/>
        <x:v>0</x:v>
      </x:c>
      <x:c r="S694" s="234">
        <x:f t="shared" si="26"/>
        <x:v>0</x:v>
      </x:c>
      <x:c r="T694" s="234">
        <x:f t="shared" si="26"/>
        <x:v>0</x:v>
      </x:c>
      <x:c r="U694" s="234">
        <x:f t="shared" si="26"/>
        <x:v>0</x:v>
      </x:c>
      <x:c r="V694" s="234">
        <x:f t="shared" si="26"/>
        <x:v>0</x:v>
      </x:c>
      <x:c r="W694" s="234">
        <x:f t="shared" si="26"/>
        <x:v>0</x:v>
      </x:c>
      <x:c r="X694" s="234">
        <x:f t="shared" si="26"/>
        <x:v>0</x:v>
      </x:c>
      <x:c r="Y694" s="234">
        <x:f t="shared" si="26"/>
        <x:v>0</x:v>
      </x:c>
      <x:c r="Z694" s="234">
        <x:f t="shared" si="26"/>
        <x:v>0</x:v>
      </x:c>
      <x:c r="AA694" s="234">
        <x:f t="shared" si="26"/>
        <x:v>0</x:v>
      </x:c>
    </x:row>
    <x:row r="695" spans="1:41" ht="12.75" customHeight="1" x14ac:dyDescent="0.2">
      <x:c r="C695" s="778"/>
      <x:c r="D695" s="776"/>
      <x:c r="E695" s="233" t="s">
        <x:v>73</x:v>
      </x:c>
      <x:c r="F695" s="234">
        <x:f>F646</x:f>
        <x:v>0</x:v>
      </x:c>
      <x:c r="G695" s="90"/>
      <x:c r="H695" s="90"/>
      <x:c r="I695" s="90"/>
      <x:c r="J695" s="90"/>
      <x:c r="K695" s="90"/>
      <x:c r="L695" s="90"/>
      <x:c r="M695" s="90"/>
      <x:c r="N695" s="90"/>
      <x:c r="O695" s="90"/>
      <x:c r="P695" s="90"/>
      <x:c r="Q695" s="90"/>
      <x:c r="R695" s="90"/>
    </x:row>
    <x:row r="696" spans="1:41" ht="12.75" customHeight="1" x14ac:dyDescent="0.2">
      <x:c r="A696" s="89"/>
      <x:c r="C696" s="97"/>
      <x:c r="F696" s="90"/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">
      <x:c r="C697" s="778" t="s">
        <x:v>160</x:v>
      </x:c>
      <x:c r="D697" s="776" t="s">
        <x:v>132</x:v>
      </x:c>
      <x:c r="E697" s="223" t="s">
        <x:v>70</x:v>
      </x:c>
      <x:c r="F697" s="225">
        <x:f>F664+F608+F536-L536-L608</x:f>
        <x:v>0</x:v>
      </x:c>
      <x:c r="G697" s="225">
        <x:f>G608+G536</x:f>
        <x:v>0</x:v>
      </x:c>
      <x:c r="H697" s="225">
        <x:f t="shared" ref="H697:AO697" si="27">H608+H536</x:f>
        <x:v>0</x:v>
      </x:c>
      <x:c r="I697" s="225">
        <x:f t="shared" si="27"/>
        <x:v>0</x:v>
      </x:c>
      <x:c r="J697" s="225">
        <x:f t="shared" si="27"/>
        <x:v>0</x:v>
      </x:c>
      <x:c r="K697" s="225">
        <x:f t="shared" si="27"/>
        <x:v>0</x:v>
      </x:c>
      <x:c r="L697" s="225">
        <x:f t="shared" si="27"/>
        <x:v>0</x:v>
      </x:c>
      <x:c r="M697" s="225">
        <x:f t="shared" si="27"/>
        <x:v>0</x:v>
      </x:c>
      <x:c r="N697" s="225">
        <x:f t="shared" si="27"/>
        <x:v>0</x:v>
      </x:c>
      <x:c r="O697" s="225">
        <x:f t="shared" si="27"/>
        <x:v>0</x:v>
      </x:c>
      <x:c r="P697" s="225">
        <x:f t="shared" si="27"/>
        <x:v>0</x:v>
      </x:c>
      <x:c r="Q697" s="225">
        <x:f t="shared" si="27"/>
        <x:v>0</x:v>
      </x:c>
      <x:c r="R697" s="225">
        <x:f t="shared" si="27"/>
        <x:v>0</x:v>
      </x:c>
      <x:c r="S697" s="225">
        <x:f t="shared" si="27"/>
        <x:v>0</x:v>
      </x:c>
      <x:c r="T697" s="225">
        <x:f t="shared" si="27"/>
        <x:v>0</x:v>
      </x:c>
      <x:c r="U697" s="225">
        <x:f t="shared" si="27"/>
        <x:v>0</x:v>
      </x:c>
      <x:c r="V697" s="225">
        <x:f t="shared" si="27"/>
        <x:v>0</x:v>
      </x:c>
      <x:c r="W697" s="225">
        <x:f t="shared" si="27"/>
        <x:v>0</x:v>
      </x:c>
      <x:c r="X697" s="225">
        <x:f t="shared" si="27"/>
        <x:v>0</x:v>
      </x:c>
      <x:c r="Y697" s="225">
        <x:f t="shared" si="27"/>
        <x:v>0</x:v>
      </x:c>
      <x:c r="Z697" s="225">
        <x:f t="shared" si="27"/>
        <x:v>0</x:v>
      </x:c>
      <x:c r="AA697" s="225">
        <x:f t="shared" si="27"/>
        <x:v>0</x:v>
      </x:c>
      <x:c r="AB697" s="225">
        <x:f t="shared" si="27"/>
        <x:v>0</x:v>
      </x:c>
      <x:c r="AC697" s="225">
        <x:f t="shared" si="27"/>
        <x:v>0</x:v>
      </x:c>
      <x:c r="AD697" s="225">
        <x:f t="shared" si="27"/>
        <x:v>0</x:v>
      </x:c>
      <x:c r="AE697" s="225">
        <x:f t="shared" si="27"/>
        <x:v>0</x:v>
      </x:c>
      <x:c r="AF697" s="225">
        <x:f t="shared" si="27"/>
        <x:v>0</x:v>
      </x:c>
      <x:c r="AG697" s="225">
        <x:f t="shared" si="27"/>
        <x:v>0</x:v>
      </x:c>
      <x:c r="AH697" s="225">
        <x:f t="shared" si="27"/>
        <x:v>0</x:v>
      </x:c>
      <x:c r="AI697" s="225">
        <x:f t="shared" si="27"/>
        <x:v>0</x:v>
      </x:c>
      <x:c r="AJ697" s="225">
        <x:f t="shared" si="27"/>
        <x:v>0</x:v>
      </x:c>
      <x:c r="AK697" s="225">
        <x:f t="shared" si="27"/>
        <x:v>0</x:v>
      </x:c>
      <x:c r="AL697" s="225">
        <x:f t="shared" si="27"/>
        <x:v>0</x:v>
      </x:c>
      <x:c r="AM697" s="225">
        <x:f t="shared" si="27"/>
        <x:v>0</x:v>
      </x:c>
      <x:c r="AN697" s="225">
        <x:f t="shared" si="27"/>
        <x:v>0</x:v>
      </x:c>
      <x:c r="AO697" s="225">
        <x:f t="shared" si="27"/>
        <x:v>0</x:v>
      </x:c>
    </x:row>
    <x:row r="698" spans="1:41" ht="12.75" customHeight="1" x14ac:dyDescent="0.2">
      <x:c r="C698" s="778"/>
      <x:c r="D698" s="776"/>
      <x:c r="E698" s="223" t="s">
        <x:v>73</x:v>
      </x:c>
      <x:c r="F698" s="225">
        <x:f>F664</x:f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  <x:c r="S698" s="90"/>
    </x:row>
    <x:row r="699" spans="1:41" ht="12.75" customHeight="1" x14ac:dyDescent="0.2">
      <x:c r="C699" s="778"/>
      <x:c r="D699" s="776" t="s">
        <x:v>133</x:v>
      </x:c>
      <x:c r="E699" s="227" t="s">
        <x:v>70</x:v>
      </x:c>
      <x:c r="F699" s="228">
        <x:f>F638+F571-L571</x:f>
        <x:v>0</x:v>
      </x:c>
      <x:c r="G699" s="228">
        <x:f t="shared" ref="G699:Z699" si="28">G571</x:f>
        <x:v>0</x:v>
      </x:c>
      <x:c r="H699" s="228">
        <x:f t="shared" si="28"/>
        <x:v>0</x:v>
      </x:c>
      <x:c r="I699" s="228">
        <x:f t="shared" si="28"/>
        <x:v>0</x:v>
      </x:c>
      <x:c r="J699" s="228">
        <x:f t="shared" si="28"/>
        <x:v>0</x:v>
      </x:c>
      <x:c r="K699" s="228">
        <x:f t="shared" si="28"/>
        <x:v>0</x:v>
      </x:c>
      <x:c r="L699" s="228">
        <x:f t="shared" si="28"/>
        <x:v>0</x:v>
      </x:c>
      <x:c r="M699" s="228">
        <x:f t="shared" si="28"/>
        <x:v>0</x:v>
      </x:c>
      <x:c r="N699" s="228">
        <x:f t="shared" si="28"/>
        <x:v>0</x:v>
      </x:c>
      <x:c r="O699" s="228">
        <x:f t="shared" si="28"/>
        <x:v>0</x:v>
      </x:c>
      <x:c r="P699" s="228">
        <x:f t="shared" si="28"/>
        <x:v>0</x:v>
      </x:c>
      <x:c r="Q699" s="228">
        <x:f t="shared" si="28"/>
        <x:v>0</x:v>
      </x:c>
      <x:c r="R699" s="228">
        <x:f t="shared" si="28"/>
        <x:v>0</x:v>
      </x:c>
      <x:c r="S699" s="228">
        <x:f t="shared" si="28"/>
        <x:v>0</x:v>
      </x:c>
      <x:c r="T699" s="228">
        <x:f t="shared" si="28"/>
        <x:v>0</x:v>
      </x:c>
      <x:c r="U699" s="228">
        <x:f t="shared" si="28"/>
        <x:v>0</x:v>
      </x:c>
      <x:c r="V699" s="228">
        <x:f t="shared" si="28"/>
        <x:v>0</x:v>
      </x:c>
      <x:c r="W699" s="228">
        <x:f t="shared" si="28"/>
        <x:v>0</x:v>
      </x:c>
      <x:c r="X699" s="228">
        <x:f t="shared" si="28"/>
        <x:v>0</x:v>
      </x:c>
      <x:c r="Y699" s="228">
        <x:f t="shared" si="28"/>
        <x:v>0</x:v>
      </x:c>
      <x:c r="Z699" s="228">
        <x:f t="shared" si="28"/>
        <x:v>0</x:v>
      </x:c>
    </x:row>
    <x:row r="700" spans="1:41" ht="12.75" customHeight="1" x14ac:dyDescent="0.2">
      <x:c r="C700" s="778"/>
      <x:c r="D700" s="776"/>
      <x:c r="E700" s="227" t="s">
        <x:v>73</x:v>
      </x:c>
      <x:c r="F700" s="228">
        <x:f>F638</x:f>
        <x:v>0</x:v>
      </x:c>
      <x:c r="G700" s="90"/>
      <x:c r="H700" s="90"/>
      <x:c r="I700" s="90"/>
      <x:c r="J700" s="90"/>
      <x:c r="K700" s="90"/>
      <x:c r="L700" s="90"/>
      <x:c r="M700" s="90"/>
      <x:c r="N700" s="90"/>
      <x:c r="O700" s="90"/>
      <x:c r="P700" s="90"/>
      <x:c r="Q700" s="90"/>
      <x:c r="R700" s="90"/>
    </x:row>
    <x:row r="701" spans="1:41" ht="12.75" customHeight="1" x14ac:dyDescent="0.2">
      <x:c r="A701" s="89"/>
      <x:c r="C701" s="97"/>
      <x:c r="F701" s="90"/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">
      <x:c r="C702" s="778" t="s">
        <x:v>155</x:v>
      </x:c>
      <x:c r="D702" s="776" t="s">
        <x:v>132</x:v>
      </x:c>
      <x:c r="E702" s="221" t="s">
        <x:v>70</x:v>
      </x:c>
      <x:c r="F702" s="222">
        <x:f>F649+F586+F521-L521-L586</x:f>
        <x:v>0</x:v>
      </x:c>
      <x:c r="G702" s="222">
        <x:f t="shared" ref="G702:Z702" si="29">G586+G521</x:f>
        <x:v>0</x:v>
      </x:c>
      <x:c r="H702" s="222">
        <x:f t="shared" si="29"/>
        <x:v>0</x:v>
      </x:c>
      <x:c r="I702" s="222">
        <x:f t="shared" si="29"/>
        <x:v>0</x:v>
      </x:c>
      <x:c r="J702" s="222">
        <x:f t="shared" si="29"/>
        <x:v>0</x:v>
      </x:c>
      <x:c r="K702" s="222">
        <x:f t="shared" si="29"/>
        <x:v>0</x:v>
      </x:c>
      <x:c r="L702" s="222">
        <x:f t="shared" si="29"/>
        <x:v>0</x:v>
      </x:c>
      <x:c r="M702" s="222">
        <x:f t="shared" si="29"/>
        <x:v>0</x:v>
      </x:c>
      <x:c r="N702" s="222">
        <x:f t="shared" si="29"/>
        <x:v>0</x:v>
      </x:c>
      <x:c r="O702" s="222">
        <x:f t="shared" si="29"/>
        <x:v>0</x:v>
      </x:c>
      <x:c r="P702" s="222">
        <x:f t="shared" si="29"/>
        <x:v>0</x:v>
      </x:c>
      <x:c r="Q702" s="222">
        <x:f t="shared" si="29"/>
        <x:v>0</x:v>
      </x:c>
      <x:c r="R702" s="222">
        <x:f t="shared" si="29"/>
        <x:v>0</x:v>
      </x:c>
      <x:c r="S702" s="222">
        <x:f t="shared" si="29"/>
        <x:v>0</x:v>
      </x:c>
      <x:c r="T702" s="222">
        <x:f t="shared" si="29"/>
        <x:v>0</x:v>
      </x:c>
      <x:c r="U702" s="222">
        <x:f t="shared" si="29"/>
        <x:v>0</x:v>
      </x:c>
      <x:c r="V702" s="222">
        <x:f t="shared" si="29"/>
        <x:v>0</x:v>
      </x:c>
      <x:c r="W702" s="222">
        <x:f t="shared" si="29"/>
        <x:v>0</x:v>
      </x:c>
      <x:c r="X702" s="222">
        <x:f t="shared" si="29"/>
        <x:v>0</x:v>
      </x:c>
      <x:c r="Y702" s="222">
        <x:f t="shared" si="29"/>
        <x:v>0</x:v>
      </x:c>
      <x:c r="Z702" s="222">
        <x:f t="shared" si="29"/>
        <x:v>0</x:v>
      </x:c>
    </x:row>
    <x:row r="703" spans="1:41" ht="12.75" customHeight="1" x14ac:dyDescent="0.2">
      <x:c r="C703" s="778"/>
      <x:c r="D703" s="776"/>
      <x:c r="E703" s="221" t="s">
        <x:v>73</x:v>
      </x:c>
      <x:c r="F703" s="222">
        <x:f>F649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  <x:c r="S703" s="90"/>
    </x:row>
    <x:row r="704" spans="1:41" ht="12.75" customHeight="1" x14ac:dyDescent="0.2">
      <x:c r="C704" s="778"/>
      <x:c r="D704" s="776" t="s">
        <x:v>133</x:v>
      </x:c>
      <x:c r="E704" s="229" t="s">
        <x:v>70</x:v>
      </x:c>
      <x:c r="F704" s="230">
        <x:f>F623+F549-L549</x:f>
        <x:v>0</x:v>
      </x:c>
      <x:c r="G704" s="230">
        <x:f t="shared" ref="G704:Z704" si="30">G549</x:f>
        <x:v>0</x:v>
      </x:c>
      <x:c r="H704" s="230">
        <x:f t="shared" si="30"/>
        <x:v>0</x:v>
      </x:c>
      <x:c r="I704" s="230">
        <x:f t="shared" si="30"/>
        <x:v>0</x:v>
      </x:c>
      <x:c r="J704" s="230">
        <x:f t="shared" si="30"/>
        <x:v>0</x:v>
      </x:c>
      <x:c r="K704" s="230">
        <x:f t="shared" si="30"/>
        <x:v>0</x:v>
      </x:c>
      <x:c r="L704" s="230">
        <x:f t="shared" si="30"/>
        <x:v>0</x:v>
      </x:c>
      <x:c r="M704" s="230">
        <x:f t="shared" si="30"/>
        <x:v>0</x:v>
      </x:c>
      <x:c r="N704" s="230">
        <x:f t="shared" si="30"/>
        <x:v>0</x:v>
      </x:c>
      <x:c r="O704" s="230">
        <x:f t="shared" si="30"/>
        <x:v>0</x:v>
      </x:c>
      <x:c r="P704" s="230">
        <x:f t="shared" si="30"/>
        <x:v>0</x:v>
      </x:c>
      <x:c r="Q704" s="230">
        <x:f t="shared" si="30"/>
        <x:v>0</x:v>
      </x:c>
      <x:c r="R704" s="230">
        <x:f t="shared" si="30"/>
        <x:v>0</x:v>
      </x:c>
      <x:c r="S704" s="230">
        <x:f t="shared" si="30"/>
        <x:v>0</x:v>
      </x:c>
      <x:c r="T704" s="230">
        <x:f t="shared" si="30"/>
        <x:v>0</x:v>
      </x:c>
      <x:c r="U704" s="230">
        <x:f t="shared" si="30"/>
        <x:v>0</x:v>
      </x:c>
      <x:c r="V704" s="230">
        <x:f t="shared" si="30"/>
        <x:v>0</x:v>
      </x:c>
      <x:c r="W704" s="230">
        <x:f t="shared" si="30"/>
        <x:v>0</x:v>
      </x:c>
      <x:c r="X704" s="230">
        <x:f t="shared" si="30"/>
        <x:v>0</x:v>
      </x:c>
      <x:c r="Y704" s="230">
        <x:f t="shared" si="30"/>
        <x:v>0</x:v>
      </x:c>
      <x:c r="Z704" s="230">
        <x:f t="shared" si="30"/>
        <x:v>0</x:v>
      </x:c>
    </x:row>
    <x:row r="705" spans="1:41" ht="12.75" customHeight="1" x14ac:dyDescent="0.2">
      <x:c r="C705" s="778"/>
      <x:c r="D705" s="776"/>
      <x:c r="E705" s="229" t="s">
        <x:v>73</x:v>
      </x:c>
      <x:c r="F705" s="230">
        <x:f>F623</x:f>
        <x:v>0</x:v>
      </x:c>
      <x:c r="G705" s="90"/>
      <x:c r="H705" s="90"/>
      <x:c r="I705" s="90"/>
      <x:c r="J705" s="90"/>
      <x:c r="K705" s="90"/>
      <x:c r="L705" s="90"/>
      <x:c r="M705" s="90"/>
      <x:c r="N705" s="90"/>
      <x:c r="O705" s="90"/>
      <x:c r="P705" s="90"/>
      <x:c r="Q705" s="90"/>
      <x:c r="R705" s="90"/>
    </x:row>
    <x:row r="706" spans="1:41" ht="12.75" customHeight="1" x14ac:dyDescent="0.2">
      <x:c r="A706" s="89"/>
      <x:c r="C706" s="97"/>
      <x:c r="F706" s="90"/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1:41" ht="12.75" customHeight="1" x14ac:dyDescent="0.2">
      <x:c r="C707" s="779" t="s">
        <x:v>326</x:v>
      </x:c>
      <x:c r="D707" s="776" t="s">
        <x:v>132</x:v>
      </x:c>
      <x:c r="E707" s="373" t="s">
        <x:v>70</x:v>
      </x:c>
      <x:c r="F707" s="374">
        <x:v>0</x:v>
      </x:c>
      <x:c r="G707" s="374">
        <x:v>0</x:v>
      </x:c>
      <x:c r="H707" s="374">
        <x:v>0</x:v>
      </x:c>
      <x:c r="I707" s="374">
        <x:v>0</x:v>
      </x:c>
      <x:c r="J707" s="374">
        <x:v>0</x:v>
      </x:c>
      <x:c r="K707" s="374">
        <x:v>0</x:v>
      </x:c>
      <x:c r="L707" s="374">
        <x:v>0</x:v>
      </x:c>
      <x:c r="M707" s="374">
        <x:v>0</x:v>
      </x:c>
      <x:c r="N707" s="374">
        <x:v>0</x:v>
      </x:c>
      <x:c r="O707" s="374">
        <x:v>0</x:v>
      </x:c>
      <x:c r="P707" s="374">
        <x:v>0</x:v>
      </x:c>
      <x:c r="Q707" s="374">
        <x:v>0</x:v>
      </x:c>
      <x:c r="R707" s="374">
        <x:v>0</x:v>
      </x:c>
      <x:c r="S707" s="374">
        <x:v>0</x:v>
      </x:c>
      <x:c r="T707" s="374">
        <x:v>0</x:v>
      </x:c>
      <x:c r="U707" s="374">
        <x:v>0</x:v>
      </x:c>
      <x:c r="V707" s="374">
        <x:v>0</x:v>
      </x:c>
      <x:c r="W707" s="374">
        <x:v>0</x:v>
      </x:c>
      <x:c r="X707" s="374">
        <x:v>0</x:v>
      </x:c>
      <x:c r="Y707" s="374">
        <x:v>0</x:v>
      </x:c>
      <x:c r="Z707" s="374">
        <x:v>0</x:v>
      </x:c>
      <x:c r="AA707" s="374">
        <x:v>0</x:v>
      </x:c>
      <x:c r="AB707" s="374">
        <x:v>0</x:v>
      </x:c>
      <x:c r="AC707" s="374">
        <x:v>0</x:v>
      </x:c>
      <x:c r="AD707" s="374">
        <x:v>0</x:v>
      </x:c>
      <x:c r="AE707" s="374">
        <x:v>0</x:v>
      </x:c>
      <x:c r="AF707" s="374">
        <x:v>0</x:v>
      </x:c>
      <x:c r="AG707" s="374">
        <x:v>0</x:v>
      </x:c>
      <x:c r="AH707" s="374">
        <x:v>0</x:v>
      </x:c>
      <x:c r="AI707" s="374">
        <x:v>0</x:v>
      </x:c>
      <x:c r="AJ707" s="374">
        <x:v>0</x:v>
      </x:c>
      <x:c r="AK707" s="374">
        <x:v>0</x:v>
      </x:c>
      <x:c r="AL707" s="374">
        <x:v>0</x:v>
      </x:c>
      <x:c r="AM707" s="374">
        <x:v>0</x:v>
      </x:c>
      <x:c r="AN707" s="374">
        <x:v>0</x:v>
      </x:c>
      <x:c r="AO707" s="374">
        <x:v>0</x:v>
      </x:c>
    </x:row>
    <x:row r="708" spans="1:41" ht="12.75" customHeight="1" x14ac:dyDescent="0.2">
      <x:c r="C708" s="779"/>
      <x:c r="D708" s="776"/>
      <x:c r="E708" s="373" t="s">
        <x:v>73</x:v>
      </x:c>
      <x:c r="F708" s="374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  <x:c r="S708" s="90"/>
    </x:row>
    <x:row r="709" spans="1:41" ht="12.75" customHeight="1" x14ac:dyDescent="0.2">
      <x:c r="C709" s="779"/>
      <x:c r="D709" s="776" t="s">
        <x:v>133</x:v>
      </x:c>
      <x:c r="E709" s="242" t="s">
        <x:v>70</x:v>
      </x:c>
      <x:c r="F709" s="243">
        <x:v>0</x:v>
      </x:c>
      <x:c r="G709" s="243">
        <x:v>0</x:v>
      </x:c>
      <x:c r="H709" s="243">
        <x:v>0</x:v>
      </x:c>
      <x:c r="I709" s="243">
        <x:v>0</x:v>
      </x:c>
      <x:c r="J709" s="243">
        <x:v>0</x:v>
      </x:c>
      <x:c r="K709" s="243">
        <x:v>0</x:v>
      </x:c>
      <x:c r="L709" s="243">
        <x:v>0</x:v>
      </x:c>
      <x:c r="M709" s="243">
        <x:v>0</x:v>
      </x:c>
      <x:c r="N709" s="243">
        <x:v>0</x:v>
      </x:c>
      <x:c r="O709" s="243">
        <x:v>0</x:v>
      </x:c>
      <x:c r="P709" s="243">
        <x:v>0</x:v>
      </x:c>
      <x:c r="Q709" s="243">
        <x:v>0</x:v>
      </x:c>
      <x:c r="R709" s="243">
        <x:v>0</x:v>
      </x:c>
      <x:c r="S709" s="243">
        <x:v>0</x:v>
      </x:c>
      <x:c r="T709" s="243">
        <x:v>0</x:v>
      </x:c>
      <x:c r="U709" s="243">
        <x:v>0</x:v>
      </x:c>
      <x:c r="V709" s="243">
        <x:v>0</x:v>
      </x:c>
      <x:c r="W709" s="243">
        <x:v>0</x:v>
      </x:c>
      <x:c r="X709" s="243">
        <x:v>0</x:v>
      </x:c>
      <x:c r="Y709" s="243">
        <x:v>0</x:v>
      </x:c>
      <x:c r="Z709" s="243">
        <x:v>0</x:v>
      </x:c>
      <x:c r="AA709" s="243">
        <x:v>0</x:v>
      </x:c>
      <x:c r="AB709" s="243">
        <x:v>0</x:v>
      </x:c>
      <x:c r="AC709" s="243">
        <x:v>0</x:v>
      </x:c>
      <x:c r="AD709" s="243">
        <x:v>0</x:v>
      </x:c>
      <x:c r="AE709" s="243">
        <x:v>0</x:v>
      </x:c>
      <x:c r="AF709" s="243">
        <x:v>0</x:v>
      </x:c>
      <x:c r="AG709" s="243">
        <x:v>0</x:v>
      </x:c>
      <x:c r="AH709" s="243">
        <x:v>0</x:v>
      </x:c>
      <x:c r="AI709" s="243">
        <x:v>0</x:v>
      </x:c>
      <x:c r="AJ709" s="243">
        <x:v>0</x:v>
      </x:c>
      <x:c r="AK709" s="243">
        <x:v>0</x:v>
      </x:c>
      <x:c r="AL709" s="243">
        <x:v>0</x:v>
      </x:c>
      <x:c r="AM709" s="243">
        <x:v>0</x:v>
      </x:c>
      <x:c r="AN709" s="243">
        <x:v>0</x:v>
      </x:c>
      <x:c r="AO709" s="243">
        <x:v>0</x:v>
      </x:c>
    </x:row>
    <x:row r="710" spans="1:41" ht="12.75" customHeight="1" x14ac:dyDescent="0.2">
      <x:c r="C710" s="779"/>
      <x:c r="D710" s="776"/>
      <x:c r="E710" s="242" t="s">
        <x:v>73</x:v>
      </x:c>
      <x:c r="F710" s="243">
        <x:v>0</x:v>
      </x:c>
      <x:c r="G710" s="90"/>
      <x:c r="H710" s="90"/>
      <x:c r="I710" s="90"/>
      <x:c r="J710" s="90"/>
      <x:c r="K710" s="90"/>
      <x:c r="L710" s="90"/>
      <x:c r="M710" s="90"/>
      <x:c r="N710" s="90"/>
      <x:c r="O710" s="90"/>
      <x:c r="P710" s="90"/>
      <x:c r="Q710" s="90"/>
      <x:c r="R710" s="90"/>
    </x:row>
    <x:row r="711" spans="1:41" ht="12.75" customHeight="1" x14ac:dyDescent="0.2">
      <x:c r="A711" s="89"/>
      <x:c r="C711" s="97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  <x:c r="S711" s="90"/>
    </x:row>
    <x:row r="712" spans="1:41" ht="12.75" customHeight="1" x14ac:dyDescent="0.2">
      <x:c r="C712" s="778" t="s">
        <x:v>119</x:v>
      </x:c>
      <x:c r="D712" s="776" t="s">
        <x:v>132</x:v>
      </x:c>
      <x:c r="E712" s="101" t="s">
        <x:v>70</x:v>
      </x:c>
      <x:c r="F712" s="93">
        <x:f>F671+F618+F543-L543-L618</x:f>
        <x:v>0</x:v>
      </x:c>
      <x:c r="G712" s="93">
        <x:f t="shared" ref="G712:AO712" si="31">G618+G543</x:f>
        <x:v>0</x:v>
      </x:c>
      <x:c r="H712" s="93">
        <x:f t="shared" si="31"/>
        <x:v>0</x:v>
      </x:c>
      <x:c r="I712" s="93">
        <x:f t="shared" si="31"/>
        <x:v>0</x:v>
      </x:c>
      <x:c r="J712" s="93">
        <x:f t="shared" si="31"/>
        <x:v>0</x:v>
      </x:c>
      <x:c r="K712" s="93">
        <x:f t="shared" si="31"/>
        <x:v>0</x:v>
      </x:c>
      <x:c r="L712" s="93">
        <x:f t="shared" si="31"/>
        <x:v>0</x:v>
      </x:c>
      <x:c r="M712" s="93">
        <x:f t="shared" si="31"/>
        <x:v>0</x:v>
      </x:c>
      <x:c r="N712" s="93">
        <x:f t="shared" si="31"/>
        <x:v>0</x:v>
      </x:c>
      <x:c r="O712" s="93">
        <x:f t="shared" si="31"/>
        <x:v>0</x:v>
      </x:c>
      <x:c r="P712" s="93">
        <x:f t="shared" si="31"/>
        <x:v>0</x:v>
      </x:c>
      <x:c r="Q712" s="93">
        <x:f t="shared" si="31"/>
        <x:v>0</x:v>
      </x:c>
      <x:c r="R712" s="93">
        <x:f t="shared" si="31"/>
        <x:v>0</x:v>
      </x:c>
      <x:c r="S712" s="93">
        <x:f t="shared" si="31"/>
        <x:v>0</x:v>
      </x:c>
      <x:c r="T712" s="93">
        <x:f t="shared" si="31"/>
        <x:v>0</x:v>
      </x:c>
      <x:c r="U712" s="93">
        <x:f t="shared" si="31"/>
        <x:v>0</x:v>
      </x:c>
      <x:c r="V712" s="93">
        <x:f t="shared" si="31"/>
        <x:v>0</x:v>
      </x:c>
      <x:c r="W712" s="93">
        <x:f t="shared" si="31"/>
        <x:v>0</x:v>
      </x:c>
      <x:c r="X712" s="93">
        <x:f t="shared" si="31"/>
        <x:v>0</x:v>
      </x:c>
      <x:c r="Y712" s="93">
        <x:f t="shared" si="31"/>
        <x:v>0</x:v>
      </x:c>
      <x:c r="Z712" s="93">
        <x:f t="shared" si="31"/>
        <x:v>0</x:v>
      </x:c>
      <x:c r="AA712" s="93">
        <x:f t="shared" si="31"/>
        <x:v>0</x:v>
      </x:c>
      <x:c r="AB712" s="93">
        <x:f t="shared" si="31"/>
        <x:v>0</x:v>
      </x:c>
      <x:c r="AC712" s="93">
        <x:f t="shared" si="31"/>
        <x:v>0</x:v>
      </x:c>
      <x:c r="AD712" s="93">
        <x:f t="shared" si="31"/>
        <x:v>0</x:v>
      </x:c>
      <x:c r="AE712" s="93">
        <x:f t="shared" si="31"/>
        <x:v>0</x:v>
      </x:c>
      <x:c r="AF712" s="93">
        <x:f t="shared" si="31"/>
        <x:v>0</x:v>
      </x:c>
      <x:c r="AG712" s="93">
        <x:f t="shared" si="31"/>
        <x:v>0</x:v>
      </x:c>
      <x:c r="AH712" s="93">
        <x:f t="shared" si="31"/>
        <x:v>0</x:v>
      </x:c>
      <x:c r="AI712" s="93">
        <x:f t="shared" si="31"/>
        <x:v>0</x:v>
      </x:c>
      <x:c r="AJ712" s="93">
        <x:f t="shared" si="31"/>
        <x:v>0</x:v>
      </x:c>
      <x:c r="AK712" s="93">
        <x:f t="shared" si="31"/>
        <x:v>0</x:v>
      </x:c>
      <x:c r="AL712" s="93">
        <x:f t="shared" si="31"/>
        <x:v>0</x:v>
      </x:c>
      <x:c r="AM712" s="93">
        <x:f t="shared" si="31"/>
        <x:v>0</x:v>
      </x:c>
      <x:c r="AN712" s="93">
        <x:f t="shared" si="31"/>
        <x:v>0</x:v>
      </x:c>
      <x:c r="AO712" s="93">
        <x:f t="shared" si="31"/>
        <x:v>0</x:v>
      </x:c>
    </x:row>
    <x:row r="713" spans="1:41" ht="12.75" customHeight="1" x14ac:dyDescent="0.2">
      <x:c r="C713" s="778"/>
      <x:c r="D713" s="776"/>
      <x:c r="E713" s="101" t="s">
        <x:v>73</x:v>
      </x:c>
      <x:c r="F713" s="93">
        <x:f>F671</x:f>
        <x:v>0</x:v>
      </x:c>
      <x:c r="G713" s="90"/>
      <x:c r="H713" s="90"/>
      <x:c r="I713" s="90"/>
      <x:c r="J713" s="90"/>
      <x:c r="K713" s="90"/>
      <x:c r="L713" s="90"/>
      <x:c r="M713" s="90"/>
      <x:c r="N713" s="90"/>
      <x:c r="O713" s="90"/>
      <x:c r="P713" s="90"/>
      <x:c r="Q713" s="90"/>
      <x:c r="R713" s="90"/>
      <x:c r="S713" s="90"/>
    </x:row>
    <x:row r="714" spans="1:41" ht="12.75" customHeight="1" x14ac:dyDescent="0.2">
      <x:c r="C714" s="778"/>
      <x:c r="D714" s="776" t="s">
        <x:v>133</x:v>
      </x:c>
      <x:c r="E714" s="235" t="s">
        <x:v>70</x:v>
      </x:c>
      <x:c r="F714" s="236">
        <x:f>F645+F581-L581</x:f>
        <x:v>0</x:v>
      </x:c>
      <x:c r="G714" s="236">
        <x:f t="shared" ref="G714:Z714" si="32">G581</x:f>
        <x:v>0</x:v>
      </x:c>
      <x:c r="H714" s="236">
        <x:f t="shared" si="32"/>
        <x:v>0</x:v>
      </x:c>
      <x:c r="I714" s="236">
        <x:f t="shared" si="32"/>
        <x:v>0</x:v>
      </x:c>
      <x:c r="J714" s="236">
        <x:f t="shared" si="32"/>
        <x:v>0</x:v>
      </x:c>
      <x:c r="K714" s="236">
        <x:f t="shared" si="32"/>
        <x:v>0</x:v>
      </x:c>
      <x:c r="L714" s="236">
        <x:f t="shared" si="32"/>
        <x:v>0</x:v>
      </x:c>
      <x:c r="M714" s="236">
        <x:f t="shared" si="32"/>
        <x:v>0</x:v>
      </x:c>
      <x:c r="N714" s="236">
        <x:f t="shared" si="32"/>
        <x:v>0</x:v>
      </x:c>
      <x:c r="O714" s="236">
        <x:f t="shared" si="32"/>
        <x:v>0</x:v>
      </x:c>
      <x:c r="P714" s="236">
        <x:f t="shared" si="32"/>
        <x:v>0</x:v>
      </x:c>
      <x:c r="Q714" s="236">
        <x:f t="shared" si="32"/>
        <x:v>0</x:v>
      </x:c>
      <x:c r="R714" s="236">
        <x:f t="shared" si="32"/>
        <x:v>0</x:v>
      </x:c>
      <x:c r="S714" s="236">
        <x:f t="shared" si="32"/>
        <x:v>0</x:v>
      </x:c>
      <x:c r="T714" s="236">
        <x:f t="shared" si="32"/>
        <x:v>0</x:v>
      </x:c>
      <x:c r="U714" s="236">
        <x:f t="shared" si="32"/>
        <x:v>0</x:v>
      </x:c>
      <x:c r="V714" s="236">
        <x:f t="shared" si="32"/>
        <x:v>0</x:v>
      </x:c>
      <x:c r="W714" s="236">
        <x:f t="shared" si="32"/>
        <x:v>0</x:v>
      </x:c>
      <x:c r="X714" s="236">
        <x:f t="shared" si="32"/>
        <x:v>0</x:v>
      </x:c>
      <x:c r="Y714" s="236">
        <x:f t="shared" si="32"/>
        <x:v>0</x:v>
      </x:c>
      <x:c r="Z714" s="236">
        <x:f t="shared" si="32"/>
        <x:v>0</x:v>
      </x:c>
    </x:row>
    <x:row r="715" spans="1:41" ht="12.75" customHeight="1" x14ac:dyDescent="0.2">
      <x:c r="C715" s="778"/>
      <x:c r="D715" s="776"/>
      <x:c r="E715" s="235" t="s">
        <x:v>73</x:v>
      </x:c>
      <x:c r="F715" s="236">
        <x:f>F645</x:f>
        <x:v>0</x:v>
      </x:c>
      <x:c r="G715" s="90"/>
      <x:c r="H715" s="90"/>
      <x:c r="I715" s="90"/>
      <x:c r="J715" s="90"/>
      <x:c r="K715" s="90"/>
      <x:c r="L715" s="90"/>
      <x:c r="M715" s="90"/>
      <x:c r="N715" s="90"/>
      <x:c r="O715" s="90"/>
      <x:c r="P715" s="90"/>
      <x:c r="Q715" s="90"/>
      <x:c r="R715" s="90"/>
    </x:row>
    <x:row r="716" spans="1:41" ht="12.75" customHeight="1" x14ac:dyDescent="0.2">
      <x:c r="A716" s="89"/>
      <x:c r="C716" s="97"/>
      <x:c r="F716" s="90"/>
      <x:c r="G716" s="90"/>
      <x:c r="H716" s="90"/>
      <x:c r="I716" s="90"/>
      <x:c r="J716" s="90"/>
      <x:c r="K716" s="90"/>
      <x:c r="L716" s="90"/>
      <x:c r="M716" s="90"/>
      <x:c r="N716" s="90"/>
      <x:c r="O716" s="90"/>
      <x:c r="P716" s="90"/>
      <x:c r="Q716" s="90"/>
      <x:c r="R716" s="90"/>
      <x:c r="S716" s="90"/>
    </x:row>
    <x:row r="717" spans="1:41" ht="12.75" customHeight="1" x14ac:dyDescent="0.2">
      <x:c r="C717" s="777" t="s">
        <x:v>161</x:v>
      </x:c>
      <x:c r="D717" s="776" t="s">
        <x:v>132</x:v>
      </x:c>
      <x:c r="E717" s="231" t="s">
        <x:v>70</x:v>
      </x:c>
      <x:c r="F717" s="232">
        <x:v>0</x:v>
      </x:c>
      <x:c r="G717" s="232">
        <x:v>0</x:v>
      </x:c>
      <x:c r="H717" s="232">
        <x:v>0</x:v>
      </x:c>
      <x:c r="I717" s="232">
        <x:v>0</x:v>
      </x:c>
      <x:c r="J717" s="232">
        <x:v>0</x:v>
      </x:c>
      <x:c r="K717" s="232">
        <x:v>0</x:v>
      </x:c>
      <x:c r="L717" s="232">
        <x:v>0</x:v>
      </x:c>
      <x:c r="M717" s="232">
        <x:v>0</x:v>
      </x:c>
      <x:c r="N717" s="232">
        <x:v>0</x:v>
      </x:c>
      <x:c r="O717" s="232">
        <x:v>0</x:v>
      </x:c>
      <x:c r="P717" s="232">
        <x:v>0</x:v>
      </x:c>
      <x:c r="Q717" s="232">
        <x:v>0</x:v>
      </x:c>
      <x:c r="R717" s="232">
        <x:v>0</x:v>
      </x:c>
      <x:c r="S717" s="232">
        <x:v>0</x:v>
      </x:c>
      <x:c r="T717" s="232">
        <x:v>0</x:v>
      </x:c>
      <x:c r="U717" s="232">
        <x:v>0</x:v>
      </x:c>
      <x:c r="V717" s="232">
        <x:v>0</x:v>
      </x:c>
      <x:c r="W717" s="232">
        <x:v>0</x:v>
      </x:c>
      <x:c r="X717" s="232">
        <x:v>0</x:v>
      </x:c>
      <x:c r="Y717" s="232">
        <x:v>0</x:v>
      </x:c>
      <x:c r="Z717" s="232">
        <x:v>0</x:v>
      </x:c>
      <x:c r="AA717" s="232">
        <x:v>0</x:v>
      </x:c>
      <x:c r="AB717" s="232">
        <x:v>0</x:v>
      </x:c>
      <x:c r="AC717" s="232">
        <x:v>0</x:v>
      </x:c>
      <x:c r="AD717" s="232">
        <x:v>0</x:v>
      </x:c>
      <x:c r="AE717" s="232">
        <x:v>0</x:v>
      </x:c>
      <x:c r="AF717" s="232">
        <x:v>0</x:v>
      </x:c>
      <x:c r="AG717" s="232">
        <x:v>0</x:v>
      </x:c>
      <x:c r="AH717" s="232">
        <x:v>0</x:v>
      </x:c>
      <x:c r="AI717" s="232">
        <x:v>0</x:v>
      </x:c>
      <x:c r="AJ717" s="232">
        <x:v>0</x:v>
      </x:c>
      <x:c r="AK717" s="232">
        <x:v>0</x:v>
      </x:c>
      <x:c r="AL717" s="232">
        <x:v>0</x:v>
      </x:c>
      <x:c r="AM717" s="232">
        <x:v>0</x:v>
      </x:c>
      <x:c r="AN717" s="232">
        <x:v>0</x:v>
      </x:c>
      <x:c r="AO717" s="232">
        <x:v>0</x:v>
      </x:c>
    </x:row>
    <x:row r="718" spans="1:41" ht="12.75" customHeight="1" x14ac:dyDescent="0.2">
      <x:c r="C718" s="777"/>
      <x:c r="D718" s="776"/>
      <x:c r="E718" s="231" t="s">
        <x:v>73</x:v>
      </x:c>
      <x:c r="F718" s="232">
        <x:v>0</x:v>
      </x:c>
      <x:c r="G718" s="90"/>
      <x:c r="H718" s="90"/>
      <x:c r="I718" s="90"/>
      <x:c r="J718" s="90"/>
      <x:c r="K718" s="90"/>
      <x:c r="L718" s="90"/>
      <x:c r="M718" s="90"/>
      <x:c r="N718" s="90"/>
      <x:c r="O718" s="90"/>
      <x:c r="P718" s="90"/>
      <x:c r="Q718" s="90"/>
      <x:c r="R718" s="90"/>
      <x:c r="S718" s="90"/>
    </x:row>
    <x:row r="719" spans="1:41" ht="12.75" customHeight="1" x14ac:dyDescent="0.2">
      <x:c r="C719" s="777"/>
      <x:c r="E719" s="148" t="s">
        <x:v>70</x:v>
      </x:c>
      <x:c r="F719" s="149">
        <x:v>0</x:v>
      </x:c>
      <x:c r="G719" s="149">
        <x:v>0</x:v>
      </x:c>
      <x:c r="H719" s="149">
        <x:v>0</x:v>
      </x:c>
      <x:c r="I719" s="149">
        <x:v>0</x:v>
      </x:c>
      <x:c r="J719" s="149">
        <x:v>0</x:v>
      </x:c>
      <x:c r="K719" s="149">
        <x:v>0</x:v>
      </x:c>
      <x:c r="L719" s="149">
        <x:v>0</x:v>
      </x:c>
      <x:c r="M719" s="149">
        <x:v>0</x:v>
      </x:c>
      <x:c r="N719" s="149">
        <x:v>0</x:v>
      </x:c>
      <x:c r="O719" s="149">
        <x:v>0</x:v>
      </x:c>
      <x:c r="P719" s="149">
        <x:v>0</x:v>
      </x:c>
      <x:c r="Q719" s="149">
        <x:v>0</x:v>
      </x:c>
      <x:c r="R719" s="149">
        <x:v>0</x:v>
      </x:c>
      <x:c r="S719" s="149">
        <x:v>0</x:v>
      </x:c>
      <x:c r="T719" s="149">
        <x:v>0</x:v>
      </x:c>
      <x:c r="U719" s="149">
        <x:v>0</x:v>
      </x:c>
      <x:c r="V719" s="149">
        <x:v>0</x:v>
      </x:c>
      <x:c r="W719" s="149">
        <x:v>0</x:v>
      </x:c>
      <x:c r="X719" s="149">
        <x:v>0</x:v>
      </x:c>
      <x:c r="Y719" s="149">
        <x:v>0</x:v>
      </x:c>
      <x:c r="Z719" s="149">
        <x:v>0</x:v>
      </x:c>
    </x:row>
    <x:row r="720" spans="1:41" ht="12.75" customHeight="1" x14ac:dyDescent="0.2">
      <x:c r="C720" s="777"/>
      <x:c r="D720" s="220" t="s">
        <x:v>132</x:v>
      </x:c>
      <x:c r="E720" s="148" t="s">
        <x:v>73</x:v>
      </x:c>
      <x:c r="F720" s="149">
        <x:v>0</x:v>
      </x:c>
      <x:c r="G720" s="90"/>
      <x:c r="H720" s="90"/>
      <x:c r="I720" s="90"/>
      <x:c r="J720" s="90"/>
      <x:c r="K720" s="90"/>
      <x:c r="L720" s="90"/>
      <x:c r="M720" s="90"/>
      <x:c r="N720" s="90"/>
      <x:c r="O720" s="90"/>
      <x:c r="P720" s="90"/>
      <x:c r="Q720" s="90"/>
      <x:c r="R720" s="90"/>
    </x:row>
    <x:row r="721" spans="1:26" ht="12.75" customHeight="1" x14ac:dyDescent="0.2">
      <x:c r="C721" s="388"/>
      <x:c r="D721" s="220"/>
      <x:c r="E721" s="89"/>
      <x:c r="F721" s="90"/>
      <x:c r="G721" s="90"/>
      <x:c r="H721" s="90"/>
      <x:c r="I721" s="90"/>
      <x:c r="J721" s="90"/>
      <x:c r="K721" s="90"/>
      <x:c r="L721" s="90"/>
      <x:c r="M721" s="90"/>
      <x:c r="N721" s="90"/>
      <x:c r="O721" s="90"/>
      <x:c r="P721" s="90"/>
      <x:c r="Q721" s="90"/>
      <x:c r="R721" s="90"/>
    </x:row>
    <x:row r="722" spans="1:26" ht="12.75" customHeight="1" x14ac:dyDescent="0.2">
      <x:c r="D722" s="458" t="s">
        <x:v>186</x:v>
      </x:c>
      <x:c r="E722" s="459" t="s">
        <x:v>70</x:v>
      </x:c>
      <x:c r="F722" s="460">
        <x:f t="shared" ref="F722:Z722" si="33">F544</x:f>
        <x:v>0</x:v>
      </x:c>
      <x:c r="G722" s="460">
        <x:f t="shared" si="33"/>
        <x:v>0</x:v>
      </x:c>
      <x:c r="H722" s="460">
        <x:f t="shared" si="33"/>
        <x:v>0</x:v>
      </x:c>
      <x:c r="I722" s="460">
        <x:f t="shared" si="33"/>
        <x:v>0</x:v>
      </x:c>
      <x:c r="J722" s="460">
        <x:f t="shared" si="33"/>
        <x:v>0</x:v>
      </x:c>
      <x:c r="K722" s="460">
        <x:f t="shared" si="33"/>
        <x:v>0</x:v>
      </x:c>
      <x:c r="L722" s="460">
        <x:f t="shared" si="33"/>
        <x:v>0</x:v>
      </x:c>
      <x:c r="M722" s="460">
        <x:f t="shared" si="33"/>
        <x:v>0</x:v>
      </x:c>
      <x:c r="N722" s="460">
        <x:f t="shared" si="33"/>
        <x:v>0</x:v>
      </x:c>
      <x:c r="O722" s="460">
        <x:f t="shared" si="33"/>
        <x:v>0</x:v>
      </x:c>
      <x:c r="P722" s="460">
        <x:f t="shared" si="33"/>
        <x:v>0</x:v>
      </x:c>
      <x:c r="Q722" s="460">
        <x:f t="shared" si="33"/>
        <x:v>0</x:v>
      </x:c>
      <x:c r="R722" s="460">
        <x:f t="shared" si="33"/>
        <x:v>0</x:v>
      </x:c>
      <x:c r="S722" s="460">
        <x:f t="shared" si="33"/>
        <x:v>0</x:v>
      </x:c>
      <x:c r="T722" s="460">
        <x:f t="shared" si="33"/>
        <x:v>0</x:v>
      </x:c>
      <x:c r="U722" s="460">
        <x:f t="shared" si="33"/>
        <x:v>0</x:v>
      </x:c>
      <x:c r="V722" s="460">
        <x:f t="shared" si="33"/>
        <x:v>0</x:v>
      </x:c>
      <x:c r="W722" s="460">
        <x:f t="shared" si="33"/>
        <x:v>0</x:v>
      </x:c>
      <x:c r="X722" s="460">
        <x:f t="shared" si="33"/>
        <x:v>0</x:v>
      </x:c>
      <x:c r="Y722" s="460">
        <x:f t="shared" si="33"/>
        <x:v>0</x:v>
      </x:c>
      <x:c r="Z722" s="460">
        <x:f t="shared" si="33"/>
        <x:v>0</x:v>
      </x:c>
    </x:row>
    <x:row r="723" spans="1:26" ht="12.75" customHeight="1" x14ac:dyDescent="0.2">
      <x:c r="C723" s="388"/>
      <x:c r="D723" s="220"/>
      <x:c r="E723" s="89"/>
      <x:c r="F723" s="90"/>
      <x:c r="G723" s="90"/>
      <x:c r="H723" s="90"/>
      <x:c r="I723" s="90"/>
      <x:c r="J723" s="90"/>
      <x:c r="K723" s="90"/>
      <x:c r="L723" s="90"/>
      <x:c r="M723" s="90"/>
      <x:c r="N723" s="90"/>
      <x:c r="O723" s="90"/>
      <x:c r="P723" s="90"/>
      <x:c r="Q723" s="90"/>
      <x:c r="R723" s="90"/>
    </x:row>
    <x:row r="724" spans="1:26" s="238" customFormat="1" ht="12.75" customHeight="1" x14ac:dyDescent="0.2">
      <x:c r="D724" s="239"/>
      <x:c r="E724" s="240"/>
      <x:c r="F724" s="240"/>
      <x:c r="G724" s="240"/>
      <x:c r="H724" s="240"/>
      <x:c r="I724" s="240"/>
      <x:c r="J724" s="240"/>
      <x:c r="K724" s="240"/>
      <x:c r="L724" s="240"/>
      <x:c r="M724" s="240"/>
      <x:c r="N724" s="240"/>
      <x:c r="O724" s="240"/>
      <x:c r="P724" s="240"/>
      <x:c r="Q724" s="240"/>
    </x:row>
    <x:row r="725" spans="1:26" ht="12.6" customHeight="1" x14ac:dyDescent="0.2">
      <x:c r="A725" s="89"/>
      <x:c r="B725" s="97" t="s">
        <x:v>93</x:v>
      </x:c>
      <x:c r="E725" s="90"/>
      <x:c r="F725" s="90"/>
      <x:c r="G725" s="90"/>
      <x:c r="H725" s="90"/>
      <x:c r="I725" s="90"/>
      <x:c r="J725" s="90"/>
      <x:c r="K725" s="90"/>
      <x:c r="L725" s="90"/>
      <x:c r="M725" s="90"/>
      <x:c r="N725" s="90"/>
      <x:c r="O725" s="90"/>
      <x:c r="P725" s="90"/>
      <x:c r="Q725" s="90"/>
    </x:row>
    <x:row r="726" spans="1:26" ht="12.75" customHeight="1" x14ac:dyDescent="0.2">
      <x:c r="F726" s="89" t="s">
        <x:v>70</x:v>
      </x:c>
      <x:c r="G726" s="89" t="s">
        <x:v>64</x:v>
      </x:c>
      <x:c r="H726" s="89" t="s">
        <x:v>65</x:v>
      </x:c>
      <x:c r="I726" s="218" t="s">
        <x:v>164</x:v>
      </x:c>
      <x:c r="J726" s="89" t="s">
        <x:v>69</x:v>
      </x:c>
      <x:c r="K726" s="89" t="s">
        <x:v>68</x:v>
      </x:c>
      <x:c r="L726" s="89" t="s">
        <x:v>71</x:v>
      </x:c>
      <x:c r="M726" s="89" t="s">
        <x:v>66</x:v>
      </x:c>
      <x:c r="N726" s="89" t="s">
        <x:v>63</x:v>
      </x:c>
      <x:c r="O726" s="89" t="s">
        <x:v>61</x:v>
      </x:c>
      <x:c r="P726" s="89" t="s">
        <x:v>62</x:v>
      </x:c>
      <x:c r="Q726" s="89" t="s">
        <x:v>67</x:v>
      </x:c>
      <x:c r="R726" s="89" t="s">
        <x:v>77</x:v>
      </x:c>
      <x:c r="S726" s="89" t="s">
        <x:v>80</x:v>
      </x:c>
      <x:c r="T726" s="89" t="s">
        <x:v>135</x:v>
      </x:c>
      <x:c r="U726" s="89" t="s">
        <x:v>173</x:v>
      </x:c>
      <x:c r="V726" s="89" t="s">
        <x:v>222</x:v>
      </x:c>
      <x:c r="W726" s="89" t="s">
        <x:v>173</x:v>
      </x:c>
      <x:c r="X726" t="s">
        <x:v>173</x:v>
      </x:c>
      <x:c r="Y726" s="89" t="s">
        <x:v>135</x:v>
      </x:c>
      <x:c r="Z726" t="s">
        <x:v>167</x:v>
      </x:c>
    </x:row>
    <x:row r="727" spans="1:26" x14ac:dyDescent="0.2">
      <x:c r="E727" t="s">
        <x:v>72</x:v>
      </x:c>
      <x:c r="F727" s="90">
        <x:v>0</x:v>
      </x:c>
      <x:c r="G727" s="90">
        <x:v>0</x:v>
      </x:c>
      <x:c r="H727" s="90">
        <x:v>0</x:v>
      </x:c>
      <x:c r="I727" s="90">
        <x:v>0</x:v>
      </x:c>
      <x:c r="J727" s="90">
        <x:v>0</x:v>
      </x:c>
      <x:c r="K727" s="90">
        <x:v>0</x:v>
      </x:c>
      <x:c r="L727" s="90">
        <x:v>0</x:v>
      </x:c>
      <x:c r="M727" s="90">
        <x:v>0</x:v>
      </x:c>
      <x:c r="N727" s="90">
        <x:v>0</x:v>
      </x:c>
      <x:c r="O727" s="90">
        <x:v>0</x:v>
      </x:c>
      <x:c r="P727" s="90">
        <x:v>0</x:v>
      </x:c>
      <x:c r="Q727" s="90">
        <x:v>0</x:v>
      </x:c>
      <x:c r="R727" s="90">
        <x:v>0</x:v>
      </x:c>
      <x:c r="S727" s="90">
        <x:v>0</x:v>
      </x:c>
      <x:c r="T727" s="90">
        <x:v>0</x:v>
      </x:c>
      <x:c r="U727">
        <x:v>0</x:v>
      </x:c>
      <x:c r="V727">
        <x:v>0</x:v>
      </x:c>
      <x:c r="W727">
        <x:v>0</x:v>
      </x:c>
      <x:c r="X727">
        <x:v>0</x:v>
      </x:c>
      <x:c r="Y727">
        <x:v>0</x:v>
      </x:c>
      <x:c r="Z727" s="90">
        <x:v>0</x:v>
      </x:c>
    </x:row>
    <x:row r="728" spans="1:26" x14ac:dyDescent="0.2">
      <x:c r="D728" t="s">
        <x:v>156</x:v>
      </x:c>
      <x:c r="E728" t="s">
        <x:v>70</x:v>
      </x:c>
      <x:c r="F728" s="90">
        <x:v>0</x:v>
      </x:c>
      <x:c r="G728" s="90">
        <x:v>0</x:v>
      </x:c>
      <x:c r="H728" s="90">
        <x:v>0</x:v>
      </x:c>
      <x:c r="I728" s="90">
        <x:v>0</x:v>
      </x:c>
      <x:c r="J728" s="90">
        <x:v>0</x:v>
      </x:c>
      <x:c r="K728" s="90">
        <x:v>0</x:v>
      </x:c>
      <x:c r="L728" s="90">
        <x:v>0</x:v>
      </x:c>
      <x:c r="M728" s="90">
        <x:v>0</x:v>
      </x:c>
      <x:c r="N728" s="90">
        <x:v>0</x:v>
      </x:c>
      <x:c r="O728" s="90">
        <x:v>0</x:v>
      </x:c>
      <x:c r="P728" s="90">
        <x:v>0</x:v>
      </x:c>
      <x:c r="Q728" s="90">
        <x:v>0</x:v>
      </x:c>
      <x:c r="R728" s="90">
        <x:v>0</x:v>
      </x:c>
      <x:c r="S728" s="90">
        <x:v>0</x:v>
      </x:c>
      <x:c r="T728" s="90">
        <x:v>0</x:v>
      </x:c>
      <x:c r="U728">
        <x:v>0</x:v>
      </x:c>
      <x:c r="V728">
        <x:v>0</x:v>
      </x:c>
      <x:c r="W728">
        <x:v>0</x:v>
      </x:c>
      <x:c r="X728">
        <x:v>0</x:v>
      </x:c>
      <x:c r="Y728">
        <x:v>0</x:v>
      </x:c>
      <x:c r="Z728" s="90">
        <x:v>0</x:v>
      </x:c>
    </x:row>
    <x:row r="729" spans="1:26" s="286" customFormat="1" x14ac:dyDescent="0.2">
      <x:c r="C729" s="286" t="s">
        <x:v>155</x:v>
      </x:c>
      <x:c r="D729" s="286" t="s">
        <x:v>70</x:v>
      </x:c>
      <x:c r="F729" s="230">
        <x:v>0</x:v>
      </x:c>
      <x:c r="G729" s="230">
        <x:v>0</x:v>
      </x:c>
      <x:c r="H729" s="230">
        <x:v>0</x:v>
      </x:c>
      <x:c r="I729" s="230">
        <x:v>0</x:v>
      </x:c>
      <x:c r="J729" s="230">
        <x:v>0</x:v>
      </x:c>
      <x:c r="K729" s="230">
        <x:v>0</x:v>
      </x:c>
      <x:c r="L729" s="230">
        <x:v>0</x:v>
      </x:c>
      <x:c r="M729" s="230">
        <x:v>0</x:v>
      </x:c>
      <x:c r="N729" s="230">
        <x:v>0</x:v>
      </x:c>
      <x:c r="O729" s="230">
        <x:v>0</x:v>
      </x:c>
      <x:c r="P729" s="230">
        <x:v>0</x:v>
      </x:c>
      <x:c r="Q729" s="230">
        <x:v>0</x:v>
      </x:c>
      <x:c r="R729" s="230">
        <x:v>0</x:v>
      </x:c>
      <x:c r="S729" s="230">
        <x:v>0</x:v>
      </x:c>
      <x:c r="T729" s="230">
        <x:v>0</x:v>
      </x:c>
      <x:c r="U729" s="286">
        <x:v>0</x:v>
      </x:c>
      <x:c r="V729" s="286">
        <x:v>0</x:v>
      </x:c>
      <x:c r="W729" s="286">
        <x:v>0</x:v>
      </x:c>
      <x:c r="X729" s="286">
        <x:v>0</x:v>
      </x:c>
      <x:c r="Y729" s="286">
        <x:v>0</x:v>
      </x:c>
      <x:c r="Z729" s="230">
        <x:v>0</x:v>
      </x:c>
    </x:row>
    <x:row r="730" spans="1:26" ht="12.75" customHeight="1" x14ac:dyDescent="0.2">
      <x:c r="E730" s="89" t="s">
        <x:v>72</x:v>
      </x:c>
      <x:c r="F730" s="371">
        <x:v>0</x:v>
      </x:c>
      <x:c r="G730" s="90">
        <x:v>0</x:v>
      </x:c>
      <x:c r="H730" s="90">
        <x:v>0</x:v>
      </x:c>
      <x:c r="I730" s="90">
        <x:v>0</x:v>
      </x:c>
      <x:c r="J730" s="90">
        <x:v>0</x:v>
      </x:c>
      <x:c r="K730" s="90">
        <x:v>0</x:v>
      </x:c>
      <x:c r="L730" s="90">
        <x:v>0</x:v>
      </x:c>
      <x:c r="M730" s="90">
        <x:v>0</x:v>
      </x:c>
      <x:c r="N730" s="90">
        <x:v>0</x:v>
      </x:c>
      <x:c r="O730" s="90">
        <x:v>0</x:v>
      </x:c>
      <x:c r="P730" s="90">
        <x:v>0</x:v>
      </x:c>
      <x:c r="Q730" s="90">
        <x:v>0</x:v>
      </x:c>
      <x:c r="R730" s="90">
        <x:v>0</x:v>
      </x:c>
      <x:c r="S730" s="90">
        <x:v>0</x:v>
      </x:c>
      <x:c r="T730" s="90">
        <x:v>0</x:v>
      </x:c>
      <x:c r="U730" s="90">
        <x:v>0</x:v>
      </x:c>
      <x:c r="V730" s="90">
        <x:v>0</x:v>
      </x:c>
      <x:c r="W730" s="90">
        <x:v>0</x:v>
      </x:c>
      <x:c r="X730" s="90">
        <x:v>0</x:v>
      </x:c>
      <x:c r="Y730" s="90">
        <x:v>0</x:v>
      </x:c>
      <x:c r="Z730" s="90">
        <x:v>0</x:v>
      </x:c>
    </x:row>
    <x:row r="731" spans="1:26" ht="12.75" customHeight="1" x14ac:dyDescent="0.2">
      <x:c r="D731" t="s">
        <x:v>82</x:v>
      </x:c>
      <x:c r="E731" s="89" t="s">
        <x:v>70</x:v>
      </x:c>
      <x:c r="F731" s="371">
        <x:v>0</x:v>
      </x:c>
      <x:c r="G731" s="90">
        <x:v>0</x:v>
      </x:c>
      <x:c r="H731" s="90">
        <x:v>0</x:v>
      </x:c>
      <x:c r="I731" s="90">
        <x:v>0</x:v>
      </x:c>
      <x:c r="J731" s="90">
        <x:v>0</x:v>
      </x:c>
      <x:c r="K731" s="90">
        <x:v>0</x:v>
      </x:c>
      <x:c r="L731" s="90">
        <x:v>0</x:v>
      </x:c>
      <x:c r="M731" s="90">
        <x:v>0</x:v>
      </x:c>
      <x:c r="N731" s="90">
        <x:v>0</x:v>
      </x:c>
      <x:c r="O731" s="90">
        <x:v>0</x:v>
      </x:c>
      <x:c r="P731" s="90">
        <x:v>0</x:v>
      </x:c>
      <x:c r="Q731" s="90">
        <x:v>0</x:v>
      </x:c>
      <x:c r="R731" s="90">
        <x:v>0</x:v>
      </x:c>
      <x:c r="S731" s="90">
        <x:v>0</x:v>
      </x:c>
      <x:c r="T731" s="90">
        <x:v>0</x:v>
      </x:c>
      <x:c r="U731" s="90">
        <x:v>0</x:v>
      </x:c>
      <x:c r="V731" s="90">
        <x:v>0</x:v>
      </x:c>
      <x:c r="W731" s="90">
        <x:v>0</x:v>
      </x:c>
      <x:c r="X731" s="90">
        <x:v>0</x:v>
      </x:c>
      <x:c r="Y731" s="90">
        <x:v>0</x:v>
      </x:c>
      <x:c r="Z731" s="90">
        <x:v>0</x:v>
      </x:c>
    </x:row>
    <x:row r="732" spans="1:26" ht="12.75" customHeight="1" x14ac:dyDescent="0.2">
      <x:c r="E732" s="89" t="s">
        <x:v>72</x:v>
      </x:c>
      <x:c r="F732" s="371" t="n">
        <x:v>-9919.7</x:v>
      </x:c>
      <x:c r="G732" s="90" t="n">
        <x:v>-794.89</x:v>
      </x:c>
      <x:c r="H732" s="90" t="n">
        <x:v>-337.68</x:v>
      </x:c>
      <x:c r="I732" s="90" t="n">
        <x:v>-147.47</x:v>
      </x:c>
      <x:c r="J732" s="90" t="n">
        <x:v>-1690.49</x:v>
      </x:c>
      <x:c r="K732" s="90" t="n">
        <x:v>-104.34</x:v>
      </x:c>
      <x:c r="L732" s="90" t="n">
        <x:v>0</x:v>
      </x:c>
      <x:c r="M732" s="90" t="n">
        <x:v>-915.1</x:v>
      </x:c>
      <x:c r="N732" s="90" t="n">
        <x:v>-767.16</x:v>
      </x:c>
      <x:c r="O732" s="90" t="n">
        <x:v>-2803.42</x:v>
      </x:c>
      <x:c r="P732" s="90" t="n">
        <x:v>-2188.93</x:v>
      </x:c>
      <x:c r="Q732" s="90" t="n">
        <x:v>-170.22</x:v>
      </x:c>
      <x:c r="R732" s="90" t="n">
        <x:v>0</x:v>
      </x:c>
      <x:c r="S732" s="90" t="n">
        <x:v>0</x:v>
      </x:c>
      <x:c r="T732" s="90" t="n">
        <x:v>0</x:v>
      </x:c>
      <x:c r="U732" s="90">
        <x:v>0</x:v>
      </x:c>
      <x:c r="V732" s="90">
        <x:v>0</x:v>
      </x:c>
      <x:c r="W732" s="90">
        <x:v>0</x:v>
      </x:c>
      <x:c r="X732" s="90">
        <x:v>0</x:v>
      </x:c>
      <x:c r="Y732" s="90">
        <x:v>0</x:v>
      </x:c>
      <x:c r="Z732" s="90" t="n">
        <x:v>0</x:v>
      </x:c>
    </x:row>
    <x:row r="733" spans="1:26" ht="12.75" customHeight="1" x14ac:dyDescent="0.2">
      <x:c r="D733" t="s">
        <x:v>86</x:v>
      </x:c>
      <x:c r="E733" s="89" t="s">
        <x:v>70</x:v>
      </x:c>
      <x:c r="F733" s="371" t="n">
        <x:v>-9919.7</x:v>
      </x:c>
      <x:c r="G733" s="90" t="n">
        <x:v>-794.89</x:v>
      </x:c>
      <x:c r="H733" s="90" t="n">
        <x:v>-337.68</x:v>
      </x:c>
      <x:c r="I733" s="90" t="n">
        <x:v>-147.47</x:v>
      </x:c>
      <x:c r="J733" s="90" t="n">
        <x:v>-1690.49</x:v>
      </x:c>
      <x:c r="K733" s="90" t="n">
        <x:v>-104.34</x:v>
      </x:c>
      <x:c r="L733" s="90" t="n">
        <x:v>0</x:v>
      </x:c>
      <x:c r="M733" s="90" t="n">
        <x:v>-915.1</x:v>
      </x:c>
      <x:c r="N733" s="90" t="n">
        <x:v>-767.16</x:v>
      </x:c>
      <x:c r="O733" s="90" t="n">
        <x:v>-2803.42</x:v>
      </x:c>
      <x:c r="P733" s="90" t="n">
        <x:v>-2188.93</x:v>
      </x:c>
      <x:c r="Q733" s="90" t="n">
        <x:v>-170.22</x:v>
      </x:c>
      <x:c r="R733" s="90" t="n">
        <x:v>0</x:v>
      </x:c>
      <x:c r="S733" s="90" t="n">
        <x:v>0</x:v>
      </x:c>
      <x:c r="T733" s="90" t="n">
        <x:v>0</x:v>
      </x:c>
      <x:c r="U733" s="90">
        <x:v>0</x:v>
      </x:c>
      <x:c r="V733" s="90">
        <x:v>0</x:v>
      </x:c>
      <x:c r="W733" s="90">
        <x:v>0</x:v>
      </x:c>
      <x:c r="X733" s="90">
        <x:v>0</x:v>
      </x:c>
      <x:c r="Y733" s="90">
        <x:v>0</x:v>
      </x:c>
      <x:c r="Z733" s="90" t="n">
        <x:v>0</x:v>
      </x:c>
    </x:row>
    <x:row r="734" spans="1:26" ht="12.75" customHeight="1" x14ac:dyDescent="0.2">
      <x:c r="E734" s="89" t="s">
        <x:v>72</x:v>
      </x:c>
      <x:c r="F734" s="371">
        <x:v>0</x:v>
      </x:c>
      <x:c r="G734" s="90">
        <x:v>0</x:v>
      </x:c>
      <x:c r="H734" s="90">
        <x:v>0</x:v>
      </x:c>
      <x:c r="I734" s="90">
        <x:v>0</x:v>
      </x:c>
      <x:c r="J734" s="90">
        <x:v>0</x:v>
      </x:c>
      <x:c r="K734" s="90">
        <x:v>0</x:v>
      </x:c>
      <x:c r="L734" s="90">
        <x:v>0</x:v>
      </x:c>
      <x:c r="M734" s="90">
        <x:v>0</x:v>
      </x:c>
      <x:c r="N734" s="90">
        <x:v>0</x:v>
      </x:c>
      <x:c r="O734" s="90">
        <x:v>0</x:v>
      </x:c>
      <x:c r="P734" s="90">
        <x:v>0</x:v>
      </x:c>
      <x:c r="Q734" s="90">
        <x:v>0</x:v>
      </x:c>
      <x:c r="R734" s="90">
        <x:v>0</x:v>
      </x:c>
      <x:c r="S734" s="90">
        <x:v>0</x:v>
      </x:c>
      <x:c r="T734" s="90">
        <x:v>0</x:v>
      </x:c>
      <x:c r="U734" s="90">
        <x:v>0</x:v>
      </x:c>
      <x:c r="V734" s="90">
        <x:v>0</x:v>
      </x:c>
      <x:c r="W734" s="90">
        <x:v>0</x:v>
      </x:c>
      <x:c r="X734" s="90">
        <x:v>0</x:v>
      </x:c>
      <x:c r="Y734" s="90">
        <x:v>0</x:v>
      </x:c>
      <x:c r="Z734" s="90">
        <x:v>0</x:v>
      </x:c>
    </x:row>
    <x:row r="735" spans="1:26" ht="12.75" customHeight="1" x14ac:dyDescent="0.2">
      <x:c r="D735" t="s">
        <x:v>87</x:v>
      </x:c>
      <x:c r="E735" s="89" t="s">
        <x:v>70</x:v>
      </x:c>
      <x:c r="F735" s="371">
        <x:v>0</x:v>
      </x:c>
      <x:c r="G735" s="90">
        <x:v>0</x:v>
      </x:c>
      <x:c r="H735" s="90">
        <x:v>0</x:v>
      </x:c>
      <x:c r="I735" s="90">
        <x:v>0</x:v>
      </x:c>
      <x:c r="J735" s="90">
        <x:v>0</x:v>
      </x:c>
      <x:c r="K735" s="90">
        <x:v>0</x:v>
      </x:c>
      <x:c r="L735" s="90">
        <x:v>0</x:v>
      </x:c>
      <x:c r="M735" s="90">
        <x:v>0</x:v>
      </x:c>
      <x:c r="N735" s="90">
        <x:v>0</x:v>
      </x:c>
      <x:c r="O735" s="90">
        <x:v>0</x:v>
      </x:c>
      <x:c r="P735" s="90">
        <x:v>0</x:v>
      </x:c>
      <x:c r="Q735" s="90">
        <x:v>0</x:v>
      </x:c>
      <x:c r="R735" s="90">
        <x:v>0</x:v>
      </x:c>
      <x:c r="S735" s="90">
        <x:v>0</x:v>
      </x:c>
      <x:c r="T735" s="90">
        <x:v>0</x:v>
      </x:c>
      <x:c r="U735" s="90">
        <x:v>0</x:v>
      </x:c>
      <x:c r="V735" s="90">
        <x:v>0</x:v>
      </x:c>
      <x:c r="W735" s="90">
        <x:v>0</x:v>
      </x:c>
      <x:c r="X735" s="90">
        <x:v>0</x:v>
      </x:c>
      <x:c r="Y735" s="90">
        <x:v>0</x:v>
      </x:c>
      <x:c r="Z735" s="90">
        <x:v>0</x:v>
      </x:c>
    </x:row>
    <x:row r="736" spans="1:26" s="94" customFormat="1" ht="12.75" customHeight="1" x14ac:dyDescent="0.2">
      <x:c r="C736" s="101" t="s">
        <x:v>119</x:v>
      </x:c>
      <x:c r="D736" s="101" t="s">
        <x:v>70</x:v>
      </x:c>
      <x:c r="F736" s="93" t="n">
        <x:v>-9919.7</x:v>
      </x:c>
      <x:c r="G736" s="93" t="n">
        <x:v>-794.89</x:v>
      </x:c>
      <x:c r="H736" s="93" t="n">
        <x:v>-337.68</x:v>
      </x:c>
      <x:c r="I736" s="93" t="n">
        <x:v>-147.47</x:v>
      </x:c>
      <x:c r="J736" s="93" t="n">
        <x:v>-1690.49</x:v>
      </x:c>
      <x:c r="K736" s="93" t="n">
        <x:v>-104.34</x:v>
      </x:c>
      <x:c r="L736" s="93" t="n">
        <x:v>0</x:v>
      </x:c>
      <x:c r="M736" s="93" t="n">
        <x:v>-915.1</x:v>
      </x:c>
      <x:c r="N736" s="93" t="n">
        <x:v>-767.16</x:v>
      </x:c>
      <x:c r="O736" s="93" t="n">
        <x:v>-2803.42</x:v>
      </x:c>
      <x:c r="P736" s="93" t="n">
        <x:v>-2188.93</x:v>
      </x:c>
      <x:c r="Q736" s="93" t="n">
        <x:v>-170.22</x:v>
      </x:c>
      <x:c r="R736" s="93" t="n">
        <x:v>0</x:v>
      </x:c>
      <x:c r="S736" s="93" t="n">
        <x:v>0</x:v>
      </x:c>
      <x:c r="T736" s="93" t="n">
        <x:v>0</x:v>
      </x:c>
      <x:c r="U736" s="93">
        <x:v>0</x:v>
      </x:c>
      <x:c r="V736" s="93">
        <x:v>0</x:v>
      </x:c>
      <x:c r="W736" s="93">
        <x:v>0</x:v>
      </x:c>
      <x:c r="X736" s="93">
        <x:v>0</x:v>
      </x:c>
      <x:c r="Y736" s="93">
        <x:v>0</x:v>
      </x:c>
      <x:c r="Z736" s="93" t="n">
        <x:v>0</x:v>
      </x:c>
    </x:row>
    <x:row r="737" spans="1:26" ht="12.75" customHeight="1" x14ac:dyDescent="0.2">
      <x:c r="B737" t="s">
        <x:v>112</x:v>
      </x:c>
      <x:c r="C737" t="s">
        <x:v>70</x:v>
      </x:c>
      <x:c r="E737" s="89"/>
      <x:c r="F737" s="371" t="n">
        <x:v>-9919.7</x:v>
      </x:c>
      <x:c r="G737" s="90" t="n">
        <x:v>-794.89</x:v>
      </x:c>
      <x:c r="H737" s="90" t="n">
        <x:v>-337.68</x:v>
      </x:c>
      <x:c r="I737" s="90" t="n">
        <x:v>-147.47</x:v>
      </x:c>
      <x:c r="J737" s="90" t="n">
        <x:v>-1690.49</x:v>
      </x:c>
      <x:c r="K737" s="90" t="n">
        <x:v>-104.34</x:v>
      </x:c>
      <x:c r="L737" s="90" t="n">
        <x:v>0</x:v>
      </x:c>
      <x:c r="M737" s="90" t="n">
        <x:v>-915.1</x:v>
      </x:c>
      <x:c r="N737" s="90" t="n">
        <x:v>-767.16</x:v>
      </x:c>
      <x:c r="O737" s="90" t="n">
        <x:v>-2803.42</x:v>
      </x:c>
      <x:c r="P737" s="90" t="n">
        <x:v>-2188.93</x:v>
      </x:c>
      <x:c r="Q737" s="90" t="n">
        <x:v>-170.22</x:v>
      </x:c>
      <x:c r="R737" s="90" t="n">
        <x:v>0</x:v>
      </x:c>
      <x:c r="S737" s="90" t="n">
        <x:v>0</x:v>
      </x:c>
      <x:c r="T737" s="90" t="n">
        <x:v>0</x:v>
      </x:c>
      <x:c r="U737" s="90">
        <x:v>0</x:v>
      </x:c>
      <x:c r="V737" s="90">
        <x:v>0</x:v>
      </x:c>
      <x:c r="W737" s="90">
        <x:v>0</x:v>
      </x:c>
      <x:c r="X737" s="90">
        <x:v>0</x:v>
      </x:c>
      <x:c r="Y737" s="90">
        <x:v>0</x:v>
      </x:c>
      <x:c r="Z737" s="90" t="n">
        <x:v>0</x:v>
      </x:c>
    </x:row>
    <x:row r="738" spans="1:26" s="458" customFormat="1" ht="12.75" customHeight="1" x14ac:dyDescent="0.2">
      <x:c r="A738" s="458" t="s">
        <x:v>186</x:v>
      </x:c>
      <x:c r="B738" s="458" t="s">
        <x:v>70</x:v>
      </x:c>
      <x:c r="F738" s="458" t="n">
        <x:v>-9919.7</x:v>
      </x:c>
      <x:c r="G738" s="458" t="n">
        <x:v>-794.89</x:v>
      </x:c>
      <x:c r="H738" s="458" t="n">
        <x:v>-337.68</x:v>
      </x:c>
      <x:c r="I738" s="458" t="n">
        <x:v>-147.47</x:v>
      </x:c>
      <x:c r="J738" s="458" t="n">
        <x:v>-1690.49</x:v>
      </x:c>
      <x:c r="K738" s="458" t="n">
        <x:v>-104.34</x:v>
      </x:c>
      <x:c r="L738" s="458" t="n">
        <x:v>0</x:v>
      </x:c>
      <x:c r="M738" s="458" t="n">
        <x:v>-915.1</x:v>
      </x:c>
      <x:c r="N738" s="458" t="n">
        <x:v>-767.16</x:v>
      </x:c>
      <x:c r="O738" s="458" t="n">
        <x:v>-2803.42</x:v>
      </x:c>
      <x:c r="P738" s="458" t="n">
        <x:v>-2188.93</x:v>
      </x:c>
      <x:c r="Q738" s="458" t="n">
        <x:v>-170.22</x:v>
      </x:c>
      <x:c r="R738" s="458" t="n">
        <x:v>0</x:v>
      </x:c>
      <x:c r="S738" s="458" t="n">
        <x:v>0</x:v>
      </x:c>
      <x:c r="T738" s="458" t="n">
        <x:v>0</x:v>
      </x:c>
      <x:c r="U738" s="458">
        <x:v>0</x:v>
      </x:c>
      <x:c r="V738" s="458">
        <x:v>0</x:v>
      </x:c>
      <x:c r="W738" s="458">
        <x:v>0</x:v>
      </x:c>
      <x:c r="X738" s="458">
        <x:v>0</x:v>
      </x:c>
      <x:c r="Y738" s="458">
        <x:v>0</x:v>
      </x:c>
      <x:c r="Z738" s="458" t="n">
        <x:v>0</x:v>
      </x:c>
    </x:row>
    <x:row r="739" spans="1:26" x14ac:dyDescent="0.2">
      <x:c r="E739" t="s">
        <x:v>72</x:v>
      </x:c>
      <x:c r="F739" s="90">
        <x:v>0</x:v>
      </x:c>
      <x:c r="G739" s="90">
        <x:v>0</x:v>
      </x:c>
      <x:c r="H739" s="90">
        <x:v>0</x:v>
      </x:c>
      <x:c r="I739" s="90">
        <x:v>0</x:v>
      </x:c>
      <x:c r="J739" s="90">
        <x:v>0</x:v>
      </x:c>
      <x:c r="K739" s="90">
        <x:v>0</x:v>
      </x:c>
      <x:c r="L739" s="90">
        <x:v>0</x:v>
      </x:c>
      <x:c r="M739" s="90">
        <x:v>0</x:v>
      </x:c>
      <x:c r="N739" s="90">
        <x:v>0</x:v>
      </x:c>
      <x:c r="O739" s="90">
        <x:v>0</x:v>
      </x:c>
      <x:c r="P739" s="90">
        <x:v>0</x:v>
      </x:c>
      <x:c r="Q739" s="90">
        <x:v>0</x:v>
      </x:c>
      <x:c r="R739" s="90">
        <x:v>0</x:v>
      </x:c>
      <x:c r="S739" s="90">
        <x:v>0</x:v>
      </x:c>
      <x:c r="T739" s="90">
        <x:v>0</x:v>
      </x:c>
      <x:c r="U739">
        <x:v>0</x:v>
      </x:c>
      <x:c r="V739">
        <x:v>0</x:v>
      </x:c>
      <x:c r="W739">
        <x:v>0</x:v>
      </x:c>
      <x:c r="X739">
        <x:v>0</x:v>
      </x:c>
      <x:c r="Y739">
        <x:v>0</x:v>
      </x:c>
      <x:c r="Z739" s="90">
        <x:v>0</x:v>
      </x:c>
    </x:row>
    <x:row r="740" spans="1:26" x14ac:dyDescent="0.2">
      <x:c r="E740" t="s">
        <x:v>81</x:v>
      </x:c>
      <x:c r="F740" s="90">
        <x:v>0</x:v>
      </x:c>
      <x:c r="G740" s="90">
        <x:v>0</x:v>
      </x:c>
      <x:c r="H740" s="90">
        <x:v>0</x:v>
      </x:c>
      <x:c r="I740" s="90">
        <x:v>0</x:v>
      </x:c>
      <x:c r="J740" s="90">
        <x:v>0</x:v>
      </x:c>
      <x:c r="K740" s="90">
        <x:v>0</x:v>
      </x:c>
      <x:c r="L740" s="90">
        <x:v>0</x:v>
      </x:c>
      <x:c r="M740" s="90">
        <x:v>0</x:v>
      </x:c>
      <x:c r="N740" s="90">
        <x:v>0</x:v>
      </x:c>
      <x:c r="O740" s="90">
        <x:v>0</x:v>
      </x:c>
      <x:c r="P740" s="90">
        <x:v>0</x:v>
      </x:c>
      <x:c r="Q740" s="90">
        <x:v>0</x:v>
      </x:c>
      <x:c r="R740" s="90">
        <x:v>0</x:v>
      </x:c>
      <x:c r="S740" s="90">
        <x:v>0</x:v>
      </x:c>
      <x:c r="T740" s="90">
        <x:v>0</x:v>
      </x:c>
      <x:c r="U740">
        <x:v>0</x:v>
      </x:c>
      <x:c r="V740">
        <x:v>0</x:v>
      </x:c>
      <x:c r="W740">
        <x:v>0</x:v>
      </x:c>
      <x:c r="X740">
        <x:v>0</x:v>
      </x:c>
      <x:c r="Y740">
        <x:v>0</x:v>
      </x:c>
      <x:c r="Z740" s="90">
        <x:v>0</x:v>
      </x:c>
    </x:row>
    <x:row r="741" spans="1:26" x14ac:dyDescent="0.2">
      <x:c r="D741" t="s">
        <x:v>156</x:v>
      </x:c>
      <x:c r="E741" t="s">
        <x:v>70</x:v>
      </x:c>
      <x:c r="F741" s="90">
        <x:v>0</x:v>
      </x:c>
      <x:c r="G741" s="90">
        <x:v>0</x:v>
      </x:c>
      <x:c r="H741" s="90">
        <x:v>0</x:v>
      </x:c>
      <x:c r="I741" s="90">
        <x:v>0</x:v>
      </x:c>
      <x:c r="J741" s="90">
        <x:v>0</x:v>
      </x:c>
      <x:c r="K741" s="90">
        <x:v>0</x:v>
      </x:c>
      <x:c r="L741" s="90">
        <x:v>0</x:v>
      </x:c>
      <x:c r="M741" s="90">
        <x:v>0</x:v>
      </x:c>
      <x:c r="N741" s="90">
        <x:v>0</x:v>
      </x:c>
      <x:c r="O741" s="90">
        <x:v>0</x:v>
      </x:c>
      <x:c r="P741" s="90">
        <x:v>0</x:v>
      </x:c>
      <x:c r="Q741" s="90">
        <x:v>0</x:v>
      </x:c>
      <x:c r="R741" s="90">
        <x:v>0</x:v>
      </x:c>
      <x:c r="S741" s="90">
        <x:v>0</x:v>
      </x:c>
      <x:c r="T741" s="90">
        <x:v>0</x:v>
      </x:c>
      <x:c r="U741">
        <x:v>0</x:v>
      </x:c>
      <x:c r="V741">
        <x:v>0</x:v>
      </x:c>
      <x:c r="W741">
        <x:v>0</x:v>
      </x:c>
      <x:c r="X741">
        <x:v>0</x:v>
      </x:c>
      <x:c r="Y741">
        <x:v>0</x:v>
      </x:c>
      <x:c r="Z741" s="90">
        <x:v>0</x:v>
      </x:c>
    </x:row>
    <x:row r="742" spans="1:26" s="286" customFormat="1" x14ac:dyDescent="0.2">
      <x:c r="C742" s="286" t="s">
        <x:v>155</x:v>
      </x:c>
      <x:c r="D742" s="286" t="s">
        <x:v>70</x:v>
      </x:c>
      <x:c r="F742" s="230">
        <x:v>0</x:v>
      </x:c>
      <x:c r="G742" s="230">
        <x:v>0</x:v>
      </x:c>
      <x:c r="H742" s="230">
        <x:v>0</x:v>
      </x:c>
      <x:c r="I742" s="230">
        <x:v>0</x:v>
      </x:c>
      <x:c r="J742" s="230">
        <x:v>0</x:v>
      </x:c>
      <x:c r="K742" s="230">
        <x:v>0</x:v>
      </x:c>
      <x:c r="L742" s="230">
        <x:v>0</x:v>
      </x:c>
      <x:c r="M742" s="230">
        <x:v>0</x:v>
      </x:c>
      <x:c r="N742" s="230">
        <x:v>0</x:v>
      </x:c>
      <x:c r="O742" s="230">
        <x:v>0</x:v>
      </x:c>
      <x:c r="P742" s="230">
        <x:v>0</x:v>
      </x:c>
      <x:c r="Q742" s="230">
        <x:v>0</x:v>
      </x:c>
      <x:c r="R742" s="230">
        <x:v>0</x:v>
      </x:c>
      <x:c r="S742" s="230">
        <x:v>0</x:v>
      </x:c>
      <x:c r="T742" s="230">
        <x:v>0</x:v>
      </x:c>
      <x:c r="U742" s="286">
        <x:v>0</x:v>
      </x:c>
      <x:c r="V742" s="286">
        <x:v>0</x:v>
      </x:c>
      <x:c r="W742" s="286">
        <x:v>0</x:v>
      </x:c>
      <x:c r="X742" s="286">
        <x:v>0</x:v>
      </x:c>
      <x:c r="Y742" s="286">
        <x:v>0</x:v>
      </x:c>
      <x:c r="Z742" s="230">
        <x:v>0</x:v>
      </x:c>
    </x:row>
    <x:row r="743" spans="1:26" x14ac:dyDescent="0.2">
      <x:c r="E743" t="s">
        <x:v>72</x:v>
      </x:c>
      <x:c r="F743" s="90">
        <x:v>0</x:v>
      </x:c>
      <x:c r="G743" s="90">
        <x:v>0</x:v>
      </x:c>
      <x:c r="H743" s="90">
        <x:v>0</x:v>
      </x:c>
      <x:c r="I743" s="90">
        <x:v>0</x:v>
      </x:c>
      <x:c r="J743" s="90">
        <x:v>0</x:v>
      </x:c>
      <x:c r="K743" s="90">
        <x:v>0</x:v>
      </x:c>
      <x:c r="L743" s="90">
        <x:v>0</x:v>
      </x:c>
      <x:c r="M743" s="90">
        <x:v>0</x:v>
      </x:c>
      <x:c r="N743" s="90">
        <x:v>0</x:v>
      </x:c>
      <x:c r="O743" s="90">
        <x:v>0</x:v>
      </x:c>
      <x:c r="P743" s="90">
        <x:v>0</x:v>
      </x:c>
      <x:c r="Q743" s="90">
        <x:v>0</x:v>
      </x:c>
      <x:c r="R743" s="90">
        <x:v>0</x:v>
      </x:c>
      <x:c r="S743" s="90">
        <x:v>0</x:v>
      </x:c>
      <x:c r="T743" s="90">
        <x:v>0</x:v>
      </x:c>
      <x:c r="U743">
        <x:v>0</x:v>
      </x:c>
      <x:c r="V743">
        <x:v>0</x:v>
      </x:c>
      <x:c r="W743">
        <x:v>0</x:v>
      </x:c>
      <x:c r="X743">
        <x:v>0</x:v>
      </x:c>
      <x:c r="Y743">
        <x:v>0</x:v>
      </x:c>
      <x:c r="Z743" s="90">
        <x:v>0</x:v>
      </x:c>
    </x:row>
    <x:row r="744" spans="1:26" x14ac:dyDescent="0.2">
      <x:c r="E744" t="s">
        <x:v>81</x:v>
      </x:c>
      <x:c r="F744" s="90">
        <x:v>0</x:v>
      </x:c>
      <x:c r="G744" s="90">
        <x:v>0</x:v>
      </x:c>
      <x:c r="H744" s="90">
        <x:v>0</x:v>
      </x:c>
      <x:c r="I744" s="90">
        <x:v>0</x:v>
      </x:c>
      <x:c r="J744" s="90">
        <x:v>0</x:v>
      </x:c>
      <x:c r="K744" s="90">
        <x:v>0</x:v>
      </x:c>
      <x:c r="L744" s="90">
        <x:v>0</x:v>
      </x:c>
      <x:c r="M744" s="90">
        <x:v>0</x:v>
      </x:c>
      <x:c r="N744" s="90">
        <x:v>0</x:v>
      </x:c>
      <x:c r="O744" s="90">
        <x:v>0</x:v>
      </x:c>
      <x:c r="P744" s="90">
        <x:v>0</x:v>
      </x:c>
      <x:c r="Q744" s="90">
        <x:v>0</x:v>
      </x:c>
      <x:c r="R744" s="90">
        <x:v>0</x:v>
      </x:c>
      <x:c r="S744" s="90">
        <x:v>0</x:v>
      </x:c>
      <x:c r="T744" s="90">
        <x:v>0</x:v>
      </x:c>
      <x:c r="U744">
        <x:v>0</x:v>
      </x:c>
      <x:c r="V744">
        <x:v>0</x:v>
      </x:c>
      <x:c r="W744">
        <x:v>0</x:v>
      </x:c>
      <x:c r="X744">
        <x:v>0</x:v>
      </x:c>
      <x:c r="Y744">
        <x:v>0</x:v>
      </x:c>
      <x:c r="Z744" s="90">
        <x:v>0</x:v>
      </x:c>
    </x:row>
    <x:row r="745" spans="1:26" x14ac:dyDescent="0.2">
      <x:c r="D745" t="s">
        <x:v>156</x:v>
      </x:c>
      <x:c r="E745" t="s">
        <x:v>70</x:v>
      </x:c>
      <x:c r="F745" s="90">
        <x:v>0</x:v>
      </x:c>
      <x:c r="G745" s="90">
        <x:v>0</x:v>
      </x:c>
      <x:c r="H745" s="90">
        <x:v>0</x:v>
      </x:c>
      <x:c r="I745" s="90">
        <x:v>0</x:v>
      </x:c>
      <x:c r="J745" s="90">
        <x:v>0</x:v>
      </x:c>
      <x:c r="K745" s="90">
        <x:v>0</x:v>
      </x:c>
      <x:c r="L745" s="90">
        <x:v>0</x:v>
      </x:c>
      <x:c r="M745" s="90">
        <x:v>0</x:v>
      </x:c>
      <x:c r="N745" s="90">
        <x:v>0</x:v>
      </x:c>
      <x:c r="O745" s="90">
        <x:v>0</x:v>
      </x:c>
      <x:c r="P745" s="90">
        <x:v>0</x:v>
      </x:c>
      <x:c r="Q745" s="90">
        <x:v>0</x:v>
      </x:c>
      <x:c r="R745" s="90">
        <x:v>0</x:v>
      </x:c>
      <x:c r="S745" s="90">
        <x:v>0</x:v>
      </x:c>
      <x:c r="T745" s="90">
        <x:v>0</x:v>
      </x:c>
      <x:c r="U745">
        <x:v>0</x:v>
      </x:c>
      <x:c r="V745">
        <x:v>0</x:v>
      </x:c>
      <x:c r="W745">
        <x:v>0</x:v>
      </x:c>
      <x:c r="X745">
        <x:v>0</x:v>
      </x:c>
      <x:c r="Y745">
        <x:v>0</x:v>
      </x:c>
      <x:c r="Z745" s="90">
        <x:v>0</x:v>
      </x:c>
    </x:row>
    <x:row r="746" spans="1:26" s="739" customFormat="1" ht="12.75" customHeight="1" x14ac:dyDescent="0.2">
      <x:c r="C746" s="739" t="s">
        <x:v>326</x:v>
      </x:c>
      <x:c r="D746" s="739" t="s">
        <x:v>70</x:v>
      </x:c>
      <x:c r="E746" s="231"/>
      <x:c r="F746" s="740">
        <x:v>0</x:v>
      </x:c>
      <x:c r="G746" s="232">
        <x:v>0</x:v>
      </x:c>
      <x:c r="H746" s="232">
        <x:v>0</x:v>
      </x:c>
      <x:c r="I746" s="232">
        <x:v>0</x:v>
      </x:c>
      <x:c r="J746" s="232">
        <x:v>0</x:v>
      </x:c>
      <x:c r="K746" s="232">
        <x:v>0</x:v>
      </x:c>
      <x:c r="L746" s="232">
        <x:v>0</x:v>
      </x:c>
      <x:c r="M746" s="232">
        <x:v>0</x:v>
      </x:c>
      <x:c r="N746" s="232">
        <x:v>0</x:v>
      </x:c>
      <x:c r="O746" s="232">
        <x:v>0</x:v>
      </x:c>
      <x:c r="P746" s="232">
        <x:v>0</x:v>
      </x:c>
      <x:c r="Q746" s="232">
        <x:v>0</x:v>
      </x:c>
      <x:c r="R746" s="232">
        <x:v>0</x:v>
      </x:c>
      <x:c r="S746" s="232">
        <x:v>0</x:v>
      </x:c>
      <x:c r="T746" s="739">
        <x:v>0</x:v>
      </x:c>
      <x:c r="U746" s="739">
        <x:v>0</x:v>
      </x:c>
      <x:c r="V746" s="739">
        <x:v>0</x:v>
      </x:c>
      <x:c r="W746" s="739">
        <x:v>0</x:v>
      </x:c>
      <x:c r="X746" s="739">
        <x:v>0</x:v>
      </x:c>
      <x:c r="Y746" s="739">
        <x:v>0</x:v>
      </x:c>
      <x:c r="Z746" s="739">
        <x:v>0</x:v>
      </x:c>
    </x:row>
    <x:row r="747" spans="1:26" x14ac:dyDescent="0.2">
      <x:c r="E747" t="s">
        <x:v>72</x:v>
      </x:c>
      <x:c r="F747" s="90">
        <x:v>0</x:v>
      </x:c>
      <x:c r="G747" s="90">
        <x:v>0</x:v>
      </x:c>
      <x:c r="H747" s="90">
        <x:v>0</x:v>
      </x:c>
      <x:c r="I747" s="90">
        <x:v>0</x:v>
      </x:c>
      <x:c r="J747" s="90">
        <x:v>0</x:v>
      </x:c>
      <x:c r="K747" s="90">
        <x:v>0</x:v>
      </x:c>
      <x:c r="L747" s="90">
        <x:v>0</x:v>
      </x:c>
      <x:c r="M747" s="90">
        <x:v>0</x:v>
      </x:c>
      <x:c r="N747" s="90">
        <x:v>0</x:v>
      </x:c>
      <x:c r="O747" s="90">
        <x:v>0</x:v>
      </x:c>
      <x:c r="P747" s="90">
        <x:v>0</x:v>
      </x:c>
      <x:c r="Q747" s="90">
        <x:v>370.08</x:v>
      </x:c>
      <x:c r="R747" s="90">
        <x:v>-1.95</x:v>
      </x:c>
      <x:c r="S747" s="90">
        <x:v>0</x:v>
      </x:c>
      <x:c r="T747" s="90">
        <x:v>0</x:v>
      </x:c>
      <x:c r="U747">
        <x:v>0</x:v>
      </x:c>
      <x:c r="V747">
        <x:v>0</x:v>
      </x:c>
      <x:c r="W747">
        <x:v>0</x:v>
      </x:c>
      <x:c r="X747">
        <x:v>0</x:v>
      </x:c>
      <x:c r="Y747">
        <x:v>0</x:v>
      </x:c>
      <x:c r="Z747" s="90">
        <x:v>0</x:v>
      </x:c>
    </x:row>
    <x:row r="748" spans="1:26" x14ac:dyDescent="0.2">
      <x:c r="E748" t="s">
        <x:v>81</x:v>
      </x:c>
      <x:c r="F748" s="90">
        <x:v>0</x:v>
      </x:c>
      <x:c r="G748" s="90">
        <x:v>0</x:v>
      </x:c>
      <x:c r="H748" s="90">
        <x:v>0</x:v>
      </x:c>
      <x:c r="I748" s="90">
        <x:v>0</x:v>
      </x:c>
      <x:c r="J748" s="90">
        <x:v>0</x:v>
      </x:c>
      <x:c r="K748" s="90">
        <x:v>0</x:v>
      </x:c>
      <x:c r="L748" s="90">
        <x:v>0</x:v>
      </x:c>
      <x:c r="M748" s="90">
        <x:v>0</x:v>
      </x:c>
      <x:c r="N748" s="90">
        <x:v>0</x:v>
      </x:c>
      <x:c r="O748" s="90">
        <x:v>0</x:v>
      </x:c>
      <x:c r="P748" s="90">
        <x:v>0</x:v>
      </x:c>
      <x:c r="Q748" s="90">
        <x:v>7.0000000000000007E-2</x:v>
      </x:c>
      <x:c r="R748" s="90">
        <x:v>0</x:v>
      </x:c>
      <x:c r="S748" s="90">
        <x:v>0</x:v>
      </x:c>
      <x:c r="T748" s="90">
        <x:v>0</x:v>
      </x:c>
      <x:c r="U748">
        <x:v>0</x:v>
      </x:c>
      <x:c r="V748">
        <x:v>0</x:v>
      </x:c>
      <x:c r="W748">
        <x:v>0</x:v>
      </x:c>
      <x:c r="X748">
        <x:v>0</x:v>
      </x:c>
      <x:c r="Y748">
        <x:v>0</x:v>
      </x:c>
      <x:c r="Z748" s="90">
        <x:v>0</x:v>
      </x:c>
    </x:row>
    <x:row r="749" spans="1:26" x14ac:dyDescent="0.2">
      <x:c r="D749" t="s">
        <x:v>82</x:v>
      </x:c>
      <x:c r="E749" t="s">
        <x:v>70</x:v>
      </x:c>
      <x:c r="F749" s="90">
        <x:v>0</x:v>
      </x:c>
      <x:c r="G749" s="90">
        <x:v>0</x:v>
      </x:c>
      <x:c r="H749" s="90">
        <x:v>0</x:v>
      </x:c>
      <x:c r="I749" s="90">
        <x:v>0</x:v>
      </x:c>
      <x:c r="J749" s="90">
        <x:v>0</x:v>
      </x:c>
      <x:c r="K749" s="90">
        <x:v>0</x:v>
      </x:c>
      <x:c r="L749" s="90">
        <x:v>0</x:v>
      </x:c>
      <x:c r="M749" s="90">
        <x:v>0</x:v>
      </x:c>
      <x:c r="N749" s="90">
        <x:v>0</x:v>
      </x:c>
      <x:c r="O749" s="90">
        <x:v>0</x:v>
      </x:c>
      <x:c r="P749" s="90">
        <x:v>0</x:v>
      </x:c>
      <x:c r="Q749" s="90">
        <x:v>370.15</x:v>
      </x:c>
      <x:c r="R749" s="90">
        <x:v>-1.95</x:v>
      </x:c>
      <x:c r="S749" s="90">
        <x:v>0</x:v>
      </x:c>
      <x:c r="T749" s="90">
        <x:v>0</x:v>
      </x:c>
      <x:c r="U749">
        <x:v>0</x:v>
      </x:c>
      <x:c r="V749">
        <x:v>0</x:v>
      </x:c>
      <x:c r="W749">
        <x:v>0</x:v>
      </x:c>
      <x:c r="X749">
        <x:v>0</x:v>
      </x:c>
      <x:c r="Y749">
        <x:v>0</x:v>
      </x:c>
      <x:c r="Z749" s="90">
        <x:v>0</x:v>
      </x:c>
    </x:row>
    <x:row r="750" spans="1:26" x14ac:dyDescent="0.2">
      <x:c r="E750" t="s">
        <x:v>72</x:v>
      </x:c>
      <x:c r="F750" s="90">
        <x:v>0</x:v>
      </x:c>
      <x:c r="G750" s="90">
        <x:v>0</x:v>
      </x:c>
      <x:c r="H750" s="90">
        <x:v>0</x:v>
      </x:c>
      <x:c r="I750" s="90">
        <x:v>0</x:v>
      </x:c>
      <x:c r="J750" s="90">
        <x:v>0</x:v>
      </x:c>
      <x:c r="K750" s="90">
        <x:v>0</x:v>
      </x:c>
      <x:c r="L750" s="90">
        <x:v>0</x:v>
      </x:c>
      <x:c r="M750" s="90">
        <x:v>0</x:v>
      </x:c>
      <x:c r="N750" s="90">
        <x:v>0</x:v>
      </x:c>
      <x:c r="O750" s="90">
        <x:v>0</x:v>
      </x:c>
      <x:c r="P750" s="90">
        <x:v>0</x:v>
      </x:c>
      <x:c r="Q750" s="90">
        <x:v>370.08</x:v>
      </x:c>
      <x:c r="R750" s="90">
        <x:v>-1.95</x:v>
      </x:c>
      <x:c r="S750" s="90">
        <x:v>0</x:v>
      </x:c>
      <x:c r="T750" s="90">
        <x:v>0</x:v>
      </x:c>
      <x:c r="U750">
        <x:v>0</x:v>
      </x:c>
      <x:c r="V750">
        <x:v>0</x:v>
      </x:c>
      <x:c r="W750">
        <x:v>0</x:v>
      </x:c>
      <x:c r="X750">
        <x:v>0</x:v>
      </x:c>
      <x:c r="Y750">
        <x:v>0</x:v>
      </x:c>
      <x:c r="Z750" s="90">
        <x:v>0</x:v>
      </x:c>
    </x:row>
    <x:row r="751" spans="1:26" x14ac:dyDescent="0.2">
      <x:c r="E751" t="s">
        <x:v>81</x:v>
      </x:c>
      <x:c r="F751" s="90">
        <x:v>0</x:v>
      </x:c>
      <x:c r="G751" s="90">
        <x:v>0</x:v>
      </x:c>
      <x:c r="H751" s="90">
        <x:v>0</x:v>
      </x:c>
      <x:c r="I751" s="90">
        <x:v>0</x:v>
      </x:c>
      <x:c r="J751" s="90">
        <x:v>0</x:v>
      </x:c>
      <x:c r="K751" s="90">
        <x:v>0</x:v>
      </x:c>
      <x:c r="L751" s="90">
        <x:v>0</x:v>
      </x:c>
      <x:c r="M751" s="90">
        <x:v>0</x:v>
      </x:c>
      <x:c r="N751" s="90">
        <x:v>0</x:v>
      </x:c>
      <x:c r="O751" s="90">
        <x:v>0</x:v>
      </x:c>
      <x:c r="P751" s="90">
        <x:v>0</x:v>
      </x:c>
      <x:c r="Q751" s="90">
        <x:v>7.0000000000000007E-2</x:v>
      </x:c>
      <x:c r="R751" s="90">
        <x:v>0</x:v>
      </x:c>
      <x:c r="S751" s="90">
        <x:v>0</x:v>
      </x:c>
      <x:c r="T751" s="90">
        <x:v>0</x:v>
      </x:c>
      <x:c r="U751">
        <x:v>0</x:v>
      </x:c>
      <x:c r="V751">
        <x:v>0</x:v>
      </x:c>
      <x:c r="W751">
        <x:v>0</x:v>
      </x:c>
      <x:c r="X751">
        <x:v>0</x:v>
      </x:c>
      <x:c r="Y751">
        <x:v>0</x:v>
      </x:c>
      <x:c r="Z751" s="90">
        <x:v>0</x:v>
      </x:c>
    </x:row>
    <x:row r="752" spans="1:26" x14ac:dyDescent="0.2">
      <x:c r="D752" t="s">
        <x:v>86</x:v>
      </x:c>
      <x:c r="E752" t="s">
        <x:v>70</x:v>
      </x:c>
      <x:c r="F752" s="90">
        <x:v>0</x:v>
      </x:c>
      <x:c r="G752" s="90">
        <x:v>0</x:v>
      </x:c>
      <x:c r="H752" s="90">
        <x:v>0</x:v>
      </x:c>
      <x:c r="I752" s="90">
        <x:v>0</x:v>
      </x:c>
      <x:c r="J752" s="90">
        <x:v>0</x:v>
      </x:c>
      <x:c r="K752" s="90">
        <x:v>0</x:v>
      </x:c>
      <x:c r="L752" s="90">
        <x:v>0</x:v>
      </x:c>
      <x:c r="M752" s="90">
        <x:v>0</x:v>
      </x:c>
      <x:c r="N752" s="90">
        <x:v>0</x:v>
      </x:c>
      <x:c r="O752" s="90">
        <x:v>0</x:v>
      </x:c>
      <x:c r="P752" s="90">
        <x:v>0</x:v>
      </x:c>
      <x:c r="Q752" s="90">
        <x:v>370.15</x:v>
      </x:c>
      <x:c r="R752" s="90">
        <x:v>-1.95</x:v>
      </x:c>
      <x:c r="S752" s="90">
        <x:v>0</x:v>
      </x:c>
      <x:c r="T752" s="90">
        <x:v>0</x:v>
      </x:c>
      <x:c r="U752">
        <x:v>0</x:v>
      </x:c>
      <x:c r="V752">
        <x:v>0</x:v>
      </x:c>
      <x:c r="W752">
        <x:v>0</x:v>
      </x:c>
      <x:c r="X752">
        <x:v>0</x:v>
      </x:c>
      <x:c r="Y752">
        <x:v>0</x:v>
      </x:c>
      <x:c r="Z752" s="90">
        <x:v>0</x:v>
      </x:c>
    </x:row>
    <x:row r="753" spans="1:26" ht="12.75" customHeight="1" x14ac:dyDescent="0.2">
      <x:c r="E753" s="89" t="s">
        <x:v>72</x:v>
      </x:c>
      <x:c r="F753" s="371">
        <x:v>0</x:v>
      </x:c>
      <x:c r="G753" s="90">
        <x:v>0</x:v>
      </x:c>
      <x:c r="H753" s="90">
        <x:v>0</x:v>
      </x:c>
      <x:c r="I753" s="90">
        <x:v>0</x:v>
      </x:c>
      <x:c r="J753" s="90">
        <x:v>0</x:v>
      </x:c>
      <x:c r="K753" s="90">
        <x:v>0</x:v>
      </x:c>
      <x:c r="L753" s="90">
        <x:v>0</x:v>
      </x:c>
      <x:c r="M753" s="90">
        <x:v>0</x:v>
      </x:c>
      <x:c r="N753" s="90">
        <x:v>0</x:v>
      </x:c>
      <x:c r="O753" s="90">
        <x:v>0</x:v>
      </x:c>
      <x:c r="P753" s="90">
        <x:v>0</x:v>
      </x:c>
      <x:c r="Q753" s="90">
        <x:v>0</x:v>
      </x:c>
      <x:c r="R753" s="90">
        <x:v>0</x:v>
      </x:c>
      <x:c r="S753" s="90">
        <x:v>0</x:v>
      </x:c>
      <x:c r="T753" s="90">
        <x:v>0</x:v>
      </x:c>
      <x:c r="U753" s="90">
        <x:v>0</x:v>
      </x:c>
      <x:c r="V753" s="90">
        <x:v>0</x:v>
      </x:c>
      <x:c r="W753" s="90">
        <x:v>0</x:v>
      </x:c>
      <x:c r="X753" s="90">
        <x:v>0</x:v>
      </x:c>
      <x:c r="Y753" s="90">
        <x:v>0</x:v>
      </x:c>
      <x:c r="Z753" s="90">
        <x:v>0</x:v>
      </x:c>
    </x:row>
    <x:row r="754" spans="1:26" x14ac:dyDescent="0.2">
      <x:c r="E754" t="s">
        <x:v>81</x:v>
      </x:c>
      <x:c r="F754" s="90">
        <x:v>0</x:v>
      </x:c>
      <x:c r="G754" s="90">
        <x:v>0</x:v>
      </x:c>
      <x:c r="H754" s="90">
        <x:v>0</x:v>
      </x:c>
      <x:c r="I754" s="90">
        <x:v>0</x:v>
      </x:c>
      <x:c r="J754" s="90">
        <x:v>0</x:v>
      </x:c>
      <x:c r="K754" s="90">
        <x:v>0</x:v>
      </x:c>
      <x:c r="L754" s="90">
        <x:v>0</x:v>
      </x:c>
      <x:c r="M754" s="90">
        <x:v>0</x:v>
      </x:c>
      <x:c r="N754" s="90">
        <x:v>0</x:v>
      </x:c>
      <x:c r="O754" s="90">
        <x:v>0</x:v>
      </x:c>
      <x:c r="P754" s="90">
        <x:v>0</x:v>
      </x:c>
      <x:c r="Q754" s="90">
        <x:v>0</x:v>
      </x:c>
      <x:c r="R754" s="90">
        <x:v>0</x:v>
      </x:c>
      <x:c r="S754" s="90">
        <x:v>0</x:v>
      </x:c>
      <x:c r="T754" s="90">
        <x:v>0</x:v>
      </x:c>
      <x:c r="U754">
        <x:v>0</x:v>
      </x:c>
      <x:c r="V754">
        <x:v>0</x:v>
      </x:c>
      <x:c r="W754">
        <x:v>0</x:v>
      </x:c>
      <x:c r="X754">
        <x:v>0</x:v>
      </x:c>
      <x:c r="Y754">
        <x:v>0</x:v>
      </x:c>
      <x:c r="Z754" s="90">
        <x:v>0</x:v>
      </x:c>
    </x:row>
    <x:row r="755" spans="1:26" ht="12.75" customHeight="1" x14ac:dyDescent="0.2">
      <x:c r="D755" t="s">
        <x:v>87</x:v>
      </x:c>
      <x:c r="E755" s="89" t="s">
        <x:v>70</x:v>
      </x:c>
      <x:c r="F755" s="371">
        <x:v>0</x:v>
      </x:c>
      <x:c r="G755" s="90">
        <x:v>0</x:v>
      </x:c>
      <x:c r="H755" s="90">
        <x:v>0</x:v>
      </x:c>
      <x:c r="I755" s="90">
        <x:v>0</x:v>
      </x:c>
      <x:c r="J755" s="90">
        <x:v>0</x:v>
      </x:c>
      <x:c r="K755" s="90">
        <x:v>0</x:v>
      </x:c>
      <x:c r="L755" s="90">
        <x:v>0</x:v>
      </x:c>
      <x:c r="M755" s="90">
        <x:v>0</x:v>
      </x:c>
      <x:c r="N755" s="90">
        <x:v>0</x:v>
      </x:c>
      <x:c r="O755" s="90">
        <x:v>0</x:v>
      </x:c>
      <x:c r="P755" s="90">
        <x:v>0</x:v>
      </x:c>
      <x:c r="Q755" s="90">
        <x:v>0</x:v>
      </x:c>
      <x:c r="R755" s="90">
        <x:v>0</x:v>
      </x:c>
      <x:c r="S755" s="90">
        <x:v>0</x:v>
      </x:c>
      <x:c r="T755" s="90">
        <x:v>0</x:v>
      </x:c>
      <x:c r="U755" s="90">
        <x:v>0</x:v>
      </x:c>
      <x:c r="V755" s="90">
        <x:v>0</x:v>
      </x:c>
      <x:c r="W755" s="90">
        <x:v>0</x:v>
      </x:c>
      <x:c r="X755" s="90">
        <x:v>0</x:v>
      </x:c>
      <x:c r="Y755" s="90">
        <x:v>0</x:v>
      </x:c>
      <x:c r="Z755" s="90">
        <x:v>0</x:v>
      </x:c>
    </x:row>
    <x:row r="756" spans="1:26" s="94" customFormat="1" ht="12.75" customHeight="1" x14ac:dyDescent="0.2">
      <x:c r="C756" s="101" t="s">
        <x:v>119</x:v>
      </x:c>
      <x:c r="D756" s="101" t="s">
        <x:v>70</x:v>
      </x:c>
      <x:c r="F756" s="93">
        <x:v>0</x:v>
      </x:c>
      <x:c r="G756" s="93">
        <x:v>0</x:v>
      </x:c>
      <x:c r="H756" s="93">
        <x:v>0</x:v>
      </x:c>
      <x:c r="I756" s="93">
        <x:v>0</x:v>
      </x:c>
      <x:c r="J756" s="93">
        <x:v>0</x:v>
      </x:c>
      <x:c r="K756" s="93">
        <x:v>0</x:v>
      </x:c>
      <x:c r="L756" s="93">
        <x:v>0</x:v>
      </x:c>
      <x:c r="M756" s="93">
        <x:v>0</x:v>
      </x:c>
      <x:c r="N756" s="93">
        <x:v>0</x:v>
      </x:c>
      <x:c r="O756" s="93">
        <x:v>0</x:v>
      </x:c>
      <x:c r="P756" s="93">
        <x:v>0</x:v>
      </x:c>
      <x:c r="Q756" s="93">
        <x:v>0</x:v>
      </x:c>
      <x:c r="R756" s="93">
        <x:v>0</x:v>
      </x:c>
      <x:c r="S756" s="93">
        <x:v>0</x:v>
      </x:c>
      <x:c r="T756" s="93">
        <x:v>0</x:v>
      </x:c>
      <x:c r="U756" s="93">
        <x:v>0</x:v>
      </x:c>
      <x:c r="V756" s="93">
        <x:v>0</x:v>
      </x:c>
      <x:c r="W756" s="93">
        <x:v>0</x:v>
      </x:c>
      <x:c r="X756" s="93">
        <x:v>0</x:v>
      </x:c>
      <x:c r="Y756" s="93">
        <x:v>0</x:v>
      </x:c>
      <x:c r="Z756" s="93">
        <x:v>0</x:v>
      </x:c>
    </x:row>
    <x:row r="757" spans="1:26" s="378" customFormat="1" ht="12.75" customHeight="1" x14ac:dyDescent="0.2">
      <x:c r="B757" s="378" t="s">
        <x:v>122</x:v>
      </x:c>
      <x:c r="C757" s="378" t="s">
        <x:v>70</x:v>
      </x:c>
      <x:c r="E757" s="376"/>
      <x:c r="F757" s="710">
        <x:v>0</x:v>
      </x:c>
      <x:c r="G757" s="377">
        <x:v>0</x:v>
      </x:c>
      <x:c r="H757" s="377">
        <x:v>0</x:v>
      </x:c>
      <x:c r="I757" s="377">
        <x:v>0</x:v>
      </x:c>
      <x:c r="J757" s="377">
        <x:v>0</x:v>
      </x:c>
      <x:c r="K757" s="377">
        <x:v>0</x:v>
      </x:c>
      <x:c r="L757" s="377">
        <x:v>0</x:v>
      </x:c>
      <x:c r="M757" s="377">
        <x:v>0</x:v>
      </x:c>
      <x:c r="N757" s="377">
        <x:v>0</x:v>
      </x:c>
      <x:c r="O757" s="377">
        <x:v>0</x:v>
      </x:c>
      <x:c r="P757" s="377">
        <x:v>0</x:v>
      </x:c>
      <x:c r="Q757" s="377">
        <x:v>0</x:v>
      </x:c>
      <x:c r="R757" s="377">
        <x:v>0</x:v>
      </x:c>
      <x:c r="S757" s="377">
        <x:v>0</x:v>
      </x:c>
      <x:c r="T757" s="377">
        <x:v>0</x:v>
      </x:c>
      <x:c r="U757" s="377">
        <x:v>0</x:v>
      </x:c>
      <x:c r="V757" s="377">
        <x:v>0</x:v>
      </x:c>
      <x:c r="W757" s="377">
        <x:v>0</x:v>
      </x:c>
      <x:c r="X757" s="377">
        <x:v>0</x:v>
      </x:c>
      <x:c r="Y757" s="377">
        <x:v>0</x:v>
      </x:c>
      <x:c r="Z757" s="377">
        <x:v>0</x:v>
      </x:c>
    </x:row>
    <x:row r="758" spans="1:26" ht="12.75" customHeight="1" x14ac:dyDescent="0.2">
      <x:c r="C758" s="89"/>
      <x:c r="D758" s="89"/>
      <x:c r="E758" t="s">
        <x:v>72</x:v>
      </x:c>
      <x:c r="F758" s="371" t="n">
        <x:v>13103548971.03</x:v>
      </x:c>
      <x:c r="G758" s="90" t="n">
        <x:v>669932511.12</x:v>
      </x:c>
      <x:c r="H758" s="90" t="n">
        <x:v>373173469.72</x:v>
      </x:c>
      <x:c r="I758" s="90" t="n">
        <x:v>198470721.94</x:v>
      </x:c>
      <x:c r="J758" s="90" t="n">
        <x:v>3227037982.86</x:v>
      </x:c>
      <x:c r="K758" s="90" t="n">
        <x:v>104792937.36</x:v>
      </x:c>
      <x:c r="L758" s="90" t="n">
        <x:v>10240250.5</x:v>
      </x:c>
      <x:c r="M758" s="90" t="n">
        <x:v>919151371.38</x:v>
      </x:c>
      <x:c r="N758" s="90" t="n">
        <x:v>891265658.64</x:v>
      </x:c>
      <x:c r="O758" s="90" t="n">
        <x:v>4548121921.28</x:v>
      </x:c>
      <x:c r="P758" s="90" t="n">
        <x:v>1990546497.8</x:v>
      </x:c>
      <x:c r="Q758" s="90" t="n">
        <x:v>170990263.02</x:v>
      </x:c>
      <x:c r="R758" s="90" t="n">
        <x:v>-174614.59</x:v>
      </x:c>
      <x:c r="S758" s="90" t="n">
        <x:v>0</x:v>
      </x:c>
      <x:c r="T758" t="n">
        <x:v>0</x:v>
      </x:c>
      <x:c r="U758">
        <x:v>0</x:v>
      </x:c>
      <x:c r="V758">
        <x:v>0</x:v>
      </x:c>
      <x:c r="W758">
        <x:v>0</x:v>
      </x:c>
      <x:c r="X758">
        <x:v>0</x:v>
      </x:c>
      <x:c r="Y758">
        <x:v>0</x:v>
      </x:c>
      <x:c r="Z758" t="n">
        <x:v>0</x:v>
      </x:c>
    </x:row>
    <x:row r="759" spans="1:26" ht="12.75" customHeight="1" x14ac:dyDescent="0.2">
      <x:c r="C759" s="89"/>
      <x:c r="D759" s="89"/>
      <x:c r="E759" t="s">
        <x:v>81</x:v>
      </x:c>
      <x:c r="F759" s="90" t="n">
        <x:v>6471262.39</x:v>
      </x:c>
      <x:c r="G759" s="90" t="n">
        <x:v>538809.39</x:v>
      </x:c>
      <x:c r="H759" s="90" t="n">
        <x:v>267387.01</x:v>
      </x:c>
      <x:c r="I759" s="90" t="n">
        <x:v>132943.46</x:v>
      </x:c>
      <x:c r="J759" s="90" t="n">
        <x:v>1119544.88</x:v>
      </x:c>
      <x:c r="K759" s="90" t="n">
        <x:v>48646.68</x:v>
      </x:c>
      <x:c r="L759" s="90" t="n">
        <x:v>2472.45</x:v>
      </x:c>
      <x:c r="M759" s="90" t="n">
        <x:v>425838.69</x:v>
      </x:c>
      <x:c r="N759" s="90" t="n">
        <x:v>391117.76</x:v>
      </x:c>
      <x:c r="O759" s="90" t="n">
        <x:v>1862703.5</x:v>
      </x:c>
      <x:c r="P759" s="90" t="n">
        <x:v>1602403.3</x:v>
      </x:c>
      <x:c r="Q759" s="90" t="n">
        <x:v>79386.46</x:v>
      </x:c>
      <x:c r="R759" s="90" t="n">
        <x:v>-3.5</x:v>
      </x:c>
      <x:c r="S759" s="90" t="n">
        <x:v>7.45</x:v>
      </x:c>
      <x:c r="T759" t="n">
        <x:v>4.86</x:v>
      </x:c>
      <x:c r="U759">
        <x:v>0</x:v>
      </x:c>
      <x:c r="V759">
        <x:v>0</x:v>
      </x:c>
      <x:c r="W759">
        <x:v>0</x:v>
      </x:c>
      <x:c r="X759">
        <x:v>0</x:v>
      </x:c>
      <x:c r="Y759">
        <x:v>0</x:v>
      </x:c>
      <x:c r="Z759" t="n">
        <x:v>0</x:v>
      </x:c>
    </x:row>
    <x:row r="760" spans="1:26" ht="12.75" customHeight="1" x14ac:dyDescent="0.2">
      <x:c r="D760" t="s">
        <x:v>156</x:v>
      </x:c>
      <x:c r="E760" s="89" t="s">
        <x:v>70</x:v>
      </x:c>
      <x:c r="F760" s="90" t="n">
        <x:v>13110020233.42</x:v>
      </x:c>
      <x:c r="G760" s="90" t="n">
        <x:v>670471320.51</x:v>
      </x:c>
      <x:c r="H760" s="90" t="n">
        <x:v>373440856.73</x:v>
      </x:c>
      <x:c r="I760" s="90" t="n">
        <x:v>198603665.4</x:v>
      </x:c>
      <x:c r="J760" s="90" t="n">
        <x:v>3228157527.74</x:v>
      </x:c>
      <x:c r="K760" s="90" t="n">
        <x:v>104841584.04</x:v>
      </x:c>
      <x:c r="L760" s="90" t="n">
        <x:v>10242722.95</x:v>
      </x:c>
      <x:c r="M760" s="90" t="n">
        <x:v>919577210.07</x:v>
      </x:c>
      <x:c r="N760" s="90" t="n">
        <x:v>891656776.4</x:v>
      </x:c>
      <x:c r="O760" s="90" t="n">
        <x:v>4549984624.78</x:v>
      </x:c>
      <x:c r="P760" s="90" t="n">
        <x:v>1992148901.1</x:v>
      </x:c>
      <x:c r="Q760" s="90" t="n">
        <x:v>171069649.48</x:v>
      </x:c>
      <x:c r="R760" s="90" t="n">
        <x:v>-174618.09</x:v>
      </x:c>
      <x:c r="S760" s="90" t="n">
        <x:v>7.45</x:v>
      </x:c>
      <x:c r="T760" t="n">
        <x:v>4.86</x:v>
      </x:c>
      <x:c r="U760">
        <x:v>0</x:v>
      </x:c>
      <x:c r="V760">
        <x:v>0</x:v>
      </x:c>
      <x:c r="W760">
        <x:v>0</x:v>
      </x:c>
      <x:c r="X760">
        <x:v>0</x:v>
      </x:c>
      <x:c r="Y760">
        <x:v>0</x:v>
      </x:c>
      <x:c r="Z760" t="n">
        <x:v>0</x:v>
      </x:c>
    </x:row>
    <x:row r="761" spans="1:26" s="656" customFormat="1" ht="12.75" customHeight="1" x14ac:dyDescent="0.2">
      <x:c r="A761" s="657"/>
      <x:c r="B761" s="657"/>
      <x:c r="C761" s="656" t="s">
        <x:v>155</x:v>
      </x:c>
      <x:c r="D761" s="656" t="s">
        <x:v>70</x:v>
      </x:c>
      <x:c r="F761" s="658" t="n">
        <x:v>13110020233.42</x:v>
      </x:c>
      <x:c r="G761" s="658" t="n">
        <x:v>670471320.51</x:v>
      </x:c>
      <x:c r="H761" s="658" t="n">
        <x:v>373440856.73</x:v>
      </x:c>
      <x:c r="I761" s="658" t="n">
        <x:v>198603665.4</x:v>
      </x:c>
      <x:c r="J761" s="658" t="n">
        <x:v>3228157527.74</x:v>
      </x:c>
      <x:c r="K761" s="658" t="n">
        <x:v>104841584.04</x:v>
      </x:c>
      <x:c r="L761" s="658" t="n">
        <x:v>10242722.95</x:v>
      </x:c>
      <x:c r="M761" s="658" t="n">
        <x:v>919577210.07</x:v>
      </x:c>
      <x:c r="N761" s="658" t="n">
        <x:v>891656776.4</x:v>
      </x:c>
      <x:c r="O761" s="658" t="n">
        <x:v>4549984624.78</x:v>
      </x:c>
      <x:c r="P761" s="658" t="n">
        <x:v>1992148901.1</x:v>
      </x:c>
      <x:c r="Q761" s="658" t="n">
        <x:v>171069649.48</x:v>
      </x:c>
      <x:c r="R761" s="658" t="n">
        <x:v>-174618.09</x:v>
      </x:c>
      <x:c r="S761" s="658" t="n">
        <x:v>7.45</x:v>
      </x:c>
      <x:c r="T761" s="656" t="n">
        <x:v>4.86</x:v>
      </x:c>
      <x:c r="U761" s="656">
        <x:v>0</x:v>
      </x:c>
      <x:c r="V761" s="656">
        <x:v>0</x:v>
      </x:c>
      <x:c r="W761" s="656">
        <x:v>0</x:v>
      </x:c>
      <x:c r="X761" s="656">
        <x:v>0</x:v>
      </x:c>
      <x:c r="Y761" s="656">
        <x:v>0</x:v>
      </x:c>
      <x:c r="Z761" s="656" t="n">
        <x:v>0</x:v>
      </x:c>
    </x:row>
    <x:row r="762" spans="1:26" ht="12.75" customHeight="1" x14ac:dyDescent="0.2">
      <x:c r="E762" s="89" t="s">
        <x:v>72</x:v>
      </x:c>
      <x:c r="F762" s="90" t="n">
        <x:v>39553002.84</x:v>
      </x:c>
      <x:c r="G762" s="90" t="n">
        <x:v>2215909.86</x:v>
      </x:c>
      <x:c r="H762" s="90" t="n">
        <x:v>1228792.15</x:v>
      </x:c>
      <x:c r="I762" s="90" t="n">
        <x:v>660533.63</x:v>
      </x:c>
      <x:c r="J762" s="90" t="n">
        <x:v>8755540.09</x:v>
      </x:c>
      <x:c r="K762" s="90" t="n">
        <x:v>308173.39</x:v>
      </x:c>
      <x:c r="L762" s="90" t="n">
        <x:v>0</x:v>
      </x:c>
      <x:c r="M762" s="90" t="n">
        <x:v>2681973.74</x:v>
      </x:c>
      <x:c r="N762" s="90" t="n">
        <x:v>2714242.31</x:v>
      </x:c>
      <x:c r="O762" s="90" t="n">
        <x:v>13855712.47</x:v>
      </x:c>
      <x:c r="P762" s="90" t="n">
        <x:v>6628530.25</x:v>
      </x:c>
      <x:c r="Q762" s="90" t="n">
        <x:v>503687.2</x:v>
      </x:c>
      <x:c r="R762" s="90" t="n">
        <x:v>-92.25</x:v>
      </x:c>
      <x:c r="S762" s="90" t="n">
        <x:v>0</x:v>
      </x:c>
      <x:c r="T762" t="n">
        <x:v>0</x:v>
      </x:c>
      <x:c r="U762">
        <x:v>0</x:v>
      </x:c>
      <x:c r="V762">
        <x:v>0</x:v>
      </x:c>
      <x:c r="W762">
        <x:v>0</x:v>
      </x:c>
      <x:c r="X762">
        <x:v>0</x:v>
      </x:c>
      <x:c r="Y762">
        <x:v>0</x:v>
      </x:c>
      <x:c r="Z762" t="n">
        <x:v>0</x:v>
      </x:c>
    </x:row>
    <x:row r="763" spans="1:26" ht="12.75" customHeight="1" x14ac:dyDescent="0.2">
      <x:c r="E763" s="89" t="s">
        <x:v>81</x:v>
      </x:c>
      <x:c r="F763" s="371" t="n">
        <x:v>155001.68</x:v>
      </x:c>
      <x:c r="G763" s="90" t="n">
        <x:v>9430.48</x:v>
      </x:c>
      <x:c r="H763" s="90" t="n">
        <x:v>5061.29</x:v>
      </x:c>
      <x:c r="I763" s="90" t="n">
        <x:v>2739.42</x:v>
      </x:c>
      <x:c r="J763" s="90" t="n">
        <x:v>33781.17</x:v>
      </x:c>
      <x:c r="K763" s="90" t="n">
        <x:v>1101.58</x:v>
      </x:c>
      <x:c r="L763" s="90" t="n">
        <x:v>37.32</x:v>
      </x:c>
      <x:c r="M763" s="90" t="n">
        <x:v>9600.97</x:v>
      </x:c>
      <x:c r="N763" s="90" t="n">
        <x:v>10443.65</x:v>
      </x:c>
      <x:c r="O763" s="90" t="n">
        <x:v>52980.73</x:v>
      </x:c>
      <x:c r="P763" s="90" t="n">
        <x:v>28028.48</x:v>
      </x:c>
      <x:c r="Q763" s="90" t="n">
        <x:v>1796.38</x:v>
      </x:c>
      <x:c r="R763" s="90" t="n">
        <x:v>0.22</x:v>
      </x:c>
      <x:c r="S763" s="90" t="n">
        <x:v>-0.01</x:v>
      </x:c>
      <x:c r="T763" t="n">
        <x:v>0</x:v>
      </x:c>
      <x:c r="U763">
        <x:v>0</x:v>
      </x:c>
      <x:c r="V763">
        <x:v>0</x:v>
      </x:c>
      <x:c r="W763">
        <x:v>0</x:v>
      </x:c>
      <x:c r="X763">
        <x:v>0</x:v>
      </x:c>
      <x:c r="Y763">
        <x:v>0</x:v>
      </x:c>
      <x:c r="Z763" t="n">
        <x:v>0</x:v>
      </x:c>
    </x:row>
    <x:row r="764" spans="1:26" ht="12.75" customHeight="1" x14ac:dyDescent="0.2">
      <x:c r="D764" t="s">
        <x:v>156</x:v>
      </x:c>
      <x:c r="E764" s="89" t="s">
        <x:v>70</x:v>
      </x:c>
      <x:c r="F764" s="371" t="n">
        <x:v>39708004.52</x:v>
      </x:c>
      <x:c r="G764" s="90" t="n">
        <x:v>2225340.34</x:v>
      </x:c>
      <x:c r="H764" s="90" t="n">
        <x:v>1233853.44</x:v>
      </x:c>
      <x:c r="I764" s="90" t="n">
        <x:v>663273.05</x:v>
      </x:c>
      <x:c r="J764" s="90" t="n">
        <x:v>8789321.26</x:v>
      </x:c>
      <x:c r="K764" s="90" t="n">
        <x:v>309274.97</x:v>
      </x:c>
      <x:c r="L764" s="90" t="n">
        <x:v>37.32</x:v>
      </x:c>
      <x:c r="M764" s="90" t="n">
        <x:v>2691574.71</x:v>
      </x:c>
      <x:c r="N764" s="90" t="n">
        <x:v>2724685.96</x:v>
      </x:c>
      <x:c r="O764" s="90" t="n">
        <x:v>13908693.2</x:v>
      </x:c>
      <x:c r="P764" s="90" t="n">
        <x:v>6656558.73</x:v>
      </x:c>
      <x:c r="Q764" s="90" t="n">
        <x:v>505483.58</x:v>
      </x:c>
      <x:c r="R764" s="90" t="n">
        <x:v>-92.03</x:v>
      </x:c>
      <x:c r="S764" s="90" t="n">
        <x:v>-0.01</x:v>
      </x:c>
      <x:c r="T764" t="n">
        <x:v>0</x:v>
      </x:c>
      <x:c r="U764">
        <x:v>0</x:v>
      </x:c>
      <x:c r="V764">
        <x:v>0</x:v>
      </x:c>
      <x:c r="W764">
        <x:v>0</x:v>
      </x:c>
      <x:c r="X764">
        <x:v>0</x:v>
      </x:c>
      <x:c r="Y764">
        <x:v>0</x:v>
      </x:c>
      <x:c r="Z764" t="n">
        <x:v>0</x:v>
      </x:c>
    </x:row>
    <x:row r="765" spans="1:26" s="739" customFormat="1" ht="12.75" customHeight="1" x14ac:dyDescent="0.2">
      <x:c r="C765" s="739" t="s">
        <x:v>326</x:v>
      </x:c>
      <x:c r="D765" s="739" t="s">
        <x:v>70</x:v>
      </x:c>
      <x:c r="E765" s="231"/>
      <x:c r="F765" s="740" t="n">
        <x:v>39708004.52</x:v>
      </x:c>
      <x:c r="G765" s="232" t="n">
        <x:v>2225340.34</x:v>
      </x:c>
      <x:c r="H765" s="232" t="n">
        <x:v>1233853.44</x:v>
      </x:c>
      <x:c r="I765" s="232" t="n">
        <x:v>663273.05</x:v>
      </x:c>
      <x:c r="J765" s="232" t="n">
        <x:v>8789321.26</x:v>
      </x:c>
      <x:c r="K765" s="232" t="n">
        <x:v>309274.97</x:v>
      </x:c>
      <x:c r="L765" s="232" t="n">
        <x:v>37.32</x:v>
      </x:c>
      <x:c r="M765" s="232" t="n">
        <x:v>2691574.71</x:v>
      </x:c>
      <x:c r="N765" s="232" t="n">
        <x:v>2724685.96</x:v>
      </x:c>
      <x:c r="O765" s="232" t="n">
        <x:v>13908693.2</x:v>
      </x:c>
      <x:c r="P765" s="232" t="n">
        <x:v>6656558.73</x:v>
      </x:c>
      <x:c r="Q765" s="232" t="n">
        <x:v>505483.58</x:v>
      </x:c>
      <x:c r="R765" s="232" t="n">
        <x:v>-92.03</x:v>
      </x:c>
      <x:c r="S765" s="232" t="n">
        <x:v>-0.01</x:v>
      </x:c>
      <x:c r="T765" s="739" t="n">
        <x:v>0</x:v>
      </x:c>
      <x:c r="U765" s="739">
        <x:v>0</x:v>
      </x:c>
      <x:c r="V765" s="739">
        <x:v>0</x:v>
      </x:c>
      <x:c r="W765" s="739">
        <x:v>0</x:v>
      </x:c>
      <x:c r="X765" s="739">
        <x:v>0</x:v>
      </x:c>
      <x:c r="Y765" s="739">
        <x:v>0</x:v>
      </x:c>
      <x:c r="Z765" s="739" t="n">
        <x:v>0</x:v>
      </x:c>
    </x:row>
    <x:row r="766" spans="1:26" ht="12.75" customHeight="1" x14ac:dyDescent="0.2">
      <x:c r="E766" s="89" t="s">
        <x:v>72</x:v>
      </x:c>
      <x:c r="F766" s="371" t="n">
        <x:v>26870991.62</x:v>
      </x:c>
      <x:c r="G766" s="90" t="n">
        <x:v>1727729.16</x:v>
      </x:c>
      <x:c r="H766" s="90" t="n">
        <x:v>962703.61</x:v>
      </x:c>
      <x:c r="I766" s="90" t="n">
        <x:v>511492.32</x:v>
      </x:c>
      <x:c r="J766" s="90" t="n">
        <x:v>3908534.78</x:v>
      </x:c>
      <x:c r="K766" s="90" t="n">
        <x:v>171698.12</x:v>
      </x:c>
      <x:c r="L766" s="90" t="n">
        <x:v>0</x:v>
      </x:c>
      <x:c r="M766" s="90" t="n">
        <x:v>1500894.96</x:v>
      </x:c>
      <x:c r="N766" s="90" t="n">
        <x:v>1988123.17</x:v>
      </x:c>
      <x:c r="O766" s="90" t="n">
        <x:v>10645831.97</x:v>
      </x:c>
      <x:c r="P766" s="90" t="n">
        <x:v>5170992.45</x:v>
      </x:c>
      <x:c r="Q766" s="90" t="n">
        <x:v>283693.17</x:v>
      </x:c>
      <x:c r="R766" s="90" t="n">
        <x:v>-702.09</x:v>
      </x:c>
      <x:c r="S766" s="90" t="n">
        <x:v>0</x:v>
      </x:c>
      <x:c r="T766" t="n">
        <x:v>0</x:v>
      </x:c>
      <x:c r="U766">
        <x:v>0</x:v>
      </x:c>
      <x:c r="V766">
        <x:v>0</x:v>
      </x:c>
      <x:c r="W766">
        <x:v>0</x:v>
      </x:c>
      <x:c r="X766">
        <x:v>0</x:v>
      </x:c>
      <x:c r="Y766">
        <x:v>0</x:v>
      </x:c>
      <x:c r="Z766" t="n">
        <x:v>0</x:v>
      </x:c>
    </x:row>
    <x:row r="767" spans="1:26" ht="12.75" customHeight="1" x14ac:dyDescent="0.2">
      <x:c r="E767" s="89" t="s">
        <x:v>81</x:v>
      </x:c>
      <x:c r="F767" s="90" t="n">
        <x:v>259647.75</x:v>
      </x:c>
      <x:c r="G767" s="90" t="n">
        <x:v>22300.04</x:v>
      </x:c>
      <x:c r="H767" s="90" t="n">
        <x:v>12207.84</x:v>
      </x:c>
      <x:c r="I767" s="90" t="n">
        <x:v>6551.33</x:v>
      </x:c>
      <x:c r="J767" s="90" t="n">
        <x:v>40201.21</x:v>
      </x:c>
      <x:c r="K767" s="90" t="n">
        <x:v>1404.15</x:v>
      </x:c>
      <x:c r="L767" s="90" t="n">
        <x:v>0</x:v>
      </x:c>
      <x:c r="M767" s="90" t="n">
        <x:v>12188.17</x:v>
      </x:c>
      <x:c r="N767" s="90" t="n">
        <x:v>15639.33</x:v>
      </x:c>
      <x:c r="O767" s="90" t="n">
        <x:v>80062.15</x:v>
      </x:c>
      <x:c r="P767" s="90" t="n">
        <x:v>66764.02</x:v>
      </x:c>
      <x:c r="Q767" s="90" t="n">
        <x:v>2330</x:v>
      </x:c>
      <x:c r="R767" s="90" t="n">
        <x:v>-1.12</x:v>
      </x:c>
      <x:c r="S767" s="90" t="n">
        <x:v>-0.03</x:v>
      </x:c>
      <x:c r="T767" t="n">
        <x:v>0.66</x:v>
      </x:c>
      <x:c r="U767">
        <x:v>0</x:v>
      </x:c>
      <x:c r="V767">
        <x:v>0</x:v>
      </x:c>
      <x:c r="W767">
        <x:v>0</x:v>
      </x:c>
      <x:c r="X767">
        <x:v>0</x:v>
      </x:c>
      <x:c r="Y767">
        <x:v>0</x:v>
      </x:c>
      <x:c r="Z767" t="n">
        <x:v>0</x:v>
      </x:c>
    </x:row>
    <x:row r="768" spans="1:26" ht="12.75" customHeight="1" x14ac:dyDescent="0.2">
      <x:c r="D768" s="89" t="s">
        <x:v>82</x:v>
      </x:c>
      <x:c r="E768" s="89" t="s">
        <x:v>70</x:v>
      </x:c>
      <x:c r="F768" s="90" t="n">
        <x:v>27130639.37</x:v>
      </x:c>
      <x:c r="G768" s="90" t="n">
        <x:v>1750029.2</x:v>
      </x:c>
      <x:c r="H768" s="90" t="n">
        <x:v>974911.45</x:v>
      </x:c>
      <x:c r="I768" s="90" t="n">
        <x:v>518043.65</x:v>
      </x:c>
      <x:c r="J768" s="90" t="n">
        <x:v>3948735.99</x:v>
      </x:c>
      <x:c r="K768" s="90" t="n">
        <x:v>173102.27</x:v>
      </x:c>
      <x:c r="L768" s="90" t="n">
        <x:v>0</x:v>
      </x:c>
      <x:c r="M768" s="90" t="n">
        <x:v>1513083.13</x:v>
      </x:c>
      <x:c r="N768" s="90" t="n">
        <x:v>2003762.5</x:v>
      </x:c>
      <x:c r="O768" s="90" t="n">
        <x:v>10725894.12</x:v>
      </x:c>
      <x:c r="P768" s="90" t="n">
        <x:v>5237756.47</x:v>
      </x:c>
      <x:c r="Q768" s="90" t="n">
        <x:v>286023.17</x:v>
      </x:c>
      <x:c r="R768" s="90" t="n">
        <x:v>-703.21</x:v>
      </x:c>
      <x:c r="S768" s="90" t="n">
        <x:v>-0.03</x:v>
      </x:c>
      <x:c r="T768" t="n">
        <x:v>0.66</x:v>
      </x:c>
      <x:c r="U768">
        <x:v>0</x:v>
      </x:c>
      <x:c r="V768">
        <x:v>0</x:v>
      </x:c>
      <x:c r="W768">
        <x:v>0</x:v>
      </x:c>
      <x:c r="X768">
        <x:v>0</x:v>
      </x:c>
      <x:c r="Y768">
        <x:v>0</x:v>
      </x:c>
      <x:c r="Z768" t="n">
        <x:v>0</x:v>
      </x:c>
    </x:row>
    <x:row r="769" spans="1:26" ht="12.75" customHeight="1" x14ac:dyDescent="0.2">
      <x:c r="C769" s="89"/>
      <x:c r="D769" s="89"/>
      <x:c r="E769" t="s">
        <x:v>72</x:v>
      </x:c>
      <x:c r="F769" s="90" t="n">
        <x:v>44149813.47</x:v>
      </x:c>
      <x:c r="G769" s="90" t="n">
        <x:v>3748830.13</x:v>
      </x:c>
      <x:c r="H769" s="90" t="n">
        <x:v>1934736.44</x:v>
      </x:c>
      <x:c r="I769" s="90" t="n">
        <x:v>1007594.05</x:v>
      </x:c>
      <x:c r="J769" s="90" t="n">
        <x:v>5312407.7</x:v>
      </x:c>
      <x:c r="K769" s="90" t="n">
        <x:v>355100.76</x:v>
      </x:c>
      <x:c r="L769" s="90" t="n">
        <x:v>186490.45</x:v>
      </x:c>
      <x:c r="M769" s="90" t="n">
        <x:v>3126009.41</x:v>
      </x:c>
      <x:c r="N769" s="90" t="n">
        <x:v>2974239.53</x:v>
      </x:c>
      <x:c r="O769" s="90" t="n">
        <x:v>13799222.86</x:v>
      </x:c>
      <x:c r="P769" s="90" t="n">
        <x:v>11125257.57</x:v>
      </x:c>
      <x:c r="Q769" s="90" t="n">
        <x:v>580602.9</x:v>
      </x:c>
      <x:c r="R769" s="90" t="n">
        <x:v>-678.33</x:v>
      </x:c>
      <x:c r="S769" s="90" t="n">
        <x:v>0</x:v>
      </x:c>
      <x:c r="T769" t="n">
        <x:v>0</x:v>
      </x:c>
      <x:c r="U769">
        <x:v>0</x:v>
      </x:c>
      <x:c r="V769">
        <x:v>0</x:v>
      </x:c>
      <x:c r="W769">
        <x:v>0</x:v>
      </x:c>
      <x:c r="X769">
        <x:v>0</x:v>
      </x:c>
      <x:c r="Y769">
        <x:v>0</x:v>
      </x:c>
      <x:c r="Z769" t="n">
        <x:v>0</x:v>
      </x:c>
    </x:row>
    <x:row r="770" spans="1:26" ht="12.75" customHeight="1" x14ac:dyDescent="0.2">
      <x:c r="B770" s="89"/>
      <x:c r="C770" s="89"/>
      <x:c r="E770" t="s">
        <x:v>81</x:v>
      </x:c>
      <x:c r="F770" s="90" t="n">
        <x:v>6537537.15</x:v>
      </x:c>
      <x:c r="G770" s="90" t="n">
        <x:v>643275.13</x:v>
      </x:c>
      <x:c r="H770" s="90" t="n">
        <x:v>302466.74</x:v>
      </x:c>
      <x:c r="I770" s="90" t="n">
        <x:v>149667.27</x:v>
      </x:c>
      <x:c r="J770" s="90" t="n">
        <x:v>995998.1</x:v>
      </x:c>
      <x:c r="K770" s="90" t="n">
        <x:v>49541.76</x:v>
      </x:c>
      <x:c r="L770" s="90" t="n">
        <x:v>0</x:v>
      </x:c>
      <x:c r="M770" s="90" t="n">
        <x:v>432061</x:v>
      </x:c>
      <x:c r="N770" s="90" t="n">
        <x:v>378399.52</x:v>
      </x:c>
      <x:c r="O770" s="90" t="n">
        <x:v>1612189.68</x:v>
      </x:c>
      <x:c r="P770" s="90" t="n">
        <x:v>1893168.3</x:v>
      </x:c>
      <x:c r="Q770" s="90" t="n">
        <x:v>80820.13</x:v>
      </x:c>
      <x:c r="R770" s="90" t="n">
        <x:v>-14.06</x:v>
      </x:c>
      <x:c r="S770" s="90" t="n">
        <x:v>184.59</x:v>
      </x:c>
      <x:c r="T770" t="n">
        <x:v>1.12</x:v>
      </x:c>
      <x:c r="U770">
        <x:v>0</x:v>
      </x:c>
      <x:c r="V770">
        <x:v>0</x:v>
      </x:c>
      <x:c r="W770">
        <x:v>0</x:v>
      </x:c>
      <x:c r="X770">
        <x:v>0</x:v>
      </x:c>
      <x:c r="Y770">
        <x:v>0</x:v>
      </x:c>
      <x:c r="Z770" t="n">
        <x:v>-222.13</x:v>
      </x:c>
    </x:row>
    <x:row r="771" spans="1:26" ht="12.75" customHeight="1" x14ac:dyDescent="0.2">
      <x:c r="A771" s="89"/>
      <x:c r="B771" s="89"/>
      <x:c r="D771" t="s">
        <x:v>86</x:v>
      </x:c>
      <x:c r="E771" t="s">
        <x:v>70</x:v>
      </x:c>
      <x:c r="F771" s="90" t="n">
        <x:v>50687350.62</x:v>
      </x:c>
      <x:c r="G771" s="90" t="n">
        <x:v>4392105.26</x:v>
      </x:c>
      <x:c r="H771" s="90" t="n">
        <x:v>2237203.18</x:v>
      </x:c>
      <x:c r="I771" s="90" t="n">
        <x:v>1157261.32</x:v>
      </x:c>
      <x:c r="J771" s="90" t="n">
        <x:v>6308405.8</x:v>
      </x:c>
      <x:c r="K771" s="90" t="n">
        <x:v>404642.52</x:v>
      </x:c>
      <x:c r="L771" s="90" t="n">
        <x:v>186490.45</x:v>
      </x:c>
      <x:c r="M771" s="90" t="n">
        <x:v>3558070.41</x:v>
      </x:c>
      <x:c r="N771" s="90" t="n">
        <x:v>3352639.05</x:v>
      </x:c>
      <x:c r="O771" s="90" t="n">
        <x:v>15411412.54</x:v>
      </x:c>
      <x:c r="P771" s="90" t="n">
        <x:v>13018425.87</x:v>
      </x:c>
      <x:c r="Q771" s="90" t="n">
        <x:v>661423.03</x:v>
      </x:c>
      <x:c r="R771" s="90" t="n">
        <x:v>-692.39</x:v>
      </x:c>
      <x:c r="S771" s="90" t="n">
        <x:v>184.59</x:v>
      </x:c>
      <x:c r="T771" t="n">
        <x:v>1.12</x:v>
      </x:c>
      <x:c r="U771">
        <x:v>0</x:v>
      </x:c>
      <x:c r="V771">
        <x:v>0</x:v>
      </x:c>
      <x:c r="W771">
        <x:v>0</x:v>
      </x:c>
      <x:c r="X771">
        <x:v>0</x:v>
      </x:c>
      <x:c r="Y771">
        <x:v>0</x:v>
      </x:c>
      <x:c r="Z771" t="n">
        <x:v>-222.13</x:v>
      </x:c>
    </x:row>
    <x:row r="772" spans="1:26" ht="12.75" customHeight="1" x14ac:dyDescent="0.2">
      <x:c r="E772" s="89" t="s">
        <x:v>72</x:v>
      </x:c>
      <x:c r="F772" s="90" t="n">
        <x:v>130766002.62</x:v>
      </x:c>
      <x:c r="G772" s="90" t="n">
        <x:v>18437203.06</x:v>
      </x:c>
      <x:c r="H772" s="90" t="n">
        <x:v>10266134.05</x:v>
      </x:c>
      <x:c r="I772" s="90" t="n">
        <x:v>5453583.98</x:v>
      </x:c>
      <x:c r="J772" s="90" t="n">
        <x:v>9581556.29</x:v>
      </x:c>
      <x:c r="K772" s="90" t="n">
        <x:v>357019.7</x:v>
      </x:c>
      <x:c r="L772" s="90" t="n">
        <x:v>1725000</x:v>
      </x:c>
      <x:c r="M772" s="90" t="n">
        <x:v>3131962.98</x:v>
      </x:c>
      <x:c r="N772" s="90" t="n">
        <x:v>4059728.57</x:v>
      </x:c>
      <x:c r="O772" s="90" t="n">
        <x:v>21932631.62</x:v>
      </x:c>
      <x:c r="P772" s="90" t="n">
        <x:v>55229943.48</x:v>
      </x:c>
      <x:c r="Q772" s="90" t="n">
        <x:v>592334.46</x:v>
      </x:c>
      <x:c r="R772" s="90" t="n">
        <x:v>-1095.57</x:v>
      </x:c>
      <x:c r="S772" s="90" t="n">
        <x:v>0</x:v>
      </x:c>
      <x:c r="T772" t="n">
        <x:v>0</x:v>
      </x:c>
      <x:c r="U772">
        <x:v>0</x:v>
      </x:c>
      <x:c r="V772">
        <x:v>0</x:v>
      </x:c>
      <x:c r="W772">
        <x:v>0</x:v>
      </x:c>
      <x:c r="X772">
        <x:v>0</x:v>
      </x:c>
      <x:c r="Y772">
        <x:v>0</x:v>
      </x:c>
      <x:c r="Z772" t="n">
        <x:v>0</x:v>
      </x:c>
    </x:row>
    <x:row r="773" spans="1:26" ht="12.75" customHeight="1" x14ac:dyDescent="0.2">
      <x:c r="A773" s="89"/>
      <x:c r="B773" s="89"/>
      <x:c r="E773" t="s">
        <x:v>81</x:v>
      </x:c>
      <x:c r="F773" s="90" t="n">
        <x:v>1477308.68</x:v>
      </x:c>
      <x:c r="G773" s="90" t="n">
        <x:v>207551.98</x:v>
      </x:c>
      <x:c r="H773" s="90" t="n">
        <x:v>106665.88</x:v>
      </x:c>
      <x:c r="I773" s="90" t="n">
        <x:v>58069.89</x:v>
      </x:c>
      <x:c r="J773" s="90" t="n">
        <x:v>147707.72</x:v>
      </x:c>
      <x:c r="K773" s="90" t="n">
        <x:v>4097.68</x:v>
      </x:c>
      <x:c r="L773" s="90" t="n">
        <x:v>0</x:v>
      </x:c>
      <x:c r="M773" s="90" t="n">
        <x:v>35898.29</x:v>
      </x:c>
      <x:c r="N773" s="90" t="n">
        <x:v>47192.34</x:v>
      </x:c>
      <x:c r="O773" s="90" t="n">
        <x:v>240926.31</x:v>
      </x:c>
      <x:c r="P773" s="90" t="n">
        <x:v>622390.29</x:v>
      </x:c>
      <x:c r="Q773" s="90" t="n">
        <x:v>6807.89</x:v>
      </x:c>
      <x:c r="R773" s="90" t="n">
        <x:v>0.44</x:v>
      </x:c>
      <x:c r="S773" s="90" t="n">
        <x:v>-0.03</x:v>
      </x:c>
      <x:c r="T773" t="n">
        <x:v>0</x:v>
      </x:c>
      <x:c r="U773">
        <x:v>0</x:v>
      </x:c>
      <x:c r="V773">
        <x:v>0</x:v>
      </x:c>
      <x:c r="W773">
        <x:v>0</x:v>
      </x:c>
      <x:c r="X773">
        <x:v>0</x:v>
      </x:c>
      <x:c r="Y773">
        <x:v>0</x:v>
      </x:c>
      <x:c r="Z773" t="n">
        <x:v>0</x:v>
      </x:c>
    </x:row>
    <x:row r="774" spans="1:26" ht="12.75" customHeight="1" x14ac:dyDescent="0.2">
      <x:c r="D774" t="s">
        <x:v>87</x:v>
      </x:c>
      <x:c r="E774" s="89" t="s">
        <x:v>70</x:v>
      </x:c>
      <x:c r="F774" s="90" t="n">
        <x:v>132243311.3</x:v>
      </x:c>
      <x:c r="G774" s="90" t="n">
        <x:v>18644755.04</x:v>
      </x:c>
      <x:c r="H774" s="90" t="n">
        <x:v>10372799.93</x:v>
      </x:c>
      <x:c r="I774" s="90" t="n">
        <x:v>5511653.87</x:v>
      </x:c>
      <x:c r="J774" s="90" t="n">
        <x:v>9729264.01</x:v>
      </x:c>
      <x:c r="K774" s="90" t="n">
        <x:v>361117.38</x:v>
      </x:c>
      <x:c r="L774" s="90" t="n">
        <x:v>1725000</x:v>
      </x:c>
      <x:c r="M774" s="90" t="n">
        <x:v>3167861.27</x:v>
      </x:c>
      <x:c r="N774" s="90" t="n">
        <x:v>4106920.91</x:v>
      </x:c>
      <x:c r="O774" s="90" t="n">
        <x:v>22173557.93</x:v>
      </x:c>
      <x:c r="P774" s="90" t="n">
        <x:v>55852333.77</x:v>
      </x:c>
      <x:c r="Q774" s="90" t="n">
        <x:v>599142.35</x:v>
      </x:c>
      <x:c r="R774" s="90" t="n">
        <x:v>-1095.13</x:v>
      </x:c>
      <x:c r="S774" s="90" t="n">
        <x:v>-0.03</x:v>
      </x:c>
      <x:c r="T774" t="n">
        <x:v>0</x:v>
      </x:c>
      <x:c r="U774">
        <x:v>0</x:v>
      </x:c>
      <x:c r="V774">
        <x:v>0</x:v>
      </x:c>
      <x:c r="W774">
        <x:v>0</x:v>
      </x:c>
      <x:c r="X774">
        <x:v>0</x:v>
      </x:c>
      <x:c r="Y774">
        <x:v>0</x:v>
      </x:c>
      <x:c r="Z774" t="n">
        <x:v>0</x:v>
      </x:c>
    </x:row>
    <x:row r="775" spans="1:26" s="94" customFormat="1" ht="12.75" customHeight="1" x14ac:dyDescent="0.2">
      <x:c r="A775" s="101"/>
      <x:c r="B775" s="101"/>
      <x:c r="C775" s="94" t="s">
        <x:v>119</x:v>
      </x:c>
      <x:c r="D775" s="94" t="s">
        <x:v>70</x:v>
      </x:c>
      <x:c r="F775" s="93" t="n">
        <x:v>210061301.29</x:v>
      </x:c>
      <x:c r="G775" s="93" t="n">
        <x:v>24786889.5</x:v>
      </x:c>
      <x:c r="H775" s="93" t="n">
        <x:v>13584914.56</x:v>
      </x:c>
      <x:c r="I775" s="93" t="n">
        <x:v>7186958.84</x:v>
      </x:c>
      <x:c r="J775" s="93" t="n">
        <x:v>19986405.8</x:v>
      </x:c>
      <x:c r="K775" s="93" t="n">
        <x:v>938862.17</x:v>
      </x:c>
      <x:c r="L775" s="93" t="n">
        <x:v>1911490.45</x:v>
      </x:c>
      <x:c r="M775" s="93" t="n">
        <x:v>8239014.81</x:v>
      </x:c>
      <x:c r="N775" s="93" t="n">
        <x:v>9463322.46</x:v>
      </x:c>
      <x:c r="O775" s="93" t="n">
        <x:v>48310864.59</x:v>
      </x:c>
      <x:c r="P775" s="93" t="n">
        <x:v>74108516.11</x:v>
      </x:c>
      <x:c r="Q775" s="93" t="n">
        <x:v>1546588.55</x:v>
      </x:c>
      <x:c r="R775" s="93" t="n">
        <x:v>-2490.73</x:v>
      </x:c>
      <x:c r="S775" s="93" t="n">
        <x:v>184.53</x:v>
      </x:c>
      <x:c r="T775" s="94" t="n">
        <x:v>1.78</x:v>
      </x:c>
      <x:c r="U775" s="94">
        <x:v>0</x:v>
      </x:c>
      <x:c r="V775" s="94">
        <x:v>0</x:v>
      </x:c>
      <x:c r="W775" s="94">
        <x:v>0</x:v>
      </x:c>
      <x:c r="X775" s="94">
        <x:v>0</x:v>
      </x:c>
      <x:c r="Y775" s="94">
        <x:v>0</x:v>
      </x:c>
      <x:c r="Z775" s="94" t="n">
        <x:v>-222.13</x:v>
      </x:c>
    </x:row>
    <x:row r="776" spans="1:26" s="226" customFormat="1" ht="12.75" customHeight="1" x14ac:dyDescent="0.2">
      <x:c r="B776" s="226" t="s">
        <x:v>112</x:v>
      </x:c>
      <x:c r="C776" s="226" t="s">
        <x:v>70</x:v>
      </x:c>
      <x:c r="E776" s="98"/>
      <x:c r="F776" s="100" t="n">
        <x:v>13359789539.23</x:v>
      </x:c>
      <x:c r="G776" s="100" t="n">
        <x:v>697483550.35</x:v>
      </x:c>
      <x:c r="H776" s="100" t="n">
        <x:v>388259624.73</x:v>
      </x:c>
      <x:c r="I776" s="100" t="n">
        <x:v>206453897.29</x:v>
      </x:c>
      <x:c r="J776" s="100" t="n">
        <x:v>3256933254.8</x:v>
      </x:c>
      <x:c r="K776" s="100" t="n">
        <x:v>106089721.18</x:v>
      </x:c>
      <x:c r="L776" s="100" t="n">
        <x:v>12154250.72</x:v>
      </x:c>
      <x:c r="M776" s="100" t="n">
        <x:v>930507799.59</x:v>
      </x:c>
      <x:c r="N776" s="100" t="n">
        <x:v>903844784.82</x:v>
      </x:c>
      <x:c r="O776" s="100" t="n">
        <x:v>4612204182.57</x:v>
      </x:c>
      <x:c r="P776" s="100" t="n">
        <x:v>2072913975.94</x:v>
      </x:c>
      <x:c r="Q776" s="100" t="n">
        <x:v>173121721.61</x:v>
      </x:c>
      <x:c r="R776" s="100" t="n">
        <x:v>-177200.85</x:v>
      </x:c>
      <x:c r="S776" s="100" t="n">
        <x:v>191.97</x:v>
      </x:c>
      <x:c r="T776" s="226" t="n">
        <x:v>6.64</x:v>
      </x:c>
      <x:c r="U776" s="226">
        <x:v>0</x:v>
      </x:c>
      <x:c r="V776" s="226">
        <x:v>0</x:v>
      </x:c>
      <x:c r="W776" s="226">
        <x:v>0</x:v>
      </x:c>
      <x:c r="X776" s="226">
        <x:v>0</x:v>
      </x:c>
      <x:c r="Y776" s="226">
        <x:v>0</x:v>
      </x:c>
      <x:c r="Z776" s="226" t="n">
        <x:v>-222.13</x:v>
      </x:c>
    </x:row>
    <x:row r="777" spans="1:26" ht="13.5" customHeight="1" x14ac:dyDescent="0.2">
      <x:c r="A777" t="s">
        <x:v>78</x:v>
      </x:c>
      <x:c r="B777" t="s">
        <x:v>70</x:v>
      </x:c>
      <x:c r="E777" s="89"/>
      <x:c r="F777" s="90" t="n">
        <x:v>13359789539.23</x:v>
      </x:c>
      <x:c r="G777" s="90" t="n">
        <x:v>697483550.35</x:v>
      </x:c>
      <x:c r="H777" s="90" t="n">
        <x:v>388259624.73</x:v>
      </x:c>
      <x:c r="I777" s="90" t="n">
        <x:v>206453897.29</x:v>
      </x:c>
      <x:c r="J777" s="90" t="n">
        <x:v>3256933254.8</x:v>
      </x:c>
      <x:c r="K777" s="90" t="n">
        <x:v>106089721.18</x:v>
      </x:c>
      <x:c r="L777" s="90" t="n">
        <x:v>12154250.72</x:v>
      </x:c>
      <x:c r="M777" s="90" t="n">
        <x:v>930507799.59</x:v>
      </x:c>
      <x:c r="N777" s="90" t="n">
        <x:v>903844784.82</x:v>
      </x:c>
      <x:c r="O777" s="90" t="n">
        <x:v>4612204182.57</x:v>
      </x:c>
      <x:c r="P777" s="90" t="n">
        <x:v>2072913975.94</x:v>
      </x:c>
      <x:c r="Q777" s="90" t="n">
        <x:v>173121721.61</x:v>
      </x:c>
      <x:c r="R777" s="90" t="n">
        <x:v>-177200.85</x:v>
      </x:c>
      <x:c r="S777" s="90" t="n">
        <x:v>191.97</x:v>
      </x:c>
      <x:c r="T777" t="n">
        <x:v>6.64</x:v>
      </x:c>
      <x:c r="U777">
        <x:v>0</x:v>
      </x:c>
      <x:c r="V777">
        <x:v>0</x:v>
      </x:c>
      <x:c r="W777">
        <x:v>0</x:v>
      </x:c>
      <x:c r="X777">
        <x:v>0</x:v>
      </x:c>
      <x:c r="Y777">
        <x:v>0</x:v>
      </x:c>
      <x:c r="Z777" t="n">
        <x:v>-222.13</x:v>
      </x:c>
    </x:row>
    <x:row r="778" spans="1:26" x14ac:dyDescent="0.2">
      <x:c r="E778" t="s">
        <x:v>73</x:v>
      </x:c>
      <x:c r="F778" s="90">
        <x:v>0</x:v>
      </x:c>
      <x:c r="G778" s="90">
        <x:v>0</x:v>
      </x:c>
      <x:c r="H778" s="90">
        <x:v>0</x:v>
      </x:c>
      <x:c r="I778" s="90">
        <x:v>0</x:v>
      </x:c>
      <x:c r="J778" s="90">
        <x:v>0</x:v>
      </x:c>
      <x:c r="K778" s="90">
        <x:v>0</x:v>
      </x:c>
      <x:c r="L778" s="90">
        <x:v>0</x:v>
      </x:c>
      <x:c r="M778" s="90">
        <x:v>0</x:v>
      </x:c>
      <x:c r="N778" s="90">
        <x:v>0</x:v>
      </x:c>
      <x:c r="O778" s="90">
        <x:v>0</x:v>
      </x:c>
      <x:c r="P778" s="90">
        <x:v>0</x:v>
      </x:c>
      <x:c r="Q778" s="90">
        <x:v>0</x:v>
      </x:c>
      <x:c r="R778" s="90">
        <x:v>0</x:v>
      </x:c>
      <x:c r="S778" s="90">
        <x:v>0</x:v>
      </x:c>
      <x:c r="T778" s="90">
        <x:v>0</x:v>
      </x:c>
      <x:c r="U778">
        <x:v>0</x:v>
      </x:c>
      <x:c r="V778">
        <x:v>0</x:v>
      </x:c>
      <x:c r="W778">
        <x:v>0</x:v>
      </x:c>
      <x:c r="X778">
        <x:v>0</x:v>
      </x:c>
      <x:c r="Y778">
        <x:v>0</x:v>
      </x:c>
      <x:c r="Z778" s="90">
        <x:v>0</x:v>
      </x:c>
    </x:row>
    <x:row r="779" spans="1:26" x14ac:dyDescent="0.2">
      <x:c r="D779" t="s">
        <x:v>156</x:v>
      </x:c>
      <x:c r="E779" t="s">
        <x:v>70</x:v>
      </x:c>
      <x:c r="F779" s="90">
        <x:v>0</x:v>
      </x:c>
      <x:c r="G779" s="90">
        <x:v>0</x:v>
      </x:c>
      <x:c r="H779" s="90">
        <x:v>0</x:v>
      </x:c>
      <x:c r="I779" s="90">
        <x:v>0</x:v>
      </x:c>
      <x:c r="J779" s="90">
        <x:v>0</x:v>
      </x:c>
      <x:c r="K779" s="90">
        <x:v>0</x:v>
      </x:c>
      <x:c r="L779" s="90">
        <x:v>0</x:v>
      </x:c>
      <x:c r="M779" s="90">
        <x:v>0</x:v>
      </x:c>
      <x:c r="N779" s="90">
        <x:v>0</x:v>
      </x:c>
      <x:c r="O779" s="90">
        <x:v>0</x:v>
      </x:c>
      <x:c r="P779" s="90">
        <x:v>0</x:v>
      </x:c>
      <x:c r="Q779" s="90">
        <x:v>0</x:v>
      </x:c>
      <x:c r="R779" s="90">
        <x:v>0</x:v>
      </x:c>
      <x:c r="S779" s="90">
        <x:v>0</x:v>
      </x:c>
      <x:c r="T779" s="90">
        <x:v>0</x:v>
      </x:c>
      <x:c r="U779">
        <x:v>0</x:v>
      </x:c>
      <x:c r="V779">
        <x:v>0</x:v>
      </x:c>
      <x:c r="W779">
        <x:v>0</x:v>
      </x:c>
      <x:c r="X779">
        <x:v>0</x:v>
      </x:c>
      <x:c r="Y779">
        <x:v>0</x:v>
      </x:c>
      <x:c r="Z779" s="90">
        <x:v>0</x:v>
      </x:c>
    </x:row>
    <x:row r="780" spans="1:26" s="286" customFormat="1" ht="12.75" customHeight="1" x14ac:dyDescent="0.2">
      <x:c r="C780" s="286" t="s">
        <x:v>155</x:v>
      </x:c>
      <x:c r="D780" s="286" t="s">
        <x:v>70</x:v>
      </x:c>
      <x:c r="E780" s="229"/>
      <x:c r="F780" s="229">
        <x:v>0</x:v>
      </x:c>
      <x:c r="G780" s="230">
        <x:v>0</x:v>
      </x:c>
      <x:c r="H780" s="230">
        <x:v>0</x:v>
      </x:c>
      <x:c r="I780" s="230">
        <x:v>0</x:v>
      </x:c>
      <x:c r="J780" s="230">
        <x:v>0</x:v>
      </x:c>
      <x:c r="K780" s="230">
        <x:v>0</x:v>
      </x:c>
      <x:c r="L780" s="230">
        <x:v>0</x:v>
      </x:c>
      <x:c r="M780" s="230">
        <x:v>0</x:v>
      </x:c>
      <x:c r="N780" s="230">
        <x:v>0</x:v>
      </x:c>
      <x:c r="O780" s="230">
        <x:v>0</x:v>
      </x:c>
      <x:c r="P780" s="230">
        <x:v>0</x:v>
      </x:c>
      <x:c r="Q780" s="230">
        <x:v>0</x:v>
      </x:c>
      <x:c r="R780" s="230">
        <x:v>0</x:v>
      </x:c>
      <x:c r="S780" s="230">
        <x:v>0</x:v>
      </x:c>
      <x:c r="T780" s="230">
        <x:v>0</x:v>
      </x:c>
      <x:c r="U780" s="230">
        <x:v>0</x:v>
      </x:c>
      <x:c r="V780" s="230">
        <x:v>0</x:v>
      </x:c>
      <x:c r="W780" s="230">
        <x:v>0</x:v>
      </x:c>
      <x:c r="X780" s="230">
        <x:v>0</x:v>
      </x:c>
      <x:c r="Y780" s="230">
        <x:v>0</x:v>
      </x:c>
      <x:c r="Z780" s="230">
        <x:v>0</x:v>
      </x:c>
    </x:row>
    <x:row r="781" spans="1:26" x14ac:dyDescent="0.2">
      <x:c r="E781" t="s">
        <x:v>73</x:v>
      </x:c>
      <x:c r="F781" s="90">
        <x:v>0</x:v>
      </x:c>
      <x:c r="G781" s="90">
        <x:v>0</x:v>
      </x:c>
      <x:c r="H781" s="90">
        <x:v>0</x:v>
      </x:c>
      <x:c r="I781" s="90">
        <x:v>0</x:v>
      </x:c>
      <x:c r="J781" s="90">
        <x:v>0</x:v>
      </x:c>
      <x:c r="K781" s="90">
        <x:v>0</x:v>
      </x:c>
      <x:c r="L781" s="90">
        <x:v>0</x:v>
      </x:c>
      <x:c r="M781" s="90">
        <x:v>0</x:v>
      </x:c>
      <x:c r="N781" s="90">
        <x:v>0</x:v>
      </x:c>
      <x:c r="O781" s="90">
        <x:v>0</x:v>
      </x:c>
      <x:c r="P781" s="90">
        <x:v>0</x:v>
      </x:c>
      <x:c r="Q781" s="90">
        <x:v>0</x:v>
      </x:c>
      <x:c r="R781" s="90">
        <x:v>0</x:v>
      </x:c>
      <x:c r="S781" s="90">
        <x:v>0</x:v>
      </x:c>
      <x:c r="T781" s="90">
        <x:v>0</x:v>
      </x:c>
      <x:c r="U781">
        <x:v>0</x:v>
      </x:c>
      <x:c r="V781">
        <x:v>0</x:v>
      </x:c>
      <x:c r="W781">
        <x:v>0</x:v>
      </x:c>
      <x:c r="X781">
        <x:v>0</x:v>
      </x:c>
      <x:c r="Y781">
        <x:v>0</x:v>
      </x:c>
      <x:c r="Z781" s="90">
        <x:v>0</x:v>
      </x:c>
    </x:row>
    <x:row r="782" spans="1:26" x14ac:dyDescent="0.2">
      <x:c r="D782" t="s">
        <x:v>156</x:v>
      </x:c>
      <x:c r="E782" t="s">
        <x:v>70</x:v>
      </x:c>
      <x:c r="F782" s="90">
        <x:v>0</x:v>
      </x:c>
      <x:c r="G782" s="90">
        <x:v>0</x:v>
      </x:c>
      <x:c r="H782" s="90">
        <x:v>0</x:v>
      </x:c>
      <x:c r="I782" s="90">
        <x:v>0</x:v>
      </x:c>
      <x:c r="J782" s="90">
        <x:v>0</x:v>
      </x:c>
      <x:c r="K782" s="90">
        <x:v>0</x:v>
      </x:c>
      <x:c r="L782" s="90">
        <x:v>0</x:v>
      </x:c>
      <x:c r="M782" s="90">
        <x:v>0</x:v>
      </x:c>
      <x:c r="N782" s="90">
        <x:v>0</x:v>
      </x:c>
      <x:c r="O782" s="90">
        <x:v>0</x:v>
      </x:c>
      <x:c r="P782" s="90">
        <x:v>0</x:v>
      </x:c>
      <x:c r="Q782" s="90">
        <x:v>0</x:v>
      </x:c>
      <x:c r="R782" s="90">
        <x:v>0</x:v>
      </x:c>
      <x:c r="S782" s="90">
        <x:v>0</x:v>
      </x:c>
      <x:c r="T782" s="90">
        <x:v>0</x:v>
      </x:c>
      <x:c r="U782">
        <x:v>0</x:v>
      </x:c>
      <x:c r="V782">
        <x:v>0</x:v>
      </x:c>
      <x:c r="W782">
        <x:v>0</x:v>
      </x:c>
      <x:c r="X782">
        <x:v>0</x:v>
      </x:c>
      <x:c r="Y782">
        <x:v>0</x:v>
      </x:c>
      <x:c r="Z782" s="90">
        <x:v>0</x:v>
      </x:c>
    </x:row>
    <x:row r="783" spans="1:26" s="739" customFormat="1" ht="12.75" customHeight="1" x14ac:dyDescent="0.2">
      <x:c r="C783" s="739" t="s">
        <x:v>326</x:v>
      </x:c>
      <x:c r="D783" s="739" t="s">
        <x:v>70</x:v>
      </x:c>
      <x:c r="E783" s="231"/>
      <x:c r="F783" s="740">
        <x:v>0</x:v>
      </x:c>
      <x:c r="G783" s="232">
        <x:v>0</x:v>
      </x:c>
      <x:c r="H783" s="232">
        <x:v>0</x:v>
      </x:c>
      <x:c r="I783" s="232">
        <x:v>0</x:v>
      </x:c>
      <x:c r="J783" s="232">
        <x:v>0</x:v>
      </x:c>
      <x:c r="K783" s="232">
        <x:v>0</x:v>
      </x:c>
      <x:c r="L783" s="232">
        <x:v>0</x:v>
      </x:c>
      <x:c r="M783" s="232">
        <x:v>0</x:v>
      </x:c>
      <x:c r="N783" s="232">
        <x:v>0</x:v>
      </x:c>
      <x:c r="O783" s="232">
        <x:v>0</x:v>
      </x:c>
      <x:c r="P783" s="232">
        <x:v>0</x:v>
      </x:c>
      <x:c r="Q783" s="232">
        <x:v>0</x:v>
      </x:c>
      <x:c r="R783" s="232">
        <x:v>0</x:v>
      </x:c>
      <x:c r="S783" s="232">
        <x:v>0</x:v>
      </x:c>
      <x:c r="T783" s="739">
        <x:v>0</x:v>
      </x:c>
      <x:c r="U783" s="739">
        <x:v>0</x:v>
      </x:c>
      <x:c r="V783" s="739">
        <x:v>0</x:v>
      </x:c>
      <x:c r="W783" s="739">
        <x:v>0</x:v>
      </x:c>
      <x:c r="X783" s="739">
        <x:v>0</x:v>
      </x:c>
      <x:c r="Y783" s="739">
        <x:v>0</x:v>
      </x:c>
      <x:c r="Z783" s="739">
        <x:v>0</x:v>
      </x:c>
    </x:row>
    <x:row r="784" spans="1:26" x14ac:dyDescent="0.2">
      <x:c r="E784" t="s">
        <x:v>73</x:v>
      </x:c>
      <x:c r="F784" s="90">
        <x:v>0</x:v>
      </x:c>
      <x:c r="G784" s="90">
        <x:v>0</x:v>
      </x:c>
      <x:c r="H784" s="90">
        <x:v>0</x:v>
      </x:c>
      <x:c r="I784" s="90">
        <x:v>0</x:v>
      </x:c>
      <x:c r="J784" s="90">
        <x:v>0</x:v>
      </x:c>
      <x:c r="K784" s="90">
        <x:v>0</x:v>
      </x:c>
      <x:c r="L784" s="90">
        <x:v>0</x:v>
      </x:c>
      <x:c r="M784" s="90">
        <x:v>0</x:v>
      </x:c>
      <x:c r="N784" s="90">
        <x:v>0</x:v>
      </x:c>
      <x:c r="O784" s="90">
        <x:v>0</x:v>
      </x:c>
      <x:c r="P784" s="90">
        <x:v>0</x:v>
      </x:c>
      <x:c r="Q784" s="90">
        <x:v>0</x:v>
      </x:c>
      <x:c r="R784" s="90">
        <x:v>0</x:v>
      </x:c>
      <x:c r="S784" s="90">
        <x:v>0</x:v>
      </x:c>
      <x:c r="T784" s="90">
        <x:v>0</x:v>
      </x:c>
      <x:c r="U784">
        <x:v>0</x:v>
      </x:c>
      <x:c r="V784">
        <x:v>0</x:v>
      </x:c>
      <x:c r="W784">
        <x:v>0</x:v>
      </x:c>
      <x:c r="X784">
        <x:v>0</x:v>
      </x:c>
      <x:c r="Y784">
        <x:v>0</x:v>
      </x:c>
      <x:c r="Z784" s="90">
        <x:v>0</x:v>
      </x:c>
    </x:row>
    <x:row r="785" spans="1:26" x14ac:dyDescent="0.2">
      <x:c r="D785" t="s">
        <x:v>82</x:v>
      </x:c>
      <x:c r="E785" t="s">
        <x:v>70</x:v>
      </x:c>
      <x:c r="F785" s="90">
        <x:v>0</x:v>
      </x:c>
      <x:c r="G785" s="90">
        <x:v>0</x:v>
      </x:c>
      <x:c r="H785" s="90">
        <x:v>0</x:v>
      </x:c>
      <x:c r="I785" s="90">
        <x:v>0</x:v>
      </x:c>
      <x:c r="J785" s="90">
        <x:v>0</x:v>
      </x:c>
      <x:c r="K785" s="90">
        <x:v>0</x:v>
      </x:c>
      <x:c r="L785" s="90">
        <x:v>0</x:v>
      </x:c>
      <x:c r="M785" s="90">
        <x:v>0</x:v>
      </x:c>
      <x:c r="N785" s="90">
        <x:v>0</x:v>
      </x:c>
      <x:c r="O785" s="90">
        <x:v>0</x:v>
      </x:c>
      <x:c r="P785" s="90">
        <x:v>0</x:v>
      </x:c>
      <x:c r="Q785" s="90">
        <x:v>0</x:v>
      </x:c>
      <x:c r="R785" s="90">
        <x:v>0</x:v>
      </x:c>
      <x:c r="S785" s="90">
        <x:v>0</x:v>
      </x:c>
      <x:c r="T785" s="90">
        <x:v>0</x:v>
      </x:c>
      <x:c r="U785">
        <x:v>0</x:v>
      </x:c>
      <x:c r="V785">
        <x:v>0</x:v>
      </x:c>
      <x:c r="W785">
        <x:v>0</x:v>
      </x:c>
      <x:c r="X785">
        <x:v>0</x:v>
      </x:c>
      <x:c r="Y785">
        <x:v>0</x:v>
      </x:c>
      <x:c r="Z785" s="90">
        <x:v>0</x:v>
      </x:c>
    </x:row>
    <x:row r="786" spans="1:26" x14ac:dyDescent="0.2">
      <x:c r="E786" t="s">
        <x:v>73</x:v>
      </x:c>
      <x:c r="F786" s="90">
        <x:v>0</x:v>
      </x:c>
      <x:c r="G786" s="90">
        <x:v>0</x:v>
      </x:c>
      <x:c r="H786" s="90">
        <x:v>0</x:v>
      </x:c>
      <x:c r="I786" s="90">
        <x:v>0</x:v>
      </x:c>
      <x:c r="J786" s="90">
        <x:v>0</x:v>
      </x:c>
      <x:c r="K786" s="90">
        <x:v>0</x:v>
      </x:c>
      <x:c r="L786" s="90">
        <x:v>0</x:v>
      </x:c>
      <x:c r="M786" s="90">
        <x:v>0</x:v>
      </x:c>
      <x:c r="N786" s="90">
        <x:v>0</x:v>
      </x:c>
      <x:c r="O786" s="90">
        <x:v>0</x:v>
      </x:c>
      <x:c r="P786" s="90">
        <x:v>0</x:v>
      </x:c>
      <x:c r="Q786" s="90">
        <x:v>0</x:v>
      </x:c>
      <x:c r="R786" s="90">
        <x:v>0</x:v>
      </x:c>
      <x:c r="S786" s="90">
        <x:v>0</x:v>
      </x:c>
      <x:c r="T786" s="90">
        <x:v>0</x:v>
      </x:c>
      <x:c r="U786">
        <x:v>0</x:v>
      </x:c>
      <x:c r="V786">
        <x:v>0</x:v>
      </x:c>
      <x:c r="W786">
        <x:v>0</x:v>
      </x:c>
      <x:c r="X786">
        <x:v>0</x:v>
      </x:c>
      <x:c r="Y786">
        <x:v>0</x:v>
      </x:c>
      <x:c r="Z786" s="90">
        <x:v>0</x:v>
      </x:c>
    </x:row>
    <x:row r="787" spans="1:26" x14ac:dyDescent="0.2">
      <x:c r="D787" t="s">
        <x:v>86</x:v>
      </x:c>
      <x:c r="E787" t="s">
        <x:v>70</x:v>
      </x:c>
      <x:c r="F787" s="90">
        <x:v>0</x:v>
      </x:c>
      <x:c r="G787" s="90">
        <x:v>0</x:v>
      </x:c>
      <x:c r="H787" s="90">
        <x:v>0</x:v>
      </x:c>
      <x:c r="I787" s="90">
        <x:v>0</x:v>
      </x:c>
      <x:c r="J787" s="90">
        <x:v>0</x:v>
      </x:c>
      <x:c r="K787" s="90">
        <x:v>0</x:v>
      </x:c>
      <x:c r="L787" s="90">
        <x:v>0</x:v>
      </x:c>
      <x:c r="M787" s="90">
        <x:v>0</x:v>
      </x:c>
      <x:c r="N787" s="90">
        <x:v>0</x:v>
      </x:c>
      <x:c r="O787" s="90">
        <x:v>0</x:v>
      </x:c>
      <x:c r="P787" s="90">
        <x:v>0</x:v>
      </x:c>
      <x:c r="Q787" s="90">
        <x:v>0</x:v>
      </x:c>
      <x:c r="R787" s="90">
        <x:v>0</x:v>
      </x:c>
      <x:c r="S787" s="90">
        <x:v>0</x:v>
      </x:c>
      <x:c r="T787" s="90">
        <x:v>0</x:v>
      </x:c>
      <x:c r="U787">
        <x:v>0</x:v>
      </x:c>
      <x:c r="V787">
        <x:v>0</x:v>
      </x:c>
      <x:c r="W787">
        <x:v>0</x:v>
      </x:c>
      <x:c r="X787">
        <x:v>0</x:v>
      </x:c>
      <x:c r="Y787">
        <x:v>0</x:v>
      </x:c>
      <x:c r="Z787" s="90">
        <x:v>0</x:v>
      </x:c>
    </x:row>
    <x:row r="788" spans="1:26" x14ac:dyDescent="0.2">
      <x:c r="E788" t="s">
        <x:v>73</x:v>
      </x:c>
      <x:c r="F788" s="90">
        <x:v>0</x:v>
      </x:c>
      <x:c r="G788" s="90">
        <x:v>0</x:v>
      </x:c>
      <x:c r="H788" s="90">
        <x:v>0</x:v>
      </x:c>
      <x:c r="I788" s="90">
        <x:v>0</x:v>
      </x:c>
      <x:c r="J788" s="90">
        <x:v>0</x:v>
      </x:c>
      <x:c r="K788" s="90">
        <x:v>0</x:v>
      </x:c>
      <x:c r="L788" s="90">
        <x:v>0</x:v>
      </x:c>
      <x:c r="M788" s="90">
        <x:v>0</x:v>
      </x:c>
      <x:c r="N788" s="90">
        <x:v>0</x:v>
      </x:c>
      <x:c r="O788" s="90">
        <x:v>0</x:v>
      </x:c>
      <x:c r="P788" s="90">
        <x:v>0</x:v>
      </x:c>
      <x:c r="Q788" s="90">
        <x:v>0</x:v>
      </x:c>
      <x:c r="R788" s="90">
        <x:v>0</x:v>
      </x:c>
      <x:c r="S788" s="90">
        <x:v>0</x:v>
      </x:c>
      <x:c r="T788" s="90">
        <x:v>0</x:v>
      </x:c>
      <x:c r="U788">
        <x:v>0</x:v>
      </x:c>
      <x:c r="V788">
        <x:v>0</x:v>
      </x:c>
      <x:c r="W788">
        <x:v>0</x:v>
      </x:c>
      <x:c r="X788">
        <x:v>0</x:v>
      </x:c>
      <x:c r="Y788">
        <x:v>0</x:v>
      </x:c>
      <x:c r="Z788" s="90">
        <x:v>0</x:v>
      </x:c>
    </x:row>
    <x:row r="789" spans="1:26" x14ac:dyDescent="0.2">
      <x:c r="D789" t="s">
        <x:v>87</x:v>
      </x:c>
      <x:c r="E789" t="s">
        <x:v>70</x:v>
      </x:c>
      <x:c r="F789" s="90">
        <x:v>0</x:v>
      </x:c>
      <x:c r="G789" s="90">
        <x:v>0</x:v>
      </x:c>
      <x:c r="H789" s="90">
        <x:v>0</x:v>
      </x:c>
      <x:c r="I789" s="90">
        <x:v>0</x:v>
      </x:c>
      <x:c r="J789" s="90">
        <x:v>0</x:v>
      </x:c>
      <x:c r="K789" s="90">
        <x:v>0</x:v>
      </x:c>
      <x:c r="L789" s="90">
        <x:v>0</x:v>
      </x:c>
      <x:c r="M789" s="90">
        <x:v>0</x:v>
      </x:c>
      <x:c r="N789" s="90">
        <x:v>0</x:v>
      </x:c>
      <x:c r="O789" s="90">
        <x:v>0</x:v>
      </x:c>
      <x:c r="P789" s="90">
        <x:v>0</x:v>
      </x:c>
      <x:c r="Q789" s="90">
        <x:v>0</x:v>
      </x:c>
      <x:c r="R789" s="90">
        <x:v>0</x:v>
      </x:c>
      <x:c r="S789" s="90">
        <x:v>0</x:v>
      </x:c>
      <x:c r="T789" s="90">
        <x:v>0</x:v>
      </x:c>
      <x:c r="U789">
        <x:v>0</x:v>
      </x:c>
      <x:c r="V789">
        <x:v>0</x:v>
      </x:c>
      <x:c r="W789">
        <x:v>0</x:v>
      </x:c>
      <x:c r="X789">
        <x:v>0</x:v>
      </x:c>
      <x:c r="Y789">
        <x:v>0</x:v>
      </x:c>
      <x:c r="Z789" s="90">
        <x:v>0</x:v>
      </x:c>
    </x:row>
    <x:row r="790" spans="1:26" s="94" customFormat="1" ht="12.75" customHeight="1" x14ac:dyDescent="0.2">
      <x:c r="C790" s="101" t="s">
        <x:v>119</x:v>
      </x:c>
      <x:c r="D790" s="101" t="s">
        <x:v>70</x:v>
      </x:c>
      <x:c r="F790" s="93">
        <x:v>0</x:v>
      </x:c>
      <x:c r="G790" s="93">
        <x:v>0</x:v>
      </x:c>
      <x:c r="H790" s="93">
        <x:v>0</x:v>
      </x:c>
      <x:c r="I790" s="93">
        <x:v>0</x:v>
      </x:c>
      <x:c r="J790" s="93">
        <x:v>0</x:v>
      </x:c>
      <x:c r="K790" s="93">
        <x:v>0</x:v>
      </x:c>
      <x:c r="L790" s="93">
        <x:v>0</x:v>
      </x:c>
      <x:c r="M790" s="93">
        <x:v>0</x:v>
      </x:c>
      <x:c r="N790" s="93">
        <x:v>0</x:v>
      </x:c>
      <x:c r="O790" s="93">
        <x:v>0</x:v>
      </x:c>
      <x:c r="P790" s="93">
        <x:v>0</x:v>
      </x:c>
      <x:c r="Q790" s="93">
        <x:v>0</x:v>
      </x:c>
      <x:c r="R790" s="93">
        <x:v>0</x:v>
      </x:c>
      <x:c r="S790" s="93">
        <x:v>0</x:v>
      </x:c>
      <x:c r="T790" s="93">
        <x:v>0</x:v>
      </x:c>
      <x:c r="U790" s="93">
        <x:v>0</x:v>
      </x:c>
      <x:c r="V790" s="93">
        <x:v>0</x:v>
      </x:c>
      <x:c r="W790" s="93">
        <x:v>0</x:v>
      </x:c>
      <x:c r="X790" s="93">
        <x:v>0</x:v>
      </x:c>
      <x:c r="Y790" s="93">
        <x:v>0</x:v>
      </x:c>
      <x:c r="Z790" s="93">
        <x:v>0</x:v>
      </x:c>
    </x:row>
    <x:row r="791" spans="1:26" s="378" customFormat="1" ht="12.75" customHeight="1" x14ac:dyDescent="0.2">
      <x:c r="B791" s="378" t="s">
        <x:v>122</x:v>
      </x:c>
      <x:c r="C791" s="378" t="s">
        <x:v>70</x:v>
      </x:c>
      <x:c r="E791" s="376"/>
      <x:c r="F791" s="710">
        <x:v>0</x:v>
      </x:c>
      <x:c r="G791" s="377">
        <x:v>0</x:v>
      </x:c>
      <x:c r="H791" s="377">
        <x:v>0</x:v>
      </x:c>
      <x:c r="I791" s="377">
        <x:v>0</x:v>
      </x:c>
      <x:c r="J791" s="377">
        <x:v>0</x:v>
      </x:c>
      <x:c r="K791" s="377">
        <x:v>0</x:v>
      </x:c>
      <x:c r="L791" s="377">
        <x:v>0</x:v>
      </x:c>
      <x:c r="M791" s="377">
        <x:v>0</x:v>
      </x:c>
      <x:c r="N791" s="377">
        <x:v>0</x:v>
      </x:c>
      <x:c r="O791" s="377">
        <x:v>0</x:v>
      </x:c>
      <x:c r="P791" s="377">
        <x:v>0</x:v>
      </x:c>
      <x:c r="Q791" s="377">
        <x:v>0</x:v>
      </x:c>
      <x:c r="R791" s="377">
        <x:v>0</x:v>
      </x:c>
      <x:c r="S791" s="377">
        <x:v>0</x:v>
      </x:c>
      <x:c r="T791" s="377">
        <x:v>0</x:v>
      </x:c>
      <x:c r="U791" s="377">
        <x:v>0</x:v>
      </x:c>
      <x:c r="V791" s="377">
        <x:v>0</x:v>
      </x:c>
      <x:c r="W791" s="377">
        <x:v>0</x:v>
      </x:c>
      <x:c r="X791" s="377">
        <x:v>0</x:v>
      </x:c>
      <x:c r="Y791" s="377">
        <x:v>0</x:v>
      </x:c>
      <x:c r="Z791" s="377">
        <x:v>0</x:v>
      </x:c>
    </x:row>
    <x:row r="792" spans="1:26" ht="12.75" customHeight="1" x14ac:dyDescent="0.2">
      <x:c r="E792" s="89" t="s">
        <x:v>73</x:v>
      </x:c>
      <x:c r="F792" s="371" t="n">
        <x:v>-1068991619.42</x:v>
      </x:c>
      <x:c r="G792" s="90" t="n">
        <x:v>-26955000.01</x:v>
      </x:c>
      <x:c r="H792" s="90" t="n">
        <x:v>-15048174.15</x:v>
      </x:c>
      <x:c r="I792" s="90" t="n">
        <x:v>-8012548.98</x:v>
      </x:c>
      <x:c r="J792" s="90" t="n">
        <x:v>-309977205.54</x:v>
      </x:c>
      <x:c r="K792" s="90" t="n">
        <x:v>-9872576.13</x:v>
      </x:c>
      <x:c r="L792" s="90" t="n">
        <x:v>0</x:v>
      </x:c>
      <x:c r="M792" s="90" t="n">
        <x:v>-86660839.92</x:v>
      </x:c>
      <x:c r="N792" s="90" t="n">
        <x:v>-85962039.35</x:v>
      </x:c>
      <x:c r="O792" s="90" t="n">
        <x:v>-431618951.46</x:v>
      </x:c>
      <x:c r="P792" s="90" t="n">
        <x:v>-78771208.95</x:v>
      </x:c>
      <x:c r="Q792" s="90" t="n">
        <x:v>-16113074.93</x:v>
      </x:c>
      <x:c r="R792" s="90" t="n">
        <x:v>0</x:v>
      </x:c>
      <x:c r="S792" s="90" t="n">
        <x:v>0</x:v>
      </x:c>
      <x:c r="T792" t="n">
        <x:v>0</x:v>
      </x:c>
      <x:c r="U792">
        <x:v>0</x:v>
      </x:c>
      <x:c r="V792">
        <x:v>0</x:v>
      </x:c>
      <x:c r="W792">
        <x:v>0</x:v>
      </x:c>
      <x:c r="X792">
        <x:v>0</x:v>
      </x:c>
      <x:c r="Y792">
        <x:v>0</x:v>
      </x:c>
      <x:c r="Z792" t="n">
        <x:v>0</x:v>
      </x:c>
    </x:row>
    <x:row r="793" spans="1:26" ht="12.75" customHeight="1" x14ac:dyDescent="0.2">
      <x:c r="D793" t="s">
        <x:v>156</x:v>
      </x:c>
      <x:c r="E793" s="89" t="s">
        <x:v>70</x:v>
      </x:c>
      <x:c r="F793" s="371" t="n">
        <x:v>-1068991619.42</x:v>
      </x:c>
      <x:c r="G793" s="90" t="n">
        <x:v>-26955000.01</x:v>
      </x:c>
      <x:c r="H793" s="90" t="n">
        <x:v>-15048174.15</x:v>
      </x:c>
      <x:c r="I793" s="90" t="n">
        <x:v>-8012548.98</x:v>
      </x:c>
      <x:c r="J793" s="90" t="n">
        <x:v>-309977205.54</x:v>
      </x:c>
      <x:c r="K793" s="90" t="n">
        <x:v>-9872576.13</x:v>
      </x:c>
      <x:c r="L793" s="90" t="n">
        <x:v>0</x:v>
      </x:c>
      <x:c r="M793" s="90" t="n">
        <x:v>-86660839.92</x:v>
      </x:c>
      <x:c r="N793" s="90" t="n">
        <x:v>-85962039.35</x:v>
      </x:c>
      <x:c r="O793" s="90" t="n">
        <x:v>-431618951.46</x:v>
      </x:c>
      <x:c r="P793" s="90" t="n">
        <x:v>-78771208.95</x:v>
      </x:c>
      <x:c r="Q793" s="90" t="n">
        <x:v>-16113074.93</x:v>
      </x:c>
      <x:c r="R793" s="90" t="n">
        <x:v>0</x:v>
      </x:c>
      <x:c r="S793" s="90" t="n">
        <x:v>0</x:v>
      </x:c>
      <x:c r="T793" t="n">
        <x:v>0</x:v>
      </x:c>
      <x:c r="U793">
        <x:v>0</x:v>
      </x:c>
      <x:c r="V793">
        <x:v>0</x:v>
      </x:c>
      <x:c r="W793">
        <x:v>0</x:v>
      </x:c>
      <x:c r="X793">
        <x:v>0</x:v>
      </x:c>
      <x:c r="Y793">
        <x:v>0</x:v>
      </x:c>
      <x:c r="Z793" t="n">
        <x:v>0</x:v>
      </x:c>
    </x:row>
    <x:row r="794" spans="1:26" s="656" customFormat="1" ht="12.75" customHeight="1" x14ac:dyDescent="0.2">
      <x:c r="A794" s="657"/>
      <x:c r="B794" s="657"/>
      <x:c r="C794" s="656" t="s">
        <x:v>155</x:v>
      </x:c>
      <x:c r="D794" s="656" t="s">
        <x:v>70</x:v>
      </x:c>
      <x:c r="F794" s="658" t="n">
        <x:v>-1068991619.42</x:v>
      </x:c>
      <x:c r="G794" s="658" t="n">
        <x:v>-26955000.01</x:v>
      </x:c>
      <x:c r="H794" s="658" t="n">
        <x:v>-15048174.15</x:v>
      </x:c>
      <x:c r="I794" s="658" t="n">
        <x:v>-8012548.98</x:v>
      </x:c>
      <x:c r="J794" s="658" t="n">
        <x:v>-309977205.54</x:v>
      </x:c>
      <x:c r="K794" s="658" t="n">
        <x:v>-9872576.13</x:v>
      </x:c>
      <x:c r="L794" s="658" t="n">
        <x:v>0</x:v>
      </x:c>
      <x:c r="M794" s="658" t="n">
        <x:v>-86660839.92</x:v>
      </x:c>
      <x:c r="N794" s="658" t="n">
        <x:v>-85962039.35</x:v>
      </x:c>
      <x:c r="O794" s="658" t="n">
        <x:v>-431618951.46</x:v>
      </x:c>
      <x:c r="P794" s="658" t="n">
        <x:v>-78771208.95</x:v>
      </x:c>
      <x:c r="Q794" s="658" t="n">
        <x:v>-16113074.93</x:v>
      </x:c>
      <x:c r="R794" s="658" t="n">
        <x:v>0</x:v>
      </x:c>
      <x:c r="S794" s="658" t="n">
        <x:v>0</x:v>
      </x:c>
      <x:c r="T794" s="656" t="n">
        <x:v>0</x:v>
      </x:c>
      <x:c r="U794" s="656">
        <x:v>0</x:v>
      </x:c>
      <x:c r="V794" s="656">
        <x:v>0</x:v>
      </x:c>
      <x:c r="W794" s="656">
        <x:v>0</x:v>
      </x:c>
      <x:c r="X794" s="656">
        <x:v>0</x:v>
      </x:c>
      <x:c r="Y794" s="656">
        <x:v>0</x:v>
      </x:c>
      <x:c r="Z794" s="656" t="n">
        <x:v>0</x:v>
      </x:c>
    </x:row>
    <x:row r="795" spans="1:26" ht="12.75" customHeight="1" x14ac:dyDescent="0.2">
      <x:c r="E795" s="89" t="s">
        <x:v>73</x:v>
      </x:c>
      <x:c r="F795" s="371" t="n">
        <x:v>-4922796.52</x:v>
      </x:c>
      <x:c r="G795" s="90" t="n">
        <x:v>-246580.75</x:v>
      </x:c>
      <x:c r="H795" s="90" t="n">
        <x:v>-137640.37</x:v>
      </x:c>
      <x:c r="I795" s="90" t="n">
        <x:v>-72989.58</x:v>
      </x:c>
      <x:c r="J795" s="90" t="n">
        <x:v>-1115833.37</x:v>
      </x:c>
      <x:c r="K795" s="90" t="n">
        <x:v>-40549.72</x:v>
      </x:c>
      <x:c r="L795" s="90" t="n">
        <x:v>0</x:v>
      </x:c>
      <x:c r="M795" s="90" t="n">
        <x:v>-354991.52</x:v>
      </x:c>
      <x:c r="N795" s="90" t="n">
        <x:v>-352681.96</x:v>
      </x:c>
      <x:c r="O795" s="90" t="n">
        <x:v>-1795528.16</x:v>
      </x:c>
      <x:c r="P795" s="90" t="n">
        <x:v>-739842.15</x:v>
      </x:c>
      <x:c r="Q795" s="90" t="n">
        <x:v>-66158.94</x:v>
      </x:c>
      <x:c r="R795" s="90" t="n">
        <x:v>0</x:v>
      </x:c>
      <x:c r="S795" s="90" t="n">
        <x:v>0</x:v>
      </x:c>
      <x:c r="T795" t="n">
        <x:v>0</x:v>
      </x:c>
      <x:c r="U795">
        <x:v>0</x:v>
      </x:c>
      <x:c r="V795">
        <x:v>0</x:v>
      </x:c>
      <x:c r="W795">
        <x:v>0</x:v>
      </x:c>
      <x:c r="X795">
        <x:v>0</x:v>
      </x:c>
      <x:c r="Y795">
        <x:v>0</x:v>
      </x:c>
      <x:c r="Z795" t="n">
        <x:v>0</x:v>
      </x:c>
    </x:row>
    <x:row r="796" spans="1:26" ht="12.75" customHeight="1" x14ac:dyDescent="0.2">
      <x:c r="D796" t="s">
        <x:v>156</x:v>
      </x:c>
      <x:c r="E796" s="89" t="s">
        <x:v>70</x:v>
      </x:c>
      <x:c r="F796" s="371" t="n">
        <x:v>-4922796.52</x:v>
      </x:c>
      <x:c r="G796" s="90" t="n">
        <x:v>-246580.75</x:v>
      </x:c>
      <x:c r="H796" s="90" t="n">
        <x:v>-137640.37</x:v>
      </x:c>
      <x:c r="I796" s="90" t="n">
        <x:v>-72989.58</x:v>
      </x:c>
      <x:c r="J796" s="90" t="n">
        <x:v>-1115833.37</x:v>
      </x:c>
      <x:c r="K796" s="90" t="n">
        <x:v>-40549.72</x:v>
      </x:c>
      <x:c r="L796" s="90" t="n">
        <x:v>0</x:v>
      </x:c>
      <x:c r="M796" s="90" t="n">
        <x:v>-354991.52</x:v>
      </x:c>
      <x:c r="N796" s="90" t="n">
        <x:v>-352681.96</x:v>
      </x:c>
      <x:c r="O796" s="90" t="n">
        <x:v>-1795528.16</x:v>
      </x:c>
      <x:c r="P796" s="90" t="n">
        <x:v>-739842.15</x:v>
      </x:c>
      <x:c r="Q796" s="90" t="n">
        <x:v>-66158.94</x:v>
      </x:c>
      <x:c r="R796" s="90" t="n">
        <x:v>0</x:v>
      </x:c>
      <x:c r="S796" s="90" t="n">
        <x:v>0</x:v>
      </x:c>
      <x:c r="T796" t="n">
        <x:v>0</x:v>
      </x:c>
      <x:c r="U796">
        <x:v>0</x:v>
      </x:c>
      <x:c r="V796">
        <x:v>0</x:v>
      </x:c>
      <x:c r="W796">
        <x:v>0</x:v>
      </x:c>
      <x:c r="X796">
        <x:v>0</x:v>
      </x:c>
      <x:c r="Y796">
        <x:v>0</x:v>
      </x:c>
      <x:c r="Z796" t="n">
        <x:v>0</x:v>
      </x:c>
    </x:row>
    <x:row r="797" spans="1:26" s="739" customFormat="1" ht="12.75" customHeight="1" x14ac:dyDescent="0.2">
      <x:c r="C797" s="739" t="s">
        <x:v>326</x:v>
      </x:c>
      <x:c r="D797" s="739" t="s">
        <x:v>70</x:v>
      </x:c>
      <x:c r="E797" s="231"/>
      <x:c r="F797" s="740" t="n">
        <x:v>-4922796.52</x:v>
      </x:c>
      <x:c r="G797" s="232" t="n">
        <x:v>-246580.75</x:v>
      </x:c>
      <x:c r="H797" s="232" t="n">
        <x:v>-137640.37</x:v>
      </x:c>
      <x:c r="I797" s="232" t="n">
        <x:v>-72989.58</x:v>
      </x:c>
      <x:c r="J797" s="232" t="n">
        <x:v>-1115833.37</x:v>
      </x:c>
      <x:c r="K797" s="232" t="n">
        <x:v>-40549.72</x:v>
      </x:c>
      <x:c r="L797" s="232" t="n">
        <x:v>0</x:v>
      </x:c>
      <x:c r="M797" s="232" t="n">
        <x:v>-354991.52</x:v>
      </x:c>
      <x:c r="N797" s="232" t="n">
        <x:v>-352681.96</x:v>
      </x:c>
      <x:c r="O797" s="232" t="n">
        <x:v>-1795528.16</x:v>
      </x:c>
      <x:c r="P797" s="232" t="n">
        <x:v>-739842.15</x:v>
      </x:c>
      <x:c r="Q797" s="232" t="n">
        <x:v>-66158.94</x:v>
      </x:c>
      <x:c r="R797" s="232" t="n">
        <x:v>0</x:v>
      </x:c>
      <x:c r="S797" s="232" t="n">
        <x:v>0</x:v>
      </x:c>
      <x:c r="T797" s="739" t="n">
        <x:v>0</x:v>
      </x:c>
      <x:c r="U797" s="739">
        <x:v>0</x:v>
      </x:c>
      <x:c r="V797" s="739">
        <x:v>0</x:v>
      </x:c>
      <x:c r="W797" s="739">
        <x:v>0</x:v>
      </x:c>
      <x:c r="X797" s="739">
        <x:v>0</x:v>
      </x:c>
      <x:c r="Y797" s="739">
        <x:v>0</x:v>
      </x:c>
      <x:c r="Z797" s="739" t="n">
        <x:v>0</x:v>
      </x:c>
    </x:row>
    <x:row r="798" spans="1:26" ht="12.75" customHeight="1" x14ac:dyDescent="0.2">
      <x:c r="E798" s="89" t="s">
        <x:v>73</x:v>
      </x:c>
      <x:c r="F798" s="371" t="n">
        <x:v>1747360.63</x:v>
      </x:c>
      <x:c r="G798" s="90" t="n">
        <x:v>540507.52</x:v>
      </x:c>
      <x:c r="H798" s="90" t="n">
        <x:v>303174.92</x:v>
      </x:c>
      <x:c r="I798" s="90" t="n">
        <x:v>160526.77</x:v>
      </x:c>
      <x:c r="J798" s="90" t="n">
        <x:v>-123602.97</x:v>
      </x:c>
      <x:c r="K798" s="90" t="n">
        <x:v>-8613.16</x:v>
      </x:c>
      <x:c r="L798" s="90" t="n">
        <x:v>0</x:v>
      </x:c>
      <x:c r="M798" s="90" t="n">
        <x:v>-77258.16</x:v>
      </x:c>
      <x:c r="N798" s="90" t="n">
        <x:v>-100817.14</x:v>
      </x:c>
      <x:c r="O798" s="90" t="n">
        <x:v>-556195.12</x:v>
      </x:c>
      <x:c r="P798" s="90" t="n">
        <x:v>1623819.37</x:v>
      </x:c>
      <x:c r="Q798" s="90" t="n">
        <x:v>-14181.4</x:v>
      </x:c>
      <x:c r="R798" s="90" t="n">
        <x:v>0</x:v>
      </x:c>
      <x:c r="S798" s="90" t="n">
        <x:v>0</x:v>
      </x:c>
      <x:c r="T798" t="n">
        <x:v>0</x:v>
      </x:c>
      <x:c r="U798">
        <x:v>0</x:v>
      </x:c>
      <x:c r="V798">
        <x:v>0</x:v>
      </x:c>
      <x:c r="W798">
        <x:v>0</x:v>
      </x:c>
      <x:c r="X798">
        <x:v>0</x:v>
      </x:c>
      <x:c r="Y798">
        <x:v>0</x:v>
      </x:c>
      <x:c r="Z798" t="n">
        <x:v>0</x:v>
      </x:c>
    </x:row>
    <x:row r="799" spans="1:26" ht="12.75" customHeight="1" x14ac:dyDescent="0.2">
      <x:c r="D799" s="89" t="s">
        <x:v>82</x:v>
      </x:c>
      <x:c r="E799" s="89" t="s">
        <x:v>70</x:v>
      </x:c>
      <x:c r="F799" s="90" t="n">
        <x:v>1747360.63</x:v>
      </x:c>
      <x:c r="G799" s="90" t="n">
        <x:v>540507.52</x:v>
      </x:c>
      <x:c r="H799" s="90" t="n">
        <x:v>303174.92</x:v>
      </x:c>
      <x:c r="I799" s="90" t="n">
        <x:v>160526.77</x:v>
      </x:c>
      <x:c r="J799" s="90" t="n">
        <x:v>-123602.97</x:v>
      </x:c>
      <x:c r="K799" s="90" t="n">
        <x:v>-8613.16</x:v>
      </x:c>
      <x:c r="L799" s="90" t="n">
        <x:v>0</x:v>
      </x:c>
      <x:c r="M799" s="90" t="n">
        <x:v>-77258.16</x:v>
      </x:c>
      <x:c r="N799" s="90" t="n">
        <x:v>-100817.14</x:v>
      </x:c>
      <x:c r="O799" s="90" t="n">
        <x:v>-556195.12</x:v>
      </x:c>
      <x:c r="P799" s="90" t="n">
        <x:v>1623819.37</x:v>
      </x:c>
      <x:c r="Q799" s="90" t="n">
        <x:v>-14181.4</x:v>
      </x:c>
      <x:c r="R799" s="90" t="n">
        <x:v>0</x:v>
      </x:c>
      <x:c r="S799" s="90" t="n">
        <x:v>0</x:v>
      </x:c>
      <x:c r="T799" t="n">
        <x:v>0</x:v>
      </x:c>
      <x:c r="U799">
        <x:v>0</x:v>
      </x:c>
      <x:c r="V799">
        <x:v>0</x:v>
      </x:c>
      <x:c r="W799">
        <x:v>0</x:v>
      </x:c>
      <x:c r="X799">
        <x:v>0</x:v>
      </x:c>
      <x:c r="Y799">
        <x:v>0</x:v>
      </x:c>
      <x:c r="Z799" t="n">
        <x:v>0</x:v>
      </x:c>
    </x:row>
    <x:row r="800" spans="1:26" ht="12.75" customHeight="1" x14ac:dyDescent="0.2">
      <x:c r="E800" s="89" t="s">
        <x:v>73</x:v>
      </x:c>
      <x:c r="F800" s="90" t="n">
        <x:v>9098665.08</x:v>
      </x:c>
      <x:c r="G800" s="90" t="n">
        <x:v>1799551.68</x:v>
      </x:c>
      <x:c r="H800" s="90" t="n">
        <x:v>983840.45</x:v>
      </x:c>
      <x:c r="I800" s="90" t="n">
        <x:v>526360.34</x:v>
      </x:c>
      <x:c r="J800" s="90" t="n">
        <x:v>21092.01</x:v>
      </x:c>
      <x:c r="K800" s="90" t="n">
        <x:v>-1987.13</x:v>
      </x:c>
      <x:c r="L800" s="90" t="n">
        <x:v>0</x:v>
      </x:c>
      <x:c r="M800" s="90" t="n">
        <x:v>-10690.42</x:v>
      </x:c>
      <x:c r="N800" s="90" t="n">
        <x:v>61218.73</x:v>
      </x:c>
      <x:c r="O800" s="90" t="n">
        <x:v>320642.97</x:v>
      </x:c>
      <x:c r="P800" s="90" t="n">
        <x:v>5401874.5</x:v>
      </x:c>
      <x:c r="Q800" s="90" t="n">
        <x:v>-3238.05</x:v>
      </x:c>
      <x:c r="R800" s="90" t="n">
        <x:v>0</x:v>
      </x:c>
      <x:c r="S800" s="90" t="n">
        <x:v>0</x:v>
      </x:c>
      <x:c r="T800" t="n">
        <x:v>0</x:v>
      </x:c>
      <x:c r="U800">
        <x:v>0</x:v>
      </x:c>
      <x:c r="V800">
        <x:v>0</x:v>
      </x:c>
      <x:c r="W800">
        <x:v>0</x:v>
      </x:c>
      <x:c r="X800">
        <x:v>0</x:v>
      </x:c>
      <x:c r="Y800">
        <x:v>0</x:v>
      </x:c>
      <x:c r="Z800" t="n">
        <x:v>0</x:v>
      </x:c>
    </x:row>
    <x:row r="801" spans="1:41" ht="12.75" customHeight="1" x14ac:dyDescent="0.2">
      <x:c r="D801" s="89" t="s">
        <x:v>86</x:v>
      </x:c>
      <x:c r="E801" s="89" t="s">
        <x:v>70</x:v>
      </x:c>
      <x:c r="F801" s="90" t="n">
        <x:v>9098665.08</x:v>
      </x:c>
      <x:c r="G801" s="90" t="n">
        <x:v>1799551.68</x:v>
      </x:c>
      <x:c r="H801" s="90" t="n">
        <x:v>983840.45</x:v>
      </x:c>
      <x:c r="I801" s="90" t="n">
        <x:v>526360.34</x:v>
      </x:c>
      <x:c r="J801" s="90" t="n">
        <x:v>21092.01</x:v>
      </x:c>
      <x:c r="K801" s="90" t="n">
        <x:v>-1987.13</x:v>
      </x:c>
      <x:c r="L801" s="90" t="n">
        <x:v>0</x:v>
      </x:c>
      <x:c r="M801" s="90" t="n">
        <x:v>-10690.42</x:v>
      </x:c>
      <x:c r="N801" s="90" t="n">
        <x:v>61218.73</x:v>
      </x:c>
      <x:c r="O801" s="90" t="n">
        <x:v>320642.97</x:v>
      </x:c>
      <x:c r="P801" s="90" t="n">
        <x:v>5401874.5</x:v>
      </x:c>
      <x:c r="Q801" s="90" t="n">
        <x:v>-3238.05</x:v>
      </x:c>
      <x:c r="R801" s="90" t="n">
        <x:v>0</x:v>
      </x:c>
      <x:c r="S801" s="90" t="n">
        <x:v>0</x:v>
      </x:c>
      <x:c r="T801" t="n">
        <x:v>0</x:v>
      </x:c>
      <x:c r="U801">
        <x:v>0</x:v>
      </x:c>
      <x:c r="V801">
        <x:v>0</x:v>
      </x:c>
      <x:c r="W801">
        <x:v>0</x:v>
      </x:c>
      <x:c r="X801">
        <x:v>0</x:v>
      </x:c>
      <x:c r="Y801">
        <x:v>0</x:v>
      </x:c>
      <x:c r="Z801" t="n">
        <x:v>0</x:v>
      </x:c>
    </x:row>
    <x:row r="802" spans="1:41" ht="12.75" customHeight="1" x14ac:dyDescent="0.2">
      <x:c r="E802" s="89" t="s">
        <x:v>73</x:v>
      </x:c>
      <x:c r="F802" s="90" t="n">
        <x:v>45248425.7</x:v>
      </x:c>
      <x:c r="G802" s="90" t="n">
        <x:v>8625469.05</x:v>
      </x:c>
      <x:c r="H802" s="90" t="n">
        <x:v>4818427.25</x:v>
      </x:c>
      <x:c r="I802" s="90" t="n">
        <x:v>2554910.28</x:v>
      </x:c>
      <x:c r="J802" s="90" t="n">
        <x:v>1254800.29</x:v>
      </x:c>
      <x:c r="K802" s="90" t="n">
        <x:v>33093.14</x:v>
      </x:c>
      <x:c r="L802" s="90" t="n">
        <x:v>0</x:v>
      </x:c>
      <x:c r="M802" s="90" t="n">
        <x:v>290290.5</x:v>
      </x:c>
      <x:c r="N802" s="90" t="n">
        <x:v>270479.43</x:v>
      </x:c>
      <x:c r="O802" s="90" t="n">
        <x:v>1483724.87</x:v>
      </x:c>
      <x:c r="P802" s="90" t="n">
        <x:v>25863237.04</x:v>
      </x:c>
      <x:c r="Q802" s="90" t="n">
        <x:v>53993.85</x:v>
      </x:c>
      <x:c r="R802" s="90" t="n">
        <x:v>0</x:v>
      </x:c>
      <x:c r="S802" s="90" t="n">
        <x:v>0</x:v>
      </x:c>
      <x:c r="T802" t="n">
        <x:v>0</x:v>
      </x:c>
      <x:c r="U802">
        <x:v>0</x:v>
      </x:c>
      <x:c r="V802">
        <x:v>0</x:v>
      </x:c>
      <x:c r="W802">
        <x:v>0</x:v>
      </x:c>
      <x:c r="X802">
        <x:v>0</x:v>
      </x:c>
      <x:c r="Y802">
        <x:v>0</x:v>
      </x:c>
      <x:c r="Z802" t="n">
        <x:v>0</x:v>
      </x:c>
    </x:row>
    <x:row r="803" spans="1:41" ht="12.75" customHeight="1" x14ac:dyDescent="0.2">
      <x:c r="D803" s="89" t="s">
        <x:v>87</x:v>
      </x:c>
      <x:c r="E803" s="89" t="s">
        <x:v>70</x:v>
      </x:c>
      <x:c r="F803" s="90" t="n">
        <x:v>45248425.7</x:v>
      </x:c>
      <x:c r="G803" s="90" t="n">
        <x:v>8625469.05</x:v>
      </x:c>
      <x:c r="H803" s="90" t="n">
        <x:v>4818427.25</x:v>
      </x:c>
      <x:c r="I803" s="90" t="n">
        <x:v>2554910.28</x:v>
      </x:c>
      <x:c r="J803" s="90" t="n">
        <x:v>1254800.29</x:v>
      </x:c>
      <x:c r="K803" s="90" t="n">
        <x:v>33093.14</x:v>
      </x:c>
      <x:c r="L803" s="90" t="n">
        <x:v>0</x:v>
      </x:c>
      <x:c r="M803" s="90" t="n">
        <x:v>290290.5</x:v>
      </x:c>
      <x:c r="N803" s="90" t="n">
        <x:v>270479.43</x:v>
      </x:c>
      <x:c r="O803" s="90" t="n">
        <x:v>1483724.87</x:v>
      </x:c>
      <x:c r="P803" s="90" t="n">
        <x:v>25863237.04</x:v>
      </x:c>
      <x:c r="Q803" s="90" t="n">
        <x:v>53993.85</x:v>
      </x:c>
      <x:c r="R803" s="90" t="n">
        <x:v>0</x:v>
      </x:c>
      <x:c r="S803" s="90" t="n">
        <x:v>0</x:v>
      </x:c>
      <x:c r="T803" t="n">
        <x:v>0</x:v>
      </x:c>
      <x:c r="U803">
        <x:v>0</x:v>
      </x:c>
      <x:c r="V803">
        <x:v>0</x:v>
      </x:c>
      <x:c r="W803">
        <x:v>0</x:v>
      </x:c>
      <x:c r="X803">
        <x:v>0</x:v>
      </x:c>
      <x:c r="Y803">
        <x:v>0</x:v>
      </x:c>
      <x:c r="Z803" t="n">
        <x:v>0</x:v>
      </x:c>
    </x:row>
    <x:row r="804" spans="1:41" s="94" customFormat="1" ht="12.75" customHeight="1" x14ac:dyDescent="0.2">
      <x:c r="C804" s="94" t="s">
        <x:v>119</x:v>
      </x:c>
      <x:c r="D804" s="94" t="s">
        <x:v>70</x:v>
      </x:c>
      <x:c r="E804" s="101"/>
      <x:c r="F804" s="93" t="n">
        <x:v>56094451.41</x:v>
      </x:c>
      <x:c r="G804" s="93" t="n">
        <x:v>10965528.25</x:v>
      </x:c>
      <x:c r="H804" s="93" t="n">
        <x:v>6105442.62</x:v>
      </x:c>
      <x:c r="I804" s="93" t="n">
        <x:v>3241797.39</x:v>
      </x:c>
      <x:c r="J804" s="93" t="n">
        <x:v>1152289.33</x:v>
      </x:c>
      <x:c r="K804" s="93" t="n">
        <x:v>22492.85</x:v>
      </x:c>
      <x:c r="L804" s="93" t="n">
        <x:v>0</x:v>
      </x:c>
      <x:c r="M804" s="93" t="n">
        <x:v>202341.92</x:v>
      </x:c>
      <x:c r="N804" s="93" t="n">
        <x:v>230881.02</x:v>
      </x:c>
      <x:c r="O804" s="93" t="n">
        <x:v>1248172.72</x:v>
      </x:c>
      <x:c r="P804" s="93" t="n">
        <x:v>32888930.91</x:v>
      </x:c>
      <x:c r="Q804" s="93" t="n">
        <x:v>36574.4</x:v>
      </x:c>
      <x:c r="R804" s="93" t="n">
        <x:v>0</x:v>
      </x:c>
      <x:c r="S804" s="93" t="n">
        <x:v>0</x:v>
      </x:c>
      <x:c r="T804" s="94" t="n">
        <x:v>0</x:v>
      </x:c>
      <x:c r="U804" s="94">
        <x:v>0</x:v>
      </x:c>
      <x:c r="V804" s="94">
        <x:v>0</x:v>
      </x:c>
      <x:c r="W804" s="94">
        <x:v>0</x:v>
      </x:c>
      <x:c r="X804" s="94">
        <x:v>0</x:v>
      </x:c>
      <x:c r="Y804" s="94">
        <x:v>0</x:v>
      </x:c>
      <x:c r="Z804" s="94" t="n">
        <x:v>0</x:v>
      </x:c>
    </x:row>
    <x:row r="805" spans="1:41" s="226" customFormat="1" ht="12.75" customHeight="1" x14ac:dyDescent="0.2">
      <x:c r="B805" s="98" t="s">
        <x:v>112</x:v>
      </x:c>
      <x:c r="C805" s="98" t="s">
        <x:v>70</x:v>
      </x:c>
      <x:c r="F805" s="100" t="n">
        <x:v>-1017819964.53</x:v>
      </x:c>
      <x:c r="G805" s="100" t="n">
        <x:v>-16236052.51</x:v>
      </x:c>
      <x:c r="H805" s="100" t="n">
        <x:v>-9080371.9</x:v>
      </x:c>
      <x:c r="I805" s="100" t="n">
        <x:v>-4843741.17</x:v>
      </x:c>
      <x:c r="J805" s="100" t="n">
        <x:v>-309940749.58</x:v>
      </x:c>
      <x:c r="K805" s="100" t="n">
        <x:v>-9890633</x:v>
      </x:c>
      <x:c r="L805" s="100" t="n">
        <x:v>0</x:v>
      </x:c>
      <x:c r="M805" s="100" t="n">
        <x:v>-86813489.52</x:v>
      </x:c>
      <x:c r="N805" s="100" t="n">
        <x:v>-86083840.29</x:v>
      </x:c>
      <x:c r="O805" s="100" t="n">
        <x:v>-432166306.9</x:v>
      </x:c>
      <x:c r="P805" s="100" t="n">
        <x:v>-46622120.19</x:v>
      </x:c>
      <x:c r="Q805" s="100" t="n">
        <x:v>-16142659.47</x:v>
      </x:c>
      <x:c r="R805" s="100" t="n">
        <x:v>0</x:v>
      </x:c>
      <x:c r="S805" s="100" t="n">
        <x:v>0</x:v>
      </x:c>
      <x:c r="T805" s="226" t="n">
        <x:v>0</x:v>
      </x:c>
      <x:c r="U805" s="226">
        <x:v>0</x:v>
      </x:c>
      <x:c r="V805" s="226">
        <x:v>0</x:v>
      </x:c>
      <x:c r="W805" s="226">
        <x:v>0</x:v>
      </x:c>
      <x:c r="X805" s="226">
        <x:v>0</x:v>
      </x:c>
      <x:c r="Y805" s="226">
        <x:v>0</x:v>
      </x:c>
      <x:c r="Z805" s="226" t="n">
        <x:v>0</x:v>
      </x:c>
    </x:row>
    <x:row r="806" spans="1:41" ht="12.75" customHeight="1" x14ac:dyDescent="0.2">
      <x:c r="A806" s="89" t="s">
        <x:v>79</x:v>
      </x:c>
      <x:c r="B806" s="89" t="s">
        <x:v>70</x:v>
      </x:c>
      <x:c r="F806" s="90" t="n">
        <x:v>-1017819964.53</x:v>
      </x:c>
      <x:c r="G806" s="90" t="n">
        <x:v>-16236052.51</x:v>
      </x:c>
      <x:c r="H806" s="90" t="n">
        <x:v>-9080371.9</x:v>
      </x:c>
      <x:c r="I806" s="90" t="n">
        <x:v>-4843741.17</x:v>
      </x:c>
      <x:c r="J806" s="90" t="n">
        <x:v>-309940749.58</x:v>
      </x:c>
      <x:c r="K806" s="90" t="n">
        <x:v>-9890633</x:v>
      </x:c>
      <x:c r="L806" s="90" t="n">
        <x:v>0</x:v>
      </x:c>
      <x:c r="M806" s="90" t="n">
        <x:v>-86813489.52</x:v>
      </x:c>
      <x:c r="N806" s="90" t="n">
        <x:v>-86083840.29</x:v>
      </x:c>
      <x:c r="O806" s="90" t="n">
        <x:v>-432166306.9</x:v>
      </x:c>
      <x:c r="P806" s="90" t="n">
        <x:v>-46622120.19</x:v>
      </x:c>
      <x:c r="Q806" s="90" t="n">
        <x:v>-16142659.47</x:v>
      </x:c>
      <x:c r="R806" s="90" t="n">
        <x:v>0</x:v>
      </x:c>
      <x:c r="S806" s="90" t="n">
        <x:v>0</x:v>
      </x:c>
      <x:c r="T806" t="n">
        <x:v>0</x:v>
      </x:c>
      <x:c r="U806">
        <x:v>0</x:v>
      </x:c>
      <x:c r="V806">
        <x:v>0</x:v>
      </x:c>
      <x:c r="W806">
        <x:v>0</x:v>
      </x:c>
      <x:c r="X806">
        <x:v>0</x:v>
      </x:c>
      <x:c r="Y806">
        <x:v>0</x:v>
      </x:c>
      <x:c r="Z806" t="n">
        <x:v>0</x:v>
      </x:c>
    </x:row>
    <x:row r="807" spans="1:41" ht="12.75" customHeight="1" x14ac:dyDescent="0.2">
      <x:c r="A807" s="89" t="s">
        <x:v>70</x:v>
      </x:c>
      <x:c r="F807" s="90" t="n">
        <x:v>12341959655</x:v>
      </x:c>
      <x:c r="G807" s="90" t="n">
        <x:v>681246702.95</x:v>
      </x:c>
      <x:c r="H807" s="90" t="n">
        <x:v>379178915.15</x:v>
      </x:c>
      <x:c r="I807" s="90" t="n">
        <x:v>201610008.65</x:v>
      </x:c>
      <x:c r="J807" s="90" t="n">
        <x:v>2946990814.73</x:v>
      </x:c>
      <x:c r="K807" s="90" t="n">
        <x:v>96198983.84</x:v>
      </x:c>
      <x:c r="L807" s="90" t="n">
        <x:v>12154250.72</x:v>
      </x:c>
      <x:c r="M807" s="90" t="n">
        <x:v>843693394.97</x:v>
      </x:c>
      <x:c r="N807" s="90" t="n">
        <x:v>817760177.37</x:v>
      </x:c>
      <x:c r="O807" s="90" t="n">
        <x:v>4180035072.25</x:v>
      </x:c>
      <x:c r="P807" s="90" t="n">
        <x:v>2026289666.82</x:v>
      </x:c>
      <x:c r="Q807" s="90" t="n">
        <x:v>156978891.92</x:v>
      </x:c>
      <x:c r="R807" s="90" t="n">
        <x:v>-177200.85</x:v>
      </x:c>
      <x:c r="S807" s="90" t="n">
        <x:v>191.97</x:v>
      </x:c>
      <x:c r="T807" t="n">
        <x:v>6.64</x:v>
      </x:c>
      <x:c r="U807">
        <x:v>0</x:v>
      </x:c>
      <x:c r="V807">
        <x:v>0</x:v>
      </x:c>
      <x:c r="W807">
        <x:v>0</x:v>
      </x:c>
      <x:c r="X807">
        <x:v>0</x:v>
      </x:c>
      <x:c r="Y807">
        <x:v>0</x:v>
      </x:c>
      <x:c r="Z807" t="n">
        <x:v>-222.13</x:v>
      </x:c>
    </x:row>
    <x:row r="808" spans="1:41" ht="12.75" customHeight="1" x14ac:dyDescent="0.2">
      <x:c r="A808" s="89"/>
      <x:c r="F808" s="90"/>
      <x:c r="G808" s="90"/>
      <x:c r="H808" s="90"/>
      <x:c r="I808" s="90"/>
      <x:c r="J808" s="90"/>
      <x:c r="K808" s="90"/>
      <x:c r="L808" s="90"/>
      <x:c r="M808" s="90"/>
      <x:c r="N808" s="90"/>
      <x:c r="O808" s="90"/>
      <x:c r="P808" s="90"/>
      <x:c r="Q808" s="90"/>
      <x:c r="R808" s="90"/>
      <x:c r="S808" s="90"/>
      <x:c r="T808" s="90"/>
      <x:c r="U808" s="90"/>
      <x:c r="V808" s="90"/>
      <x:c r="W808" s="90"/>
      <x:c r="X808" s="150"/>
    </x:row>
    <x:row r="809" spans="1:41" ht="12.75" customHeight="1" x14ac:dyDescent="0.2">
      <x:c r="A809" s="89"/>
      <x:c r="F809" s="90"/>
      <x:c r="G809" s="90"/>
      <x:c r="H809" s="90"/>
      <x:c r="I809" s="90"/>
      <x:c r="J809" s="90"/>
      <x:c r="K809" s="90"/>
      <x:c r="L809" s="90"/>
      <x:c r="M809" s="90"/>
      <x:c r="N809" s="90"/>
      <x:c r="O809" s="90"/>
      <x:c r="P809" s="90"/>
      <x:c r="Q809" s="90"/>
      <x:c r="R809" s="90"/>
      <x:c r="S809" s="90"/>
    </x:row>
    <x:row r="810" spans="1:41" ht="12.75" customHeight="1" x14ac:dyDescent="0.2">
      <x:c r="A810" s="89"/>
      <x:c r="F810" s="90"/>
      <x:c r="G810" s="90"/>
      <x:c r="H810" s="90"/>
      <x:c r="I810" s="90"/>
      <x:c r="J810" s="90"/>
      <x:c r="K810" s="90"/>
      <x:c r="L810" s="90"/>
      <x:c r="M810" s="90"/>
      <x:c r="N810" s="90"/>
      <x:c r="O810" s="90"/>
      <x:c r="P810" s="90"/>
      <x:c r="Q810" s="90"/>
      <x:c r="R810" s="90"/>
      <x:c r="S810" s="90"/>
    </x:row>
    <x:row r="811" spans="1:41" ht="12.75" customHeight="1" x14ac:dyDescent="0.2">
      <x:c r="C811" s="778" t="s">
        <x:v>2</x:v>
      </x:c>
      <x:c r="D811" s="776" t="s">
        <x:v>132</x:v>
      </x:c>
      <x:c r="E811" s="98" t="s">
        <x:v>70</x:v>
      </x:c>
      <x:c r="F811" s="100">
        <x:f>F805+F776+F737-L737-L776</x:f>
        <x:v>0</x:v>
      </x:c>
      <x:c r="G811" s="100">
        <x:f>G776+G737</x:f>
        <x:v>0</x:v>
      </x:c>
      <x:c r="H811" s="100">
        <x:f t="shared" ref="H811:AO811" si="34">H776+H737</x:f>
        <x:v>0</x:v>
      </x:c>
      <x:c r="I811" s="100">
        <x:f t="shared" si="34"/>
        <x:v>0</x:v>
      </x:c>
      <x:c r="J811" s="100">
        <x:f t="shared" si="34"/>
        <x:v>0</x:v>
      </x:c>
      <x:c r="K811" s="100">
        <x:f t="shared" si="34"/>
        <x:v>0</x:v>
      </x:c>
      <x:c r="L811" s="100">
        <x:f t="shared" si="34"/>
        <x:v>0</x:v>
      </x:c>
      <x:c r="M811" s="100">
        <x:f t="shared" si="34"/>
        <x:v>0</x:v>
      </x:c>
      <x:c r="N811" s="100">
        <x:f t="shared" si="34"/>
        <x:v>0</x:v>
      </x:c>
      <x:c r="O811" s="100">
        <x:f t="shared" si="34"/>
        <x:v>0</x:v>
      </x:c>
      <x:c r="P811" s="100">
        <x:f t="shared" si="34"/>
        <x:v>0</x:v>
      </x:c>
      <x:c r="Q811" s="100">
        <x:f t="shared" si="34"/>
        <x:v>0</x:v>
      </x:c>
      <x:c r="R811" s="100">
        <x:f t="shared" si="34"/>
        <x:v>0</x:v>
      </x:c>
      <x:c r="S811" s="100">
        <x:f t="shared" si="34"/>
        <x:v>0</x:v>
      </x:c>
      <x:c r="T811" s="100">
        <x:f t="shared" si="34"/>
        <x:v>0</x:v>
      </x:c>
      <x:c r="U811" s="100">
        <x:f t="shared" si="34"/>
        <x:v>0</x:v>
      </x:c>
      <x:c r="V811" s="100">
        <x:f t="shared" si="34"/>
        <x:v>0</x:v>
      </x:c>
      <x:c r="W811" s="100">
        <x:f t="shared" si="34"/>
        <x:v>0</x:v>
      </x:c>
      <x:c r="X811" s="100">
        <x:f t="shared" si="34"/>
        <x:v>0</x:v>
      </x:c>
      <x:c r="Y811" s="100">
        <x:f t="shared" si="34"/>
        <x:v>0</x:v>
      </x:c>
      <x:c r="Z811" s="100">
        <x:f t="shared" si="34"/>
        <x:v>0</x:v>
      </x:c>
      <x:c r="AA811" s="100">
        <x:f t="shared" si="34"/>
        <x:v>0</x:v>
      </x:c>
      <x:c r="AB811" s="100">
        <x:f t="shared" si="34"/>
        <x:v>0</x:v>
      </x:c>
      <x:c r="AC811" s="100">
        <x:f t="shared" si="34"/>
        <x:v>0</x:v>
      </x:c>
      <x:c r="AD811" s="100">
        <x:f t="shared" si="34"/>
        <x:v>0</x:v>
      </x:c>
      <x:c r="AE811" s="100">
        <x:f t="shared" si="34"/>
        <x:v>0</x:v>
      </x:c>
      <x:c r="AF811" s="100">
        <x:f t="shared" si="34"/>
        <x:v>0</x:v>
      </x:c>
      <x:c r="AG811" s="100">
        <x:f t="shared" si="34"/>
        <x:v>0</x:v>
      </x:c>
      <x:c r="AH811" s="100">
        <x:f t="shared" si="34"/>
        <x:v>0</x:v>
      </x:c>
      <x:c r="AI811" s="100">
        <x:f t="shared" si="34"/>
        <x:v>0</x:v>
      </x:c>
      <x:c r="AJ811" s="100">
        <x:f t="shared" si="34"/>
        <x:v>0</x:v>
      </x:c>
      <x:c r="AK811" s="100">
        <x:f t="shared" si="34"/>
        <x:v>0</x:v>
      </x:c>
      <x:c r="AL811" s="100">
        <x:f t="shared" si="34"/>
        <x:v>0</x:v>
      </x:c>
      <x:c r="AM811" s="100">
        <x:f t="shared" si="34"/>
        <x:v>0</x:v>
      </x:c>
      <x:c r="AN811" s="100">
        <x:f t="shared" si="34"/>
        <x:v>0</x:v>
      </x:c>
      <x:c r="AO811" s="100">
        <x:f t="shared" si="34"/>
        <x:v>0</x:v>
      </x:c>
    </x:row>
    <x:row r="812" spans="1:41" ht="12.75" customHeight="1" x14ac:dyDescent="0.2">
      <x:c r="C812" s="778"/>
      <x:c r="D812" s="776"/>
      <x:c r="E812" s="98" t="s">
        <x:v>73</x:v>
      </x:c>
      <x:c r="F812" s="100">
        <x:f>F805</x:f>
        <x:v>0</x:v>
      </x:c>
      <x:c r="G812" s="90"/>
      <x:c r="H812" s="90"/>
      <x:c r="I812" s="90"/>
      <x:c r="J812" s="90"/>
      <x:c r="K812" s="90"/>
      <x:c r="L812" s="90"/>
      <x:c r="M812" s="90"/>
      <x:c r="N812" s="90"/>
      <x:c r="O812" s="90"/>
      <x:c r="P812" s="90"/>
      <x:c r="Q812" s="90"/>
      <x:c r="R812" s="90"/>
      <x:c r="S812" s="90"/>
    </x:row>
    <x:row r="813" spans="1:41" ht="12.75" customHeight="1" x14ac:dyDescent="0.2">
      <x:c r="C813" s="778"/>
      <x:c r="D813" s="776" t="s">
        <x:v>133</x:v>
      </x:c>
      <x:c r="E813" s="233" t="s">
        <x:v>70</x:v>
      </x:c>
      <x:c r="F813" s="234">
        <x:f>F791+F757-L757</x:f>
        <x:v>0</x:v>
      </x:c>
      <x:c r="G813" s="234">
        <x:f>G757</x:f>
        <x:v>0</x:v>
      </x:c>
      <x:c r="H813" s="234">
        <x:f t="shared" ref="H813:AO813" si="35">H757</x:f>
        <x:v>0</x:v>
      </x:c>
      <x:c r="I813" s="234">
        <x:f t="shared" si="35"/>
        <x:v>0</x:v>
      </x:c>
      <x:c r="J813" s="234">
        <x:f t="shared" si="35"/>
        <x:v>0</x:v>
      </x:c>
      <x:c r="K813" s="234">
        <x:f t="shared" si="35"/>
        <x:v>0</x:v>
      </x:c>
      <x:c r="L813" s="234">
        <x:f t="shared" si="35"/>
        <x:v>0</x:v>
      </x:c>
      <x:c r="M813" s="234">
        <x:f t="shared" si="35"/>
        <x:v>0</x:v>
      </x:c>
      <x:c r="N813" s="234">
        <x:f t="shared" si="35"/>
        <x:v>0</x:v>
      </x:c>
      <x:c r="O813" s="234">
        <x:f t="shared" si="35"/>
        <x:v>0</x:v>
      </x:c>
      <x:c r="P813" s="234">
        <x:f t="shared" si="35"/>
        <x:v>0</x:v>
      </x:c>
      <x:c r="Q813" s="234">
        <x:f t="shared" si="35"/>
        <x:v>0</x:v>
      </x:c>
      <x:c r="R813" s="234">
        <x:f t="shared" si="35"/>
        <x:v>0</x:v>
      </x:c>
      <x:c r="S813" s="234">
        <x:f t="shared" si="35"/>
        <x:v>0</x:v>
      </x:c>
      <x:c r="T813" s="234">
        <x:f t="shared" si="35"/>
        <x:v>0</x:v>
      </x:c>
      <x:c r="U813" s="234">
        <x:f t="shared" si="35"/>
        <x:v>0</x:v>
      </x:c>
      <x:c r="V813" s="234">
        <x:f t="shared" si="35"/>
        <x:v>0</x:v>
      </x:c>
      <x:c r="W813" s="234">
        <x:f t="shared" si="35"/>
        <x:v>0</x:v>
      </x:c>
      <x:c r="X813" s="234">
        <x:f t="shared" si="35"/>
        <x:v>0</x:v>
      </x:c>
      <x:c r="Y813" s="234">
        <x:f t="shared" si="35"/>
        <x:v>0</x:v>
      </x:c>
      <x:c r="Z813" s="234">
        <x:f t="shared" si="35"/>
        <x:v>0</x:v>
      </x:c>
      <x:c r="AA813" s="234">
        <x:f t="shared" si="35"/>
        <x:v>0</x:v>
      </x:c>
      <x:c r="AB813" s="234">
        <x:f t="shared" si="35"/>
        <x:v>0</x:v>
      </x:c>
      <x:c r="AC813" s="234">
        <x:f t="shared" si="35"/>
        <x:v>0</x:v>
      </x:c>
      <x:c r="AD813" s="234">
        <x:f t="shared" si="35"/>
        <x:v>0</x:v>
      </x:c>
      <x:c r="AE813" s="234">
        <x:f t="shared" si="35"/>
        <x:v>0</x:v>
      </x:c>
      <x:c r="AF813" s="234">
        <x:f t="shared" si="35"/>
        <x:v>0</x:v>
      </x:c>
      <x:c r="AG813" s="234">
        <x:f t="shared" si="35"/>
        <x:v>0</x:v>
      </x:c>
      <x:c r="AH813" s="234">
        <x:f t="shared" si="35"/>
        <x:v>0</x:v>
      </x:c>
      <x:c r="AI813" s="234">
        <x:f t="shared" si="35"/>
        <x:v>0</x:v>
      </x:c>
      <x:c r="AJ813" s="234">
        <x:f t="shared" si="35"/>
        <x:v>0</x:v>
      </x:c>
      <x:c r="AK813" s="234">
        <x:f t="shared" si="35"/>
        <x:v>0</x:v>
      </x:c>
      <x:c r="AL813" s="234">
        <x:f t="shared" si="35"/>
        <x:v>0</x:v>
      </x:c>
      <x:c r="AM813" s="234">
        <x:f t="shared" si="35"/>
        <x:v>0</x:v>
      </x:c>
      <x:c r="AN813" s="234">
        <x:f t="shared" si="35"/>
        <x:v>0</x:v>
      </x:c>
      <x:c r="AO813" s="234">
        <x:f t="shared" si="35"/>
        <x:v>0</x:v>
      </x:c>
    </x:row>
    <x:row r="814" spans="1:41" ht="12.75" customHeight="1" x14ac:dyDescent="0.2">
      <x:c r="C814" s="778"/>
      <x:c r="D814" s="776"/>
      <x:c r="E814" s="233" t="s">
        <x:v>73</x:v>
      </x:c>
      <x:c r="F814" s="234">
        <x:f>F791</x:f>
        <x:v>0</x:v>
      </x:c>
      <x:c r="G814" s="90"/>
      <x:c r="H814" s="90"/>
      <x:c r="I814" s="90"/>
      <x:c r="J814" s="90"/>
      <x:c r="K814" s="90"/>
      <x:c r="L814" s="90"/>
      <x:c r="M814" s="90"/>
      <x:c r="N814" s="90"/>
      <x:c r="O814" s="90"/>
      <x:c r="P814" s="90"/>
      <x:c r="Q814" s="90"/>
      <x:c r="R814" s="90"/>
    </x:row>
    <x:row r="815" spans="1:41" ht="12.75" customHeight="1" x14ac:dyDescent="0.2">
      <x:c r="A815" s="89"/>
      <x:c r="C815" s="97"/>
      <x:c r="F815" s="90"/>
      <x:c r="G815" s="90"/>
      <x:c r="H815" s="90"/>
      <x:c r="I815" s="90"/>
      <x:c r="J815" s="90"/>
      <x:c r="K815" s="90"/>
      <x:c r="L815" s="90"/>
      <x:c r="M815" s="90"/>
      <x:c r="N815" s="90"/>
      <x:c r="O815" s="90"/>
      <x:c r="P815" s="90"/>
      <x:c r="Q815" s="90"/>
      <x:c r="R815" s="90"/>
      <x:c r="S815" s="90"/>
    </x:row>
    <x:row r="816" spans="1:41" ht="12.75" customHeight="1" x14ac:dyDescent="0.2">
      <x:c r="C816" s="778" t="s">
        <x:v>160</x:v>
      </x:c>
      <x:c r="D816" s="776" t="s">
        <x:v>132</x:v>
      </x:c>
      <x:c r="E816" s="223" t="s">
        <x:v>70</x:v>
      </x:c>
      <x:c r="F816" s="225">
        <x:v>0</x:v>
      </x:c>
      <x:c r="G816" s="225">
        <x:v>0</x:v>
      </x:c>
      <x:c r="H816" s="225">
        <x:v>0</x:v>
      </x:c>
      <x:c r="I816" s="225">
        <x:v>0</x:v>
      </x:c>
      <x:c r="J816" s="225">
        <x:v>0</x:v>
      </x:c>
      <x:c r="K816" s="225">
        <x:v>0</x:v>
      </x:c>
      <x:c r="L816" s="225">
        <x:v>0</x:v>
      </x:c>
      <x:c r="M816" s="225">
        <x:v>0</x:v>
      </x:c>
      <x:c r="N816" s="225">
        <x:v>0</x:v>
      </x:c>
      <x:c r="O816" s="225">
        <x:v>0</x:v>
      </x:c>
      <x:c r="P816" s="225">
        <x:v>0</x:v>
      </x:c>
      <x:c r="Q816" s="225">
        <x:v>0</x:v>
      </x:c>
      <x:c r="R816" s="225">
        <x:v>0</x:v>
      </x:c>
      <x:c r="S816" s="225">
        <x:v>0</x:v>
      </x:c>
      <x:c r="T816" s="225">
        <x:v>0</x:v>
      </x:c>
      <x:c r="U816" s="225"/>
      <x:c r="V816" s="225"/>
      <x:c r="W816" s="225"/>
      <x:c r="X816" s="225">
        <x:v>0</x:v>
      </x:c>
      <x:c r="Y816" s="225">
        <x:v>0</x:v>
      </x:c>
      <x:c r="Z816" s="225">
        <x:v>0</x:v>
      </x:c>
      <x:c r="AA816" s="225">
        <x:v>0</x:v>
      </x:c>
      <x:c r="AB816" s="225">
        <x:v>0</x:v>
      </x:c>
      <x:c r="AC816" s="225">
        <x:v>0</x:v>
      </x:c>
      <x:c r="AD816" s="225">
        <x:v>0</x:v>
      </x:c>
      <x:c r="AE816" s="225">
        <x:v>0</x:v>
      </x:c>
      <x:c r="AF816" s="225">
        <x:v>0</x:v>
      </x:c>
      <x:c r="AG816" s="225">
        <x:v>0</x:v>
      </x:c>
      <x:c r="AH816" s="225">
        <x:v>0</x:v>
      </x:c>
      <x:c r="AI816" s="225">
        <x:v>0</x:v>
      </x:c>
      <x:c r="AJ816" s="225">
        <x:v>0</x:v>
      </x:c>
      <x:c r="AK816" s="225">
        <x:v>0</x:v>
      </x:c>
      <x:c r="AL816" s="225">
        <x:v>0</x:v>
      </x:c>
      <x:c r="AM816" s="225">
        <x:v>0</x:v>
      </x:c>
      <x:c r="AN816" s="225">
        <x:v>0</x:v>
      </x:c>
      <x:c r="AO816" s="225">
        <x:v>0</x:v>
      </x:c>
    </x:row>
    <x:row r="817" spans="1:41" ht="12.75" customHeight="1" x14ac:dyDescent="0.2">
      <x:c r="C817" s="778"/>
      <x:c r="D817" s="776"/>
      <x:c r="E817" s="223" t="s">
        <x:v>73</x:v>
      </x:c>
      <x:c r="F817" s="225">
        <x:v>0</x:v>
      </x:c>
      <x:c r="G817" s="90"/>
      <x:c r="H817" s="90"/>
      <x:c r="I817" s="90"/>
      <x:c r="J817" s="90"/>
      <x:c r="K817" s="90"/>
      <x:c r="L817" s="90"/>
      <x:c r="M817" s="90"/>
      <x:c r="N817" s="90"/>
      <x:c r="O817" s="90"/>
      <x:c r="P817" s="90"/>
      <x:c r="Q817" s="90"/>
      <x:c r="R817" s="90"/>
      <x:c r="S817" s="90"/>
    </x:row>
    <x:row r="818" spans="1:41" ht="12.75" customHeight="1" x14ac:dyDescent="0.2">
      <x:c r="C818" s="778"/>
      <x:c r="D818" s="776" t="s">
        <x:v>133</x:v>
      </x:c>
      <x:c r="E818" s="227" t="s">
        <x:v>70</x:v>
      </x:c>
      <x:c r="F818" s="228">
        <x:v>0</x:v>
      </x:c>
      <x:c r="G818" s="228">
        <x:v>0</x:v>
      </x:c>
      <x:c r="H818" s="228">
        <x:v>0</x:v>
      </x:c>
      <x:c r="I818" s="228">
        <x:v>0</x:v>
      </x:c>
      <x:c r="J818" s="228">
        <x:v>0</x:v>
      </x:c>
      <x:c r="K818" s="228">
        <x:v>0</x:v>
      </x:c>
      <x:c r="L818" s="228">
        <x:v>0</x:v>
      </x:c>
      <x:c r="M818" s="228">
        <x:v>0</x:v>
      </x:c>
      <x:c r="N818" s="228">
        <x:v>0</x:v>
      </x:c>
      <x:c r="O818" s="228">
        <x:v>0</x:v>
      </x:c>
      <x:c r="P818" s="228">
        <x:v>0</x:v>
      </x:c>
      <x:c r="Q818" s="228">
        <x:v>0</x:v>
      </x:c>
      <x:c r="R818" s="228">
        <x:v>0</x:v>
      </x:c>
      <x:c r="S818" s="228">
        <x:v>0</x:v>
      </x:c>
      <x:c r="T818" s="228">
        <x:v>0</x:v>
      </x:c>
      <x:c r="U818" s="228"/>
      <x:c r="V818" s="228"/>
      <x:c r="W818" s="228"/>
      <x:c r="X818" s="228">
        <x:v>0</x:v>
      </x:c>
      <x:c r="Y818" s="228">
        <x:v>0</x:v>
      </x:c>
      <x:c r="Z818" s="228">
        <x:v>0</x:v>
      </x:c>
      <x:c r="AA818" s="228">
        <x:v>0</x:v>
      </x:c>
      <x:c r="AB818" s="228">
        <x:v>0</x:v>
      </x:c>
      <x:c r="AC818" s="228">
        <x:v>0</x:v>
      </x:c>
      <x:c r="AD818" s="228">
        <x:v>0</x:v>
      </x:c>
      <x:c r="AE818" s="228">
        <x:v>0</x:v>
      </x:c>
      <x:c r="AF818" s="228">
        <x:v>0</x:v>
      </x:c>
      <x:c r="AG818" s="228">
        <x:v>0</x:v>
      </x:c>
      <x:c r="AH818" s="228">
        <x:v>0</x:v>
      </x:c>
      <x:c r="AI818" s="228">
        <x:v>0</x:v>
      </x:c>
      <x:c r="AJ818" s="228">
        <x:v>0</x:v>
      </x:c>
      <x:c r="AK818" s="228">
        <x:v>0</x:v>
      </x:c>
      <x:c r="AL818" s="228">
        <x:v>0</x:v>
      </x:c>
      <x:c r="AM818" s="228">
        <x:v>0</x:v>
      </x:c>
      <x:c r="AN818" s="228">
        <x:v>0</x:v>
      </x:c>
      <x:c r="AO818" s="228">
        <x:v>0</x:v>
      </x:c>
    </x:row>
    <x:row r="819" spans="1:41" ht="12.75" customHeight="1" x14ac:dyDescent="0.2">
      <x:c r="C819" s="778"/>
      <x:c r="D819" s="776"/>
      <x:c r="E819" s="227" t="s">
        <x:v>73</x:v>
      </x:c>
      <x:c r="F819" s="228">
        <x:v>0</x:v>
      </x:c>
      <x:c r="G819" s="90"/>
      <x:c r="H819" s="90"/>
      <x:c r="I819" s="90"/>
      <x:c r="J819" s="90"/>
      <x:c r="K819" s="90"/>
      <x:c r="L819" s="90"/>
      <x:c r="M819" s="90"/>
      <x:c r="N819" s="90"/>
      <x:c r="O819" s="90"/>
      <x:c r="P819" s="90"/>
      <x:c r="Q819" s="90"/>
      <x:c r="R819" s="90"/>
    </x:row>
    <x:row r="820" spans="1:41" ht="12.75" customHeight="1" x14ac:dyDescent="0.2">
      <x:c r="A820" s="89"/>
      <x:c r="C820" s="97"/>
      <x:c r="F820" s="90"/>
      <x:c r="G820" s="90"/>
      <x:c r="H820" s="90"/>
      <x:c r="I820" s="90"/>
      <x:c r="J820" s="90"/>
      <x:c r="K820" s="90"/>
      <x:c r="L820" s="90"/>
      <x:c r="M820" s="90"/>
      <x:c r="N820" s="90"/>
      <x:c r="O820" s="90"/>
      <x:c r="P820" s="90"/>
      <x:c r="Q820" s="90"/>
      <x:c r="R820" s="90"/>
      <x:c r="S820" s="90"/>
    </x:row>
    <x:row r="821" spans="1:41" ht="12.75" customHeight="1" x14ac:dyDescent="0.2">
      <x:c r="C821" s="778" t="s">
        <x:v>155</x:v>
      </x:c>
      <x:c r="D821" s="776" t="s">
        <x:v>132</x:v>
      </x:c>
      <x:c r="E821" s="221" t="s">
        <x:v>70</x:v>
      </x:c>
      <x:c r="F821" s="222">
        <x:f>F794+F761+F729-L729-L761</x:f>
        <x:v>0</x:v>
      </x:c>
      <x:c r="G821" s="222">
        <x:f>G761+G729</x:f>
        <x:v>0</x:v>
      </x:c>
      <x:c r="H821" s="222">
        <x:f t="shared" ref="H821:AO821" si="36">H761+H729</x:f>
        <x:v>0</x:v>
      </x:c>
      <x:c r="I821" s="222">
        <x:f t="shared" si="36"/>
        <x:v>0</x:v>
      </x:c>
      <x:c r="J821" s="222">
        <x:f t="shared" si="36"/>
        <x:v>0</x:v>
      </x:c>
      <x:c r="K821" s="222">
        <x:f t="shared" si="36"/>
        <x:v>0</x:v>
      </x:c>
      <x:c r="L821" s="222">
        <x:f t="shared" si="36"/>
        <x:v>0</x:v>
      </x:c>
      <x:c r="M821" s="222">
        <x:f t="shared" si="36"/>
        <x:v>0</x:v>
      </x:c>
      <x:c r="N821" s="222">
        <x:f t="shared" si="36"/>
        <x:v>0</x:v>
      </x:c>
      <x:c r="O821" s="222">
        <x:f t="shared" si="36"/>
        <x:v>0</x:v>
      </x:c>
      <x:c r="P821" s="222">
        <x:f t="shared" si="36"/>
        <x:v>0</x:v>
      </x:c>
      <x:c r="Q821" s="222">
        <x:f t="shared" si="36"/>
        <x:v>0</x:v>
      </x:c>
      <x:c r="R821" s="222">
        <x:f t="shared" si="36"/>
        <x:v>0</x:v>
      </x:c>
      <x:c r="S821" s="222">
        <x:f t="shared" si="36"/>
        <x:v>0</x:v>
      </x:c>
      <x:c r="T821" s="222">
        <x:f t="shared" si="36"/>
        <x:v>0</x:v>
      </x:c>
      <x:c r="U821" s="222">
        <x:f t="shared" si="36"/>
        <x:v>0</x:v>
      </x:c>
      <x:c r="V821" s="222">
        <x:f t="shared" si="36"/>
        <x:v>0</x:v>
      </x:c>
      <x:c r="W821" s="222">
        <x:f t="shared" si="36"/>
        <x:v>0</x:v>
      </x:c>
      <x:c r="X821" s="222">
        <x:f t="shared" si="36"/>
        <x:v>0</x:v>
      </x:c>
      <x:c r="Y821" s="222">
        <x:f t="shared" si="36"/>
        <x:v>0</x:v>
      </x:c>
      <x:c r="Z821" s="222">
        <x:f t="shared" si="36"/>
        <x:v>0</x:v>
      </x:c>
      <x:c r="AA821" s="222">
        <x:f t="shared" si="36"/>
        <x:v>0</x:v>
      </x:c>
      <x:c r="AB821" s="222">
        <x:f t="shared" si="36"/>
        <x:v>0</x:v>
      </x:c>
      <x:c r="AC821" s="222">
        <x:f t="shared" si="36"/>
        <x:v>0</x:v>
      </x:c>
      <x:c r="AD821" s="222">
        <x:f t="shared" si="36"/>
        <x:v>0</x:v>
      </x:c>
      <x:c r="AE821" s="222">
        <x:f t="shared" si="36"/>
        <x:v>0</x:v>
      </x:c>
      <x:c r="AF821" s="222">
        <x:f t="shared" si="36"/>
        <x:v>0</x:v>
      </x:c>
      <x:c r="AG821" s="222">
        <x:f t="shared" si="36"/>
        <x:v>0</x:v>
      </x:c>
      <x:c r="AH821" s="222">
        <x:f t="shared" si="36"/>
        <x:v>0</x:v>
      </x:c>
      <x:c r="AI821" s="222">
        <x:f t="shared" si="36"/>
        <x:v>0</x:v>
      </x:c>
      <x:c r="AJ821" s="222">
        <x:f t="shared" si="36"/>
        <x:v>0</x:v>
      </x:c>
      <x:c r="AK821" s="222">
        <x:f t="shared" si="36"/>
        <x:v>0</x:v>
      </x:c>
      <x:c r="AL821" s="222">
        <x:f t="shared" si="36"/>
        <x:v>0</x:v>
      </x:c>
      <x:c r="AM821" s="222">
        <x:f t="shared" si="36"/>
        <x:v>0</x:v>
      </x:c>
      <x:c r="AN821" s="222">
        <x:f t="shared" si="36"/>
        <x:v>0</x:v>
      </x:c>
      <x:c r="AO821" s="222">
        <x:f t="shared" si="36"/>
        <x:v>0</x:v>
      </x:c>
    </x:row>
    <x:row r="822" spans="1:41" ht="12.75" customHeight="1" x14ac:dyDescent="0.2">
      <x:c r="C822" s="778"/>
      <x:c r="D822" s="776"/>
      <x:c r="E822" s="221" t="s">
        <x:v>73</x:v>
      </x:c>
      <x:c r="F822" s="222">
        <x:f>F794</x:f>
        <x:v>0</x:v>
      </x:c>
      <x:c r="G822" s="90"/>
      <x:c r="H822" s="90"/>
      <x:c r="I822" s="90"/>
      <x:c r="J822" s="90"/>
      <x:c r="K822" s="90"/>
      <x:c r="L822" s="90"/>
      <x:c r="M822" s="90"/>
      <x:c r="N822" s="90"/>
      <x:c r="O822" s="90"/>
      <x:c r="P822" s="90"/>
      <x:c r="Q822" s="90"/>
      <x:c r="R822" s="90"/>
      <x:c r="S822" s="90"/>
    </x:row>
    <x:row r="823" spans="1:41" ht="12.75" customHeight="1" x14ac:dyDescent="0.2">
      <x:c r="C823" s="778"/>
      <x:c r="D823" s="776" t="s">
        <x:v>133</x:v>
      </x:c>
      <x:c r="E823" s="242" t="s">
        <x:v>70</x:v>
      </x:c>
      <x:c r="F823" s="243">
        <x:f>F780+F742-L742</x:f>
        <x:v>0</x:v>
      </x:c>
      <x:c r="G823" s="243">
        <x:f>G742</x:f>
        <x:v>0</x:v>
      </x:c>
      <x:c r="H823" s="243">
        <x:f t="shared" ref="H823:AO823" si="37">H742</x:f>
        <x:v>0</x:v>
      </x:c>
      <x:c r="I823" s="243">
        <x:f t="shared" si="37"/>
        <x:v>0</x:v>
      </x:c>
      <x:c r="J823" s="243">
        <x:f t="shared" si="37"/>
        <x:v>0</x:v>
      </x:c>
      <x:c r="K823" s="243">
        <x:f t="shared" si="37"/>
        <x:v>0</x:v>
      </x:c>
      <x:c r="L823" s="243">
        <x:f t="shared" si="37"/>
        <x:v>0</x:v>
      </x:c>
      <x:c r="M823" s="243">
        <x:f t="shared" si="37"/>
        <x:v>0</x:v>
      </x:c>
      <x:c r="N823" s="243">
        <x:f t="shared" si="37"/>
        <x:v>0</x:v>
      </x:c>
      <x:c r="O823" s="243">
        <x:f t="shared" si="37"/>
        <x:v>0</x:v>
      </x:c>
      <x:c r="P823" s="243">
        <x:f t="shared" si="37"/>
        <x:v>0</x:v>
      </x:c>
      <x:c r="Q823" s="243">
        <x:f t="shared" si="37"/>
        <x:v>0</x:v>
      </x:c>
      <x:c r="R823" s="243">
        <x:f t="shared" si="37"/>
        <x:v>0</x:v>
      </x:c>
      <x:c r="S823" s="243">
        <x:f t="shared" si="37"/>
        <x:v>0</x:v>
      </x:c>
      <x:c r="T823" s="243">
        <x:f t="shared" si="37"/>
        <x:v>0</x:v>
      </x:c>
      <x:c r="U823" s="243">
        <x:f t="shared" si="37"/>
        <x:v>0</x:v>
      </x:c>
      <x:c r="V823" s="243">
        <x:f t="shared" si="37"/>
        <x:v>0</x:v>
      </x:c>
      <x:c r="W823" s="243">
        <x:f t="shared" si="37"/>
        <x:v>0</x:v>
      </x:c>
      <x:c r="X823" s="243">
        <x:f t="shared" si="37"/>
        <x:v>0</x:v>
      </x:c>
      <x:c r="Y823" s="243">
        <x:f t="shared" si="37"/>
        <x:v>0</x:v>
      </x:c>
      <x:c r="Z823" s="243">
        <x:f t="shared" si="37"/>
        <x:v>0</x:v>
      </x:c>
      <x:c r="AA823" s="243">
        <x:f t="shared" si="37"/>
        <x:v>0</x:v>
      </x:c>
      <x:c r="AB823" s="243">
        <x:f t="shared" si="37"/>
        <x:v>0</x:v>
      </x:c>
      <x:c r="AC823" s="243">
        <x:f t="shared" si="37"/>
        <x:v>0</x:v>
      </x:c>
      <x:c r="AD823" s="243">
        <x:f t="shared" si="37"/>
        <x:v>0</x:v>
      </x:c>
      <x:c r="AE823" s="243">
        <x:f t="shared" si="37"/>
        <x:v>0</x:v>
      </x:c>
      <x:c r="AF823" s="243">
        <x:f t="shared" si="37"/>
        <x:v>0</x:v>
      </x:c>
      <x:c r="AG823" s="243">
        <x:f t="shared" si="37"/>
        <x:v>0</x:v>
      </x:c>
      <x:c r="AH823" s="243">
        <x:f t="shared" si="37"/>
        <x:v>0</x:v>
      </x:c>
      <x:c r="AI823" s="243">
        <x:f t="shared" si="37"/>
        <x:v>0</x:v>
      </x:c>
      <x:c r="AJ823" s="243">
        <x:f t="shared" si="37"/>
        <x:v>0</x:v>
      </x:c>
      <x:c r="AK823" s="243">
        <x:f t="shared" si="37"/>
        <x:v>0</x:v>
      </x:c>
      <x:c r="AL823" s="243">
        <x:f t="shared" si="37"/>
        <x:v>0</x:v>
      </x:c>
      <x:c r="AM823" s="243">
        <x:f t="shared" si="37"/>
        <x:v>0</x:v>
      </x:c>
      <x:c r="AN823" s="243">
        <x:f t="shared" si="37"/>
        <x:v>0</x:v>
      </x:c>
      <x:c r="AO823" s="243">
        <x:f t="shared" si="37"/>
        <x:v>0</x:v>
      </x:c>
    </x:row>
    <x:row r="824" spans="1:41" ht="12.75" customHeight="1" x14ac:dyDescent="0.2">
      <x:c r="C824" s="778"/>
      <x:c r="D824" s="776"/>
      <x:c r="E824" s="242" t="s">
        <x:v>73</x:v>
      </x:c>
      <x:c r="F824" s="243">
        <x:f>F780</x:f>
        <x:v>0</x:v>
      </x:c>
      <x:c r="G824" s="90"/>
      <x:c r="H824" s="90"/>
      <x:c r="I824" s="90"/>
      <x:c r="J824" s="90"/>
      <x:c r="K824" s="90"/>
      <x:c r="L824" s="90"/>
      <x:c r="M824" s="90"/>
      <x:c r="N824" s="90"/>
      <x:c r="O824" s="90"/>
      <x:c r="P824" s="90"/>
      <x:c r="Q824" s="90"/>
      <x:c r="R824" s="90"/>
    </x:row>
    <x:row r="825" spans="1:41" ht="12.75" customHeight="1" x14ac:dyDescent="0.2">
      <x:c r="A825" s="89"/>
      <x:c r="C825" s="97"/>
      <x:c r="F825" s="90"/>
      <x:c r="G825" s="90"/>
      <x:c r="H825" s="90"/>
      <x:c r="I825" s="90"/>
      <x:c r="J825" s="90"/>
      <x:c r="K825" s="90"/>
      <x:c r="L825" s="90"/>
      <x:c r="M825" s="90"/>
      <x:c r="N825" s="90"/>
      <x:c r="O825" s="90"/>
      <x:c r="P825" s="90"/>
      <x:c r="Q825" s="90"/>
      <x:c r="R825" s="90"/>
      <x:c r="S825" s="90"/>
    </x:row>
    <x:row r="826" spans="1:41" ht="12.75" customHeight="1" x14ac:dyDescent="0.2">
      <x:c r="C826" s="779" t="s">
        <x:v>326</x:v>
      </x:c>
      <x:c r="D826" s="776" t="s">
        <x:v>132</x:v>
      </x:c>
      <x:c r="E826" s="373" t="s">
        <x:v>70</x:v>
      </x:c>
      <x:c r="F826" s="374">
        <x:f>F797+F765-L765</x:f>
        <x:v>0</x:v>
      </x:c>
      <x:c r="G826" s="374">
        <x:f>G765</x:f>
        <x:v>0</x:v>
      </x:c>
      <x:c r="H826" s="374">
        <x:f t="shared" ref="H826:AO826" si="38">H765</x:f>
        <x:v>0</x:v>
      </x:c>
      <x:c r="I826" s="374">
        <x:f t="shared" si="38"/>
        <x:v>0</x:v>
      </x:c>
      <x:c r="J826" s="374">
        <x:f t="shared" si="38"/>
        <x:v>0</x:v>
      </x:c>
      <x:c r="K826" s="374">
        <x:f t="shared" si="38"/>
        <x:v>0</x:v>
      </x:c>
      <x:c r="L826" s="374">
        <x:f>L765</x:f>
        <x:v>0</x:v>
      </x:c>
      <x:c r="M826" s="374">
        <x:f t="shared" si="38"/>
        <x:v>0</x:v>
      </x:c>
      <x:c r="N826" s="374">
        <x:f t="shared" si="38"/>
        <x:v>0</x:v>
      </x:c>
      <x:c r="O826" s="374">
        <x:f t="shared" si="38"/>
        <x:v>0</x:v>
      </x:c>
      <x:c r="P826" s="374">
        <x:f t="shared" si="38"/>
        <x:v>0</x:v>
      </x:c>
      <x:c r="Q826" s="374">
        <x:f t="shared" si="38"/>
        <x:v>0</x:v>
      </x:c>
      <x:c r="R826" s="374">
        <x:f t="shared" si="38"/>
        <x:v>0</x:v>
      </x:c>
      <x:c r="S826" s="374">
        <x:f t="shared" si="38"/>
        <x:v>0</x:v>
      </x:c>
      <x:c r="T826" s="374">
        <x:f t="shared" si="38"/>
        <x:v>0</x:v>
      </x:c>
      <x:c r="U826" s="374">
        <x:f t="shared" si="38"/>
        <x:v>0</x:v>
      </x:c>
      <x:c r="V826" s="374">
        <x:f t="shared" si="38"/>
        <x:v>0</x:v>
      </x:c>
      <x:c r="W826" s="374">
        <x:f t="shared" si="38"/>
        <x:v>0</x:v>
      </x:c>
      <x:c r="X826" s="374">
        <x:f t="shared" si="38"/>
        <x:v>0</x:v>
      </x:c>
      <x:c r="Y826" s="374">
        <x:f t="shared" si="38"/>
        <x:v>0</x:v>
      </x:c>
      <x:c r="Z826" s="374">
        <x:f t="shared" si="38"/>
        <x:v>0</x:v>
      </x:c>
      <x:c r="AA826" s="374">
        <x:f t="shared" si="38"/>
        <x:v>0</x:v>
      </x:c>
      <x:c r="AB826" s="374">
        <x:f t="shared" si="38"/>
        <x:v>0</x:v>
      </x:c>
      <x:c r="AC826" s="374">
        <x:f t="shared" si="38"/>
        <x:v>0</x:v>
      </x:c>
      <x:c r="AD826" s="374">
        <x:f t="shared" si="38"/>
        <x:v>0</x:v>
      </x:c>
      <x:c r="AE826" s="374">
        <x:f t="shared" si="38"/>
        <x:v>0</x:v>
      </x:c>
      <x:c r="AF826" s="374">
        <x:f t="shared" si="38"/>
        <x:v>0</x:v>
      </x:c>
      <x:c r="AG826" s="374">
        <x:f t="shared" si="38"/>
        <x:v>0</x:v>
      </x:c>
      <x:c r="AH826" s="374">
        <x:f t="shared" si="38"/>
        <x:v>0</x:v>
      </x:c>
      <x:c r="AI826" s="374">
        <x:f t="shared" si="38"/>
        <x:v>0</x:v>
      </x:c>
      <x:c r="AJ826" s="374">
        <x:f t="shared" si="38"/>
        <x:v>0</x:v>
      </x:c>
      <x:c r="AK826" s="374">
        <x:f t="shared" si="38"/>
        <x:v>0</x:v>
      </x:c>
      <x:c r="AL826" s="374">
        <x:f t="shared" si="38"/>
        <x:v>0</x:v>
      </x:c>
      <x:c r="AM826" s="374">
        <x:f t="shared" si="38"/>
        <x:v>0</x:v>
      </x:c>
      <x:c r="AN826" s="374">
        <x:f t="shared" si="38"/>
        <x:v>0</x:v>
      </x:c>
      <x:c r="AO826" s="374">
        <x:f t="shared" si="38"/>
        <x:v>0</x:v>
      </x:c>
    </x:row>
    <x:row r="827" spans="1:41" ht="12.75" customHeight="1" x14ac:dyDescent="0.2">
      <x:c r="C827" s="779"/>
      <x:c r="D827" s="776"/>
      <x:c r="E827" s="373" t="s">
        <x:v>73</x:v>
      </x:c>
      <x:c r="F827" s="374">
        <x:f>F797</x:f>
        <x:v>0</x:v>
      </x:c>
      <x:c r="G827" s="90"/>
      <x:c r="H827" s="90"/>
      <x:c r="I827" s="90"/>
      <x:c r="J827" s="90"/>
      <x:c r="K827" s="90"/>
      <x:c r="L827" s="90"/>
      <x:c r="M827" s="90"/>
      <x:c r="N827" s="90"/>
      <x:c r="O827" s="90"/>
      <x:c r="P827" s="90"/>
      <x:c r="Q827" s="90"/>
      <x:c r="R827" s="90"/>
      <x:c r="S827" s="90"/>
    </x:row>
    <x:row r="828" spans="1:41" ht="12.75" customHeight="1" x14ac:dyDescent="0.2">
      <x:c r="C828" s="779"/>
      <x:c r="D828" s="776" t="s">
        <x:v>133</x:v>
      </x:c>
      <x:c r="E828" s="242" t="s">
        <x:v>70</x:v>
      </x:c>
      <x:c r="F828" s="243">
        <x:f>F783+F746-L746</x:f>
        <x:v>0</x:v>
      </x:c>
      <x:c r="G828" s="243">
        <x:f>G746</x:f>
        <x:v>0</x:v>
      </x:c>
      <x:c r="H828" s="243">
        <x:f t="shared" ref="H828:AO828" si="39">H746</x:f>
        <x:v>0</x:v>
      </x:c>
      <x:c r="I828" s="243">
        <x:f t="shared" si="39"/>
        <x:v>0</x:v>
      </x:c>
      <x:c r="J828" s="243">
        <x:f t="shared" si="39"/>
        <x:v>0</x:v>
      </x:c>
      <x:c r="K828" s="243">
        <x:f t="shared" si="39"/>
        <x:v>0</x:v>
      </x:c>
      <x:c r="L828" s="243">
        <x:f t="shared" si="39"/>
        <x:v>0</x:v>
      </x:c>
      <x:c r="M828" s="243">
        <x:f t="shared" si="39"/>
        <x:v>0</x:v>
      </x:c>
      <x:c r="N828" s="243">
        <x:f t="shared" si="39"/>
        <x:v>0</x:v>
      </x:c>
      <x:c r="O828" s="243">
        <x:f t="shared" si="39"/>
        <x:v>0</x:v>
      </x:c>
      <x:c r="P828" s="243">
        <x:f t="shared" si="39"/>
        <x:v>0</x:v>
      </x:c>
      <x:c r="Q828" s="243">
        <x:f t="shared" si="39"/>
        <x:v>0</x:v>
      </x:c>
      <x:c r="R828" s="243">
        <x:f t="shared" si="39"/>
        <x:v>0</x:v>
      </x:c>
      <x:c r="S828" s="243">
        <x:f t="shared" si="39"/>
        <x:v>0</x:v>
      </x:c>
      <x:c r="T828" s="243">
        <x:f t="shared" si="39"/>
        <x:v>0</x:v>
      </x:c>
      <x:c r="U828" s="243">
        <x:f t="shared" si="39"/>
        <x:v>0</x:v>
      </x:c>
      <x:c r="V828" s="243">
        <x:f t="shared" si="39"/>
        <x:v>0</x:v>
      </x:c>
      <x:c r="W828" s="243">
        <x:f t="shared" si="39"/>
        <x:v>0</x:v>
      </x:c>
      <x:c r="X828" s="243">
        <x:f t="shared" si="39"/>
        <x:v>0</x:v>
      </x:c>
      <x:c r="Y828" s="243">
        <x:f t="shared" si="39"/>
        <x:v>0</x:v>
      </x:c>
      <x:c r="Z828" s="243">
        <x:f t="shared" si="39"/>
        <x:v>0</x:v>
      </x:c>
      <x:c r="AA828" s="243">
        <x:f t="shared" si="39"/>
        <x:v>0</x:v>
      </x:c>
      <x:c r="AB828" s="243">
        <x:f t="shared" si="39"/>
        <x:v>0</x:v>
      </x:c>
      <x:c r="AC828" s="243">
        <x:f t="shared" si="39"/>
        <x:v>0</x:v>
      </x:c>
      <x:c r="AD828" s="243">
        <x:f t="shared" si="39"/>
        <x:v>0</x:v>
      </x:c>
      <x:c r="AE828" s="243">
        <x:f t="shared" si="39"/>
        <x:v>0</x:v>
      </x:c>
      <x:c r="AF828" s="243">
        <x:f t="shared" si="39"/>
        <x:v>0</x:v>
      </x:c>
      <x:c r="AG828" s="243">
        <x:f t="shared" si="39"/>
        <x:v>0</x:v>
      </x:c>
      <x:c r="AH828" s="243">
        <x:f t="shared" si="39"/>
        <x:v>0</x:v>
      </x:c>
      <x:c r="AI828" s="243">
        <x:f t="shared" si="39"/>
        <x:v>0</x:v>
      </x:c>
      <x:c r="AJ828" s="243">
        <x:f t="shared" si="39"/>
        <x:v>0</x:v>
      </x:c>
      <x:c r="AK828" s="243">
        <x:f t="shared" si="39"/>
        <x:v>0</x:v>
      </x:c>
      <x:c r="AL828" s="243">
        <x:f t="shared" si="39"/>
        <x:v>0</x:v>
      </x:c>
      <x:c r="AM828" s="243">
        <x:f t="shared" si="39"/>
        <x:v>0</x:v>
      </x:c>
      <x:c r="AN828" s="243">
        <x:f t="shared" si="39"/>
        <x:v>0</x:v>
      </x:c>
      <x:c r="AO828" s="243">
        <x:f t="shared" si="39"/>
        <x:v>0</x:v>
      </x:c>
    </x:row>
    <x:row r="829" spans="1:41" ht="12.75" customHeight="1" x14ac:dyDescent="0.2">
      <x:c r="C829" s="779"/>
      <x:c r="D829" s="776"/>
      <x:c r="E829" s="242" t="s">
        <x:v>73</x:v>
      </x:c>
      <x:c r="F829" s="243">
        <x:f>F783</x:f>
        <x:v>0</x:v>
      </x:c>
      <x:c r="G829" s="90"/>
      <x:c r="H829" s="90"/>
      <x:c r="I829" s="90"/>
      <x:c r="J829" s="90"/>
      <x:c r="K829" s="90"/>
      <x:c r="L829" s="90"/>
      <x:c r="M829" s="90"/>
      <x:c r="N829" s="90"/>
      <x:c r="O829" s="90"/>
      <x:c r="P829" s="90"/>
      <x:c r="Q829" s="90"/>
      <x:c r="R829" s="90"/>
    </x:row>
    <x:row r="830" spans="1:41" ht="12.75" customHeight="1" x14ac:dyDescent="0.2">
      <x:c r="C830" s="719"/>
      <x:c r="D830" s="220"/>
      <x:c r="E830" s="89"/>
      <x:c r="F830" s="90"/>
      <x:c r="G830" s="90"/>
      <x:c r="H830" s="90"/>
      <x:c r="I830" s="90"/>
      <x:c r="J830" s="90"/>
      <x:c r="K830" s="90"/>
      <x:c r="L830" s="90"/>
      <x:c r="M830" s="90"/>
      <x:c r="N830" s="90"/>
      <x:c r="O830" s="90"/>
      <x:c r="P830" s="90"/>
      <x:c r="Q830" s="90"/>
      <x:c r="R830" s="90"/>
    </x:row>
    <x:row r="831" spans="1:41" ht="12.75" customHeight="1" x14ac:dyDescent="0.2">
      <x:c r="C831" s="778" t="s">
        <x:v>119</x:v>
      </x:c>
      <x:c r="D831" s="776" t="s">
        <x:v>132</x:v>
      </x:c>
      <x:c r="E831" s="101" t="s">
        <x:v>70</x:v>
      </x:c>
      <x:c r="F831" s="93">
        <x:f>F775+F804+F736-L736-L775</x:f>
        <x:v>0</x:v>
      </x:c>
      <x:c r="G831" s="93">
        <x:f>G775+G736</x:f>
        <x:v>0</x:v>
      </x:c>
      <x:c r="H831" s="93">
        <x:f t="shared" ref="H831:AO831" si="40">H775+H736</x:f>
        <x:v>0</x:v>
      </x:c>
      <x:c r="I831" s="93">
        <x:f t="shared" si="40"/>
        <x:v>0</x:v>
      </x:c>
      <x:c r="J831" s="93">
        <x:f t="shared" si="40"/>
        <x:v>0</x:v>
      </x:c>
      <x:c r="K831" s="93">
        <x:f t="shared" si="40"/>
        <x:v>0</x:v>
      </x:c>
      <x:c r="L831" s="93">
        <x:f t="shared" si="40"/>
        <x:v>0</x:v>
      </x:c>
      <x:c r="M831" s="93">
        <x:f t="shared" si="40"/>
        <x:v>0</x:v>
      </x:c>
      <x:c r="N831" s="93">
        <x:f t="shared" si="40"/>
        <x:v>0</x:v>
      </x:c>
      <x:c r="O831" s="93">
        <x:f t="shared" si="40"/>
        <x:v>0</x:v>
      </x:c>
      <x:c r="P831" s="93">
        <x:f t="shared" si="40"/>
        <x:v>0</x:v>
      </x:c>
      <x:c r="Q831" s="93">
        <x:f t="shared" si="40"/>
        <x:v>0</x:v>
      </x:c>
      <x:c r="R831" s="93">
        <x:f t="shared" si="40"/>
        <x:v>0</x:v>
      </x:c>
      <x:c r="S831" s="93">
        <x:f t="shared" si="40"/>
        <x:v>0</x:v>
      </x:c>
      <x:c r="T831" s="93">
        <x:f t="shared" si="40"/>
        <x:v>0</x:v>
      </x:c>
      <x:c r="U831" s="93">
        <x:f t="shared" si="40"/>
        <x:v>0</x:v>
      </x:c>
      <x:c r="V831" s="93">
        <x:f t="shared" si="40"/>
        <x:v>0</x:v>
      </x:c>
      <x:c r="W831" s="93">
        <x:f t="shared" si="40"/>
        <x:v>0</x:v>
      </x:c>
      <x:c r="X831" s="93">
        <x:f t="shared" si="40"/>
        <x:v>0</x:v>
      </x:c>
      <x:c r="Y831" s="93">
        <x:f t="shared" si="40"/>
        <x:v>0</x:v>
      </x:c>
      <x:c r="Z831" s="93">
        <x:f t="shared" si="40"/>
        <x:v>0</x:v>
      </x:c>
      <x:c r="AA831" s="93">
        <x:f t="shared" si="40"/>
        <x:v>0</x:v>
      </x:c>
      <x:c r="AB831" s="93">
        <x:f t="shared" si="40"/>
        <x:v>0</x:v>
      </x:c>
      <x:c r="AC831" s="93">
        <x:f t="shared" si="40"/>
        <x:v>0</x:v>
      </x:c>
      <x:c r="AD831" s="93">
        <x:f t="shared" si="40"/>
        <x:v>0</x:v>
      </x:c>
      <x:c r="AE831" s="93">
        <x:f t="shared" si="40"/>
        <x:v>0</x:v>
      </x:c>
      <x:c r="AF831" s="93">
        <x:f t="shared" si="40"/>
        <x:v>0</x:v>
      </x:c>
      <x:c r="AG831" s="93">
        <x:f t="shared" si="40"/>
        <x:v>0</x:v>
      </x:c>
      <x:c r="AH831" s="93">
        <x:f t="shared" si="40"/>
        <x:v>0</x:v>
      </x:c>
      <x:c r="AI831" s="93">
        <x:f t="shared" si="40"/>
        <x:v>0</x:v>
      </x:c>
      <x:c r="AJ831" s="93">
        <x:f t="shared" si="40"/>
        <x:v>0</x:v>
      </x:c>
      <x:c r="AK831" s="93">
        <x:f t="shared" si="40"/>
        <x:v>0</x:v>
      </x:c>
      <x:c r="AL831" s="93">
        <x:f t="shared" si="40"/>
        <x:v>0</x:v>
      </x:c>
      <x:c r="AM831" s="93">
        <x:f t="shared" si="40"/>
        <x:v>0</x:v>
      </x:c>
      <x:c r="AN831" s="93">
        <x:f t="shared" si="40"/>
        <x:v>0</x:v>
      </x:c>
      <x:c r="AO831" s="93">
        <x:f t="shared" si="40"/>
        <x:v>0</x:v>
      </x:c>
    </x:row>
    <x:row r="832" spans="1:41" ht="12.75" customHeight="1" x14ac:dyDescent="0.2">
      <x:c r="C832" s="778"/>
      <x:c r="D832" s="776"/>
      <x:c r="E832" s="101" t="s">
        <x:v>73</x:v>
      </x:c>
      <x:c r="F832" s="93">
        <x:f>F804</x:f>
        <x:v>0</x:v>
      </x:c>
      <x:c r="G832" s="90"/>
      <x:c r="H832" s="90"/>
      <x:c r="I832" s="90"/>
      <x:c r="J832" s="90"/>
      <x:c r="K832" s="90"/>
      <x:c r="L832" s="90"/>
      <x:c r="M832" s="90"/>
      <x:c r="N832" s="90"/>
      <x:c r="O832" s="90"/>
      <x:c r="P832" s="90"/>
      <x:c r="Q832" s="90"/>
      <x:c r="R832" s="90"/>
      <x:c r="S832" s="90"/>
    </x:row>
    <x:row r="833" spans="1:41" ht="12.75" customHeight="1" x14ac:dyDescent="0.2">
      <x:c r="C833" s="778"/>
      <x:c r="D833" s="776" t="s">
        <x:v>133</x:v>
      </x:c>
      <x:c r="E833" s="235" t="s">
        <x:v>70</x:v>
      </x:c>
      <x:c r="F833" s="236">
        <x:f>F790+F756-L756</x:f>
        <x:v>0</x:v>
      </x:c>
      <x:c r="G833" s="236">
        <x:f>G756</x:f>
        <x:v>0</x:v>
      </x:c>
      <x:c r="H833" s="236">
        <x:f t="shared" ref="H833:AO833" si="41">H756</x:f>
        <x:v>0</x:v>
      </x:c>
      <x:c r="I833" s="236">
        <x:f t="shared" si="41"/>
        <x:v>0</x:v>
      </x:c>
      <x:c r="J833" s="236">
        <x:f t="shared" si="41"/>
        <x:v>0</x:v>
      </x:c>
      <x:c r="K833" s="236">
        <x:f t="shared" si="41"/>
        <x:v>0</x:v>
      </x:c>
      <x:c r="L833" s="236">
        <x:f t="shared" si="41"/>
        <x:v>0</x:v>
      </x:c>
      <x:c r="M833" s="236">
        <x:f t="shared" si="41"/>
        <x:v>0</x:v>
      </x:c>
      <x:c r="N833" s="236">
        <x:f t="shared" si="41"/>
        <x:v>0</x:v>
      </x:c>
      <x:c r="O833" s="236">
        <x:f t="shared" si="41"/>
        <x:v>0</x:v>
      </x:c>
      <x:c r="P833" s="236">
        <x:f t="shared" si="41"/>
        <x:v>0</x:v>
      </x:c>
      <x:c r="Q833" s="236">
        <x:f t="shared" si="41"/>
        <x:v>0</x:v>
      </x:c>
      <x:c r="R833" s="236">
        <x:f t="shared" si="41"/>
        <x:v>0</x:v>
      </x:c>
      <x:c r="S833" s="236">
        <x:f t="shared" si="41"/>
        <x:v>0</x:v>
      </x:c>
      <x:c r="T833" s="236">
        <x:f t="shared" si="41"/>
        <x:v>0</x:v>
      </x:c>
      <x:c r="U833" s="236">
        <x:f t="shared" si="41"/>
        <x:v>0</x:v>
      </x:c>
      <x:c r="V833" s="236">
        <x:f t="shared" si="41"/>
        <x:v>0</x:v>
      </x:c>
      <x:c r="W833" s="236">
        <x:f t="shared" si="41"/>
        <x:v>0</x:v>
      </x:c>
      <x:c r="X833" s="236">
        <x:f t="shared" si="41"/>
        <x:v>0</x:v>
      </x:c>
      <x:c r="Y833" s="236">
        <x:f t="shared" si="41"/>
        <x:v>0</x:v>
      </x:c>
      <x:c r="Z833" s="236">
        <x:f t="shared" si="41"/>
        <x:v>0</x:v>
      </x:c>
      <x:c r="AA833" s="236">
        <x:f t="shared" si="41"/>
        <x:v>0</x:v>
      </x:c>
      <x:c r="AB833" s="236">
        <x:f t="shared" si="41"/>
        <x:v>0</x:v>
      </x:c>
      <x:c r="AC833" s="236">
        <x:f t="shared" si="41"/>
        <x:v>0</x:v>
      </x:c>
      <x:c r="AD833" s="236">
        <x:f t="shared" si="41"/>
        <x:v>0</x:v>
      </x:c>
      <x:c r="AE833" s="236">
        <x:f t="shared" si="41"/>
        <x:v>0</x:v>
      </x:c>
      <x:c r="AF833" s="236">
        <x:f t="shared" si="41"/>
        <x:v>0</x:v>
      </x:c>
      <x:c r="AG833" s="236">
        <x:f t="shared" si="41"/>
        <x:v>0</x:v>
      </x:c>
      <x:c r="AH833" s="236">
        <x:f t="shared" si="41"/>
        <x:v>0</x:v>
      </x:c>
      <x:c r="AI833" s="236">
        <x:f t="shared" si="41"/>
        <x:v>0</x:v>
      </x:c>
      <x:c r="AJ833" s="236">
        <x:f t="shared" si="41"/>
        <x:v>0</x:v>
      </x:c>
      <x:c r="AK833" s="236">
        <x:f t="shared" si="41"/>
        <x:v>0</x:v>
      </x:c>
      <x:c r="AL833" s="236">
        <x:f t="shared" si="41"/>
        <x:v>0</x:v>
      </x:c>
      <x:c r="AM833" s="236">
        <x:f t="shared" si="41"/>
        <x:v>0</x:v>
      </x:c>
      <x:c r="AN833" s="236">
        <x:f t="shared" si="41"/>
        <x:v>0</x:v>
      </x:c>
      <x:c r="AO833" s="236">
        <x:f t="shared" si="41"/>
        <x:v>0</x:v>
      </x:c>
    </x:row>
    <x:row r="834" spans="1:41" ht="12.75" customHeight="1" x14ac:dyDescent="0.2">
      <x:c r="C834" s="778"/>
      <x:c r="D834" s="776"/>
      <x:c r="E834" s="235" t="s">
        <x:v>73</x:v>
      </x:c>
      <x:c r="F834" s="236">
        <x:f>F790</x:f>
        <x:v>0</x:v>
      </x:c>
      <x:c r="G834" s="90"/>
      <x:c r="H834" s="90"/>
      <x:c r="I834" s="90"/>
      <x:c r="J834" s="90"/>
      <x:c r="K834" s="90"/>
      <x:c r="L834" s="90"/>
      <x:c r="M834" s="90"/>
      <x:c r="N834" s="90"/>
      <x:c r="O834" s="90"/>
      <x:c r="P834" s="90"/>
      <x:c r="Q834" s="90"/>
      <x:c r="R834" s="90"/>
    </x:row>
    <x:row r="835" spans="1:41" ht="12.75" customHeight="1" x14ac:dyDescent="0.2">
      <x:c r="A835" s="89"/>
      <x:c r="C835" s="97"/>
      <x:c r="F835" s="90"/>
      <x:c r="G835" s="90"/>
      <x:c r="H835" s="90"/>
      <x:c r="I835" s="90"/>
      <x:c r="J835" s="90"/>
      <x:c r="K835" s="90"/>
      <x:c r="L835" s="90"/>
      <x:c r="M835" s="90"/>
      <x:c r="N835" s="90"/>
      <x:c r="O835" s="90"/>
      <x:c r="P835" s="90"/>
      <x:c r="Q835" s="90"/>
      <x:c r="R835" s="90"/>
      <x:c r="S835" s="90"/>
    </x:row>
    <x:row r="836" spans="1:41" ht="12.75" customHeight="1" x14ac:dyDescent="0.2">
      <x:c r="C836" s="777" t="s">
        <x:v>161</x:v>
      </x:c>
      <x:c r="D836" s="776" t="s">
        <x:v>132</x:v>
      </x:c>
      <x:c r="E836" s="231" t="s">
        <x:v>70</x:v>
      </x:c>
      <x:c r="F836" s="232">
        <x:v>0</x:v>
      </x:c>
      <x:c r="G836" s="232">
        <x:v>0</x:v>
      </x:c>
      <x:c r="H836" s="232">
        <x:v>0</x:v>
      </x:c>
      <x:c r="I836" s="232">
        <x:v>0</x:v>
      </x:c>
      <x:c r="J836" s="232">
        <x:v>0</x:v>
      </x:c>
      <x:c r="K836" s="232">
        <x:v>0</x:v>
      </x:c>
      <x:c r="L836" s="232">
        <x:v>0</x:v>
      </x:c>
      <x:c r="M836" s="232">
        <x:v>0</x:v>
      </x:c>
      <x:c r="N836" s="232">
        <x:v>0</x:v>
      </x:c>
      <x:c r="O836" s="232">
        <x:v>0</x:v>
      </x:c>
      <x:c r="P836" s="232">
        <x:v>0</x:v>
      </x:c>
      <x:c r="Q836" s="232">
        <x:v>0</x:v>
      </x:c>
      <x:c r="R836" s="232">
        <x:v>0</x:v>
      </x:c>
      <x:c r="S836" s="232">
        <x:v>0</x:v>
      </x:c>
      <x:c r="T836" s="232">
        <x:v>0</x:v>
      </x:c>
      <x:c r="U836" s="232"/>
      <x:c r="V836" s="232"/>
      <x:c r="W836" s="232"/>
      <x:c r="X836" s="232">
        <x:v>0</x:v>
      </x:c>
      <x:c r="Y836" s="232">
        <x:v>0</x:v>
      </x:c>
      <x:c r="Z836" s="232">
        <x:v>0</x:v>
      </x:c>
      <x:c r="AA836" s="232">
        <x:v>0</x:v>
      </x:c>
      <x:c r="AB836" s="232">
        <x:v>0</x:v>
      </x:c>
      <x:c r="AC836" s="232">
        <x:v>0</x:v>
      </x:c>
      <x:c r="AD836" s="232">
        <x:v>0</x:v>
      </x:c>
      <x:c r="AE836" s="232">
        <x:v>0</x:v>
      </x:c>
      <x:c r="AF836" s="232">
        <x:v>0</x:v>
      </x:c>
      <x:c r="AG836" s="232">
        <x:v>0</x:v>
      </x:c>
      <x:c r="AH836" s="232">
        <x:v>0</x:v>
      </x:c>
      <x:c r="AI836" s="232">
        <x:v>0</x:v>
      </x:c>
      <x:c r="AJ836" s="232">
        <x:v>0</x:v>
      </x:c>
      <x:c r="AK836" s="232">
        <x:v>0</x:v>
      </x:c>
      <x:c r="AL836" s="232">
        <x:v>0</x:v>
      </x:c>
      <x:c r="AM836" s="232">
        <x:v>0</x:v>
      </x:c>
      <x:c r="AN836" s="232">
        <x:v>0</x:v>
      </x:c>
      <x:c r="AO836" s="232">
        <x:v>0</x:v>
      </x:c>
    </x:row>
    <x:row r="837" spans="1:41" ht="12.75" customHeight="1" x14ac:dyDescent="0.2">
      <x:c r="C837" s="777"/>
      <x:c r="D837" s="776"/>
      <x:c r="E837" s="231" t="s">
        <x:v>73</x:v>
      </x:c>
      <x:c r="F837" s="232">
        <x:v>0</x:v>
      </x:c>
      <x:c r="G837" s="90"/>
      <x:c r="H837" s="90"/>
      <x:c r="I837" s="90"/>
      <x:c r="J837" s="90"/>
      <x:c r="K837" s="90"/>
      <x:c r="L837" s="90"/>
      <x:c r="M837" s="90"/>
      <x:c r="N837" s="90"/>
      <x:c r="O837" s="90"/>
      <x:c r="P837" s="90"/>
      <x:c r="Q837" s="90"/>
      <x:c r="R837" s="90"/>
      <x:c r="S837" s="90"/>
    </x:row>
    <x:row r="838" spans="1:41" ht="12.75" customHeight="1" x14ac:dyDescent="0.2">
      <x:c r="C838" s="777"/>
      <x:c r="E838" s="148" t="s">
        <x:v>70</x:v>
      </x:c>
      <x:c r="F838" s="149">
        <x:v>0</x:v>
      </x:c>
      <x:c r="G838" s="149">
        <x:v>0</x:v>
      </x:c>
      <x:c r="H838" s="149">
        <x:v>0</x:v>
      </x:c>
      <x:c r="I838" s="149">
        <x:v>0</x:v>
      </x:c>
      <x:c r="J838" s="149">
        <x:v>0</x:v>
      </x:c>
      <x:c r="K838" s="149">
        <x:v>0</x:v>
      </x:c>
      <x:c r="L838" s="149">
        <x:v>0</x:v>
      </x:c>
      <x:c r="M838" s="149">
        <x:v>0</x:v>
      </x:c>
      <x:c r="N838" s="149">
        <x:v>0</x:v>
      </x:c>
      <x:c r="O838" s="149">
        <x:v>0</x:v>
      </x:c>
      <x:c r="P838" s="149">
        <x:v>0</x:v>
      </x:c>
      <x:c r="Q838" s="149">
        <x:v>0</x:v>
      </x:c>
      <x:c r="R838" s="149">
        <x:v>0</x:v>
      </x:c>
      <x:c r="S838" s="149">
        <x:v>0</x:v>
      </x:c>
      <x:c r="T838" s="149">
        <x:v>0</x:v>
      </x:c>
      <x:c r="U838" s="149"/>
      <x:c r="V838" s="149"/>
      <x:c r="W838" s="149"/>
      <x:c r="X838" s="149">
        <x:v>0</x:v>
      </x:c>
      <x:c r="Y838" s="149">
        <x:v>0</x:v>
      </x:c>
      <x:c r="Z838" s="149">
        <x:v>0</x:v>
      </x:c>
      <x:c r="AA838" s="149">
        <x:v>0</x:v>
      </x:c>
    </x:row>
    <x:row r="839" spans="1:41" ht="12.75" customHeight="1" x14ac:dyDescent="0.2">
      <x:c r="C839" s="777"/>
      <x:c r="D839" s="220" t="s">
        <x:v>132</x:v>
      </x:c>
      <x:c r="E839" s="148" t="s">
        <x:v>73</x:v>
      </x:c>
      <x:c r="F839" s="149">
        <x:v>0</x:v>
      </x:c>
      <x:c r="G839" s="90"/>
      <x:c r="H839" s="90"/>
      <x:c r="I839" s="90"/>
      <x:c r="J839" s="90"/>
      <x:c r="K839" s="90"/>
      <x:c r="L839" s="90"/>
      <x:c r="M839" s="90"/>
      <x:c r="N839" s="90"/>
      <x:c r="O839" s="90"/>
      <x:c r="P839" s="90"/>
      <x:c r="Q839" s="90"/>
      <x:c r="R839" s="90"/>
    </x:row>
    <x:row r="840" spans="1:41" ht="12.75" customHeight="1" x14ac:dyDescent="0.2">
      <x:c r="C840" s="388"/>
      <x:c r="D840" s="220"/>
      <x:c r="E840" s="89"/>
      <x:c r="F840" s="90"/>
      <x:c r="G840" s="90"/>
      <x:c r="H840" s="90"/>
      <x:c r="I840" s="90"/>
      <x:c r="J840" s="90"/>
      <x:c r="K840" s="90"/>
      <x:c r="L840" s="90"/>
      <x:c r="M840" s="90"/>
      <x:c r="N840" s="90"/>
      <x:c r="O840" s="90"/>
      <x:c r="P840" s="90"/>
      <x:c r="Q840" s="90"/>
      <x:c r="R840" s="90"/>
    </x:row>
    <x:row r="841" spans="1:41" ht="12.75" customHeight="1" x14ac:dyDescent="0.2">
      <x:c r="D841" s="458" t="s">
        <x:v>186</x:v>
      </x:c>
      <x:c r="E841" s="459" t="s">
        <x:v>70</x:v>
      </x:c>
      <x:c r="F841" s="460">
        <x:f>F738</x:f>
        <x:v>0</x:v>
      </x:c>
      <x:c r="G841" s="460">
        <x:f t="shared" ref="G841:AA841" si="42">G738</x:f>
        <x:v>0</x:v>
      </x:c>
      <x:c r="H841" s="460">
        <x:f t="shared" si="42"/>
        <x:v>0</x:v>
      </x:c>
      <x:c r="I841" s="460">
        <x:f t="shared" si="42"/>
        <x:v>0</x:v>
      </x:c>
      <x:c r="J841" s="460">
        <x:f t="shared" si="42"/>
        <x:v>0</x:v>
      </x:c>
      <x:c r="K841" s="460">
        <x:f t="shared" si="42"/>
        <x:v>0</x:v>
      </x:c>
      <x:c r="L841" s="460">
        <x:f t="shared" si="42"/>
        <x:v>0</x:v>
      </x:c>
      <x:c r="M841" s="460">
        <x:f t="shared" si="42"/>
        <x:v>0</x:v>
      </x:c>
      <x:c r="N841" s="460">
        <x:f t="shared" si="42"/>
        <x:v>0</x:v>
      </x:c>
      <x:c r="O841" s="460">
        <x:f t="shared" si="42"/>
        <x:v>0</x:v>
      </x:c>
      <x:c r="P841" s="460">
        <x:f t="shared" si="42"/>
        <x:v>0</x:v>
      </x:c>
      <x:c r="Q841" s="460">
        <x:f t="shared" si="42"/>
        <x:v>0</x:v>
      </x:c>
      <x:c r="R841" s="460">
        <x:f t="shared" si="42"/>
        <x:v>0</x:v>
      </x:c>
      <x:c r="S841" s="460">
        <x:f t="shared" si="42"/>
        <x:v>0</x:v>
      </x:c>
      <x:c r="T841" s="460">
        <x:f t="shared" si="42"/>
        <x:v>0</x:v>
      </x:c>
      <x:c r="U841" s="460">
        <x:f t="shared" si="42"/>
        <x:v>0</x:v>
      </x:c>
      <x:c r="V841" s="460">
        <x:f t="shared" si="42"/>
        <x:v>0</x:v>
      </x:c>
      <x:c r="W841" s="460">
        <x:f t="shared" si="42"/>
        <x:v>0</x:v>
      </x:c>
      <x:c r="X841" s="460">
        <x:f t="shared" si="42"/>
        <x:v>0</x:v>
      </x:c>
      <x:c r="Y841" s="460">
        <x:f t="shared" si="42"/>
        <x:v>0</x:v>
      </x:c>
      <x:c r="Z841" s="460">
        <x:f t="shared" si="42"/>
        <x:v>0</x:v>
      </x:c>
      <x:c r="AA841" s="460">
        <x:f t="shared" si="42"/>
        <x:v>0</x:v>
      </x:c>
    </x:row>
    <x:row r="842" spans="1:41" ht="12.75" customHeight="1" x14ac:dyDescent="0.2">
      <x:c r="C842" s="388"/>
      <x:c r="D842" s="220"/>
      <x:c r="E842" s="89"/>
      <x:c r="F842" s="90"/>
      <x:c r="G842" s="90"/>
      <x:c r="H842" s="90"/>
      <x:c r="I842" s="90"/>
      <x:c r="J842" s="90"/>
      <x:c r="K842" s="90"/>
      <x:c r="L842" s="90"/>
      <x:c r="M842" s="90"/>
      <x:c r="N842" s="90"/>
      <x:c r="O842" s="90"/>
      <x:c r="P842" s="90"/>
      <x:c r="Q842" s="90"/>
      <x:c r="R842" s="90"/>
    </x:row>
    <x:row r="843" spans="1:41" s="238" customFormat="1" ht="12.75" customHeight="1" x14ac:dyDescent="0.2">
      <x:c r="D843" s="239"/>
      <x:c r="E843" s="240"/>
      <x:c r="F843" s="240"/>
      <x:c r="G843" s="240"/>
      <x:c r="H843" s="240"/>
      <x:c r="I843" s="240"/>
      <x:c r="J843" s="240"/>
      <x:c r="K843" s="240"/>
      <x:c r="L843" s="240"/>
      <x:c r="M843" s="240"/>
      <x:c r="N843" s="240"/>
      <x:c r="O843" s="240"/>
      <x:c r="P843" s="240"/>
      <x:c r="Q843" s="240"/>
    </x:row>
  </x:sheetData>
  <x:mergeCells count="87">
    <x:mergeCell ref="D499:D500"/>
    <x:mergeCell ref="D501:D502"/>
    <x:mergeCell ref="C338:C341"/>
    <x:mergeCell ref="D338:D339"/>
    <x:mergeCell ref="D340:D341"/>
    <x:mergeCell ref="C348:C351"/>
    <x:mergeCell ref="D348:D349"/>
    <x:mergeCell ref="C484:C487"/>
    <x:mergeCell ref="D484:D485"/>
    <x:mergeCell ref="D486:D487"/>
    <x:mergeCell ref="C836:C839"/>
    <x:mergeCell ref="C811:C814"/>
    <x:mergeCell ref="D811:D812"/>
    <x:mergeCell ref="D813:D814"/>
    <x:mergeCell ref="C816:C819"/>
    <x:mergeCell ref="D816:D817"/>
    <x:mergeCell ref="D818:D819"/>
    <x:mergeCell ref="C821:C824"/>
    <x:mergeCell ref="D821:D822"/>
    <x:mergeCell ref="D823:D824"/>
    <x:mergeCell ref="C831:C834"/>
    <x:mergeCell ref="D831:D832"/>
    <x:mergeCell ref="D833:D834"/>
    <x:mergeCell ref="D836:D837"/>
    <x:mergeCell ref="C826:C829"/>
    <x:mergeCell ref="D826:D827"/>
    <x:mergeCell ref="D335:D336"/>
    <x:mergeCell ref="D345:D346"/>
    <x:mergeCell ref="C114:C117"/>
    <x:mergeCell ref="D114:D115"/>
    <x:mergeCell ref="D116:D117"/>
    <x:mergeCell ref="C323:C326"/>
    <x:mergeCell ref="D323:D324"/>
    <x:mergeCell ref="D325:D326"/>
    <x:mergeCell ref="C328:C331"/>
    <x:mergeCell ref="D328:D329"/>
    <x:mergeCell ref="D333:D334"/>
    <x:mergeCell ref="C333:C336"/>
    <x:mergeCell ref="C343:C346"/>
    <x:mergeCell ref="D343:D344"/>
    <x:mergeCell ref="D111:D112"/>
    <x:mergeCell ref="C94:C97"/>
    <x:mergeCell ref="C99:C102"/>
    <x:mergeCell ref="D330:D331"/>
    <x:mergeCell ref="C89:C92"/>
    <x:mergeCell ref="D89:D90"/>
    <x:mergeCell ref="D91:D92"/>
    <x:mergeCell ref="C109:C112"/>
    <x:mergeCell ref="D94:D95"/>
    <x:mergeCell ref="D96:D97"/>
    <x:mergeCell ref="D99:D100"/>
    <x:mergeCell ref="D101:D102"/>
    <x:mergeCell ref="D109:D110"/>
    <x:mergeCell ref="C104:C107"/>
    <x:mergeCell ref="D104:D105"/>
    <x:mergeCell ref="D106:D107"/>
    <x:mergeCell ref="C692:C695"/>
    <x:mergeCell ref="D692:D693"/>
    <x:mergeCell ref="D694:D695"/>
    <x:mergeCell ref="C489:C492"/>
    <x:mergeCell ref="D489:D490"/>
    <x:mergeCell ref="D491:D492"/>
    <x:mergeCell ref="C494:C497"/>
    <x:mergeCell ref="D494:D495"/>
    <x:mergeCell ref="D496:D497"/>
    <x:mergeCell ref="C504:C507"/>
    <x:mergeCell ref="D504:D505"/>
    <x:mergeCell ref="D506:D507"/>
    <x:mergeCell ref="C509:C512"/>
    <x:mergeCell ref="D509:D510"/>
    <x:mergeCell ref="D511:D512"/>
    <x:mergeCell ref="C499:C502"/>
    <x:mergeCell ref="D828:D829"/>
    <x:mergeCell ref="C717:C720"/>
    <x:mergeCell ref="C697:C700"/>
    <x:mergeCell ref="D697:D698"/>
    <x:mergeCell ref="D699:D700"/>
    <x:mergeCell ref="C702:C705"/>
    <x:mergeCell ref="D702:D703"/>
    <x:mergeCell ref="D704:D705"/>
    <x:mergeCell ref="C712:C715"/>
    <x:mergeCell ref="D712:D713"/>
    <x:mergeCell ref="D714:D715"/>
    <x:mergeCell ref="D717:D718"/>
    <x:mergeCell ref="C707:C710"/>
    <x:mergeCell ref="D707:D708"/>
    <x:mergeCell ref="D709:D710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527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75" x14ac:dyDescent="0.2"/>
  <x:cols>
    <x:col min="2" max="2" width="22.42578125" bestFit="1" customWidth="1"/>
    <x:col min="3" max="3" width="18.85546875" customWidth="1"/>
    <x:col min="4" max="4" width="23.140625" bestFit="1" customWidth="1"/>
    <x:col min="5" max="5" width="15.140625" bestFit="1" customWidth="1"/>
    <x:col min="6" max="6" width="15.42578125" bestFit="1" customWidth="1"/>
    <x:col min="7" max="8" width="16.140625" bestFit="1" customWidth="1"/>
    <x:col min="9" max="9" width="15.140625" bestFit="1" customWidth="1"/>
    <x:col min="10" max="10" width="17" bestFit="1" customWidth="1"/>
    <x:col min="11" max="11" width="13.5703125" bestFit="1" customWidth="1"/>
    <x:col min="12" max="12" width="15.5703125" bestFit="1" customWidth="1"/>
    <x:col min="13" max="15" width="15.140625" bestFit="1" customWidth="1"/>
    <x:col min="16" max="16" width="20.42578125" bestFit="1" customWidth="1"/>
    <x:col min="17" max="17" width="11.5703125" customWidth="1"/>
    <x:col min="18" max="18" width="13.5703125" bestFit="1" customWidth="1"/>
  </x:cols>
  <x:sheetData>
    <x:row r="1" spans="2:19" x14ac:dyDescent="0.2">
      <x:c r="B1" s="97" t="s">
        <x:v>74</x:v>
      </x:c>
    </x:row>
    <x:row r="2" spans="2:19" ht="12.75" customHeight="1" x14ac:dyDescent="0.2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9" ht="12.75" customHeight="1" x14ac:dyDescent="0.2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9" ht="12.75" customHeight="1" x14ac:dyDescent="0.2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9" ht="12.75" customHeight="1" x14ac:dyDescent="0.2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9" s="378" customFormat="1" ht="12.75" customHeight="1" x14ac:dyDescent="0.2">
      <x:c r="B6" s="378" t="s">
        <x:v>85</x:v>
      </x:c>
      <x:c r="C6" s="378" t="s">
        <x:v>70</x:v>
      </x:c>
      <x:c r="D6" s="376"/>
      <x:c r="E6" s="710">
        <x:v>0</x:v>
      </x:c>
      <x:c r="F6" s="377">
        <x:v>0</x:v>
      </x:c>
      <x:c r="G6" s="377">
        <x:v>0</x:v>
      </x:c>
      <x:c r="H6" s="377">
        <x:v>0</x:v>
      </x:c>
      <x:c r="I6" s="377">
        <x:v>0</x:v>
      </x:c>
      <x:c r="J6" s="377">
        <x:v>0</x:v>
      </x:c>
      <x:c r="K6" s="377">
        <x:v>0</x:v>
      </x:c>
      <x:c r="L6" s="377">
        <x:v>0</x:v>
      </x:c>
      <x:c r="M6" s="377">
        <x:v>0</x:v>
      </x:c>
      <x:c r="N6" s="377">
        <x:v>0</x:v>
      </x:c>
      <x:c r="O6" s="377">
        <x:v>0</x:v>
      </x:c>
      <x:c r="P6" s="377">
        <x:v>0</x:v>
      </x:c>
      <x:c r="Q6" s="377">
        <x:v>0</x:v>
      </x:c>
      <x:c r="R6" s="378">
        <x:v>0</x:v>
      </x:c>
    </x:row>
    <x:row r="7" spans="2:19" ht="12.75" customHeight="1" x14ac:dyDescent="0.2">
      <x:c r="D7" t="s">
        <x:v>72</x:v>
      </x:c>
      <x:c r="E7" s="384" t="n">
        <x:v>55834234.2</x:v>
      </x:c>
      <x:c r="F7" s="89" t="n">
        <x:v>3094647.39</x:v>
      </x:c>
      <x:c r="G7" s="89" t="n">
        <x:v>1682765.24</x:v>
      </x:c>
      <x:c r="H7" s="384" t="n">
        <x:v>530662.91</x:v>
      </x:c>
      <x:c r="I7" s="89" t="n">
        <x:v>14660029.06</x:v>
      </x:c>
      <x:c r="J7" s="89" t="n">
        <x:v>506485.61</x:v>
      </x:c>
      <x:c r="K7" s="89" t="n">
        <x:v>0</x:v>
      </x:c>
      <x:c r="L7" s="89" t="n">
        <x:v>5081668.92</x:v>
      </x:c>
      <x:c r="M7" s="89" t="n">
        <x:v>4157674.46</x:v>
      </x:c>
      <x:c r="N7" s="89" t="n">
        <x:v>16968785.87</x:v>
      </x:c>
      <x:c r="O7" s="89" t="n">
        <x:v>8430868.99</x:v>
      </x:c>
      <x:c r="P7" s="89" t="n">
        <x:v>720682.78</x:v>
      </x:c>
      <x:c r="Q7" s="89" t="n">
        <x:v>-37.03</x:v>
      </x:c>
      <x:c r="R7" t="n">
        <x:v>0</x:v>
      </x:c>
    </x:row>
    <x:row r="8" spans="2:19" ht="12.75" customHeight="1" x14ac:dyDescent="0.2">
      <x:c r="D8" t="s">
        <x:v>81</x:v>
      </x:c>
      <x:c r="E8" t="n">
        <x:v>3707.99</x:v>
      </x:c>
      <x:c r="F8" t="n">
        <x:v>156.46</x:v>
      </x:c>
      <x:c r="G8" t="n">
        <x:v>86.98</x:v>
      </x:c>
      <x:c r="H8" t="n">
        <x:v>46.44</x:v>
      </x:c>
      <x:c r="I8" t="n">
        <x:v>813.79</x:v>
      </x:c>
      <x:c r="J8" t="n">
        <x:v>38.21</x:v>
      </x:c>
      <x:c r="K8" t="n">
        <x:v>0</x:v>
      </x:c>
      <x:c r="L8" t="n">
        <x:v>335.01</x:v>
      </x:c>
      <x:c r="M8" t="n">
        <x:v>322.78</x:v>
      </x:c>
      <x:c r="N8" t="n">
        <x:v>1416.95</x:v>
      </x:c>
      <x:c r="O8" t="n">
        <x:v>429</x:v>
      </x:c>
      <x:c r="P8" t="n">
        <x:v>62.35</x:v>
      </x:c>
      <x:c r="Q8" t="n">
        <x:v>0.02</x:v>
      </x:c>
      <x:c r="R8" t="n">
        <x:v>0</x:v>
      </x:c>
    </x:row>
    <x:row r="9" spans="2:19" ht="12.75" customHeight="1" x14ac:dyDescent="0.2">
      <x:c r="C9" t="s">
        <x:v>156</x:v>
      </x:c>
      <x:c r="D9" t="s">
        <x:v>70</x:v>
      </x:c>
      <x:c r="E9" t="n">
        <x:v>55837942.19</x:v>
      </x:c>
      <x:c r="F9" t="n">
        <x:v>3094803.85</x:v>
      </x:c>
      <x:c r="G9" t="n">
        <x:v>1682852.22</x:v>
      </x:c>
      <x:c r="H9" t="n">
        <x:v>530709.35</x:v>
      </x:c>
      <x:c r="I9" t="n">
        <x:v>14660842.85</x:v>
      </x:c>
      <x:c r="J9" t="n">
        <x:v>506523.82</x:v>
      </x:c>
      <x:c r="K9" t="n">
        <x:v>0</x:v>
      </x:c>
      <x:c r="L9" t="n">
        <x:v>5082003.93</x:v>
      </x:c>
      <x:c r="M9" t="n">
        <x:v>4157997.24</x:v>
      </x:c>
      <x:c r="N9" t="n">
        <x:v>16970202.82</x:v>
      </x:c>
      <x:c r="O9" t="n">
        <x:v>8431297.99</x:v>
      </x:c>
      <x:c r="P9" t="n">
        <x:v>720745.13</x:v>
      </x:c>
      <x:c r="Q9" t="n">
        <x:v>-37.01</x:v>
      </x:c>
      <x:c r="R9" t="n">
        <x:v>0</x:v>
      </x:c>
    </x:row>
    <x:row r="10" spans="2:19" s="286" customFormat="1" ht="12.75" customHeight="1" x14ac:dyDescent="0.2">
      <x:c r="B10" s="286" t="s">
        <x:v>155</x:v>
      </x:c>
      <x:c r="C10" s="286" t="s">
        <x:v>70</x:v>
      </x:c>
      <x:c r="E10" s="286" t="n">
        <x:v>55837942.19</x:v>
      </x:c>
      <x:c r="F10" s="286" t="n">
        <x:v>3094803.85</x:v>
      </x:c>
      <x:c r="G10" s="286" t="n">
        <x:v>1682852.22</x:v>
      </x:c>
      <x:c r="H10" s="286" t="n">
        <x:v>530709.35</x:v>
      </x:c>
      <x:c r="I10" s="286" t="n">
        <x:v>14660842.85</x:v>
      </x:c>
      <x:c r="J10" s="286" t="n">
        <x:v>506523.82</x:v>
      </x:c>
      <x:c r="K10" s="286" t="n">
        <x:v>0</x:v>
      </x:c>
      <x:c r="L10" s="286" t="n">
        <x:v>5082003.93</x:v>
      </x:c>
      <x:c r="M10" s="286" t="n">
        <x:v>4157997.24</x:v>
      </x:c>
      <x:c r="N10" s="286" t="n">
        <x:v>16970202.82</x:v>
      </x:c>
      <x:c r="O10" s="286" t="n">
        <x:v>8431297.99</x:v>
      </x:c>
      <x:c r="P10" s="286" t="n">
        <x:v>720745.13</x:v>
      </x:c>
      <x:c r="Q10" s="286" t="n">
        <x:v>-37.01</x:v>
      </x:c>
      <x:c r="R10" s="286" t="n">
        <x:v>0</x:v>
      </x:c>
    </x:row>
    <x:row r="11" spans="2:19" ht="12.75" customHeight="1" x14ac:dyDescent="0.2"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9" ht="12.75" customHeight="1" x14ac:dyDescent="0.2"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9" ht="12.75" customHeight="1" x14ac:dyDescent="0.2">
      <x:c r="C13" t="s">
        <x:v>156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9" s="739" customFormat="1" ht="12.75" customHeight="1" x14ac:dyDescent="0.2">
      <x:c r="B14" s="739" t="s">
        <x:v>326</x:v>
      </x:c>
      <x:c r="C14" s="739" t="s">
        <x:v>70</x:v>
      </x:c>
      <x:c r="E14" s="231">
        <x:v>0</x:v>
      </x:c>
      <x:c r="F14" s="740">
        <x:v>0</x:v>
      </x:c>
      <x:c r="G14" s="232">
        <x:v>0</x:v>
      </x:c>
      <x:c r="H14" s="232">
        <x:v>0</x:v>
      </x:c>
      <x:c r="I14" s="232">
        <x:v>0</x:v>
      </x:c>
      <x:c r="J14" s="232">
        <x:v>0</x:v>
      </x:c>
      <x:c r="K14" s="232">
        <x:v>0</x:v>
      </x:c>
      <x:c r="L14" s="232">
        <x:v>0</x:v>
      </x:c>
      <x:c r="M14" s="232">
        <x:v>0</x:v>
      </x:c>
      <x:c r="N14" s="232">
        <x:v>0</x:v>
      </x:c>
      <x:c r="O14" s="232">
        <x:v>0</x:v>
      </x:c>
      <x:c r="P14" s="232">
        <x:v>0</x:v>
      </x:c>
      <x:c r="Q14" s="232">
        <x:v>0</x:v>
      </x:c>
      <x:c r="R14" s="232">
        <x:v>0</x:v>
      </x:c>
      <x:c r="S14" s="232"/>
    </x:row>
    <x:row r="15" spans="2:19" ht="12.75" customHeight="1" x14ac:dyDescent="0.2">
      <x:c r="B15" s="142"/>
      <x:c r="D15" t="s">
        <x:v>72</x:v>
      </x:c>
      <x:c r="E15" s="142" t="n">
        <x:v>2493179.15</x:v>
      </x:c>
      <x:c r="F15" t="n">
        <x:v>105458.8</x:v>
      </x:c>
      <x:c r="G15" t="n">
        <x:v>60546.26</x:v>
      </x:c>
      <x:c r="H15" t="n">
        <x:v>25821.53</x:v>
      </x:c>
      <x:c r="I15" t="n">
        <x:v>658727.02</x:v>
      </x:c>
      <x:c r="J15" t="n">
        <x:v>20098.4</x:v>
      </x:c>
      <x:c r="K15" t="n">
        <x:v>0</x:v>
      </x:c>
      <x:c r="L15" t="n">
        <x:v>179573.87</x:v>
      </x:c>
      <x:c r="M15" t="n">
        <x:v>217698.78</x:v>
      </x:c>
      <x:c r="N15" t="n">
        <x:v>900619.58</x:v>
      </x:c>
      <x:c r="O15" t="n">
        <x:v>296715.15</x:v>
      </x:c>
      <x:c r="P15" t="n">
        <x:v>27929.76</x:v>
      </x:c>
      <x:c r="Q15" t="n">
        <x:v>-10</x:v>
      </x:c>
      <x:c r="R15" t="n">
        <x:v>0</x:v>
      </x:c>
    </x:row>
    <x:row r="16" spans="2:19" ht="12.75" customHeight="1" x14ac:dyDescent="0.2">
      <x:c r="B16" s="142"/>
      <x:c r="D16" t="s">
        <x:v>81</x:v>
      </x:c>
      <x:c r="E16" s="142" t="n">
        <x:v>732.75</x:v>
      </x:c>
      <x:c r="F16" t="n">
        <x:v>36.24</x:v>
      </x:c>
      <x:c r="G16" t="n">
        <x:v>18.73</x:v>
      </x:c>
      <x:c r="H16" t="n">
        <x:v>10.23</x:v>
      </x:c>
      <x:c r="I16" t="n">
        <x:v>195.31</x:v>
      </x:c>
      <x:c r="J16" t="n">
        <x:v>4.71</x:v>
      </x:c>
      <x:c r="K16" t="n">
        <x:v>0</x:v>
      </x:c>
      <x:c r="L16" t="n">
        <x:v>41.31</x:v>
      </x:c>
      <x:c r="M16" t="n">
        <x:v>56.94</x:v>
      </x:c>
      <x:c r="N16" t="n">
        <x:v>262.11</x:v>
      </x:c>
      <x:c r="O16" t="n">
        <x:v>99.47</x:v>
      </x:c>
      <x:c r="P16" t="n">
        <x:v>7.68</x:v>
      </x:c>
      <x:c r="Q16" t="n">
        <x:v>0.02</x:v>
      </x:c>
      <x:c r="R16" t="n">
        <x:v>0</x:v>
      </x:c>
    </x:row>
    <x:row r="17" spans="1:18" ht="12.75" customHeight="1" x14ac:dyDescent="0.2">
      <x:c r="B17" s="142"/>
      <x:c r="C17" t="s">
        <x:v>82</x:v>
      </x:c>
      <x:c r="D17" t="s">
        <x:v>70</x:v>
      </x:c>
      <x:c r="E17" s="142" t="n">
        <x:v>2493911.9</x:v>
      </x:c>
      <x:c r="F17" t="n">
        <x:v>105495.04</x:v>
      </x:c>
      <x:c r="G17" t="n">
        <x:v>60564.99</x:v>
      </x:c>
      <x:c r="H17" t="n">
        <x:v>25831.76</x:v>
      </x:c>
      <x:c r="I17" t="n">
        <x:v>658922.33</x:v>
      </x:c>
      <x:c r="J17" t="n">
        <x:v>20103.11</x:v>
      </x:c>
      <x:c r="K17" t="n">
        <x:v>0</x:v>
      </x:c>
      <x:c r="L17" t="n">
        <x:v>179615.18</x:v>
      </x:c>
      <x:c r="M17" t="n">
        <x:v>217755.72</x:v>
      </x:c>
      <x:c r="N17" t="n">
        <x:v>900881.69</x:v>
      </x:c>
      <x:c r="O17" t="n">
        <x:v>296814.62</x:v>
      </x:c>
      <x:c r="P17" t="n">
        <x:v>27937.44</x:v>
      </x:c>
      <x:c r="Q17" t="n">
        <x:v>-9.98</x:v>
      </x:c>
      <x:c r="R17" t="n">
        <x:v>0</x:v>
      </x:c>
    </x:row>
    <x:row r="18" spans="1:18" ht="12.75" customHeight="1" x14ac:dyDescent="0.2">
      <x:c r="B18" s="142"/>
      <x:c r="D18" t="s">
        <x:v>72</x:v>
      </x:c>
      <x:c r="E18" t="n">
        <x:v>2223198.56</x:v>
      </x:c>
      <x:c r="F18" t="n">
        <x:v>147874.33</x:v>
      </x:c>
      <x:c r="G18" t="n">
        <x:v>83270.12</x:v>
      </x:c>
      <x:c r="H18" t="n">
        <x:v>44538.96</x:v>
      </x:c>
      <x:c r="I18" t="n">
        <x:v>324582.72</x:v>
      </x:c>
      <x:c r="J18" t="n">
        <x:v>14764.44</x:v>
      </x:c>
      <x:c r="K18" t="n">
        <x:v>0</x:v>
      </x:c>
      <x:c r="L18" t="n">
        <x:v>134454.14</x:v>
      </x:c>
      <x:c r="M18" t="n">
        <x:v>151788.8</x:v>
      </x:c>
      <x:c r="N18" t="n">
        <x:v>653436.37</x:v>
      </x:c>
      <x:c r="O18" t="n">
        <x:v>644060.97</x:v>
      </x:c>
      <x:c r="P18" t="n">
        <x:v>24424.93</x:v>
      </x:c>
      <x:c r="Q18" t="n">
        <x:v>2.78</x:v>
      </x:c>
      <x:c r="R18" t="n">
        <x:v>0</x:v>
      </x:c>
    </x:row>
    <x:row r="19" spans="1:18" ht="12.75" customHeight="1" x14ac:dyDescent="0.2">
      <x:c r="B19" s="142"/>
      <x:c r="D19" t="s">
        <x:v>81</x:v>
      </x:c>
      <x:c r="E19" t="n">
        <x:v>676.52</x:v>
      </x:c>
      <x:c r="F19" t="n">
        <x:v>18.42</x:v>
      </x:c>
      <x:c r="G19" t="n">
        <x:v>9.52</x:v>
      </x:c>
      <x:c r="H19" t="n">
        <x:v>5.19</x:v>
      </x:c>
      <x:c r="I19" t="n">
        <x:v>108.14</x:v>
      </x:c>
      <x:c r="J19" t="n">
        <x:v>12.59</x:v>
      </x:c>
      <x:c r="K19" t="n">
        <x:v>0</x:v>
      </x:c>
      <x:c r="L19" t="n">
        <x:v>109.25</x:v>
      </x:c>
      <x:c r="M19" t="n">
        <x:v>100.54</x:v>
      </x:c>
      <x:c r="N19" t="n">
        <x:v>242.05</x:v>
      </x:c>
      <x:c r="O19" t="n">
        <x:v>50.3</x:v>
      </x:c>
      <x:c r="P19" t="n">
        <x:v>20.52</x:v>
      </x:c>
      <x:c r="Q19" t="n">
        <x:v>0</x:v>
      </x:c>
      <x:c r="R19" t="n">
        <x:v>0</x:v>
      </x:c>
    </x:row>
    <x:row r="20" spans="1:18" ht="12.75" customHeight="1" x14ac:dyDescent="0.2">
      <x:c r="B20" s="142"/>
      <x:c r="C20" t="s">
        <x:v>86</x:v>
      </x:c>
      <x:c r="D20" t="s">
        <x:v>70</x:v>
      </x:c>
      <x:c r="E20" s="142" t="n">
        <x:v>2223875.08</x:v>
      </x:c>
      <x:c r="F20" t="n">
        <x:v>147892.75</x:v>
      </x:c>
      <x:c r="G20" t="n">
        <x:v>83279.64</x:v>
      </x:c>
      <x:c r="H20" t="n">
        <x:v>44544.15</x:v>
      </x:c>
      <x:c r="I20" t="n">
        <x:v>324690.86</x:v>
      </x:c>
      <x:c r="J20" t="n">
        <x:v>14777.03</x:v>
      </x:c>
      <x:c r="K20" t="n">
        <x:v>0</x:v>
      </x:c>
      <x:c r="L20" t="n">
        <x:v>134563.39</x:v>
      </x:c>
      <x:c r="M20" t="n">
        <x:v>151889.34</x:v>
      </x:c>
      <x:c r="N20" t="n">
        <x:v>653678.42</x:v>
      </x:c>
      <x:c r="O20" t="n">
        <x:v>644111.27</x:v>
      </x:c>
      <x:c r="P20" t="n">
        <x:v>24445.45</x:v>
      </x:c>
      <x:c r="Q20" t="n">
        <x:v>2.78</x:v>
      </x:c>
      <x:c r="R20" t="n">
        <x:v>0</x:v>
      </x:c>
    </x:row>
    <x:row r="21" spans="1:18" ht="12.75" customHeight="1" x14ac:dyDescent="0.2">
      <x:c r="B21" s="142"/>
      <x:c r="D21" t="s">
        <x:v>72</x:v>
      </x:c>
      <x:c r="E21" s="142" t="n">
        <x:v>20285168.59</x:v>
      </x:c>
      <x:c r="F21" t="n">
        <x:v>2616610.99</x:v>
      </x:c>
      <x:c r="G21" t="n">
        <x:v>1450507.37</x:v>
      </x:c>
      <x:c r="H21" t="n">
        <x:v>764170.91</x:v>
      </x:c>
      <x:c r="I21" t="n">
        <x:v>2505995.41</x:v>
      </x:c>
      <x:c r="J21" t="n">
        <x:v>57900.44</x:v>
      </x:c>
      <x:c r="K21" t="n">
        <x:v>1030668</x:v>
      </x:c>
      <x:c r="L21" t="n">
        <x:v>683264.29</x:v>
      </x:c>
      <x:c r="M21" t="n">
        <x:v>755299.62</x:v>
      </x:c>
      <x:c r="N21" t="n">
        <x:v>2961182.99</x:v>
      </x:c>
      <x:c r="O21" t="n">
        <x:v>7368849.39</x:v>
      </x:c>
      <x:c r="P21" t="n">
        <x:v>90741.67</x:v>
      </x:c>
      <x:c r="Q21" t="n">
        <x:v>-22.49</x:v>
      </x:c>
      <x:c r="R21" t="n">
        <x:v>0</x:v>
      </x:c>
    </x:row>
    <x:row r="22" spans="1:18" ht="12.75" customHeight="1" x14ac:dyDescent="0.2">
      <x:c r="B22" s="142"/>
      <x:c r="D22" t="s">
        <x:v>81</x:v>
      </x:c>
      <x:c r="E22" s="142" t="n">
        <x:v>22217.37</x:v>
      </x:c>
      <x:c r="F22" t="n">
        <x:v>1381.19</x:v>
      </x:c>
      <x:c r="G22" t="n">
        <x:v>639.86</x:v>
      </x:c>
      <x:c r="H22" t="n">
        <x:v>371.8</x:v>
      </x:c>
      <x:c r="I22" t="n">
        <x:v>5346.65</x:v>
      </x:c>
      <x:c r="J22" t="n">
        <x:v>194.18</x:v>
      </x:c>
      <x:c r="K22" t="n">
        <x:v>0</x:v>
      </x:c>
      <x:c r="L22" t="n">
        <x:v>1703.91</x:v>
      </x:c>
      <x:c r="M22" t="n">
        <x:v>1518.67</x:v>
      </x:c>
      <x:c r="N22" t="n">
        <x:v>6962.94</x:v>
      </x:c>
      <x:c r="O22" t="n">
        <x:v>3781.33</x:v>
      </x:c>
      <x:c r="P22" t="n">
        <x:v>316.83</x:v>
      </x:c>
      <x:c r="Q22" t="n">
        <x:v>0.01</x:v>
      </x:c>
      <x:c r="R22" t="n">
        <x:v>0</x:v>
      </x:c>
    </x:row>
    <x:row r="23" spans="1:18" ht="12.75" customHeight="1" x14ac:dyDescent="0.2">
      <x:c r="B23" s="142"/>
      <x:c r="C23" s="89" t="s">
        <x:v>87</x:v>
      </x:c>
      <x:c r="D23" s="89" t="s">
        <x:v>70</x:v>
      </x:c>
      <x:c r="E23" s="90" t="n">
        <x:v>20307385.96</x:v>
      </x:c>
      <x:c r="F23" s="90" t="n">
        <x:v>2617992.18</x:v>
      </x:c>
      <x:c r="G23" s="90" t="n">
        <x:v>1451147.23</x:v>
      </x:c>
      <x:c r="H23" s="90" t="n">
        <x:v>764542.71</x:v>
      </x:c>
      <x:c r="I23" s="90" t="n">
        <x:v>2511342.06</x:v>
      </x:c>
      <x:c r="J23" s="90" t="n">
        <x:v>58094.62</x:v>
      </x:c>
      <x:c r="K23" s="90" t="n">
        <x:v>1030668</x:v>
      </x:c>
      <x:c r="L23" s="90" t="n">
        <x:v>684968.2</x:v>
      </x:c>
      <x:c r="M23" s="90" t="n">
        <x:v>756818.29</x:v>
      </x:c>
      <x:c r="N23" s="90" t="n">
        <x:v>2968145.93</x:v>
      </x:c>
      <x:c r="O23" s="90" t="n">
        <x:v>7372630.72</x:v>
      </x:c>
      <x:c r="P23" s="90" t="n">
        <x:v>91058.5</x:v>
      </x:c>
      <x:c r="Q23" s="90" t="n">
        <x:v>-22.48</x:v>
      </x:c>
      <x:c r="R23" t="n">
        <x:v>0</x:v>
      </x:c>
    </x:row>
    <x:row r="24" spans="1:18" s="94" customFormat="1" ht="12.75" customHeight="1" x14ac:dyDescent="0.2">
      <x:c r="B24" s="101" t="s">
        <x:v>119</x:v>
      </x:c>
      <x:c r="C24" s="101" t="s">
        <x:v>70</x:v>
      </x:c>
      <x:c r="E24" s="93" t="n">
        <x:v>25025172.94</x:v>
      </x:c>
      <x:c r="F24" s="93" t="n">
        <x:v>2871379.97</x:v>
      </x:c>
      <x:c r="G24" s="93" t="n">
        <x:v>1594991.86</x:v>
      </x:c>
      <x:c r="H24" s="93" t="n">
        <x:v>834918.62</x:v>
      </x:c>
      <x:c r="I24" s="93" t="n">
        <x:v>3494955.25</x:v>
      </x:c>
      <x:c r="J24" s="93" t="n">
        <x:v>92974.76</x:v>
      </x:c>
      <x:c r="K24" s="93" t="n">
        <x:v>1030668</x:v>
      </x:c>
      <x:c r="L24" s="93" t="n">
        <x:v>999146.77</x:v>
      </x:c>
      <x:c r="M24" s="93" t="n">
        <x:v>1126463.35</x:v>
      </x:c>
      <x:c r="N24" s="93" t="n">
        <x:v>4522706.04</x:v>
      </x:c>
      <x:c r="O24" s="93" t="n">
        <x:v>8313556.61</x:v>
      </x:c>
      <x:c r="P24" s="93" t="n">
        <x:v>143441.39</x:v>
      </x:c>
      <x:c r="Q24" s="93" t="n">
        <x:v>-29.68</x:v>
      </x:c>
      <x:c r="R24" s="94" t="n">
        <x:v>0</x:v>
      </x:c>
    </x:row>
    <x:row r="25" spans="1:18" s="226" customFormat="1" ht="12.75" customHeight="1" x14ac:dyDescent="0.2">
      <x:c r="A25" s="98" t="s">
        <x:v>78</x:v>
      </x:c>
      <x:c r="B25" s="98" t="s">
        <x:v>70</x:v>
      </x:c>
      <x:c r="E25" s="100" t="n">
        <x:v>80863115.13</x:v>
      </x:c>
      <x:c r="F25" s="100" t="n">
        <x:v>5966183.82</x:v>
      </x:c>
      <x:c r="G25" s="100" t="n">
        <x:v>3277844.08</x:v>
      </x:c>
      <x:c r="H25" s="100" t="n">
        <x:v>1365627.97</x:v>
      </x:c>
      <x:c r="I25" s="100" t="n">
        <x:v>18155798.1</x:v>
      </x:c>
      <x:c r="J25" s="100" t="n">
        <x:v>599498.58</x:v>
      </x:c>
      <x:c r="K25" s="100" t="n">
        <x:v>1030668</x:v>
      </x:c>
      <x:c r="L25" s="100" t="n">
        <x:v>6081150.7</x:v>
      </x:c>
      <x:c r="M25" s="100" t="n">
        <x:v>5284460.59</x:v>
      </x:c>
      <x:c r="N25" s="100" t="n">
        <x:v>21492908.86</x:v>
      </x:c>
      <x:c r="O25" s="100" t="n">
        <x:v>16744854.6</x:v>
      </x:c>
      <x:c r="P25" s="100" t="n">
        <x:v>864186.52</x:v>
      </x:c>
      <x:c r="Q25" s="100" t="n">
        <x:v>-66.69</x:v>
      </x:c>
      <x:c r="R25" s="226" t="n">
        <x:v>0</x:v>
      </x:c>
    </x:row>
    <x:row r="26" spans="1:18" ht="12.75" customHeight="1" x14ac:dyDescent="0.2">
      <x:c r="B26" s="89"/>
      <x:c r="C26" s="89"/>
      <x:c r="D26" t="s">
        <x:v>73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2">
      <x:c r="B27" s="89"/>
      <x:c r="C27" s="89" t="s">
        <x:v>332</x:v>
      </x:c>
      <x:c r="D27" t="s">
        <x:v>70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s="378" customFormat="1" ht="12.75" customHeight="1" x14ac:dyDescent="0.2">
      <x:c r="B28" s="378" t="s">
        <x:v>85</x:v>
      </x:c>
      <x:c r="C28" s="378" t="s">
        <x:v>70</x:v>
      </x:c>
      <x:c r="E28" s="378">
        <x:v>0</x:v>
      </x:c>
      <x:c r="F28" s="378">
        <x:v>0</x:v>
      </x:c>
      <x:c r="G28" s="378">
        <x:v>0</x:v>
      </x:c>
      <x:c r="H28" s="378">
        <x:v>0</x:v>
      </x:c>
      <x:c r="I28" s="378">
        <x:v>0</x:v>
      </x:c>
      <x:c r="J28" s="378">
        <x:v>0</x:v>
      </x:c>
      <x:c r="K28" s="378">
        <x:v>0</x:v>
      </x:c>
      <x:c r="L28" s="378">
        <x:v>0</x:v>
      </x:c>
      <x:c r="M28" s="378">
        <x:v>0</x:v>
      </x:c>
      <x:c r="N28" s="378">
        <x:v>0</x:v>
      </x:c>
      <x:c r="O28" s="378">
        <x:v>0</x:v>
      </x:c>
      <x:c r="P28" s="378">
        <x:v>0</x:v>
      </x:c>
      <x:c r="Q28" s="378">
        <x:v>0</x:v>
      </x:c>
      <x:c r="R28" s="378">
        <x:v>0</x:v>
      </x:c>
    </x:row>
    <x:row r="29" spans="1:18" ht="12.75" customHeight="1" x14ac:dyDescent="0.2">
      <x:c r="D29" s="89" t="s">
        <x:v>73</x:v>
      </x:c>
      <x:c r="E29" s="371" t="n">
        <x:v>-19207013.52</x:v>
      </x:c>
      <x:c r="F29" s="90" t="n">
        <x:v>-617716.24</x:v>
      </x:c>
      <x:c r="G29" s="90" t="n">
        <x:v>-328873.02</x:v>
      </x:c>
      <x:c r="H29" s="90" t="n">
        <x:v>-172186.54</x:v>
      </x:c>
      <x:c r="I29" s="90" t="n">
        <x:v>-5306584.67</x:v>
      </x:c>
      <x:c r="J29" s="90" t="n">
        <x:v>-192729.4</x:v>
      </x:c>
      <x:c r="K29" s="90" t="n">
        <x:v>0</x:v>
      </x:c>
      <x:c r="L29" s="90" t="n">
        <x:v>-1649344.07</x:v>
      </x:c>
      <x:c r="M29" s="90" t="n">
        <x:v>-1543787.46</x:v>
      </x:c>
      <x:c r="N29" s="90" t="n">
        <x:v>-7413085.69</x:v>
      </x:c>
      <x:c r="O29" s="90" t="n">
        <x:v>-1667377.89</x:v>
      </x:c>
      <x:c r="P29" s="90" t="n">
        <x:v>-315328.54</x:v>
      </x:c>
      <x:c r="Q29" s="90" t="n">
        <x:v>0</x:v>
      </x:c>
      <x:c r="R29" t="n">
        <x:v>0</x:v>
      </x:c>
    </x:row>
    <x:row r="30" spans="1:18" ht="12.75" customHeight="1" x14ac:dyDescent="0.2">
      <x:c r="C30" s="89" t="s">
        <x:v>156</x:v>
      </x:c>
      <x:c r="D30" s="89" t="s">
        <x:v>70</x:v>
      </x:c>
      <x:c r="E30" s="90" t="n">
        <x:v>-19207013.52</x:v>
      </x:c>
      <x:c r="F30" s="90" t="n">
        <x:v>-617716.24</x:v>
      </x:c>
      <x:c r="G30" s="90" t="n">
        <x:v>-328873.02</x:v>
      </x:c>
      <x:c r="H30" s="90" t="n">
        <x:v>-172186.54</x:v>
      </x:c>
      <x:c r="I30" s="90" t="n">
        <x:v>-5306584.67</x:v>
      </x:c>
      <x:c r="J30" s="90" t="n">
        <x:v>-192729.4</x:v>
      </x:c>
      <x:c r="K30" s="90" t="n">
        <x:v>0</x:v>
      </x:c>
      <x:c r="L30" s="90" t="n">
        <x:v>-1649344.07</x:v>
      </x:c>
      <x:c r="M30" s="90" t="n">
        <x:v>-1543787.46</x:v>
      </x:c>
      <x:c r="N30" s="90" t="n">
        <x:v>-7413085.69</x:v>
      </x:c>
      <x:c r="O30" s="90" t="n">
        <x:v>-1667377.89</x:v>
      </x:c>
      <x:c r="P30" s="90" t="n">
        <x:v>-315328.54</x:v>
      </x:c>
      <x:c r="Q30" s="90" t="n">
        <x:v>0</x:v>
      </x:c>
      <x:c r="R30" t="n">
        <x:v>0</x:v>
      </x:c>
    </x:row>
    <x:row r="31" spans="1:18" s="286" customFormat="1" ht="12.75" customHeight="1" x14ac:dyDescent="0.2">
      <x:c r="B31" s="286" t="s">
        <x:v>155</x:v>
      </x:c>
      <x:c r="C31" s="286" t="s">
        <x:v>70</x:v>
      </x:c>
      <x:c r="E31" s="286" t="n">
        <x:v>-19207013.52</x:v>
      </x:c>
      <x:c r="F31" s="286" t="n">
        <x:v>-617716.24</x:v>
      </x:c>
      <x:c r="G31" s="286" t="n">
        <x:v>-328873.02</x:v>
      </x:c>
      <x:c r="H31" s="286" t="n">
        <x:v>-172186.54</x:v>
      </x:c>
      <x:c r="I31" s="286" t="n">
        <x:v>-5306584.67</x:v>
      </x:c>
      <x:c r="J31" s="286" t="n">
        <x:v>-192729.4</x:v>
      </x:c>
      <x:c r="K31" s="286" t="n">
        <x:v>0</x:v>
      </x:c>
      <x:c r="L31" s="286" t="n">
        <x:v>-1649344.07</x:v>
      </x:c>
      <x:c r="M31" s="286" t="n">
        <x:v>-1543787.46</x:v>
      </x:c>
      <x:c r="N31" s="286" t="n">
        <x:v>-7413085.69</x:v>
      </x:c>
      <x:c r="O31" s="286" t="n">
        <x:v>-1667377.89</x:v>
      </x:c>
      <x:c r="P31" s="286" t="n">
        <x:v>-315328.54</x:v>
      </x:c>
      <x:c r="Q31" s="286" t="n">
        <x:v>0</x:v>
      </x:c>
      <x:c r="R31" s="286" t="n">
        <x:v>0</x:v>
      </x:c>
    </x:row>
    <x:row r="32" spans="1:18" ht="12.75" customHeight="1" x14ac:dyDescent="0.2">
      <x:c r="B32" s="142"/>
      <x:c r="C32" s="89"/>
      <x:c r="D32" s="89" t="s">
        <x:v>73</x:v>
      </x:c>
      <x:c r="E32" s="371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>
        <x:v>0</x:v>
      </x:c>
    </x:row>
    <x:row r="33" spans="1:19" ht="12.75" customHeight="1" x14ac:dyDescent="0.2">
      <x:c r="B33" s="142"/>
      <x:c r="C33" s="89" t="s">
        <x:v>156</x:v>
      </x:c>
      <x:c r="D33" s="89" t="s">
        <x:v>70</x:v>
      </x:c>
      <x:c r="E33" s="371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>
        <x:v>0</x:v>
      </x:c>
    </x:row>
    <x:row r="34" spans="1:19" s="739" customFormat="1" ht="12.75" customHeight="1" x14ac:dyDescent="0.2">
      <x:c r="B34" s="739" t="s">
        <x:v>326</x:v>
      </x:c>
      <x:c r="C34" s="739" t="s">
        <x:v>70</x:v>
      </x:c>
      <x:c r="E34" s="231">
        <x:v>0</x:v>
      </x:c>
      <x:c r="F34" s="740">
        <x:v>0</x:v>
      </x:c>
      <x:c r="G34" s="232">
        <x:v>0</x:v>
      </x:c>
      <x:c r="H34" s="232">
        <x:v>0</x:v>
      </x:c>
      <x:c r="I34" s="232">
        <x:v>0</x:v>
      </x:c>
      <x:c r="J34" s="232">
        <x:v>0</x:v>
      </x:c>
      <x:c r="K34" s="232">
        <x:v>0</x:v>
      </x:c>
      <x:c r="L34" s="232">
        <x:v>0</x:v>
      </x:c>
      <x:c r="M34" s="232">
        <x:v>0</x:v>
      </x:c>
      <x:c r="N34" s="232">
        <x:v>0</x:v>
      </x:c>
      <x:c r="O34" s="232">
        <x:v>0</x:v>
      </x:c>
      <x:c r="P34" s="232">
        <x:v>0</x:v>
      </x:c>
      <x:c r="Q34" s="232">
        <x:v>0</x:v>
      </x:c>
      <x:c r="R34" s="232">
        <x:v>0</x:v>
      </x:c>
      <x:c r="S34" s="232"/>
    </x:row>
    <x:row r="35" spans="1:19" ht="12.75" customHeight="1" x14ac:dyDescent="0.2">
      <x:c r="D35" s="89" t="s">
        <x:v>73</x:v>
      </x:c>
      <x:c r="E35" s="371" t="n">
        <x:v>-372078.25</x:v>
      </x:c>
      <x:c r="F35" s="90" t="n">
        <x:v>-10720.26</x:v>
      </x:c>
      <x:c r="G35" s="90" t="n">
        <x:v>-5973.28</x:v>
      </x:c>
      <x:c r="H35" s="90" t="n">
        <x:v>-4443.92</x:v>
      </x:c>
      <x:c r="I35" s="90" t="n">
        <x:v>-103772.07</x:v>
      </x:c>
      <x:c r="J35" s="90" t="n">
        <x:v>-4179.18</x:v>
      </x:c>
      <x:c r="K35" s="90" t="n">
        <x:v>0</x:v>
      </x:c>
      <x:c r="L35" s="90" t="n">
        <x:v>-33851.55</x:v>
      </x:c>
      <x:c r="M35" s="90" t="n">
        <x:v>-33425.82</x:v>
      </x:c>
      <x:c r="N35" s="90" t="n">
        <x:v>-139613.89</x:v>
      </x:c>
      <x:c r="O35" s="90" t="n">
        <x:v>-29279.68</x:v>
      </x:c>
      <x:c r="P35" s="90" t="n">
        <x:v>-6818.6</x:v>
      </x:c>
      <x:c r="Q35" s="90" t="n">
        <x:v>0</x:v>
      </x:c>
      <x:c r="R35" t="n">
        <x:v>0</x:v>
      </x:c>
    </x:row>
    <x:row r="36" spans="1:19" ht="12.75" customHeight="1" x14ac:dyDescent="0.2">
      <x:c r="C36" s="89" t="s">
        <x:v>82</x:v>
      </x:c>
      <x:c r="D36" s="89" t="s">
        <x:v>70</x:v>
      </x:c>
      <x:c r="E36" s="90" t="n">
        <x:v>-372078.25</x:v>
      </x:c>
      <x:c r="F36" s="90" t="n">
        <x:v>-10720.26</x:v>
      </x:c>
      <x:c r="G36" s="90" t="n">
        <x:v>-5973.28</x:v>
      </x:c>
      <x:c r="H36" s="90" t="n">
        <x:v>-4443.92</x:v>
      </x:c>
      <x:c r="I36" s="90" t="n">
        <x:v>-103772.07</x:v>
      </x:c>
      <x:c r="J36" s="90" t="n">
        <x:v>-4179.18</x:v>
      </x:c>
      <x:c r="K36" s="90" t="n">
        <x:v>0</x:v>
      </x:c>
      <x:c r="L36" s="90" t="n">
        <x:v>-33851.55</x:v>
      </x:c>
      <x:c r="M36" s="90" t="n">
        <x:v>-33425.82</x:v>
      </x:c>
      <x:c r="N36" s="90" t="n">
        <x:v>-139613.89</x:v>
      </x:c>
      <x:c r="O36" s="90" t="n">
        <x:v>-29279.68</x:v>
      </x:c>
      <x:c r="P36" s="90" t="n">
        <x:v>-6818.6</x:v>
      </x:c>
      <x:c r="Q36" s="90" t="n">
        <x:v>0</x:v>
      </x:c>
      <x:c r="R36" t="n">
        <x:v>0</x:v>
      </x:c>
    </x:row>
    <x:row r="37" spans="1:19" ht="12.75" customHeight="1" x14ac:dyDescent="0.2">
      <x:c r="D37" s="89" t="s">
        <x:v>73</x:v>
      </x:c>
      <x:c r="E37" s="90" t="n">
        <x:v>561663.57</x:v>
      </x:c>
      <x:c r="F37" s="90" t="n">
        <x:v>85215.3</x:v>
      </x:c>
      <x:c r="G37" s="90" t="n">
        <x:v>47452.88</x:v>
      </x:c>
      <x:c r="H37" s="90" t="n">
        <x:v>25221.76</x:v>
      </x:c>
      <x:c r="I37" s="90" t="n">
        <x:v>57091.22</x:v>
      </x:c>
      <x:c r="J37" s="90" t="n">
        <x:v>1115.44</x:v>
      </x:c>
      <x:c r="K37" s="90" t="n">
        <x:v>0</x:v>
      </x:c>
      <x:c r="L37" s="90" t="n">
        <x:v>8666.79</x:v>
      </x:c>
      <x:c r="M37" s="90" t="n">
        <x:v>16123.86</x:v>
      </x:c>
      <x:c r="N37" s="90" t="n">
        <x:v>85989.95</x:v>
      </x:c>
      <x:c r="O37" s="90" t="n">
        <x:v>232941.23</x:v>
      </x:c>
      <x:c r="P37" s="90" t="n">
        <x:v>1845.14</x:v>
      </x:c>
      <x:c r="Q37" s="90" t="n">
        <x:v>0</x:v>
      </x:c>
      <x:c r="R37" t="n">
        <x:v>0</x:v>
      </x:c>
    </x:row>
    <x:row r="38" spans="1:19" ht="12.75" customHeight="1" x14ac:dyDescent="0.2">
      <x:c r="C38" s="89" t="s">
        <x:v>86</x:v>
      </x:c>
      <x:c r="D38" s="89" t="s">
        <x:v>70</x:v>
      </x:c>
      <x:c r="E38" s="90" t="n">
        <x:v>561663.57</x:v>
      </x:c>
      <x:c r="F38" s="90" t="n">
        <x:v>85215.3</x:v>
      </x:c>
      <x:c r="G38" s="90" t="n">
        <x:v>47452.88</x:v>
      </x:c>
      <x:c r="H38" s="90" t="n">
        <x:v>25221.76</x:v>
      </x:c>
      <x:c r="I38" s="90" t="n">
        <x:v>57091.22</x:v>
      </x:c>
      <x:c r="J38" s="90" t="n">
        <x:v>1115.44</x:v>
      </x:c>
      <x:c r="K38" s="90" t="n">
        <x:v>0</x:v>
      </x:c>
      <x:c r="L38" s="90" t="n">
        <x:v>8666.79</x:v>
      </x:c>
      <x:c r="M38" s="90" t="n">
        <x:v>16123.86</x:v>
      </x:c>
      <x:c r="N38" s="90" t="n">
        <x:v>85989.95</x:v>
      </x:c>
      <x:c r="O38" s="90" t="n">
        <x:v>232941.23</x:v>
      </x:c>
      <x:c r="P38" s="90" t="n">
        <x:v>1845.14</x:v>
      </x:c>
      <x:c r="Q38" s="90" t="n">
        <x:v>0</x:v>
      </x:c>
      <x:c r="R38" t="n">
        <x:v>0</x:v>
      </x:c>
    </x:row>
    <x:row r="39" spans="1:19" ht="12.75" customHeight="1" x14ac:dyDescent="0.2">
      <x:c r="D39" s="89" t="s">
        <x:v>73</x:v>
      </x:c>
      <x:c r="E39" s="90" t="n">
        <x:v>6792970.09</x:v>
      </x:c>
      <x:c r="F39" s="90" t="n">
        <x:v>1198577.79</x:v>
      </x:c>
      <x:c r="G39" s="90" t="n">
        <x:v>647576.97</x:v>
      </x:c>
      <x:c r="H39" s="90" t="n">
        <x:v>267551.01</x:v>
      </x:c>
      <x:c r="I39" s="90" t="n">
        <x:v>336837.22</x:v>
      </x:c>
      <x:c r="J39" s="90" t="n">
        <x:v>10835.7</x:v>
      </x:c>
      <x:c r="K39" s="90" t="n">
        <x:v>0</x:v>
      </x:c>
      <x:c r="L39" s="90" t="n">
        <x:v>130771.96</x:v>
      </x:c>
      <x:c r="M39" s="90" t="n">
        <x:v>148376.47</x:v>
      </x:c>
      <x:c r="N39" s="90" t="n">
        <x:v>751931.64</x:v>
      </x:c>
      <x:c r="O39" s="90" t="n">
        <x:v>3281949.72</x:v>
      </x:c>
      <x:c r="P39" s="90" t="n">
        <x:v>18561.61</x:v>
      </x:c>
      <x:c r="Q39" s="90" t="n">
        <x:v>0</x:v>
      </x:c>
      <x:c r="R39" t="n">
        <x:v>0</x:v>
      </x:c>
    </x:row>
    <x:row r="40" spans="1:19" ht="12.75" customHeight="1" x14ac:dyDescent="0.2">
      <x:c r="C40" s="89" t="s">
        <x:v>87</x:v>
      </x:c>
      <x:c r="D40" s="89" t="s">
        <x:v>70</x:v>
      </x:c>
      <x:c r="E40" s="90" t="n">
        <x:v>6792970.09</x:v>
      </x:c>
      <x:c r="F40" s="90" t="n">
        <x:v>1198577.79</x:v>
      </x:c>
      <x:c r="G40" s="90" t="n">
        <x:v>647576.97</x:v>
      </x:c>
      <x:c r="H40" s="90" t="n">
        <x:v>267551.01</x:v>
      </x:c>
      <x:c r="I40" s="90" t="n">
        <x:v>336837.22</x:v>
      </x:c>
      <x:c r="J40" s="90" t="n">
        <x:v>10835.7</x:v>
      </x:c>
      <x:c r="K40" s="90" t="n">
        <x:v>0</x:v>
      </x:c>
      <x:c r="L40" s="90" t="n">
        <x:v>130771.96</x:v>
      </x:c>
      <x:c r="M40" s="90" t="n">
        <x:v>148376.47</x:v>
      </x:c>
      <x:c r="N40" s="90" t="n">
        <x:v>751931.64</x:v>
      </x:c>
      <x:c r="O40" s="90" t="n">
        <x:v>3281949.72</x:v>
      </x:c>
      <x:c r="P40" s="90" t="n">
        <x:v>18561.61</x:v>
      </x:c>
      <x:c r="Q40" s="90" t="n">
        <x:v>0</x:v>
      </x:c>
      <x:c r="R40" t="n">
        <x:v>0</x:v>
      </x:c>
    </x:row>
    <x:row r="41" spans="1:19" s="94" customFormat="1" ht="12.75" customHeight="1" x14ac:dyDescent="0.2">
      <x:c r="B41" s="101" t="s">
        <x:v>119</x:v>
      </x:c>
      <x:c r="C41" s="101" t="s">
        <x:v>70</x:v>
      </x:c>
      <x:c r="E41" s="93" t="n">
        <x:v>6982555.41</x:v>
      </x:c>
      <x:c r="F41" s="93" t="n">
        <x:v>1273072.83</x:v>
      </x:c>
      <x:c r="G41" s="93" t="n">
        <x:v>689056.57</x:v>
      </x:c>
      <x:c r="H41" s="93" t="n">
        <x:v>288328.85</x:v>
      </x:c>
      <x:c r="I41" s="93" t="n">
        <x:v>290156.37</x:v>
      </x:c>
      <x:c r="J41" s="93" t="n">
        <x:v>7771.96</x:v>
      </x:c>
      <x:c r="K41" s="93" t="n">
        <x:v>0</x:v>
      </x:c>
      <x:c r="L41" s="93" t="n">
        <x:v>105587.2</x:v>
      </x:c>
      <x:c r="M41" s="93" t="n">
        <x:v>131074.51</x:v>
      </x:c>
      <x:c r="N41" s="93" t="n">
        <x:v>698307.7</x:v>
      </x:c>
      <x:c r="O41" s="93" t="n">
        <x:v>3485611.27</x:v>
      </x:c>
      <x:c r="P41" s="93" t="n">
        <x:v>13588.15</x:v>
      </x:c>
      <x:c r="Q41" s="93" t="n">
        <x:v>0</x:v>
      </x:c>
      <x:c r="R41" s="94" t="n">
        <x:v>0</x:v>
      </x:c>
    </x:row>
    <x:row r="42" spans="1:19" s="226" customFormat="1" ht="12.75" customHeight="1" x14ac:dyDescent="0.2">
      <x:c r="A42" s="98" t="s">
        <x:v>79</x:v>
      </x:c>
      <x:c r="B42" s="98" t="s">
        <x:v>70</x:v>
      </x:c>
      <x:c r="E42" s="100" t="n">
        <x:v>-12224458.11</x:v>
      </x:c>
      <x:c r="F42" s="100" t="n">
        <x:v>655356.59</x:v>
      </x:c>
      <x:c r="G42" s="100" t="n">
        <x:v>360183.55</x:v>
      </x:c>
      <x:c r="H42" s="100" t="n">
        <x:v>116142.31</x:v>
      </x:c>
      <x:c r="I42" s="100" t="n">
        <x:v>-5016428.3</x:v>
      </x:c>
      <x:c r="J42" s="100" t="n">
        <x:v>-184957.44</x:v>
      </x:c>
      <x:c r="K42" s="100" t="n">
        <x:v>0</x:v>
      </x:c>
      <x:c r="L42" s="100" t="n">
        <x:v>-1543756.87</x:v>
      </x:c>
      <x:c r="M42" s="100" t="n">
        <x:v>-1412712.95</x:v>
      </x:c>
      <x:c r="N42" s="100" t="n">
        <x:v>-6714777.99</x:v>
      </x:c>
      <x:c r="O42" s="100" t="n">
        <x:v>1818233.38</x:v>
      </x:c>
      <x:c r="P42" s="100" t="n">
        <x:v>-301740.39</x:v>
      </x:c>
      <x:c r="Q42" s="100" t="n">
        <x:v>0</x:v>
      </x:c>
      <x:c r="R42" s="226" t="n">
        <x:v>0</x:v>
      </x:c>
    </x:row>
    <x:row r="43" spans="1:19" ht="12.75" customHeight="1" x14ac:dyDescent="0.2">
      <x:c r="A43" s="89" t="s">
        <x:v>70</x:v>
      </x:c>
      <x:c r="E43" s="90" t="n">
        <x:v>68638657.02</x:v>
      </x:c>
      <x:c r="F43" s="90" t="n">
        <x:v>6621540.41</x:v>
      </x:c>
      <x:c r="G43" s="90" t="n">
        <x:v>3638027.63</x:v>
      </x:c>
      <x:c r="H43" s="90" t="n">
        <x:v>1481770.28</x:v>
      </x:c>
      <x:c r="I43" s="90" t="n">
        <x:v>13139369.8</x:v>
      </x:c>
      <x:c r="J43" s="90" t="n">
        <x:v>414541.14</x:v>
      </x:c>
      <x:c r="K43" s="90" t="n">
        <x:v>1030668</x:v>
      </x:c>
      <x:c r="L43" s="90" t="n">
        <x:v>4537393.83</x:v>
      </x:c>
      <x:c r="M43" s="90" t="n">
        <x:v>3871747.64</x:v>
      </x:c>
      <x:c r="N43" s="90" t="n">
        <x:v>14778130.87</x:v>
      </x:c>
      <x:c r="O43" s="90" t="n">
        <x:v>18563087.98</x:v>
      </x:c>
      <x:c r="P43" s="90" t="n">
        <x:v>562446.13</x:v>
      </x:c>
      <x:c r="Q43" s="90" t="n">
        <x:v>-66.69</x:v>
      </x:c>
      <x:c r="R43" s="144" t="n">
        <x:v>0</x:v>
      </x:c>
    </x:row>
    <x:row r="44" spans="1:19" ht="12.75" customHeight="1" x14ac:dyDescent="0.2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hidden="1" customHeight="1" x14ac:dyDescent="0.2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hidden="1" customHeight="1" x14ac:dyDescent="0.2">
      <x:c r="A47" s="89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</x:row>
    <x:row r="48" spans="1:19" ht="12.75" hidden="1" customHeight="1" x14ac:dyDescent="0.2">
      <x:c r="A48" s="89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</x:row>
    <x:row r="49" spans="1:19" ht="12.75" hidden="1" customHeight="1" x14ac:dyDescent="0.2">
      <x:c r="A49" s="89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</x:row>
    <x:row r="50" spans="1:19" ht="12.75" hidden="1" customHeight="1" x14ac:dyDescent="0.2">
      <x:c r="A50" s="89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</x:row>
    <x:row r="51" spans="1:19" ht="12.75" hidden="1" customHeight="1" x14ac:dyDescent="0.2">
      <x:c r="A51" s="89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</x:row>
    <x:row r="52" spans="1:19" ht="12.75" hidden="1" customHeight="1" x14ac:dyDescent="0.2">
      <x:c r="A52" s="89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</x:row>
    <x:row r="53" spans="1:19" ht="12.75" hidden="1" customHeight="1" x14ac:dyDescent="0.2">
      <x:c r="A53" s="89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</x:row>
    <x:row r="54" spans="1:19" ht="12.75" hidden="1" customHeight="1" x14ac:dyDescent="0.2">
      <x:c r="A54" s="89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</x:row>
    <x:row r="55" spans="1:19" ht="12.75" customHeight="1" x14ac:dyDescent="0.2">
      <x:c r="A55" s="89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</x:row>
    <x:row r="56" spans="1:19" ht="12.75" customHeight="1" x14ac:dyDescent="0.2">
      <x:c r="A56" s="89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</x:row>
    <x:row r="57" spans="1:19" ht="12.75" customHeight="1" x14ac:dyDescent="0.2">
      <x:c r="B57" s="778" t="s">
        <x:v>2</x:v>
      </x:c>
      <x:c r="C57" s="776" t="s">
        <x:v>132</x:v>
      </x:c>
      <x:c r="D57" s="98" t="s">
        <x:v>70</x:v>
      </x:c>
      <x:c r="E57" s="100">
        <x:f>E25+E42-K25</x:f>
        <x:v>0</x:v>
      </x:c>
      <x:c r="F57" s="100">
        <x:f>F25</x:f>
        <x:v>0</x:v>
      </x:c>
      <x:c r="G57" s="100">
        <x:f t="shared" ref="G57:S57" si="0">G25</x:f>
        <x:v>0</x:v>
      </x:c>
      <x:c r="H57" s="100">
        <x:f t="shared" si="0"/>
        <x:v>0</x:v>
      </x:c>
      <x:c r="I57" s="100">
        <x:f t="shared" si="0"/>
        <x:v>0</x:v>
      </x:c>
      <x:c r="J57" s="100">
        <x:f t="shared" si="0"/>
        <x:v>0</x:v>
      </x:c>
      <x:c r="K57" s="100">
        <x:f t="shared" si="0"/>
        <x:v>0</x:v>
      </x:c>
      <x:c r="L57" s="100">
        <x:f t="shared" si="0"/>
        <x:v>0</x:v>
      </x:c>
      <x:c r="M57" s="100">
        <x:f t="shared" si="0"/>
        <x:v>0</x:v>
      </x:c>
      <x:c r="N57" s="100">
        <x:f t="shared" si="0"/>
        <x:v>0</x:v>
      </x:c>
      <x:c r="O57" s="100">
        <x:f t="shared" si="0"/>
        <x:v>0</x:v>
      </x:c>
      <x:c r="P57" s="100">
        <x:f t="shared" si="0"/>
        <x:v>0</x:v>
      </x:c>
      <x:c r="Q57" s="100">
        <x:f t="shared" si="0"/>
        <x:v>0</x:v>
      </x:c>
      <x:c r="R57" s="100">
        <x:f t="shared" si="0"/>
        <x:v>0</x:v>
      </x:c>
      <x:c r="S57" s="100">
        <x:f t="shared" si="0"/>
        <x:v>0</x:v>
      </x:c>
    </x:row>
    <x:row r="58" spans="1:19" ht="12.75" customHeight="1" x14ac:dyDescent="0.2">
      <x:c r="B58" s="778"/>
      <x:c r="C58" s="776"/>
      <x:c r="D58" s="98" t="s">
        <x:v>73</x:v>
      </x:c>
      <x:c r="E58" s="100">
        <x:f>E42</x:f>
        <x:v>0</x:v>
      </x:c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">
      <x:c r="A59" s="89"/>
      <x:c r="B59" s="97"/>
      <x:c r="E59" s="371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</x:row>
    <x:row r="60" spans="1:19" ht="12.75" customHeight="1" x14ac:dyDescent="0.2">
      <x:c r="B60" s="778" t="s">
        <x:v>160</x:v>
      </x:c>
      <x:c r="C60" s="776" t="s">
        <x:v>132</x:v>
      </x:c>
      <x:c r="D60" s="223" t="s">
        <x:v>70</x:v>
      </x:c>
      <x:c r="E60" s="225">
        <x:v>0</x:v>
      </x:c>
      <x:c r="F60" s="225">
        <x:v>0</x:v>
      </x:c>
      <x:c r="G60" s="225">
        <x:v>0</x:v>
      </x:c>
      <x:c r="H60" s="225">
        <x:v>0</x:v>
      </x:c>
      <x:c r="I60" s="225">
        <x:v>0</x:v>
      </x:c>
      <x:c r="J60" s="225">
        <x:v>0</x:v>
      </x:c>
      <x:c r="K60" s="225">
        <x:v>0</x:v>
      </x:c>
      <x:c r="L60" s="225">
        <x:v>0</x:v>
      </x:c>
      <x:c r="M60" s="225">
        <x:v>0</x:v>
      </x:c>
      <x:c r="N60" s="225">
        <x:v>0</x:v>
      </x:c>
      <x:c r="O60" s="225">
        <x:v>0</x:v>
      </x:c>
      <x:c r="P60" s="225">
        <x:v>0</x:v>
      </x:c>
      <x:c r="Q60" s="225">
        <x:v>0</x:v>
      </x:c>
      <x:c r="R60" s="225">
        <x:v>0</x:v>
      </x:c>
      <x:c r="S60" s="225">
        <x:v>0</x:v>
      </x:c>
    </x:row>
    <x:row r="61" spans="1:19" ht="12.75" customHeight="1" x14ac:dyDescent="0.2">
      <x:c r="B61" s="778"/>
      <x:c r="C61" s="776"/>
      <x:c r="D61" s="223" t="s">
        <x:v>73</x:v>
      </x:c>
      <x:c r="E61" s="225">
        <x:v>0</x:v>
      </x:c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">
      <x:c r="A62" s="89"/>
      <x:c r="B62" s="97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</x:row>
    <x:row r="63" spans="1:19" ht="12.75" customHeight="1" x14ac:dyDescent="0.2">
      <x:c r="B63" s="778" t="s">
        <x:v>155</x:v>
      </x:c>
      <x:c r="C63" s="776" t="s">
        <x:v>132</x:v>
      </x:c>
      <x:c r="D63" s="221" t="s">
        <x:v>70</x:v>
      </x:c>
      <x:c r="E63" s="222">
        <x:f>E31+E28+E10+E6-K6-K10</x:f>
        <x:v>0</x:v>
      </x:c>
      <x:c r="F63" s="222">
        <x:f>F10+F6</x:f>
        <x:v>0</x:v>
      </x:c>
      <x:c r="G63" s="222">
        <x:f t="shared" ref="G63:S63" si="1">G10+G6</x:f>
        <x:v>0</x:v>
      </x:c>
      <x:c r="H63" s="222">
        <x:f t="shared" si="1"/>
        <x:v>0</x:v>
      </x:c>
      <x:c r="I63" s="222">
        <x:f t="shared" si="1"/>
        <x:v>0</x:v>
      </x:c>
      <x:c r="J63" s="222">
        <x:f t="shared" si="1"/>
        <x:v>0</x:v>
      </x:c>
      <x:c r="K63" s="222">
        <x:f t="shared" si="1"/>
        <x:v>0</x:v>
      </x:c>
      <x:c r="L63" s="222">
        <x:f t="shared" si="1"/>
        <x:v>0</x:v>
      </x:c>
      <x:c r="M63" s="222">
        <x:f t="shared" si="1"/>
        <x:v>0</x:v>
      </x:c>
      <x:c r="N63" s="222">
        <x:f t="shared" si="1"/>
        <x:v>0</x:v>
      </x:c>
      <x:c r="O63" s="222">
        <x:f t="shared" si="1"/>
        <x:v>0</x:v>
      </x:c>
      <x:c r="P63" s="222">
        <x:f t="shared" si="1"/>
        <x:v>0</x:v>
      </x:c>
      <x:c r="Q63" s="222">
        <x:f t="shared" si="1"/>
        <x:v>0</x:v>
      </x:c>
      <x:c r="R63" s="222">
        <x:f t="shared" si="1"/>
        <x:v>0</x:v>
      </x:c>
      <x:c r="S63" s="222">
        <x:f t="shared" si="1"/>
        <x:v>0</x:v>
      </x:c>
    </x:row>
    <x:row r="64" spans="1:19" ht="12.75" customHeight="1" x14ac:dyDescent="0.2">
      <x:c r="B64" s="778"/>
      <x:c r="C64" s="776"/>
      <x:c r="D64" s="221" t="s">
        <x:v>73</x:v>
      </x:c>
      <x:c r="E64" s="222">
        <x:f>E31+E28</x:f>
        <x:v>0</x:v>
      </x:c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</x:row>
    <x:row r="65" spans="1:19" ht="12.75" customHeight="1" x14ac:dyDescent="0.2">
      <x:c r="A65" s="89"/>
      <x:c r="B65" s="97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</x:row>
    <x:row r="66" spans="1:19" ht="12.75" customHeight="1" x14ac:dyDescent="0.2">
      <x:c r="B66" s="779" t="s">
        <x:v>326</x:v>
      </x:c>
      <x:c r="C66" s="776" t="s">
        <x:v>132</x:v>
      </x:c>
      <x:c r="D66" s="373" t="s">
        <x:v>70</x:v>
      </x:c>
      <x:c r="E66" s="374">
        <x:f>E34+E14-K14</x:f>
        <x:v>0</x:v>
      </x:c>
      <x:c r="F66" s="374">
        <x:f>F14</x:f>
        <x:v>0</x:v>
      </x:c>
      <x:c r="G66" s="374">
        <x:v>0</x:v>
      </x:c>
      <x:c r="H66" s="374">
        <x:v>0</x:v>
      </x:c>
      <x:c r="I66" s="374">
        <x:v>0</x:v>
      </x:c>
      <x:c r="J66" s="374">
        <x:v>0</x:v>
      </x:c>
      <x:c r="K66" s="374">
        <x:v>0</x:v>
      </x:c>
      <x:c r="L66" s="374">
        <x:v>0</x:v>
      </x:c>
      <x:c r="M66" s="374">
        <x:v>0</x:v>
      </x:c>
      <x:c r="N66" s="374">
        <x:v>0</x:v>
      </x:c>
      <x:c r="O66" s="374">
        <x:v>0</x:v>
      </x:c>
      <x:c r="P66" s="374">
        <x:v>0</x:v>
      </x:c>
      <x:c r="Q66" s="374">
        <x:v>0</x:v>
      </x:c>
      <x:c r="R66" s="374">
        <x:v>0</x:v>
      </x:c>
    </x:row>
    <x:row r="67" spans="1:19" ht="12.75" customHeight="1" x14ac:dyDescent="0.2">
      <x:c r="B67" s="779"/>
      <x:c r="C67" s="776"/>
      <x:c r="D67" s="373" t="s">
        <x:v>73</x:v>
      </x:c>
      <x:c r="E67" s="374">
        <x:f>E34</x:f>
        <x:v>0</x:v>
      </x:c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</x:row>
    <x:row r="68" spans="1:19" ht="12.75" customHeight="1" x14ac:dyDescent="0.2">
      <x:c r="A68" s="89"/>
      <x:c r="B68" s="97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</x:row>
    <x:row r="69" spans="1:19" ht="12.75" customHeight="1" x14ac:dyDescent="0.2">
      <x:c r="B69" s="778" t="s">
        <x:v>119</x:v>
      </x:c>
      <x:c r="C69" s="776" t="s">
        <x:v>132</x:v>
      </x:c>
      <x:c r="D69" s="101" t="s">
        <x:v>70</x:v>
      </x:c>
      <x:c r="E69" s="93">
        <x:f>E24+E41-K24</x:f>
        <x:v>0</x:v>
      </x:c>
      <x:c r="F69" s="93">
        <x:f>F24</x:f>
        <x:v>0</x:v>
      </x:c>
      <x:c r="G69" s="93">
        <x:f t="shared" ref="G69:S69" si="2">G24</x:f>
        <x:v>0</x:v>
      </x:c>
      <x:c r="H69" s="93">
        <x:f t="shared" si="2"/>
        <x:v>0</x:v>
      </x:c>
      <x:c r="I69" s="93">
        <x:f t="shared" si="2"/>
        <x:v>0</x:v>
      </x:c>
      <x:c r="J69" s="93">
        <x:f t="shared" si="2"/>
        <x:v>0</x:v>
      </x:c>
      <x:c r="K69" s="93">
        <x:f t="shared" si="2"/>
        <x:v>0</x:v>
      </x:c>
      <x:c r="L69" s="93">
        <x:f t="shared" si="2"/>
        <x:v>0</x:v>
      </x:c>
      <x:c r="M69" s="93">
        <x:f t="shared" si="2"/>
        <x:v>0</x:v>
      </x:c>
      <x:c r="N69" s="93">
        <x:f t="shared" si="2"/>
        <x:v>0</x:v>
      </x:c>
      <x:c r="O69" s="93">
        <x:f t="shared" si="2"/>
        <x:v>0</x:v>
      </x:c>
      <x:c r="P69" s="93">
        <x:f t="shared" si="2"/>
        <x:v>0</x:v>
      </x:c>
      <x:c r="Q69" s="93">
        <x:f t="shared" si="2"/>
        <x:v>0</x:v>
      </x:c>
      <x:c r="R69" s="93">
        <x:f t="shared" si="2"/>
        <x:v>0</x:v>
      </x:c>
      <x:c r="S69" s="93">
        <x:f t="shared" si="2"/>
        <x:v>0</x:v>
      </x:c>
    </x:row>
    <x:row r="70" spans="1:19" ht="12.75" customHeight="1" x14ac:dyDescent="0.2">
      <x:c r="B70" s="778"/>
      <x:c r="C70" s="776"/>
      <x:c r="D70" s="101" t="s">
        <x:v>73</x:v>
      </x:c>
      <x:c r="E70" s="93">
        <x:f>E41</x:f>
        <x:v>0</x:v>
      </x:c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</x:row>
    <x:row r="71" spans="1:19" ht="12.75" customHeight="1" x14ac:dyDescent="0.2">
      <x:c r="A71" s="89"/>
      <x:c r="B71" s="97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</x:row>
    <x:row r="72" spans="1:19" ht="12.75" customHeight="1" x14ac:dyDescent="0.2">
      <x:c r="B72" s="777" t="s">
        <x:v>161</x:v>
      </x:c>
      <x:c r="C72" s="776" t="s">
        <x:v>132</x:v>
      </x:c>
      <x:c r="D72" s="231" t="s">
        <x:v>70</x:v>
      </x:c>
      <x:c r="E72" s="232">
        <x:v>0</x:v>
      </x:c>
      <x:c r="F72" s="232">
        <x:v>0</x:v>
      </x:c>
      <x:c r="G72" s="232">
        <x:v>0</x:v>
      </x:c>
      <x:c r="H72" s="232">
        <x:v>0</x:v>
      </x:c>
      <x:c r="I72" s="232">
        <x:v>0</x:v>
      </x:c>
      <x:c r="J72" s="232">
        <x:v>0</x:v>
      </x:c>
      <x:c r="K72" s="232">
        <x:v>0</x:v>
      </x:c>
      <x:c r="L72" s="232">
        <x:v>0</x:v>
      </x:c>
      <x:c r="M72" s="232">
        <x:v>0</x:v>
      </x:c>
      <x:c r="N72" s="232">
        <x:v>0</x:v>
      </x:c>
      <x:c r="O72" s="232">
        <x:v>0</x:v>
      </x:c>
      <x:c r="P72" s="232">
        <x:v>0</x:v>
      </x:c>
      <x:c r="Q72" s="232">
        <x:v>0</x:v>
      </x:c>
      <x:c r="R72" s="232">
        <x:v>0</x:v>
      </x:c>
      <x:c r="S72" s="232">
        <x:v>0</x:v>
      </x:c>
    </x:row>
    <x:row r="73" spans="1:19" ht="12.75" customHeight="1" x14ac:dyDescent="0.2">
      <x:c r="B73" s="777"/>
      <x:c r="C73" s="776"/>
      <x:c r="D73" s="231" t="s">
        <x:v>73</x:v>
      </x:c>
      <x:c r="E73" s="232">
        <x:v>0</x:v>
      </x:c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</x:row>
    <x:row r="74" spans="1:19" s="238" customFormat="1" x14ac:dyDescent="0.2"/>
    <x:row r="75" spans="1:19" x14ac:dyDescent="0.2">
      <x:c r="B75" s="97" t="s">
        <x:v>75</x:v>
      </x:c>
    </x:row>
    <x:row r="76" spans="1:19" ht="12.75" customHeight="1" x14ac:dyDescent="0.2">
      <x:c r="E76" s="89" t="s">
        <x:v>70</x:v>
      </x:c>
      <x:c r="F76" s="89" t="s">
        <x:v>64</x:v>
      </x:c>
      <x:c r="G76" s="89" t="s">
        <x:v>65</x:v>
      </x:c>
      <x:c r="H76" s="219" t="s">
        <x:v>164</x:v>
      </x:c>
      <x:c r="I76" s="89" t="s">
        <x:v>69</x:v>
      </x:c>
      <x:c r="J76" s="89" t="s">
        <x:v>68</x:v>
      </x:c>
      <x:c r="K76" s="89" t="s">
        <x:v>83</x:v>
      </x:c>
      <x:c r="L76" s="89" t="s">
        <x:v>66</x:v>
      </x:c>
      <x:c r="M76" s="89" t="s">
        <x:v>63</x:v>
      </x:c>
      <x:c r="N76" s="89" t="s">
        <x:v>61</x:v>
      </x:c>
      <x:c r="O76" s="89" t="s">
        <x:v>62</x:v>
      </x:c>
      <x:c r="P76" s="89" t="s">
        <x:v>67</x:v>
      </x:c>
      <x:c r="Q76" s="89" t="s">
        <x:v>84</x:v>
      </x:c>
      <x:c r="R76" s="384" t="s">
        <x:v>225</x:v>
      </x:c>
    </x:row>
    <x:row r="77" spans="1:19" ht="12.75" customHeight="1" x14ac:dyDescent="0.2">
      <x:c r="D77" s="89" t="s">
        <x:v>72</x:v>
      </x:c>
      <x:c r="E77" s="371">
        <x:v>0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0</x:v>
      </x:c>
      <x:c r="M77" s="90">
        <x:v>0</x:v>
      </x:c>
      <x:c r="N77" s="90">
        <x:v>0</x:v>
      </x:c>
      <x:c r="O77" s="90">
        <x:v>0</x:v>
      </x:c>
      <x:c r="P77" s="90">
        <x:v>0</x:v>
      </x:c>
      <x:c r="Q77" s="90">
        <x:v>0</x:v>
      </x:c>
      <x:c r="R77">
        <x:v>0</x:v>
      </x:c>
    </x:row>
    <x:row r="78" spans="1:19" ht="12.75" customHeight="1" x14ac:dyDescent="0.2">
      <x:c r="D78" t="s">
        <x:v>81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</x:row>
    <x:row r="79" spans="1:19" ht="12.75" customHeight="1" x14ac:dyDescent="0.2">
      <x:c r="C79" t="s">
        <x:v>332</x:v>
      </x:c>
      <x:c r="D79" s="89" t="s">
        <x:v>70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1:19" s="739" customFormat="1" ht="12.75" customHeight="1" x14ac:dyDescent="0.2">
      <x:c r="B80" s="739" t="s">
        <x:v>85</x:v>
      </x:c>
      <x:c r="C80" s="739" t="s">
        <x:v>70</x:v>
      </x:c>
      <x:c r="D80" s="231"/>
      <x:c r="E80" s="740">
        <x:v>0</x:v>
      </x:c>
      <x:c r="F80" s="232">
        <x:v>0</x:v>
      </x:c>
      <x:c r="G80" s="232">
        <x:v>0</x:v>
      </x:c>
      <x:c r="H80" s="232">
        <x:v>0</x:v>
      </x:c>
      <x:c r="I80" s="232">
        <x:v>0</x:v>
      </x:c>
      <x:c r="J80" s="232">
        <x:v>0</x:v>
      </x:c>
      <x:c r="K80" s="232">
        <x:v>0</x:v>
      </x:c>
      <x:c r="L80" s="232">
        <x:v>0</x:v>
      </x:c>
      <x:c r="M80" s="232">
        <x:v>0</x:v>
      </x:c>
      <x:c r="N80" s="232">
        <x:v>0</x:v>
      </x:c>
      <x:c r="O80" s="232">
        <x:v>0</x:v>
      </x:c>
      <x:c r="P80" s="232">
        <x:v>0</x:v>
      </x:c>
      <x:c r="Q80" s="232">
        <x:v>0</x:v>
      </x:c>
      <x:c r="R80" s="739">
        <x:v>0</x:v>
      </x:c>
    </x:row>
    <x:row r="81" spans="2:18" ht="12.75" customHeight="1" x14ac:dyDescent="0.2">
      <x:c r="B81" s="142"/>
      <x:c r="D81" s="89" t="s">
        <x:v>72</x:v>
      </x:c>
      <x:c r="E81" s="90" t="n">
        <x:v>28225718.14</x:v>
      </x:c>
      <x:c r="F81" s="90" t="n">
        <x:v>1523009.46</x:v>
      </x:c>
      <x:c r="G81" s="90" t="n">
        <x:v>856635.8</x:v>
      </x:c>
      <x:c r="H81" s="90" t="n">
        <x:v>368666.94</x:v>
      </x:c>
      <x:c r="I81" s="90" t="n">
        <x:v>7399643.19</x:v>
      </x:c>
      <x:c r="J81" s="90" t="n">
        <x:v>281341.88</x:v>
      </x:c>
      <x:c r="K81" s="90" t="n">
        <x:v>0</x:v>
      </x:c>
      <x:c r="L81" s="90" t="n">
        <x:v>2447043.87</x:v>
      </x:c>
      <x:c r="M81" s="90" t="n">
        <x:v>2235081.81</x:v>
      </x:c>
      <x:c r="N81" s="90" t="n">
        <x:v>9487154.69</x:v>
      </x:c>
      <x:c r="O81" s="90" t="n">
        <x:v>3223970.95</x:v>
      </x:c>
      <x:c r="P81" s="90" t="n">
        <x:v>403174.67</x:v>
      </x:c>
      <x:c r="Q81" s="90" t="n">
        <x:v>-5.12</x:v>
      </x:c>
      <x:c r="R81" t="n">
        <x:v>0</x:v>
      </x:c>
    </x:row>
    <x:row r="82" spans="2:18" ht="12.75" customHeight="1" x14ac:dyDescent="0.2">
      <x:c r="B82" s="142"/>
      <x:c r="D82" s="89" t="s">
        <x:v>81</x:v>
      </x:c>
      <x:c r="E82" s="90" t="n">
        <x:v>29203.02</x:v>
      </x:c>
      <x:c r="F82" s="90" t="n">
        <x:v>2472.94</x:v>
      </x:c>
      <x:c r="G82" s="90" t="n">
        <x:v>1390.25</x:v>
      </x:c>
      <x:c r="H82" s="90" t="n">
        <x:v>736.34</x:v>
      </x:c>
      <x:c r="I82" s="90" t="n">
        <x:v>6081.52</x:v>
      </x:c>
      <x:c r="J82" s="90" t="n">
        <x:v>220.48</x:v>
      </x:c>
      <x:c r="K82" s="90" t="n">
        <x:v>0</x:v>
      </x:c>
      <x:c r="L82" s="90" t="n">
        <x:v>1927.94</x:v>
      </x:c>
      <x:c r="M82" s="90" t="n">
        <x:v>1958.92</x:v>
      </x:c>
      <x:c r="N82" s="90" t="n">
        <x:v>9161.85</x:v>
      </x:c>
      <x:c r="O82" s="90" t="n">
        <x:v>4893.03</x:v>
      </x:c>
      <x:c r="P82" s="90" t="n">
        <x:v>359.83</x:v>
      </x:c>
      <x:c r="Q82" s="90" t="n">
        <x:v>-0.08</x:v>
      </x:c>
      <x:c r="R82" t="n">
        <x:v>0</x:v>
      </x:c>
    </x:row>
    <x:row r="83" spans="2:18" ht="12.75" customHeight="1" x14ac:dyDescent="0.2">
      <x:c r="B83" s="142"/>
      <x:c r="C83" t="s">
        <x:v>156</x:v>
      </x:c>
      <x:c r="D83" s="89" t="s">
        <x:v>70</x:v>
      </x:c>
      <x:c r="E83" s="371" t="n">
        <x:v>28254921.16</x:v>
      </x:c>
      <x:c r="F83" s="90" t="n">
        <x:v>1525482.4</x:v>
      </x:c>
      <x:c r="G83" s="90" t="n">
        <x:v>858026.05</x:v>
      </x:c>
      <x:c r="H83" s="90" t="n">
        <x:v>369403.28</x:v>
      </x:c>
      <x:c r="I83" s="90" t="n">
        <x:v>7405724.71</x:v>
      </x:c>
      <x:c r="J83" s="90" t="n">
        <x:v>281562.36</x:v>
      </x:c>
      <x:c r="K83" s="90" t="n">
        <x:v>0</x:v>
      </x:c>
      <x:c r="L83" s="90" t="n">
        <x:v>2448971.81</x:v>
      </x:c>
      <x:c r="M83" s="90" t="n">
        <x:v>2237040.73</x:v>
      </x:c>
      <x:c r="N83" s="90" t="n">
        <x:v>9496316.54</x:v>
      </x:c>
      <x:c r="O83" s="90" t="n">
        <x:v>3228863.98</x:v>
      </x:c>
      <x:c r="P83" s="90" t="n">
        <x:v>403534.5</x:v>
      </x:c>
      <x:c r="Q83" s="90" t="n">
        <x:v>-5.2</x:v>
      </x:c>
      <x:c r="R83" t="n">
        <x:v>0</x:v>
      </x:c>
    </x:row>
    <x:row r="84" spans="2:18" s="286" customFormat="1" ht="12.75" customHeight="1" x14ac:dyDescent="0.2">
      <x:c r="B84" s="751" t="s">
        <x:v>155</x:v>
      </x:c>
      <x:c r="C84" s="286" t="s">
        <x:v>70</x:v>
      </x:c>
      <x:c r="D84" s="229"/>
      <x:c r="E84" s="752" t="n">
        <x:v>28254921.16</x:v>
      </x:c>
      <x:c r="F84" s="230" t="n">
        <x:v>1525482.4</x:v>
      </x:c>
      <x:c r="G84" s="230" t="n">
        <x:v>858026.05</x:v>
      </x:c>
      <x:c r="H84" s="230" t="n">
        <x:v>369403.28</x:v>
      </x:c>
      <x:c r="I84" s="230" t="n">
        <x:v>7405724.71</x:v>
      </x:c>
      <x:c r="J84" s="230" t="n">
        <x:v>281562.36</x:v>
      </x:c>
      <x:c r="K84" s="230" t="n">
        <x:v>0</x:v>
      </x:c>
      <x:c r="L84" s="230" t="n">
        <x:v>2448971.81</x:v>
      </x:c>
      <x:c r="M84" s="230" t="n">
        <x:v>2237040.73</x:v>
      </x:c>
      <x:c r="N84" s="230" t="n">
        <x:v>9496316.54</x:v>
      </x:c>
      <x:c r="O84" s="230" t="n">
        <x:v>3228863.98</x:v>
      </x:c>
      <x:c r="P84" s="230" t="n">
        <x:v>403534.5</x:v>
      </x:c>
      <x:c r="Q84" s="230" t="n">
        <x:v>-5.2</x:v>
      </x:c>
      <x:c r="R84" s="286" t="n">
        <x:v>0</x:v>
      </x:c>
    </x:row>
    <x:row r="85" spans="2:18" ht="12.6" customHeight="1" x14ac:dyDescent="0.2">
      <x:c r="B85" s="142"/>
      <x:c r="D85" s="89" t="s">
        <x:v>72</x:v>
      </x:c>
      <x:c r="E85" s="371" t="n">
        <x:v>4760792.88</x:v>
      </x:c>
      <x:c r="F85" s="90" t="n">
        <x:v>288724.81</x:v>
      </x:c>
      <x:c r="G85" s="90" t="n">
        <x:v>147272.85</x:v>
      </x:c>
      <x:c r="H85" s="90" t="n">
        <x:v>68470.77</x:v>
      </x:c>
      <x:c r="I85" s="90" t="n">
        <x:v>1185854.17</x:v>
      </x:c>
      <x:c r="J85" s="90" t="n">
        <x:v>38000.33</x:v>
      </x:c>
      <x:c r="K85" s="90" t="n">
        <x:v>0</x:v>
      </x:c>
      <x:c r="L85" s="90" t="n">
        <x:v>338950.86</x:v>
      </x:c>
      <x:c r="M85" s="90" t="n">
        <x:v>397158.13</x:v>
      </x:c>
      <x:c r="N85" s="90" t="n">
        <x:v>1672085.87</x:v>
      </x:c>
      <x:c r="O85" s="90" t="n">
        <x:v>564784.72</x:v>
      </x:c>
      <x:c r="P85" s="90" t="n">
        <x:v>59478.02</x:v>
      </x:c>
      <x:c r="Q85" s="90" t="n">
        <x:v>12.35</x:v>
      </x:c>
      <x:c r="R85" t="n">
        <x:v>0</x:v>
      </x:c>
    </x:row>
    <x:row r="86" spans="2:18" ht="12.75" customHeight="1" x14ac:dyDescent="0.2">
      <x:c r="B86" s="142"/>
      <x:c r="D86" s="89" t="s">
        <x:v>81</x:v>
      </x:c>
      <x:c r="E86" s="371" t="n">
        <x:v>1273.85</x:v>
      </x:c>
      <x:c r="F86" s="90" t="n">
        <x:v>57.57</x:v>
      </x:c>
      <x:c r="G86" s="90" t="n">
        <x:v>31.73</x:v>
      </x:c>
      <x:c r="H86" s="90" t="n">
        <x:v>17.29</x:v>
      </x:c>
      <x:c r="I86" s="90" t="n">
        <x:v>328.43</x:v>
      </x:c>
      <x:c r="J86" s="90" t="n">
        <x:v>10.77</x:v>
      </x:c>
      <x:c r="K86" s="90" t="n">
        <x:v>0</x:v>
      </x:c>
      <x:c r="L86" s="90" t="n">
        <x:v>94.4</x:v>
      </x:c>
      <x:c r="M86" s="90" t="n">
        <x:v>105.7</x:v>
      </x:c>
      <x:c r="N86" s="90" t="n">
        <x:v>489.16</x:v>
      </x:c>
      <x:c r="O86" s="90" t="n">
        <x:v>121.19</x:v>
      </x:c>
      <x:c r="P86" s="90" t="n">
        <x:v>17.54</x:v>
      </x:c>
      <x:c r="Q86" s="90" t="n">
        <x:v>0.07</x:v>
      </x:c>
      <x:c r="R86" t="n">
        <x:v>0</x:v>
      </x:c>
    </x:row>
    <x:row r="87" spans="2:18" ht="12.75" customHeight="1" x14ac:dyDescent="0.2">
      <x:c r="B87" s="142"/>
      <x:c r="C87" t="s">
        <x:v>115</x:v>
      </x:c>
      <x:c r="D87" s="89" t="s">
        <x:v>70</x:v>
      </x:c>
      <x:c r="E87" s="90" t="n">
        <x:v>4762066.73</x:v>
      </x:c>
      <x:c r="F87" s="90" t="n">
        <x:v>288782.38</x:v>
      </x:c>
      <x:c r="G87" s="90" t="n">
        <x:v>147304.58</x:v>
      </x:c>
      <x:c r="H87" s="90" t="n">
        <x:v>68488.06</x:v>
      </x:c>
      <x:c r="I87" s="90" t="n">
        <x:v>1186182.6</x:v>
      </x:c>
      <x:c r="J87" s="90" t="n">
        <x:v>38011.1</x:v>
      </x:c>
      <x:c r="K87" s="90" t="n">
        <x:v>0</x:v>
      </x:c>
      <x:c r="L87" s="90" t="n">
        <x:v>339045.26</x:v>
      </x:c>
      <x:c r="M87" s="90" t="n">
        <x:v>397263.83</x:v>
      </x:c>
      <x:c r="N87" s="90" t="n">
        <x:v>1672575.03</x:v>
      </x:c>
      <x:c r="O87" s="90" t="n">
        <x:v>564905.91</x:v>
      </x:c>
      <x:c r="P87" s="90" t="n">
        <x:v>59495.56</x:v>
      </x:c>
      <x:c r="Q87" s="90" t="n">
        <x:v>12.42</x:v>
      </x:c>
      <x:c r="R87" t="n">
        <x:v>0</x:v>
      </x:c>
    </x:row>
    <x:row r="88" spans="2:18" ht="12.75" customHeight="1" x14ac:dyDescent="0.2">
      <x:c r="B88" s="142"/>
      <x:c r="C88" s="89"/>
      <x:c r="D88" s="89" t="s">
        <x:v>72</x:v>
      </x:c>
      <x:c r="E88" s="371" t="n">
        <x:v>1297078.87</x:v>
      </x:c>
      <x:c r="F88" s="90" t="n">
        <x:v>82842.16</x:v>
      </x:c>
      <x:c r="G88" s="90" t="n">
        <x:v>44279.79</x:v>
      </x:c>
      <x:c r="H88" s="90" t="n">
        <x:v>17659.15</x:v>
      </x:c>
      <x:c r="I88" s="90" t="n">
        <x:v>374931.03</x:v>
      </x:c>
      <x:c r="J88" s="90" t="n">
        <x:v>10152.12</x:v>
      </x:c>
      <x:c r="K88" s="90" t="n">
        <x:v>0</x:v>
      </x:c>
      <x:c r="L88" s="90" t="n">
        <x:v>101140.81</x:v>
      </x:c>
      <x:c r="M88" s="90" t="n">
        <x:v>102043.75</x:v>
      </x:c>
      <x:c r="N88" s="90" t="n">
        <x:v>389699.31</x:v>
      </x:c>
      <x:c r="O88" s="90" t="n">
        <x:v>162492.81</x:v>
      </x:c>
      <x:c r="P88" s="90" t="n">
        <x:v>11838.7</x:v>
      </x:c>
      <x:c r="Q88" s="90" t="n">
        <x:v>-0.76</x:v>
      </x:c>
      <x:c r="R88" t="n">
        <x:v>0</x:v>
      </x:c>
    </x:row>
    <x:row r="89" spans="2:18" ht="12.75" customHeight="1" x14ac:dyDescent="0.2">
      <x:c r="B89" s="142"/>
      <x:c r="D89" s="89" t="s">
        <x:v>81</x:v>
      </x:c>
      <x:c r="E89" s="371">
        <x:v>0</x:v>
      </x:c>
      <x:c r="F89" s="90">
        <x:v>0</x:v>
      </x:c>
      <x:c r="G89" s="90">
        <x:v>0</x:v>
      </x:c>
      <x:c r="H89" s="90">
        <x:v>0</x:v>
      </x:c>
      <x:c r="I89" s="90">
        <x:v>0</x:v>
      </x:c>
      <x:c r="J89" s="90">
        <x:v>0</x:v>
      </x:c>
      <x:c r="K89" s="90">
        <x:v>0</x:v>
      </x:c>
      <x:c r="L89" s="90">
        <x:v>0</x:v>
      </x:c>
      <x:c r="M89" s="90">
        <x:v>0</x:v>
      </x:c>
      <x:c r="N89" s="90">
        <x:v>0</x:v>
      </x:c>
      <x:c r="O89" s="90">
        <x:v>0</x:v>
      </x:c>
      <x:c r="P89" s="90">
        <x:v>0</x:v>
      </x:c>
      <x:c r="Q89" s="90">
        <x:v>0</x:v>
      </x:c>
      <x:c r="R89">
        <x:v>0</x:v>
      </x:c>
    </x:row>
    <x:row r="90" spans="2:18" ht="12.75" customHeight="1" x14ac:dyDescent="0.2">
      <x:c r="B90" s="142"/>
      <x:c r="C90" s="89" t="s">
        <x:v>116</x:v>
      </x:c>
      <x:c r="D90" s="89" t="s">
        <x:v>70</x:v>
      </x:c>
      <x:c r="E90" s="371" t="n">
        <x:v>1297078.87</x:v>
      </x:c>
      <x:c r="F90" s="90" t="n">
        <x:v>82842.16</x:v>
      </x:c>
      <x:c r="G90" s="90" t="n">
        <x:v>44279.79</x:v>
      </x:c>
      <x:c r="H90" s="90" t="n">
        <x:v>17659.15</x:v>
      </x:c>
      <x:c r="I90" s="90" t="n">
        <x:v>374931.03</x:v>
      </x:c>
      <x:c r="J90" s="90" t="n">
        <x:v>10152.12</x:v>
      </x:c>
      <x:c r="K90" s="90" t="n">
        <x:v>0</x:v>
      </x:c>
      <x:c r="L90" s="90" t="n">
        <x:v>101140.81</x:v>
      </x:c>
      <x:c r="M90" s="90" t="n">
        <x:v>102043.75</x:v>
      </x:c>
      <x:c r="N90" s="90" t="n">
        <x:v>389699.31</x:v>
      </x:c>
      <x:c r="O90" s="90" t="n">
        <x:v>162492.81</x:v>
      </x:c>
      <x:c r="P90" s="90" t="n">
        <x:v>11838.7</x:v>
      </x:c>
      <x:c r="Q90" s="90" t="n">
        <x:v>-0.76</x:v>
      </x:c>
      <x:c r="R90" t="n">
        <x:v>0</x:v>
      </x:c>
    </x:row>
    <x:row r="91" spans="2:18" ht="12.75" customHeight="1" x14ac:dyDescent="0.2">
      <x:c r="B91" s="142"/>
      <x:c r="C91" s="89"/>
      <x:c r="D91" s="89" t="s">
        <x:v>72</x:v>
      </x:c>
      <x:c r="E91" s="371">
        <x:v>0</x:v>
      </x:c>
      <x:c r="F91" s="90">
        <x:v>0</x:v>
      </x:c>
      <x:c r="G91" s="90">
        <x:v>0</x:v>
      </x:c>
      <x:c r="H91" s="90">
        <x:v>0</x:v>
      </x:c>
      <x:c r="I91" s="90">
        <x:v>0</x:v>
      </x:c>
      <x:c r="J91" s="90">
        <x:v>0</x:v>
      </x:c>
      <x:c r="K91" s="90">
        <x:v>0</x:v>
      </x:c>
      <x:c r="L91" s="90">
        <x:v>0</x:v>
      </x:c>
      <x:c r="M91" s="90">
        <x:v>0</x:v>
      </x:c>
      <x:c r="N91" s="90">
        <x:v>0</x:v>
      </x:c>
      <x:c r="O91" s="90">
        <x:v>0</x:v>
      </x:c>
      <x:c r="P91" s="90">
        <x:v>0</x:v>
      </x:c>
      <x:c r="Q91" s="90">
        <x:v>0</x:v>
      </x:c>
      <x:c r="R91">
        <x:v>0</x:v>
      </x:c>
    </x:row>
    <x:row r="92" spans="2:18" ht="12.75" customHeight="1" x14ac:dyDescent="0.2">
      <x:c r="B92" s="142"/>
      <x:c r="C92" s="89"/>
      <x:c r="D92" s="89" t="s">
        <x:v>81</x:v>
      </x:c>
      <x:c r="E92" s="371">
        <x:v>0</x:v>
      </x:c>
      <x:c r="F92" s="90">
        <x:v>0</x:v>
      </x:c>
      <x:c r="G92" s="90">
        <x:v>0</x:v>
      </x:c>
      <x:c r="H92" s="90">
        <x:v>0</x:v>
      </x:c>
      <x:c r="I92" s="90">
        <x:v>0</x:v>
      </x:c>
      <x:c r="J92" s="90">
        <x:v>0</x:v>
      </x:c>
      <x:c r="K92" s="90">
        <x:v>0</x:v>
      </x:c>
      <x:c r="L92" s="90">
        <x:v>0</x:v>
      </x:c>
      <x:c r="M92" s="90">
        <x:v>0</x:v>
      </x:c>
      <x:c r="N92" s="90">
        <x:v>0</x:v>
      </x:c>
      <x:c r="O92" s="90">
        <x:v>0</x:v>
      </x:c>
      <x:c r="P92" s="90">
        <x:v>0</x:v>
      </x:c>
      <x:c r="Q92" s="90">
        <x:v>0</x:v>
      </x:c>
      <x:c r="R92">
        <x:v>0</x:v>
      </x:c>
    </x:row>
    <x:row r="93" spans="2:18" ht="12.75" customHeight="1" x14ac:dyDescent="0.2">
      <x:c r="B93" s="142"/>
      <x:c r="C93" s="773">
        <x:v>3</x:v>
      </x:c>
      <x:c r="D93" s="89" t="s">
        <x:v>70</x:v>
      </x:c>
      <x:c r="E93" s="371">
        <x:v>0</x:v>
      </x:c>
      <x:c r="F93" s="90">
        <x:v>0</x:v>
      </x:c>
      <x:c r="G93" s="90">
        <x:v>0</x:v>
      </x:c>
      <x:c r="H93" s="90">
        <x:v>0</x:v>
      </x:c>
      <x:c r="I93" s="90">
        <x:v>0</x:v>
      </x:c>
      <x:c r="J93" s="90">
        <x:v>0</x:v>
      </x:c>
      <x:c r="K93" s="90">
        <x:v>0</x:v>
      </x:c>
      <x:c r="L93" s="90">
        <x:v>0</x:v>
      </x:c>
      <x:c r="M93" s="90">
        <x:v>0</x:v>
      </x:c>
      <x:c r="N93" s="90">
        <x:v>0</x:v>
      </x:c>
      <x:c r="O93" s="90">
        <x:v>0</x:v>
      </x:c>
      <x:c r="P93" s="90">
        <x:v>0</x:v>
      </x:c>
      <x:c r="Q93" s="90">
        <x:v>0</x:v>
      </x:c>
      <x:c r="R93">
        <x:v>0</x:v>
      </x:c>
    </x:row>
    <x:row r="94" spans="2:18" ht="12.75" customHeight="1" x14ac:dyDescent="0.2">
      <x:c r="B94" s="142"/>
      <x:c r="C94" s="89"/>
      <x:c r="D94" s="89" t="s">
        <x:v>72</x:v>
      </x:c>
      <x:c r="E94" s="371">
        <x:v>0</x:v>
      </x:c>
      <x:c r="F94" s="90">
        <x:v>0</x:v>
      </x:c>
      <x:c r="G94" s="90">
        <x:v>0</x:v>
      </x:c>
      <x:c r="H94" s="90">
        <x:v>0</x:v>
      </x:c>
      <x:c r="I94" s="90">
        <x:v>0</x:v>
      </x:c>
      <x:c r="J94" s="90">
        <x:v>0</x:v>
      </x:c>
      <x:c r="K94" s="90">
        <x:v>0</x:v>
      </x:c>
      <x:c r="L94" s="90">
        <x:v>0</x:v>
      </x:c>
      <x:c r="M94" s="90">
        <x:v>0</x:v>
      </x:c>
      <x:c r="N94" s="90">
        <x:v>0</x:v>
      </x:c>
      <x:c r="O94" s="90">
        <x:v>0</x:v>
      </x:c>
      <x:c r="P94" s="90">
        <x:v>0</x:v>
      </x:c>
      <x:c r="Q94" s="90">
        <x:v>0</x:v>
      </x:c>
      <x:c r="R94">
        <x:v>0</x:v>
      </x:c>
    </x:row>
    <x:row r="95" spans="2:18" ht="12.75" customHeight="1" x14ac:dyDescent="0.2">
      <x:c r="B95" s="142"/>
      <x:c r="C95" s="89"/>
      <x:c r="D95" s="89" t="s">
        <x:v>81</x:v>
      </x:c>
      <x:c r="E95" s="371">
        <x:v>0</x:v>
      </x:c>
      <x:c r="F95" s="90">
        <x:v>0</x:v>
      </x:c>
      <x:c r="G95" s="90">
        <x:v>0</x:v>
      </x:c>
      <x:c r="H95" s="90">
        <x:v>0</x:v>
      </x:c>
      <x:c r="I95" s="90">
        <x:v>0</x:v>
      </x:c>
      <x:c r="J95" s="90">
        <x:v>0</x:v>
      </x:c>
      <x:c r="K95" s="90">
        <x:v>0</x:v>
      </x:c>
      <x:c r="L95" s="90">
        <x:v>0</x:v>
      </x:c>
      <x:c r="M95" s="90">
        <x:v>0</x:v>
      </x:c>
      <x:c r="N95" s="90">
        <x:v>0</x:v>
      </x:c>
      <x:c r="O95" s="90">
        <x:v>0</x:v>
      </x:c>
      <x:c r="P95" s="90">
        <x:v>0</x:v>
      </x:c>
      <x:c r="Q95" s="90">
        <x:v>0</x:v>
      </x:c>
      <x:c r="R95">
        <x:v>0</x:v>
      </x:c>
    </x:row>
    <x:row r="96" spans="2:18" ht="12.75" customHeight="1" x14ac:dyDescent="0.2">
      <x:c r="B96" s="142"/>
      <x:c r="C96" s="773">
        <x:v>4</x:v>
      </x:c>
      <x:c r="D96" s="89" t="s">
        <x:v>70</x:v>
      </x:c>
      <x:c r="E96" s="371">
        <x:v>0</x:v>
      </x:c>
      <x:c r="F96" s="90">
        <x:v>0</x:v>
      </x:c>
      <x:c r="G96" s="90">
        <x:v>0</x:v>
      </x:c>
      <x:c r="H96" s="90">
        <x:v>0</x:v>
      </x:c>
      <x:c r="I96" s="90">
        <x:v>0</x:v>
      </x:c>
      <x:c r="J96" s="90">
        <x:v>0</x:v>
      </x:c>
      <x:c r="K96" s="90">
        <x:v>0</x:v>
      </x:c>
      <x:c r="L96" s="90">
        <x:v>0</x:v>
      </x:c>
      <x:c r="M96" s="90">
        <x:v>0</x:v>
      </x:c>
      <x:c r="N96" s="90">
        <x:v>0</x:v>
      </x:c>
      <x:c r="O96" s="90">
        <x:v>0</x:v>
      </x:c>
      <x:c r="P96" s="90">
        <x:v>0</x:v>
      </x:c>
      <x:c r="Q96" s="90">
        <x:v>0</x:v>
      </x:c>
      <x:c r="R96">
        <x:v>0</x:v>
      </x:c>
    </x:row>
    <x:row r="97" spans="2:18" ht="12.75" customHeight="1" x14ac:dyDescent="0.2">
      <x:c r="B97" s="142"/>
      <x:c r="C97" s="89"/>
      <x:c r="D97" s="89" t="s">
        <x:v>72</x:v>
      </x:c>
      <x:c r="E97" s="371" t="n">
        <x:v>12436550.33</x:v>
      </x:c>
      <x:c r="F97" s="90" t="n">
        <x:v>747251</x:v>
      </x:c>
      <x:c r="G97" s="90" t="n">
        <x:v>415550.99</x:v>
      </x:c>
      <x:c r="H97" s="90" t="n">
        <x:v>136961.03</x:v>
      </x:c>
      <x:c r="I97" s="90" t="n">
        <x:v>3490640.05</x:v>
      </x:c>
      <x:c r="J97" s="90" t="n">
        <x:v>121618.81</x:v>
      </x:c>
      <x:c r="K97" s="90" t="n">
        <x:v>0</x:v>
      </x:c>
      <x:c r="L97" s="90" t="n">
        <x:v>1058162.89</x:v>
      </x:c>
      <x:c r="M97" s="90" t="n">
        <x:v>963885.06</x:v>
      </x:c>
      <x:c r="N97" s="90" t="n">
        <x:v>3891234.42</x:v>
      </x:c>
      <x:c r="O97" s="90" t="n">
        <x:v>1454466.58</x:v>
      </x:c>
      <x:c r="P97" s="90" t="n">
        <x:v>156806.02</x:v>
      </x:c>
      <x:c r="Q97" s="90" t="n">
        <x:v>-26.52</x:v>
      </x:c>
      <x:c r="R97" t="n">
        <x:v>0</x:v>
      </x:c>
    </x:row>
    <x:row r="98" spans="2:18" ht="12.75" customHeight="1" x14ac:dyDescent="0.2">
      <x:c r="B98" s="142"/>
      <x:c r="C98" s="89"/>
      <x:c r="D98" s="89" t="s">
        <x:v>81</x:v>
      </x:c>
      <x:c r="E98" s="371" t="n">
        <x:v>1943.21</x:v>
      </x:c>
      <x:c r="F98" s="90" t="n">
        <x:v>127.65</x:v>
      </x:c>
      <x:c r="G98" s="90" t="n">
        <x:v>68.95</x:v>
      </x:c>
      <x:c r="H98" s="90" t="n">
        <x:v>37.92</x:v>
      </x:c>
      <x:c r="I98" s="90" t="n">
        <x:v>491.88</x:v>
      </x:c>
      <x:c r="J98" s="90" t="n">
        <x:v>12.97</x:v>
      </x:c>
      <x:c r="K98" s="90" t="n">
        <x:v>0</x:v>
      </x:c>
      <x:c r="L98" s="90" t="n">
        <x:v>113.86</x:v>
      </x:c>
      <x:c r="M98" s="90" t="n">
        <x:v>145.35</x:v>
      </x:c>
      <x:c r="N98" s="90" t="n">
        <x:v>675.45</x:v>
      </x:c>
      <x:c r="O98" s="90" t="n">
        <x:v>247.87</x:v>
      </x:c>
      <x:c r="P98" s="90" t="n">
        <x:v>21.19</x:v>
      </x:c>
      <x:c r="Q98" s="90" t="n">
        <x:v>0.12</x:v>
      </x:c>
      <x:c r="R98" t="n">
        <x:v>0</x:v>
      </x:c>
    </x:row>
    <x:row r="99" spans="2:18" ht="12.75" customHeight="1" x14ac:dyDescent="0.2">
      <x:c r="B99" s="142"/>
      <x:c r="C99" s="89" t="s">
        <x:v>118</x:v>
      </x:c>
      <x:c r="D99" s="89" t="s">
        <x:v>70</x:v>
      </x:c>
      <x:c r="E99" s="371" t="n">
        <x:v>12438493.54</x:v>
      </x:c>
      <x:c r="F99" s="90" t="n">
        <x:v>747378.65</x:v>
      </x:c>
      <x:c r="G99" s="90" t="n">
        <x:v>415619.94</x:v>
      </x:c>
      <x:c r="H99" s="90" t="n">
        <x:v>136998.95</x:v>
      </x:c>
      <x:c r="I99" s="90" t="n">
        <x:v>3491131.93</x:v>
      </x:c>
      <x:c r="J99" s="90" t="n">
        <x:v>121631.78</x:v>
      </x:c>
      <x:c r="K99" s="90" t="n">
        <x:v>0</x:v>
      </x:c>
      <x:c r="L99" s="90" t="n">
        <x:v>1058276.75</x:v>
      </x:c>
      <x:c r="M99" s="90" t="n">
        <x:v>964030.41</x:v>
      </x:c>
      <x:c r="N99" s="90" t="n">
        <x:v>3891909.87</x:v>
      </x:c>
      <x:c r="O99" s="90" t="n">
        <x:v>1454714.45</x:v>
      </x:c>
      <x:c r="P99" s="90" t="n">
        <x:v>156827.21</x:v>
      </x:c>
      <x:c r="Q99" s="90" t="n">
        <x:v>-26.4</x:v>
      </x:c>
      <x:c r="R99" t="n">
        <x:v>0</x:v>
      </x:c>
    </x:row>
    <x:row r="100" spans="2:18" ht="12.75" customHeight="1" x14ac:dyDescent="0.2">
      <x:c r="B100" s="142"/>
      <x:c r="C100" s="89"/>
      <x:c r="D100" s="89" t="s">
        <x:v>72</x:v>
      </x:c>
      <x:c r="E100" s="371">
        <x:v>0</x:v>
      </x:c>
      <x:c r="F100" s="90">
        <x:v>0</x:v>
      </x:c>
      <x:c r="G100" s="90">
        <x:v>0</x:v>
      </x:c>
      <x:c r="H100" s="90">
        <x:v>0</x:v>
      </x:c>
      <x:c r="I100" s="90">
        <x:v>0</x:v>
      </x:c>
      <x:c r="J100" s="90">
        <x:v>0</x:v>
      </x:c>
      <x:c r="K100" s="90">
        <x:v>0</x:v>
      </x:c>
      <x:c r="L100" s="90">
        <x:v>0</x:v>
      </x:c>
      <x:c r="M100" s="90">
        <x:v>0</x:v>
      </x:c>
      <x:c r="N100" s="90">
        <x:v>0</x:v>
      </x:c>
      <x:c r="O100" s="90">
        <x:v>0</x:v>
      </x:c>
      <x:c r="P100" s="90">
        <x:v>0</x:v>
      </x:c>
      <x:c r="Q100" s="90">
        <x:v>0</x:v>
      </x:c>
      <x:c r="R100">
        <x:v>0</x:v>
      </x:c>
    </x:row>
    <x:row r="101" spans="2:18" ht="12.75" customHeight="1" x14ac:dyDescent="0.2">
      <x:c r="B101" s="142"/>
      <x:c r="C101" s="89"/>
      <x:c r="D101" s="89" t="s">
        <x:v>81</x:v>
      </x:c>
      <x:c r="E101" s="371">
        <x:v>0</x:v>
      </x:c>
      <x:c r="F101" s="90">
        <x:v>0</x:v>
      </x:c>
      <x:c r="G101" s="90">
        <x:v>0</x:v>
      </x:c>
      <x:c r="H101" s="90">
        <x:v>0</x:v>
      </x:c>
      <x:c r="I101" s="90">
        <x:v>0</x:v>
      </x:c>
      <x:c r="J101" s="90">
        <x:v>0</x:v>
      </x:c>
      <x:c r="K101" s="90">
        <x:v>0</x:v>
      </x:c>
      <x:c r="L101" s="90">
        <x:v>0</x:v>
      </x:c>
      <x:c r="M101" s="90">
        <x:v>0</x:v>
      </x:c>
      <x:c r="N101" s="90">
        <x:v>0</x:v>
      </x:c>
      <x:c r="O101" s="90">
        <x:v>0</x:v>
      </x:c>
      <x:c r="P101" s="90">
        <x:v>0</x:v>
      </x:c>
      <x:c r="Q101" s="90">
        <x:v>0</x:v>
      </x:c>
      <x:c r="R101">
        <x:v>0</x:v>
      </x:c>
    </x:row>
    <x:row r="102" spans="2:18" ht="12.75" customHeight="1" x14ac:dyDescent="0.2">
      <x:c r="B102" s="142"/>
      <x:c r="C102" s="773">
        <x:v>6</x:v>
      </x:c>
      <x:c r="D102" s="89" t="s">
        <x:v>70</x:v>
      </x:c>
      <x:c r="E102" s="371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2:18" ht="12.75" customHeight="1" x14ac:dyDescent="0.2">
      <x:c r="B103" s="142"/>
      <x:c r="C103" s="89"/>
      <x:c r="D103" s="89" t="s">
        <x:v>72</x:v>
      </x:c>
      <x:c r="E103" s="371">
        <x:v>0</x:v>
      </x:c>
      <x:c r="F103" s="90">
        <x:v>0</x:v>
      </x:c>
      <x:c r="G103" s="90">
        <x:v>0</x:v>
      </x:c>
      <x:c r="H103" s="90">
        <x:v>0</x:v>
      </x:c>
      <x:c r="I103" s="90">
        <x:v>0</x:v>
      </x:c>
      <x:c r="J103" s="90">
        <x:v>0</x:v>
      </x:c>
      <x:c r="K103" s="90">
        <x:v>0</x:v>
      </x:c>
      <x:c r="L103" s="90">
        <x:v>0</x:v>
      </x:c>
      <x:c r="M103" s="90">
        <x:v>0</x:v>
      </x:c>
      <x:c r="N103" s="90">
        <x:v>0</x:v>
      </x:c>
      <x:c r="O103" s="90">
        <x:v>0</x:v>
      </x:c>
      <x:c r="P103" s="90">
        <x:v>0</x:v>
      </x:c>
      <x:c r="Q103" s="90">
        <x:v>0</x:v>
      </x:c>
      <x:c r="R103">
        <x:v>0</x:v>
      </x:c>
    </x:row>
    <x:row r="104" spans="2:18" ht="12.75" customHeight="1" x14ac:dyDescent="0.2">
      <x:c r="B104" s="142"/>
      <x:c r="C104" s="89"/>
      <x:c r="D104" s="89" t="s">
        <x:v>81</x:v>
      </x:c>
      <x:c r="E104" s="371">
        <x:v>0</x:v>
      </x:c>
      <x:c r="F104" s="90">
        <x:v>0</x:v>
      </x:c>
      <x:c r="G104" s="90">
        <x:v>0</x:v>
      </x:c>
      <x:c r="H104" s="90">
        <x:v>0</x:v>
      </x:c>
      <x:c r="I104" s="90">
        <x:v>0</x:v>
      </x:c>
      <x:c r="J104" s="90">
        <x:v>0</x:v>
      </x:c>
      <x:c r="K104" s="90">
        <x:v>0</x:v>
      </x:c>
      <x:c r="L104" s="90">
        <x:v>0</x:v>
      </x:c>
      <x:c r="M104" s="90">
        <x:v>0</x:v>
      </x:c>
      <x:c r="N104" s="90">
        <x:v>0</x:v>
      </x:c>
      <x:c r="O104" s="90">
        <x:v>0</x:v>
      </x:c>
      <x:c r="P104" s="90">
        <x:v>0</x:v>
      </x:c>
      <x:c r="Q104" s="90">
        <x:v>0</x:v>
      </x:c>
      <x:c r="R104">
        <x:v>0</x:v>
      </x:c>
    </x:row>
    <x:row r="105" spans="2:18" ht="12.75" customHeight="1" x14ac:dyDescent="0.2">
      <x:c r="B105" s="142"/>
      <x:c r="C105" s="773">
        <x:v>9</x:v>
      </x:c>
      <x:c r="D105" s="89" t="s">
        <x:v>70</x:v>
      </x:c>
      <x:c r="E105" s="371">
        <x:v>0</x:v>
      </x:c>
      <x:c r="F105" s="90">
        <x:v>0</x:v>
      </x:c>
      <x:c r="G105" s="90">
        <x:v>0</x:v>
      </x:c>
      <x:c r="H105" s="90">
        <x:v>0</x:v>
      </x:c>
      <x:c r="I105" s="90">
        <x:v>0</x:v>
      </x:c>
      <x:c r="J105" s="90">
        <x:v>0</x:v>
      </x:c>
      <x:c r="K105" s="90">
        <x:v>0</x:v>
      </x:c>
      <x:c r="L105" s="90">
        <x:v>0</x:v>
      </x:c>
      <x:c r="M105" s="90">
        <x:v>0</x:v>
      </x:c>
      <x:c r="N105" s="90">
        <x:v>0</x:v>
      </x:c>
      <x:c r="O105" s="90">
        <x:v>0</x:v>
      </x:c>
      <x:c r="P105" s="90">
        <x:v>0</x:v>
      </x:c>
      <x:c r="Q105" s="90">
        <x:v>0</x:v>
      </x:c>
      <x:c r="R105">
        <x:v>0</x:v>
      </x:c>
    </x:row>
    <x:row r="106" spans="2:18" s="224" customFormat="1" ht="12.75" customHeight="1" x14ac:dyDescent="0.2">
      <x:c r="B106" s="224" t="s">
        <x:v>120</x:v>
      </x:c>
      <x:c r="C106" s="224" t="s">
        <x:v>70</x:v>
      </x:c>
      <x:c r="E106" s="224" t="n">
        <x:v>18497639.14</x:v>
      </x:c>
      <x:c r="F106" s="224" t="n">
        <x:v>1119003.19</x:v>
      </x:c>
      <x:c r="G106" s="224" t="n">
        <x:v>607204.31</x:v>
      </x:c>
      <x:c r="H106" s="224" t="n">
        <x:v>223146.16</x:v>
      </x:c>
      <x:c r="I106" s="224" t="n">
        <x:v>5052245.56</x:v>
      </x:c>
      <x:c r="J106" s="224" t="n">
        <x:v>169795</x:v>
      </x:c>
      <x:c r="K106" s="224" t="n">
        <x:v>0</x:v>
      </x:c>
      <x:c r="L106" s="224" t="n">
        <x:v>1498462.82</x:v>
      </x:c>
      <x:c r="M106" s="224" t="n">
        <x:v>1463337.99</x:v>
      </x:c>
      <x:c r="N106" s="224" t="n">
        <x:v>5954184.21</x:v>
      </x:c>
      <x:c r="O106" s="224" t="n">
        <x:v>2182113.17</x:v>
      </x:c>
      <x:c r="P106" s="224" t="n">
        <x:v>228161.47</x:v>
      </x:c>
      <x:c r="Q106" s="224" t="n">
        <x:v>-14.74</x:v>
      </x:c>
      <x:c r="R106" s="224" t="n">
        <x:v>0</x:v>
      </x:c>
    </x:row>
    <x:row r="107" spans="2:18" ht="12.75" customHeight="1" x14ac:dyDescent="0.2">
      <x:c r="D107" t="s">
        <x:v>72</x:v>
      </x:c>
      <x:c r="E107" s="142" t="n">
        <x:v>11228659.19</x:v>
      </x:c>
      <x:c r="F107" t="n">
        <x:v>627548.19</x:v>
      </x:c>
      <x:c r="G107" t="n">
        <x:v>345070.03</x:v>
      </x:c>
      <x:c r="H107" t="n">
        <x:v>150190.6</x:v>
      </x:c>
      <x:c r="I107" t="n">
        <x:v>3094084.63</x:v>
      </x:c>
      <x:c r="J107" t="n">
        <x:v>82036.02</x:v>
      </x:c>
      <x:c r="K107" t="n">
        <x:v>0</x:v>
      </x:c>
      <x:c r="L107" t="n">
        <x:v>744009.01</x:v>
      </x:c>
      <x:c r="M107" t="n">
        <x:v>843104.93</x:v>
      </x:c>
      <x:c r="N107" t="n">
        <x:v>3956025.24</x:v>
      </x:c>
      <x:c r="O107" t="n">
        <x:v>1253497.46</x:v>
      </x:c>
      <x:c r="P107" t="n">
        <x:v>133159.91</x:v>
      </x:c>
      <x:c r="Q107" t="n">
        <x:v>-66.83</x:v>
      </x:c>
      <x:c r="R107" t="n">
        <x:v>0</x:v>
      </x:c>
    </x:row>
    <x:row r="108" spans="2:18" ht="12.75" customHeight="1" x14ac:dyDescent="0.2">
      <x:c r="D108" t="s">
        <x:v>81</x:v>
      </x:c>
      <x:c r="E108" s="142" t="n">
        <x:v>11721.9</x:v>
      </x:c>
      <x:c r="F108" t="n">
        <x:v>1152.27</x:v>
      </x:c>
      <x:c r="G108" t="n">
        <x:v>593.19</x:v>
      </x:c>
      <x:c r="H108" t="n">
        <x:v>336.21</x:v>
      </x:c>
      <x:c r="I108" t="n">
        <x:v>2440.1</x:v>
      </x:c>
      <x:c r="J108" t="n">
        <x:v>71.24</x:v>
      </x:c>
      <x:c r="K108" t="n">
        <x:v>0</x:v>
      </x:c>
      <x:c r="L108" t="n">
        <x:v>625.01</x:v>
      </x:c>
      <x:c r="M108" t="n">
        <x:v>723.16</x:v>
      </x:c>
      <x:c r="N108" t="n">
        <x:v>3359.71</x:v>
      </x:c>
      <x:c r="O108" t="n">
        <x:v>2304.85</x:v>
      </x:c>
      <x:c r="P108" t="n">
        <x:v>116.27</x:v>
      </x:c>
      <x:c r="Q108" t="n">
        <x:v>-0.11</x:v>
      </x:c>
      <x:c r="R108" t="n">
        <x:v>0</x:v>
      </x:c>
    </x:row>
    <x:row r="109" spans="2:18" ht="12.75" customHeight="1" x14ac:dyDescent="0.2">
      <x:c r="C109" t="s">
        <x:v>82</x:v>
      </x:c>
      <x:c r="D109" t="s">
        <x:v>70</x:v>
      </x:c>
      <x:c r="E109" s="142" t="n">
        <x:v>11240381.09</x:v>
      </x:c>
      <x:c r="F109" t="n">
        <x:v>628700.46</x:v>
      </x:c>
      <x:c r="G109" t="n">
        <x:v>345663.22</x:v>
      </x:c>
      <x:c r="H109" t="n">
        <x:v>150526.81</x:v>
      </x:c>
      <x:c r="I109" t="n">
        <x:v>3096524.73</x:v>
      </x:c>
      <x:c r="J109" t="n">
        <x:v>82107.26</x:v>
      </x:c>
      <x:c r="K109" t="n">
        <x:v>0</x:v>
      </x:c>
      <x:c r="L109" t="n">
        <x:v>744634.02</x:v>
      </x:c>
      <x:c r="M109" t="n">
        <x:v>843828.09</x:v>
      </x:c>
      <x:c r="N109" t="n">
        <x:v>3959384.95</x:v>
      </x:c>
      <x:c r="O109" t="n">
        <x:v>1255802.31</x:v>
      </x:c>
      <x:c r="P109" t="n">
        <x:v>133276.18</x:v>
      </x:c>
      <x:c r="Q109" t="n">
        <x:v>-66.94</x:v>
      </x:c>
      <x:c r="R109" t="n">
        <x:v>0</x:v>
      </x:c>
    </x:row>
    <x:row r="110" spans="2:18" ht="12.75" customHeight="1" x14ac:dyDescent="0.2">
      <x:c r="D110" t="s">
        <x:v>72</x:v>
      </x:c>
      <x:c r="E110" s="142" t="n">
        <x:v>41530970.55</x:v>
      </x:c>
      <x:c r="F110" t="n">
        <x:v>3446223.9</x:v>
      </x:c>
      <x:c r="G110" t="n">
        <x:v>1837407</x:v>
      </x:c>
      <x:c r="H110" t="n">
        <x:v>839836.39</x:v>
      </x:c>
      <x:c r="I110" t="n">
        <x:v>10048658.09</x:v>
      </x:c>
      <x:c r="J110" t="n">
        <x:v>294477.08</x:v>
      </x:c>
      <x:c r="K110" t="n">
        <x:v>0</x:v>
      </x:c>
      <x:c r="L110" t="n">
        <x:v>2560741.07</x:v>
      </x:c>
      <x:c r="M110" t="n">
        <x:v>2844892.45</x:v>
      </x:c>
      <x:c r="N110" t="n">
        <x:v>12464432.92</x:v>
      </x:c>
      <x:c r="O110" t="n">
        <x:v>6734618.42</x:v>
      </x:c>
      <x:c r="P110" t="n">
        <x:v>459737.13</x:v>
      </x:c>
      <x:c r="Q110" t="n">
        <x:v>-53.9</x:v>
      </x:c>
      <x:c r="R110" t="n">
        <x:v>0</x:v>
      </x:c>
    </x:row>
    <x:row r="111" spans="2:18" ht="12.75" customHeight="1" x14ac:dyDescent="0.2">
      <x:c r="D111" t="s">
        <x:v>81</x:v>
      </x:c>
      <x:c r="E111" s="142" t="n">
        <x:v>838272.78</x:v>
      </x:c>
      <x:c r="F111" t="n">
        <x:v>158907.47</x:v>
      </x:c>
      <x:c r="G111" t="n">
        <x:v>77095.07</x:v>
      </x:c>
      <x:c r="H111" t="n">
        <x:v>35087.2</x:v>
      </x:c>
      <x:c r="I111" t="n">
        <x:v>85486.28</x:v>
      </x:c>
      <x:c r="J111" t="n">
        <x:v>2763.9</x:v>
      </x:c>
      <x:c r="K111" t="n">
        <x:v>0</x:v>
      </x:c>
      <x:c r="L111" t="n">
        <x:v>24264.38</x:v>
      </x:c>
      <x:c r="M111" t="n">
        <x:v>29986.1</x:v>
      </x:c>
      <x:c r="N111" t="n">
        <x:v>110461.52</x:v>
      </x:c>
      <x:c r="O111" t="n">
        <x:v>309708.84</x:v>
      </x:c>
      <x:c r="P111" t="n">
        <x:v>4508.85</x:v>
      </x:c>
      <x:c r="Q111" t="n">
        <x:v>3.17</x:v>
      </x:c>
      <x:c r="R111" t="n">
        <x:v>0</x:v>
      </x:c>
    </x:row>
    <x:row r="112" spans="2:18" ht="12.75" customHeight="1" x14ac:dyDescent="0.2">
      <x:c r="C112" t="s">
        <x:v>86</x:v>
      </x:c>
      <x:c r="D112" t="s">
        <x:v>70</x:v>
      </x:c>
      <x:c r="E112" t="n">
        <x:v>42369243.33</x:v>
      </x:c>
      <x:c r="F112" t="n">
        <x:v>3605131.37</x:v>
      </x:c>
      <x:c r="G112" t="n">
        <x:v>1914502.07</x:v>
      </x:c>
      <x:c r="H112" t="n">
        <x:v>874923.59</x:v>
      </x:c>
      <x:c r="I112" t="n">
        <x:v>10134144.37</x:v>
      </x:c>
      <x:c r="J112" t="n">
        <x:v>297240.98</x:v>
      </x:c>
      <x:c r="K112" t="n">
        <x:v>0</x:v>
      </x:c>
      <x:c r="L112" t="n">
        <x:v>2585005.45</x:v>
      </x:c>
      <x:c r="M112" t="n">
        <x:v>2874878.55</x:v>
      </x:c>
      <x:c r="N112" t="n">
        <x:v>12574894.44</x:v>
      </x:c>
      <x:c r="O112" t="n">
        <x:v>7044327.26</x:v>
      </x:c>
      <x:c r="P112" t="n">
        <x:v>464245.98</x:v>
      </x:c>
      <x:c r="Q112" t="n">
        <x:v>-50.73</x:v>
      </x:c>
      <x:c r="R112" t="n">
        <x:v>0</x:v>
      </x:c>
    </x:row>
    <x:row r="113" spans="1:18" ht="12.75" customHeight="1" x14ac:dyDescent="0.2">
      <x:c r="D113" t="s">
        <x:v>72</x:v>
      </x:c>
      <x:c r="E113" t="n">
        <x:v>70333717</x:v>
      </x:c>
      <x:c r="F113" t="n">
        <x:v>14300185.77</x:v>
      </x:c>
      <x:c r="G113" t="n">
        <x:v>7461392.83</x:v>
      </x:c>
      <x:c r="H113" t="n">
        <x:v>3919492.24</x:v>
      </x:c>
      <x:c r="I113" t="n">
        <x:v>4692682.5</x:v>
      </x:c>
      <x:c r="J113" t="n">
        <x:v>110418.13</x:v>
      </x:c>
      <x:c r="K113" t="n">
        <x:v>219000</x:v>
      </x:c>
      <x:c r="L113" t="n">
        <x:v>937656.42</x:v>
      </x:c>
      <x:c r="M113" t="n">
        <x:v>1233594.21</x:v>
      </x:c>
      <x:c r="N113" t="n">
        <x:v>5715904.73</x:v>
      </x:c>
      <x:c r="O113" t="n">
        <x:v>31568840.21</x:v>
      </x:c>
      <x:c r="P113" t="n">
        <x:v>174575.03</x:v>
      </x:c>
      <x:c r="Q113" t="n">
        <x:v>-25.07</x:v>
      </x:c>
      <x:c r="R113" t="n">
        <x:v>0</x:v>
      </x:c>
    </x:row>
    <x:row r="114" spans="1:18" ht="12.75" customHeight="1" x14ac:dyDescent="0.2">
      <x:c r="D114" t="s">
        <x:v>81</x:v>
      </x:c>
      <x:c r="E114" s="142" t="n">
        <x:v>2597.82</x:v>
      </x:c>
      <x:c r="F114" t="n">
        <x:v>534.71</x:v>
      </x:c>
      <x:c r="G114" t="n">
        <x:v>300.32</x:v>
      </x:c>
      <x:c r="H114" t="n">
        <x:v>158.46</x:v>
      </x:c>
      <x:c r="I114" t="n">
        <x:v>184.7</x:v>
      </x:c>
      <x:c r="J114" t="n">
        <x:v>5.14</x:v>
      </x:c>
      <x:c r="K114" t="n">
        <x:v>0</x:v>
      </x:c>
      <x:c r="L114" t="n">
        <x:v>45.12</x:v>
      </x:c>
      <x:c r="M114" t="n">
        <x:v>52.17</x:v>
      </x:c>
      <x:c r="N114" t="n">
        <x:v>247.23</x:v>
      </x:c>
      <x:c r="O114" t="n">
        <x:v>1061.6</x:v>
      </x:c>
      <x:c r="P114" t="n">
        <x:v>8.38</x:v>
      </x:c>
      <x:c r="Q114" t="n">
        <x:v>-0.01</x:v>
      </x:c>
      <x:c r="R114" t="n">
        <x:v>0</x:v>
      </x:c>
    </x:row>
    <x:row r="115" spans="1:18" ht="12.75" customHeight="1" x14ac:dyDescent="0.2">
      <x:c r="C115" s="89" t="s">
        <x:v>87</x:v>
      </x:c>
      <x:c r="D115" s="89" t="s">
        <x:v>70</x:v>
      </x:c>
      <x:c r="E115" s="90" t="n">
        <x:v>70336314.82</x:v>
      </x:c>
      <x:c r="F115" s="90" t="n">
        <x:v>14300720.48</x:v>
      </x:c>
      <x:c r="G115" s="90" t="n">
        <x:v>7461693.15</x:v>
      </x:c>
      <x:c r="H115" s="90" t="n">
        <x:v>3919650.7</x:v>
      </x:c>
      <x:c r="I115" s="90" t="n">
        <x:v>4692867.2</x:v>
      </x:c>
      <x:c r="J115" s="90" t="n">
        <x:v>110423.27</x:v>
      </x:c>
      <x:c r="K115" s="90" t="n">
        <x:v>219000</x:v>
      </x:c>
      <x:c r="L115" s="90" t="n">
        <x:v>937701.54</x:v>
      </x:c>
      <x:c r="M115" s="90" t="n">
        <x:v>1233646.38</x:v>
      </x:c>
      <x:c r="N115" s="90" t="n">
        <x:v>5716151.96</x:v>
      </x:c>
      <x:c r="O115" s="90" t="n">
        <x:v>31569901.81</x:v>
      </x:c>
      <x:c r="P115" s="90" t="n">
        <x:v>174583.41</x:v>
      </x:c>
      <x:c r="Q115" s="90" t="n">
        <x:v>-25.08</x:v>
      </x:c>
      <x:c r="R115" t="n">
        <x:v>0</x:v>
      </x:c>
    </x:row>
    <x:row r="116" spans="1:18" s="94" customFormat="1" ht="12.75" customHeight="1" x14ac:dyDescent="0.2">
      <x:c r="B116" s="94" t="s">
        <x:v>119</x:v>
      </x:c>
      <x:c r="C116" s="101" t="s">
        <x:v>70</x:v>
      </x:c>
      <x:c r="D116" s="101"/>
      <x:c r="E116" s="93" t="n">
        <x:v>123945939.24</x:v>
      </x:c>
      <x:c r="F116" s="93" t="n">
        <x:v>18534552.31</x:v>
      </x:c>
      <x:c r="G116" s="93" t="n">
        <x:v>9721858.44</x:v>
      </x:c>
      <x:c r="H116" s="93" t="n">
        <x:v>4945101.1</x:v>
      </x:c>
      <x:c r="I116" s="93" t="n">
        <x:v>17923536.3</x:v>
      </x:c>
      <x:c r="J116" s="93" t="n">
        <x:v>489771.51</x:v>
      </x:c>
      <x:c r="K116" s="93" t="n">
        <x:v>219000</x:v>
      </x:c>
      <x:c r="L116" s="93" t="n">
        <x:v>4267341.01</x:v>
      </x:c>
      <x:c r="M116" s="93" t="n">
        <x:v>4952353.02</x:v>
      </x:c>
      <x:c r="N116" s="93" t="n">
        <x:v>22250431.35</x:v>
      </x:c>
      <x:c r="O116" s="93" t="n">
        <x:v>39870031.38</x:v>
      </x:c>
      <x:c r="P116" s="93" t="n">
        <x:v>772105.57</x:v>
      </x:c>
      <x:c r="Q116" s="93" t="n">
        <x:v>-142.75</x:v>
      </x:c>
      <x:c r="R116" s="94" t="n">
        <x:v>0</x:v>
      </x:c>
    </x:row>
    <x:row r="117" spans="1:18" s="226" customFormat="1" ht="12.75" customHeight="1" x14ac:dyDescent="0.2">
      <x:c r="A117" s="98" t="s">
        <x:v>78</x:v>
      </x:c>
      <x:c r="B117" s="98" t="s">
        <x:v>70</x:v>
      </x:c>
      <x:c r="E117" s="100" t="n">
        <x:v>170698499.54</x:v>
      </x:c>
      <x:c r="F117" s="100" t="n">
        <x:v>21179037.9</x:v>
      </x:c>
      <x:c r="G117" s="100" t="n">
        <x:v>11187088.8</x:v>
      </x:c>
      <x:c r="H117" s="100" t="n">
        <x:v>5537650.54</x:v>
      </x:c>
      <x:c r="I117" s="100" t="n">
        <x:v>30381506.57</x:v>
      </x:c>
      <x:c r="J117" s="100" t="n">
        <x:v>941128.87</x:v>
      </x:c>
      <x:c r="K117" s="100" t="n">
        <x:v>219000</x:v>
      </x:c>
      <x:c r="L117" s="100" t="n">
        <x:v>8214775.64</x:v>
      </x:c>
      <x:c r="M117" s="100" t="n">
        <x:v>8652731.74</x:v>
      </x:c>
      <x:c r="N117" s="100" t="n">
        <x:v>37700932.1</x:v>
      </x:c>
      <x:c r="O117" s="100" t="n">
        <x:v>45281008.53</x:v>
      </x:c>
      <x:c r="P117" s="100" t="n">
        <x:v>1403801.54</x:v>
      </x:c>
      <x:c r="Q117" s="100" t="n">
        <x:v>-162.69</x:v>
      </x:c>
      <x:c r="R117" s="226" t="n">
        <x:v>0</x:v>
      </x:c>
    </x:row>
    <x:row r="118" spans="1:18" ht="12.75" customHeight="1" x14ac:dyDescent="0.2">
      <x:c r="B118" s="89"/>
      <x:c r="C118" s="89"/>
      <x:c r="D118" t="s">
        <x:v>73</x:v>
      </x:c>
      <x:c r="E118" s="90">
        <x:v>0</x:v>
      </x:c>
      <x:c r="F118" s="90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>
        <x:v>0</x:v>
      </x:c>
    </x:row>
    <x:row r="119" spans="1:18" ht="12.75" customHeight="1" x14ac:dyDescent="0.2">
      <x:c r="B119" s="89"/>
      <x:c r="C119" s="89" t="s">
        <x:v>332</x:v>
      </x:c>
      <x:c r="D119" t="s">
        <x:v>70</x:v>
      </x:c>
      <x:c r="E119" s="90">
        <x:v>0</x:v>
      </x:c>
      <x:c r="F119" s="90">
        <x:v>0</x:v>
      </x:c>
      <x:c r="G119" s="90">
        <x:v>0</x:v>
      </x:c>
      <x:c r="H119" s="90">
        <x:v>0</x:v>
      </x:c>
      <x:c r="I119" s="90">
        <x:v>0</x:v>
      </x:c>
      <x:c r="J119" s="90">
        <x:v>0</x:v>
      </x:c>
      <x:c r="K119" s="90">
        <x:v>0</x:v>
      </x:c>
      <x:c r="L119" s="90">
        <x:v>0</x:v>
      </x:c>
      <x:c r="M119" s="90">
        <x:v>0</x:v>
      </x:c>
      <x:c r="N119" s="90">
        <x:v>0</x:v>
      </x:c>
      <x:c r="O119" s="90">
        <x:v>0</x:v>
      </x:c>
      <x:c r="P119" s="90">
        <x:v>0</x:v>
      </x:c>
      <x:c r="Q119" s="90">
        <x:v>0</x:v>
      </x:c>
      <x:c r="R119">
        <x:v>0</x:v>
      </x:c>
    </x:row>
    <x:row r="120" spans="1:18" s="378" customFormat="1" ht="12.75" customHeight="1" x14ac:dyDescent="0.2">
      <x:c r="B120" s="378" t="s">
        <x:v>85</x:v>
      </x:c>
      <x:c r="C120" s="378" t="s">
        <x:v>70</x:v>
      </x:c>
      <x:c r="E120" s="378">
        <x:v>0</x:v>
      </x:c>
      <x:c r="F120" s="378">
        <x:v>0</x:v>
      </x:c>
      <x:c r="G120" s="378">
        <x:v>0</x:v>
      </x:c>
      <x:c r="H120" s="378">
        <x:v>0</x:v>
      </x:c>
      <x:c r="I120" s="378">
        <x:v>0</x:v>
      </x:c>
      <x:c r="J120" s="378">
        <x:v>0</x:v>
      </x:c>
      <x:c r="K120" s="378">
        <x:v>0</x:v>
      </x:c>
      <x:c r="L120" s="378">
        <x:v>0</x:v>
      </x:c>
      <x:c r="M120" s="378">
        <x:v>0</x:v>
      </x:c>
      <x:c r="N120" s="378">
        <x:v>0</x:v>
      </x:c>
      <x:c r="O120" s="378">
        <x:v>0</x:v>
      </x:c>
      <x:c r="P120" s="378">
        <x:v>0</x:v>
      </x:c>
      <x:c r="Q120" s="378">
        <x:v>0</x:v>
      </x:c>
      <x:c r="R120" s="378">
        <x:v>0</x:v>
      </x:c>
    </x:row>
    <x:row r="121" spans="1:18" ht="12.75" customHeight="1" x14ac:dyDescent="0.2">
      <x:c r="C121" s="89"/>
      <x:c r="D121" s="89" t="s">
        <x:v>73</x:v>
      </x:c>
      <x:c r="E121" s="90" t="n">
        <x:v>-7717840.65</x:v>
      </x:c>
      <x:c r="F121" s="90" t="n">
        <x:v>-223244.82</x:v>
      </x:c>
      <x:c r="G121" s="90" t="n">
        <x:v>-129355.59</x:v>
      </x:c>
      <x:c r="H121" s="90" t="n">
        <x:v>-75143.33</x:v>
      </x:c>
      <x:c r="I121" s="90" t="n">
        <x:v>-2015008.83</x:v>
      </x:c>
      <x:c r="J121" s="90" t="n">
        <x:v>-82434.13</x:v>
      </x:c>
      <x:c r="K121" s="90" t="n">
        <x:v>0</x:v>
      </x:c>
      <x:c r="L121" s="90" t="n">
        <x:v>-715732.9</x:v>
      </x:c>
      <x:c r="M121" s="90" t="n">
        <x:v>-685682.04</x:v>
      </x:c>
      <x:c r="N121" s="90" t="n">
        <x:v>-3229430.68</x:v>
      </x:c>
      <x:c r="O121" s="90" t="n">
        <x:v>-428639.54</x:v>
      </x:c>
      <x:c r="P121" s="90" t="n">
        <x:v>-133168.79</x:v>
      </x:c>
      <x:c r="Q121" s="90" t="n">
        <x:v>0</x:v>
      </x:c>
      <x:c r="R121" t="n">
        <x:v>0</x:v>
      </x:c>
    </x:row>
    <x:row r="122" spans="1:18" ht="12.75" customHeight="1" x14ac:dyDescent="0.2">
      <x:c r="C122" s="89" t="s">
        <x:v>156</x:v>
      </x:c>
      <x:c r="D122" s="89" t="s">
        <x:v>70</x:v>
      </x:c>
      <x:c r="E122" s="371" t="n">
        <x:v>-7717840.65</x:v>
      </x:c>
      <x:c r="F122" s="90" t="n">
        <x:v>-223244.82</x:v>
      </x:c>
      <x:c r="G122" s="90" t="n">
        <x:v>-129355.59</x:v>
      </x:c>
      <x:c r="H122" s="90" t="n">
        <x:v>-75143.33</x:v>
      </x:c>
      <x:c r="I122" s="90" t="n">
        <x:v>-2015008.83</x:v>
      </x:c>
      <x:c r="J122" s="90" t="n">
        <x:v>-82434.13</x:v>
      </x:c>
      <x:c r="K122" s="90" t="n">
        <x:v>0</x:v>
      </x:c>
      <x:c r="L122" s="90" t="n">
        <x:v>-715732.9</x:v>
      </x:c>
      <x:c r="M122" s="90" t="n">
        <x:v>-685682.04</x:v>
      </x:c>
      <x:c r="N122" s="90" t="n">
        <x:v>-3229430.68</x:v>
      </x:c>
      <x:c r="O122" s="90" t="n">
        <x:v>-428639.54</x:v>
      </x:c>
      <x:c r="P122" s="90" t="n">
        <x:v>-133168.79</x:v>
      </x:c>
      <x:c r="Q122" s="90" t="n">
        <x:v>0</x:v>
      </x:c>
      <x:c r="R122" t="n">
        <x:v>0</x:v>
      </x:c>
    </x:row>
    <x:row r="123" spans="1:18" s="286" customFormat="1" ht="12.75" customHeight="1" x14ac:dyDescent="0.2">
      <x:c r="B123" s="286" t="s">
        <x:v>155</x:v>
      </x:c>
      <x:c r="C123" s="229" t="s">
        <x:v>70</x:v>
      </x:c>
      <x:c r="D123" s="229"/>
      <x:c r="E123" s="752" t="n">
        <x:v>-7717840.65</x:v>
      </x:c>
      <x:c r="F123" s="230" t="n">
        <x:v>-223244.82</x:v>
      </x:c>
      <x:c r="G123" s="230" t="n">
        <x:v>-129355.59</x:v>
      </x:c>
      <x:c r="H123" s="230" t="n">
        <x:v>-75143.33</x:v>
      </x:c>
      <x:c r="I123" s="230" t="n">
        <x:v>-2015008.83</x:v>
      </x:c>
      <x:c r="J123" s="230" t="n">
        <x:v>-82434.13</x:v>
      </x:c>
      <x:c r="K123" s="230" t="n">
        <x:v>0</x:v>
      </x:c>
      <x:c r="L123" s="230" t="n">
        <x:v>-715732.9</x:v>
      </x:c>
      <x:c r="M123" s="230" t="n">
        <x:v>-685682.04</x:v>
      </x:c>
      <x:c r="N123" s="230" t="n">
        <x:v>-3229430.68</x:v>
      </x:c>
      <x:c r="O123" s="230" t="n">
        <x:v>-428639.54</x:v>
      </x:c>
      <x:c r="P123" s="230" t="n">
        <x:v>-133168.79</x:v>
      </x:c>
      <x:c r="Q123" s="230" t="n">
        <x:v>0</x:v>
      </x:c>
      <x:c r="R123" s="286" t="n">
        <x:v>0</x:v>
      </x:c>
    </x:row>
    <x:row r="124" spans="1:18" ht="12.75" customHeight="1" x14ac:dyDescent="0.2">
      <x:c r="C124" s="89"/>
      <x:c r="D124" s="89" t="s">
        <x:v>73</x:v>
      </x:c>
      <x:c r="E124" s="371" t="n">
        <x:v>-1727591.77</x:v>
      </x:c>
      <x:c r="F124" s="90" t="n">
        <x:v>-66699.01</x:v>
      </x:c>
      <x:c r="G124" s="90" t="n">
        <x:v>-37718.2</x:v>
      </x:c>
      <x:c r="H124" s="90" t="n">
        <x:v>-21366.1</x:v>
      </x:c>
      <x:c r="I124" s="90" t="n">
        <x:v>-470847.92</x:v>
      </x:c>
      <x:c r="J124" s="90" t="n">
        <x:v>-14108.12</x:v>
      </x:c>
      <x:c r="K124" s="90" t="n">
        <x:v>0</x:v>
      </x:c>
      <x:c r="L124" s="90" t="n">
        <x:v>-121593.44</x:v>
      </x:c>
      <x:c r="M124" s="90" t="n">
        <x:v>-145997.1</x:v>
      </x:c>
      <x:c r="N124" s="90" t="n">
        <x:v>-696216.07</x:v>
      </x:c>
      <x:c r="O124" s="90" t="n">
        <x:v>-130027.11</x:v>
      </x:c>
      <x:c r="P124" s="90" t="n">
        <x:v>-23018.7</x:v>
      </x:c>
      <x:c r="Q124" s="90" t="n">
        <x:v>0</x:v>
      </x:c>
      <x:c r="R124" t="n">
        <x:v>0</x:v>
      </x:c>
    </x:row>
    <x:row r="125" spans="1:18" ht="12.75" customHeight="1" x14ac:dyDescent="0.2">
      <x:c r="C125" s="89" t="s">
        <x:v>115</x:v>
      </x:c>
      <x:c r="D125" s="89" t="s">
        <x:v>70</x:v>
      </x:c>
      <x:c r="E125" s="90" t="n">
        <x:v>-1727591.77</x:v>
      </x:c>
      <x:c r="F125" s="90" t="n">
        <x:v>-66699.01</x:v>
      </x:c>
      <x:c r="G125" s="90" t="n">
        <x:v>-37718.2</x:v>
      </x:c>
      <x:c r="H125" s="90" t="n">
        <x:v>-21366.1</x:v>
      </x:c>
      <x:c r="I125" s="90" t="n">
        <x:v>-470847.92</x:v>
      </x:c>
      <x:c r="J125" s="90" t="n">
        <x:v>-14108.12</x:v>
      </x:c>
      <x:c r="K125" s="90" t="n">
        <x:v>0</x:v>
      </x:c>
      <x:c r="L125" s="90" t="n">
        <x:v>-121593.44</x:v>
      </x:c>
      <x:c r="M125" s="90" t="n">
        <x:v>-145997.1</x:v>
      </x:c>
      <x:c r="N125" s="90" t="n">
        <x:v>-696216.07</x:v>
      </x:c>
      <x:c r="O125" s="90" t="n">
        <x:v>-130027.11</x:v>
      </x:c>
      <x:c r="P125" s="90" t="n">
        <x:v>-23018.7</x:v>
      </x:c>
      <x:c r="Q125" s="90" t="n">
        <x:v>0</x:v>
      </x:c>
      <x:c r="R125" t="n">
        <x:v>0</x:v>
      </x:c>
    </x:row>
    <x:row r="126" spans="1:18" ht="12.75" customHeight="1" x14ac:dyDescent="0.2">
      <x:c r="C126" s="89"/>
      <x:c r="D126" s="89" t="s">
        <x:v>73</x:v>
      </x:c>
      <x:c r="E126" s="371" t="n">
        <x:v>-451067.07</x:v>
      </x:c>
      <x:c r="F126" s="90" t="n">
        <x:v>-14827.04</x:v>
      </x:c>
      <x:c r="G126" s="90" t="n">
        <x:v>-8309.25</x:v>
      </x:c>
      <x:c r="H126" s="90" t="n">
        <x:v>-5522</x:v>
      </x:c>
      <x:c r="I126" s="90" t="n">
        <x:v>-130344.19</x:v>
      </x:c>
      <x:c r="J126" s="90" t="n">
        <x:v>-3806.48</x:v>
      </x:c>
      <x:c r="K126" s="90" t="n">
        <x:v>0</x:v>
      </x:c>
      <x:c r="L126" s="90" t="n">
        <x:v>-33390.01</x:v>
      </x:c>
      <x:c r="M126" s="90" t="n">
        <x:v>-38655.21</x:v>
      </x:c>
      <x:c r="N126" s="90" t="n">
        <x:v>-181383.9</x:v>
      </x:c>
      <x:c r="O126" s="90" t="n">
        <x:v>-28618.4</x:v>
      </x:c>
      <x:c r="P126" s="90" t="n">
        <x:v>-6210.59</x:v>
      </x:c>
      <x:c r="Q126" s="90" t="n">
        <x:v>0</x:v>
      </x:c>
      <x:c r="R126" t="n">
        <x:v>0</x:v>
      </x:c>
    </x:row>
    <x:row r="127" spans="1:18" ht="12.75" customHeight="1" x14ac:dyDescent="0.2">
      <x:c r="C127" s="89" t="s">
        <x:v>116</x:v>
      </x:c>
      <x:c r="D127" s="89" t="s">
        <x:v>70</x:v>
      </x:c>
      <x:c r="E127" s="90" t="n">
        <x:v>-451067.07</x:v>
      </x:c>
      <x:c r="F127" s="90" t="n">
        <x:v>-14827.04</x:v>
      </x:c>
      <x:c r="G127" s="90" t="n">
        <x:v>-8309.25</x:v>
      </x:c>
      <x:c r="H127" s="90" t="n">
        <x:v>-5522</x:v>
      </x:c>
      <x:c r="I127" s="90" t="n">
        <x:v>-130344.19</x:v>
      </x:c>
      <x:c r="J127" s="90" t="n">
        <x:v>-3806.48</x:v>
      </x:c>
      <x:c r="K127" s="90" t="n">
        <x:v>0</x:v>
      </x:c>
      <x:c r="L127" s="90" t="n">
        <x:v>-33390.01</x:v>
      </x:c>
      <x:c r="M127" s="90" t="n">
        <x:v>-38655.21</x:v>
      </x:c>
      <x:c r="N127" s="90" t="n">
        <x:v>-181383.9</x:v>
      </x:c>
      <x:c r="O127" s="90" t="n">
        <x:v>-28618.4</x:v>
      </x:c>
      <x:c r="P127" s="90" t="n">
        <x:v>-6210.59</x:v>
      </x:c>
      <x:c r="Q127" s="90" t="n">
        <x:v>0</x:v>
      </x:c>
      <x:c r="R127" t="n">
        <x:v>0</x:v>
      </x:c>
    </x:row>
    <x:row r="128" spans="1:18" ht="12.75" customHeight="1" x14ac:dyDescent="0.2">
      <x:c r="C128" s="89"/>
      <x:c r="D128" s="89" t="s">
        <x:v>73</x:v>
      </x:c>
      <x:c r="E128" s="371">
        <x:v>0</x:v>
      </x:c>
      <x:c r="F128" s="90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>
        <x:v>0</x:v>
      </x:c>
    </x:row>
    <x:row r="129" spans="2:18" ht="12.75" customHeight="1" x14ac:dyDescent="0.2">
      <x:c r="C129" s="773">
        <x:v>3</x:v>
      </x:c>
      <x:c r="D129" s="89" t="s">
        <x:v>70</x:v>
      </x:c>
      <x:c r="E129" s="90">
        <x:v>0</x:v>
      </x:c>
      <x:c r="F129" s="90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>
        <x:v>0</x:v>
      </x:c>
    </x:row>
    <x:row r="130" spans="2:18" ht="12.75" customHeight="1" x14ac:dyDescent="0.2">
      <x:c r="C130" s="89"/>
      <x:c r="D130" s="89" t="s">
        <x:v>73</x:v>
      </x:c>
      <x:c r="E130" s="371">
        <x:v>0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>
        <x:v>0</x:v>
      </x:c>
    </x:row>
    <x:row r="131" spans="2:18" ht="12.75" customHeight="1" x14ac:dyDescent="0.2">
      <x:c r="C131" s="773">
        <x:v>4</x:v>
      </x:c>
      <x:c r="D131" s="89" t="s">
        <x:v>70</x:v>
      </x:c>
      <x:c r="E131" s="371">
        <x:v>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>
        <x:v>0</x:v>
      </x:c>
    </x:row>
    <x:row r="132" spans="2:18" ht="12.75" customHeight="1" x14ac:dyDescent="0.2">
      <x:c r="C132" s="89"/>
      <x:c r="D132" s="89" t="s">
        <x:v>73</x:v>
      </x:c>
      <x:c r="E132" s="371" t="n">
        <x:v>-4663033.87</x:v>
      </x:c>
      <x:c r="F132" s="90" t="n">
        <x:v>-168863.63</x:v>
      </x:c>
      <x:c r="G132" s="90" t="n">
        <x:v>-100236.26</x:v>
      </x:c>
      <x:c r="H132" s="90" t="n">
        <x:v>-51045.95</x:v>
      </x:c>
      <x:c r="I132" s="90" t="n">
        <x:v>-1292045.42</x:v>
      </x:c>
      <x:c r="J132" s="90" t="n">
        <x:v>-43838.41</x:v>
      </x:c>
      <x:c r="K132" s="90" t="n">
        <x:v>0</x:v>
      </x:c>
      <x:c r="L132" s="90" t="n">
        <x:v>-384070.02</x:v>
      </x:c>
      <x:c r="M132" s="90" t="n">
        <x:v>-387480.88</x:v>
      </x:c>
      <x:c r="N132" s="90" t="n">
        <x:v>-1833929.85</x:v>
      </x:c>
      <x:c r="O132" s="90" t="n">
        <x:v>-329765.11</x:v>
      </x:c>
      <x:c r="P132" s="90" t="n">
        <x:v>-71758.34</x:v>
      </x:c>
      <x:c r="Q132" s="90" t="n">
        <x:v>0</x:v>
      </x:c>
      <x:c r="R132" t="n">
        <x:v>0</x:v>
      </x:c>
    </x:row>
    <x:row r="133" spans="2:18" ht="12.75" customHeight="1" x14ac:dyDescent="0.2">
      <x:c r="C133" s="89" t="s">
        <x:v>118</x:v>
      </x:c>
      <x:c r="D133" s="89" t="s">
        <x:v>70</x:v>
      </x:c>
      <x:c r="E133" s="371" t="n">
        <x:v>-4663033.87</x:v>
      </x:c>
      <x:c r="F133" s="90" t="n">
        <x:v>-168863.63</x:v>
      </x:c>
      <x:c r="G133" s="90" t="n">
        <x:v>-100236.26</x:v>
      </x:c>
      <x:c r="H133" s="90" t="n">
        <x:v>-51045.95</x:v>
      </x:c>
      <x:c r="I133" s="90" t="n">
        <x:v>-1292045.42</x:v>
      </x:c>
      <x:c r="J133" s="90" t="n">
        <x:v>-43838.41</x:v>
      </x:c>
      <x:c r="K133" s="90" t="n">
        <x:v>0</x:v>
      </x:c>
      <x:c r="L133" s="90" t="n">
        <x:v>-384070.02</x:v>
      </x:c>
      <x:c r="M133" s="90" t="n">
        <x:v>-387480.88</x:v>
      </x:c>
      <x:c r="N133" s="90" t="n">
        <x:v>-1833929.85</x:v>
      </x:c>
      <x:c r="O133" s="90" t="n">
        <x:v>-329765.11</x:v>
      </x:c>
      <x:c r="P133" s="90" t="n">
        <x:v>-71758.34</x:v>
      </x:c>
      <x:c r="Q133" s="90" t="n">
        <x:v>0</x:v>
      </x:c>
      <x:c r="R133" t="n">
        <x:v>0</x:v>
      </x:c>
    </x:row>
    <x:row r="134" spans="2:18" ht="12.75" customHeight="1" x14ac:dyDescent="0.2">
      <x:c r="C134" s="89"/>
      <x:c r="D134" s="89" t="s">
        <x:v>73</x:v>
      </x:c>
      <x:c r="E134" s="371">
        <x:v>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>
        <x:v>0</x:v>
      </x:c>
    </x:row>
    <x:row r="135" spans="2:18" ht="12.75" customHeight="1" x14ac:dyDescent="0.2">
      <x:c r="C135" s="773">
        <x:v>6</x:v>
      </x:c>
      <x:c r="D135" s="89" t="s">
        <x:v>70</x:v>
      </x:c>
      <x:c r="E135" s="371">
        <x:v>0</x:v>
      </x:c>
      <x:c r="F135" s="90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>
        <x:v>0</x:v>
      </x:c>
    </x:row>
    <x:row r="136" spans="2:18" ht="12.75" customHeight="1" x14ac:dyDescent="0.2">
      <x:c r="C136" s="89"/>
      <x:c r="D136" s="89" t="s">
        <x:v>73</x:v>
      </x:c>
      <x:c r="E136" s="371">
        <x:v>0</x:v>
      </x:c>
      <x:c r="F136" s="90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>
        <x:v>0</x:v>
      </x:c>
    </x:row>
    <x:row r="137" spans="2:18" ht="12.75" customHeight="1" x14ac:dyDescent="0.2">
      <x:c r="C137" s="773">
        <x:v>9</x:v>
      </x:c>
      <x:c r="D137" s="89" t="s">
        <x:v>70</x:v>
      </x:c>
      <x:c r="E137" s="371">
        <x:v>0</x:v>
      </x:c>
      <x:c r="F137" s="90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>
        <x:v>0</x:v>
      </x:c>
    </x:row>
    <x:row r="138" spans="2:18" s="224" customFormat="1" ht="12.75" customHeight="1" x14ac:dyDescent="0.2">
      <x:c r="B138" s="223" t="s">
        <x:v>120</x:v>
      </x:c>
      <x:c r="C138" s="223" t="s">
        <x:v>70</x:v>
      </x:c>
      <x:c r="E138" s="225" t="n">
        <x:v>-6841692.71</x:v>
      </x:c>
      <x:c r="F138" s="225" t="n">
        <x:v>-250389.68</x:v>
      </x:c>
      <x:c r="G138" s="225" t="n">
        <x:v>-146263.71</x:v>
      </x:c>
      <x:c r="H138" s="225" t="n">
        <x:v>-77934.05</x:v>
      </x:c>
      <x:c r="I138" s="225" t="n">
        <x:v>-1893237.53</x:v>
      </x:c>
      <x:c r="J138" s="225" t="n">
        <x:v>-61753.01</x:v>
      </x:c>
      <x:c r="K138" s="225" t="n">
        <x:v>0</x:v>
      </x:c>
      <x:c r="L138" s="225" t="n">
        <x:v>-539053.47</x:v>
      </x:c>
      <x:c r="M138" s="225" t="n">
        <x:v>-572133.19</x:v>
      </x:c>
      <x:c r="N138" s="225" t="n">
        <x:v>-2711529.82</x:v>
      </x:c>
      <x:c r="O138" s="225" t="n">
        <x:v>-488410.62</x:v>
      </x:c>
      <x:c r="P138" s="225" t="n">
        <x:v>-100987.63</x:v>
      </x:c>
      <x:c r="Q138" s="225" t="n">
        <x:v>0</x:v>
      </x:c>
      <x:c r="R138" s="224" t="n">
        <x:v>0</x:v>
      </x:c>
    </x:row>
    <x:row r="139" spans="2:18" ht="12.75" customHeight="1" x14ac:dyDescent="0.2">
      <x:c r="D139" s="89" t="s">
        <x:v>73</x:v>
      </x:c>
      <x:c r="E139" s="371" t="n">
        <x:v>-2917701.62</x:v>
      </x:c>
      <x:c r="F139" s="90" t="n">
        <x:v>-111832.49</x:v>
      </x:c>
      <x:c r="G139" s="90" t="n">
        <x:v>-64149.93</x:v>
      </x:c>
      <x:c r="H139" s="90" t="n">
        <x:v>-36385.65</x:v>
      </x:c>
      <x:c r="I139" s="90" t="n">
        <x:v>-814075.83</x:v>
      </x:c>
      <x:c r="J139" s="90" t="n">
        <x:v>-23223.91</x:v>
      </x:c>
      <x:c r="K139" s="90" t="n">
        <x:v>0</x:v>
      </x:c>
      <x:c r="L139" s="90" t="n">
        <x:v>-196498.78</x:v>
      </x:c>
      <x:c r="M139" s="90" t="n">
        <x:v>-246815.7</x:v>
      </x:c>
      <x:c r="N139" s="90" t="n">
        <x:v>-1170171.52</x:v>
      </x:c>
      <x:c r="O139" s="90" t="n">
        <x:v>-217199.08</x:v>
      </x:c>
      <x:c r="P139" s="90" t="n">
        <x:v>-37348.73</x:v>
      </x:c>
      <x:c r="Q139" s="90" t="n">
        <x:v>0</x:v>
      </x:c>
      <x:c r="R139" t="n">
        <x:v>0</x:v>
      </x:c>
    </x:row>
    <x:row r="140" spans="2:18" ht="12.75" customHeight="1" x14ac:dyDescent="0.2">
      <x:c r="C140" t="s">
        <x:v>82</x:v>
      </x:c>
      <x:c r="D140" s="89" t="s">
        <x:v>70</x:v>
      </x:c>
      <x:c r="E140" s="371" t="n">
        <x:v>-2917701.62</x:v>
      </x:c>
      <x:c r="F140" s="90" t="n">
        <x:v>-111832.49</x:v>
      </x:c>
      <x:c r="G140" s="90" t="n">
        <x:v>-64149.93</x:v>
      </x:c>
      <x:c r="H140" s="90" t="n">
        <x:v>-36385.65</x:v>
      </x:c>
      <x:c r="I140" s="90" t="n">
        <x:v>-814075.83</x:v>
      </x:c>
      <x:c r="J140" s="90" t="n">
        <x:v>-23223.91</x:v>
      </x:c>
      <x:c r="K140" s="90" t="n">
        <x:v>0</x:v>
      </x:c>
      <x:c r="L140" s="90" t="n">
        <x:v>-196498.78</x:v>
      </x:c>
      <x:c r="M140" s="90" t="n">
        <x:v>-246815.7</x:v>
      </x:c>
      <x:c r="N140" s="90" t="n">
        <x:v>-1170171.52</x:v>
      </x:c>
      <x:c r="O140" s="90" t="n">
        <x:v>-217199.08</x:v>
      </x:c>
      <x:c r="P140" s="90" t="n">
        <x:v>-37348.73</x:v>
      </x:c>
      <x:c r="Q140" s="90" t="n">
        <x:v>0</x:v>
      </x:c>
      <x:c r="R140" t="n">
        <x:v>0</x:v>
      </x:c>
    </x:row>
    <x:row r="141" spans="2:18" ht="12.75" customHeight="1" x14ac:dyDescent="0.2">
      <x:c r="D141" s="89" t="s">
        <x:v>73</x:v>
      </x:c>
      <x:c r="E141" s="371" t="n">
        <x:v>-8597088.68</x:v>
      </x:c>
      <x:c r="F141" s="90" t="n">
        <x:v>-139068.15</x:v>
      </x:c>
      <x:c r="G141" s="90" t="n">
        <x:v>-98790.42</x:v>
      </x:c>
      <x:c r="H141" s="90" t="n">
        <x:v>-53095.25</x:v>
      </x:c>
      <x:c r="I141" s="90" t="n">
        <x:v>-3452478.18</x:v>
      </x:c>
      <x:c r="J141" s="90" t="n">
        <x:v>-97001.85</x:v>
      </x:c>
      <x:c r="K141" s="90" t="n">
        <x:v>0</x:v>
      </x:c>
      <x:c r="L141" s="90" t="n">
        <x:v>-752144.38</x:v>
      </x:c>
      <x:c r="M141" s="90" t="n">
        <x:v>-919143.38</x:v>
      </x:c>
      <x:c r="N141" s="90" t="n">
        <x:v>-4438605.91</x:v>
      </x:c>
      <x:c r="O141" s="90" t="n">
        <x:v>1510906.9</x:v>
      </x:c>
      <x:c r="P141" s="90" t="n">
        <x:v>-157668.06</x:v>
      </x:c>
      <x:c r="Q141" s="90" t="n">
        <x:v>0</x:v>
      </x:c>
      <x:c r="R141" t="n">
        <x:v>0</x:v>
      </x:c>
    </x:row>
    <x:row r="142" spans="2:18" ht="12.75" customHeight="1" x14ac:dyDescent="0.2">
      <x:c r="C142" t="s">
        <x:v>86</x:v>
      </x:c>
      <x:c r="D142" s="89" t="s">
        <x:v>70</x:v>
      </x:c>
      <x:c r="E142" s="371" t="n">
        <x:v>-8597088.68</x:v>
      </x:c>
      <x:c r="F142" s="90" t="n">
        <x:v>-139068.15</x:v>
      </x:c>
      <x:c r="G142" s="90" t="n">
        <x:v>-98790.42</x:v>
      </x:c>
      <x:c r="H142" s="90" t="n">
        <x:v>-53095.25</x:v>
      </x:c>
      <x:c r="I142" s="90" t="n">
        <x:v>-3452478.18</x:v>
      </x:c>
      <x:c r="J142" s="90" t="n">
        <x:v>-97001.85</x:v>
      </x:c>
      <x:c r="K142" s="90" t="n">
        <x:v>0</x:v>
      </x:c>
      <x:c r="L142" s="90" t="n">
        <x:v>-752144.38</x:v>
      </x:c>
      <x:c r="M142" s="90" t="n">
        <x:v>-919143.38</x:v>
      </x:c>
      <x:c r="N142" s="90" t="n">
        <x:v>-4438605.91</x:v>
      </x:c>
      <x:c r="O142" s="90" t="n">
        <x:v>1510906.9</x:v>
      </x:c>
      <x:c r="P142" s="90" t="n">
        <x:v>-157668.06</x:v>
      </x:c>
      <x:c r="Q142" s="90" t="n">
        <x:v>0</x:v>
      </x:c>
      <x:c r="R142" t="n">
        <x:v>0</x:v>
      </x:c>
    </x:row>
    <x:row r="143" spans="2:18" ht="12.75" customHeight="1" x14ac:dyDescent="0.2">
      <x:c r="D143" s="89" t="s">
        <x:v>73</x:v>
      </x:c>
      <x:c r="E143" s="371" t="n">
        <x:v>11344979.46</x:v>
      </x:c>
      <x:c r="F143" s="90" t="n">
        <x:v>2875482.97</x:v>
      </x:c>
      <x:c r="G143" s="90" t="n">
        <x:v>1478938.93</x:v>
      </x:c>
      <x:c r="H143" s="90" t="n">
        <x:v>732213.35</x:v>
      </x:c>
      <x:c r="I143" s="90" t="n">
        <x:v>194987.48</x:v>
      </x:c>
      <x:c r="J143" s="90" t="n">
        <x:v>4069.58</x:v>
      </x:c>
      <x:c r="K143" s="90" t="n">
        <x:v>0</x:v>
      </x:c>
      <x:c r="L143" s="90" t="n">
        <x:v>44417.39</x:v>
      </x:c>
      <x:c r="M143" s="90" t="n">
        <x:v>56222.39</x:v>
      </x:c>
      <x:c r="N143" s="90" t="n">
        <x:v>242951.8</x:v>
      </x:c>
      <x:c r="O143" s="90" t="n">
        <x:v>5709057.7</x:v>
      </x:c>
      <x:c r="P143" s="90" t="n">
        <x:v>6637.87</x:v>
      </x:c>
      <x:c r="Q143" s="90" t="n">
        <x:v>0</x:v>
      </x:c>
      <x:c r="R143" t="n">
        <x:v>0</x:v>
      </x:c>
    </x:row>
    <x:row r="144" spans="2:18" ht="12.75" customHeight="1" x14ac:dyDescent="0.2">
      <x:c r="C144" t="s">
        <x:v>87</x:v>
      </x:c>
      <x:c r="D144" s="89" t="s">
        <x:v>70</x:v>
      </x:c>
      <x:c r="E144" s="90" t="n">
        <x:v>11344979.46</x:v>
      </x:c>
      <x:c r="F144" s="90" t="n">
        <x:v>2875482.97</x:v>
      </x:c>
      <x:c r="G144" s="90" t="n">
        <x:v>1478938.93</x:v>
      </x:c>
      <x:c r="H144" s="90" t="n">
        <x:v>732213.35</x:v>
      </x:c>
      <x:c r="I144" s="90" t="n">
        <x:v>194987.48</x:v>
      </x:c>
      <x:c r="J144" s="90" t="n">
        <x:v>4069.58</x:v>
      </x:c>
      <x:c r="K144" s="90" t="n">
        <x:v>0</x:v>
      </x:c>
      <x:c r="L144" s="90" t="n">
        <x:v>44417.39</x:v>
      </x:c>
      <x:c r="M144" s="90" t="n">
        <x:v>56222.39</x:v>
      </x:c>
      <x:c r="N144" s="90" t="n">
        <x:v>242951.8</x:v>
      </x:c>
      <x:c r="O144" s="90" t="n">
        <x:v>5709057.7</x:v>
      </x:c>
      <x:c r="P144" s="90" t="n">
        <x:v>6637.87</x:v>
      </x:c>
      <x:c r="Q144" s="90" t="n">
        <x:v>0</x:v>
      </x:c>
      <x:c r="R144" t="n">
        <x:v>0</x:v>
      </x:c>
    </x:row>
    <x:row r="145" spans="1:19" s="94" customFormat="1" ht="12.75" customHeight="1" x14ac:dyDescent="0.2">
      <x:c r="B145" s="101" t="s">
        <x:v>119</x:v>
      </x:c>
      <x:c r="C145" s="101" t="s">
        <x:v>70</x:v>
      </x:c>
      <x:c r="E145" s="93" t="n">
        <x:v>-169810.84</x:v>
      </x:c>
      <x:c r="F145" s="93" t="n">
        <x:v>2624582.33</x:v>
      </x:c>
      <x:c r="G145" s="93" t="n">
        <x:v>1315998.58</x:v>
      </x:c>
      <x:c r="H145" s="93" t="n">
        <x:v>642732.45</x:v>
      </x:c>
      <x:c r="I145" s="93" t="n">
        <x:v>-4071566.53</x:v>
      </x:c>
      <x:c r="J145" s="93" t="n">
        <x:v>-116156.18</x:v>
      </x:c>
      <x:c r="K145" s="93" t="n">
        <x:v>0</x:v>
      </x:c>
      <x:c r="L145" s="93" t="n">
        <x:v>-904225.77</x:v>
      </x:c>
      <x:c r="M145" s="93" t="n">
        <x:v>-1109736.69</x:v>
      </x:c>
      <x:c r="N145" s="93" t="n">
        <x:v>-5365825.63</x:v>
      </x:c>
      <x:c r="O145" s="93" t="n">
        <x:v>7002765.52</x:v>
      </x:c>
      <x:c r="P145" s="93" t="n">
        <x:v>-188378.92</x:v>
      </x:c>
      <x:c r="Q145" s="93" t="n">
        <x:v>0</x:v>
      </x:c>
      <x:c r="R145" s="94" t="n">
        <x:v>0</x:v>
      </x:c>
    </x:row>
    <x:row r="146" spans="1:19" s="226" customFormat="1" ht="12.75" customHeight="1" x14ac:dyDescent="0.2">
      <x:c r="A146" s="98" t="s">
        <x:v>79</x:v>
      </x:c>
      <x:c r="B146" s="98" t="s">
        <x:v>70</x:v>
      </x:c>
      <x:c r="E146" s="100" t="n">
        <x:v>-14729344.2</x:v>
      </x:c>
      <x:c r="F146" s="100" t="n">
        <x:v>2150947.83</x:v>
      </x:c>
      <x:c r="G146" s="100" t="n">
        <x:v>1040379.28</x:v>
      </x:c>
      <x:c r="H146" s="100" t="n">
        <x:v>489655.07</x:v>
      </x:c>
      <x:c r="I146" s="100" t="n">
        <x:v>-7979812.89</x:v>
      </x:c>
      <x:c r="J146" s="100" t="n">
        <x:v>-260343.32</x:v>
      </x:c>
      <x:c r="K146" s="100" t="n">
        <x:v>0</x:v>
      </x:c>
      <x:c r="L146" s="100" t="n">
        <x:v>-2159012.14</x:v>
      </x:c>
      <x:c r="M146" s="100" t="n">
        <x:v>-2367551.92</x:v>
      </x:c>
      <x:c r="N146" s="100" t="n">
        <x:v>-11306786.13</x:v>
      </x:c>
      <x:c r="O146" s="100" t="n">
        <x:v>6085715.36</x:v>
      </x:c>
      <x:c r="P146" s="100" t="n">
        <x:v>-422535.34</x:v>
      </x:c>
      <x:c r="Q146" s="100" t="n">
        <x:v>0</x:v>
      </x:c>
      <x:c r="R146" s="226" t="n">
        <x:v>0</x:v>
      </x:c>
    </x:row>
    <x:row r="147" spans="1:19" ht="12.75" customHeight="1" x14ac:dyDescent="0.2">
      <x:c r="A147" s="89" t="s">
        <x:v>70</x:v>
      </x:c>
      <x:c r="E147" s="90" t="n">
        <x:v>155969155.34</x:v>
      </x:c>
      <x:c r="F147" s="90" t="n">
        <x:v>23329985.73</x:v>
      </x:c>
      <x:c r="G147" s="90" t="n">
        <x:v>12227468.08</x:v>
      </x:c>
      <x:c r="H147" s="90" t="n">
        <x:v>6027305.61</x:v>
      </x:c>
      <x:c r="I147" s="90" t="n">
        <x:v>22401693.68</x:v>
      </x:c>
      <x:c r="J147" s="90" t="n">
        <x:v>680785.55</x:v>
      </x:c>
      <x:c r="K147" s="90" t="n">
        <x:v>219000</x:v>
      </x:c>
      <x:c r="L147" s="90" t="n">
        <x:v>6055763.5</x:v>
      </x:c>
      <x:c r="M147" s="90" t="n">
        <x:v>6285179.82</x:v>
      </x:c>
      <x:c r="N147" s="90" t="n">
        <x:v>26394145.97</x:v>
      </x:c>
      <x:c r="O147" s="90" t="n">
        <x:v>51366723.89</x:v>
      </x:c>
      <x:c r="P147" s="90" t="n">
        <x:v>981266.2</x:v>
      </x:c>
      <x:c r="Q147" s="90" t="n">
        <x:v>-162.69</x:v>
      </x:c>
      <x:c r="R147" t="n">
        <x:v>0</x:v>
      </x:c>
    </x:row>
    <x:row r="148" spans="1:19" ht="12.75" customHeight="1" x14ac:dyDescent="0.2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hidden="1" customHeight="1" x14ac:dyDescent="0.2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hidden="1" customHeight="1" x14ac:dyDescent="0.2">
      <x:c r="A155" s="89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</x:row>
    <x:row r="156" spans="1:19" ht="12.75" hidden="1" customHeight="1" x14ac:dyDescent="0.2">
      <x:c r="A156" s="89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</x:row>
    <x:row r="157" spans="1:19" ht="12.75" hidden="1" customHeight="1" x14ac:dyDescent="0.2">
      <x:c r="A157" s="89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</x:row>
    <x:row r="158" spans="1:19" ht="12.75" hidden="1" customHeight="1" x14ac:dyDescent="0.2">
      <x:c r="A158" s="89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</x:row>
    <x:row r="159" spans="1:19" ht="12.75" hidden="1" customHeight="1" x14ac:dyDescent="0.2">
      <x:c r="A159" s="89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</x:row>
    <x:row r="160" spans="1:19" ht="12.75" hidden="1" customHeight="1" x14ac:dyDescent="0.2">
      <x:c r="A160" s="89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</x:row>
    <x:row r="161" spans="1:19" ht="12.75" hidden="1" customHeight="1" x14ac:dyDescent="0.2">
      <x:c r="A161" s="89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</x:row>
    <x:row r="162" spans="1:19" ht="12.75" hidden="1" customHeight="1" x14ac:dyDescent="0.2">
      <x:c r="A162" s="89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</x:row>
    <x:row r="163" spans="1:19" ht="12.75" hidden="1" customHeight="1" x14ac:dyDescent="0.2">
      <x:c r="A163" s="89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</x:row>
    <x:row r="164" spans="1:19" ht="12.75" hidden="1" customHeight="1" x14ac:dyDescent="0.2">
      <x:c r="A164" s="89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</x:row>
    <x:row r="165" spans="1:19" ht="12.75" hidden="1" customHeight="1" x14ac:dyDescent="0.2">
      <x:c r="A165" s="89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</x:row>
    <x:row r="166" spans="1:19" ht="12.75" hidden="1" customHeight="1" x14ac:dyDescent="0.2">
      <x:c r="A166" s="89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</x:row>
    <x:row r="167" spans="1:19" ht="12.75" hidden="1" customHeight="1" x14ac:dyDescent="0.2">
      <x:c r="A167" s="89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</x:row>
    <x:row r="168" spans="1:19" ht="12.75" hidden="1" customHeight="1" x14ac:dyDescent="0.2">
      <x:c r="A168" s="89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</x:row>
    <x:row r="169" spans="1:19" ht="12.75" hidden="1" customHeight="1" x14ac:dyDescent="0.2">
      <x:c r="A169" s="89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</x:row>
    <x:row r="170" spans="1:19" ht="12.75" hidden="1" customHeight="1" x14ac:dyDescent="0.2">
      <x:c r="A170" s="89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</x:row>
    <x:row r="171" spans="1:19" ht="12.75" hidden="1" customHeight="1" x14ac:dyDescent="0.2">
      <x:c r="A171" s="89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</x:row>
    <x:row r="172" spans="1:19" ht="12.75" hidden="1" customHeight="1" x14ac:dyDescent="0.2">
      <x:c r="A172" s="89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</x:row>
    <x:row r="173" spans="1:19" ht="12.75" hidden="1" customHeight="1" x14ac:dyDescent="0.2">
      <x:c r="A173" s="89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</x:row>
    <x:row r="174" spans="1:19" ht="12.75" hidden="1" customHeight="1" x14ac:dyDescent="0.2">
      <x:c r="A174" s="89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</x:row>
    <x:row r="175" spans="1:19" ht="12.75" hidden="1" customHeight="1" x14ac:dyDescent="0.2">
      <x:c r="A175" s="89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</x:row>
    <x:row r="176" spans="1:19" ht="12.75" hidden="1" customHeight="1" x14ac:dyDescent="0.2">
      <x:c r="A176" s="89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</x:row>
    <x:row r="177" spans="1:19" ht="12.75" customHeight="1" x14ac:dyDescent="0.2">
      <x:c r="A177" s="89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</x:row>
    <x:row r="178" spans="1:19" ht="12.75" customHeight="1" x14ac:dyDescent="0.2">
      <x:c r="B178" s="778" t="s">
        <x:v>2</x:v>
      </x:c>
      <x:c r="C178" s="776" t="s">
        <x:v>132</x:v>
      </x:c>
      <x:c r="D178" s="98" t="s">
        <x:v>70</x:v>
      </x:c>
      <x:c r="E178" s="100">
        <x:f>E117+E146-K117</x:f>
        <x:v>0</x:v>
      </x:c>
      <x:c r="F178" s="100">
        <x:f t="shared" ref="F178:R178" si="3">F117</x:f>
        <x:v>0</x:v>
      </x:c>
      <x:c r="G178" s="100">
        <x:f t="shared" si="3"/>
        <x:v>0</x:v>
      </x:c>
      <x:c r="H178" s="100">
        <x:f t="shared" si="3"/>
        <x:v>0</x:v>
      </x:c>
      <x:c r="I178" s="100">
        <x:f t="shared" si="3"/>
        <x:v>0</x:v>
      </x:c>
      <x:c r="J178" s="100">
        <x:f t="shared" si="3"/>
        <x:v>0</x:v>
      </x:c>
      <x:c r="K178" s="100">
        <x:f t="shared" si="3"/>
        <x:v>0</x:v>
      </x:c>
      <x:c r="L178" s="100">
        <x:f t="shared" si="3"/>
        <x:v>0</x:v>
      </x:c>
      <x:c r="M178" s="100">
        <x:f t="shared" si="3"/>
        <x:v>0</x:v>
      </x:c>
      <x:c r="N178" s="100">
        <x:f t="shared" si="3"/>
        <x:v>0</x:v>
      </x:c>
      <x:c r="O178" s="100">
        <x:f t="shared" si="3"/>
        <x:v>0</x:v>
      </x:c>
      <x:c r="P178" s="100">
        <x:f t="shared" si="3"/>
        <x:v>0</x:v>
      </x:c>
      <x:c r="Q178" s="100">
        <x:f t="shared" si="3"/>
        <x:v>0</x:v>
      </x:c>
      <x:c r="R178" s="100">
        <x:f t="shared" si="3"/>
        <x:v>0</x:v>
      </x:c>
    </x:row>
    <x:row r="179" spans="1:19" ht="12.75" customHeight="1" x14ac:dyDescent="0.2">
      <x:c r="B179" s="778"/>
      <x:c r="C179" s="776"/>
      <x:c r="D179" s="98" t="s">
        <x:v>73</x:v>
      </x:c>
      <x:c r="E179" s="100">
        <x:f>E146</x:f>
        <x:v>0</x:v>
      </x:c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</x:row>
    <x:row r="180" spans="1:19" ht="12.75" customHeight="1" x14ac:dyDescent="0.2">
      <x:c r="A180" s="89"/>
      <x:c r="B180" s="97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</x:row>
    <x:row r="181" spans="1:19" ht="12.75" customHeight="1" x14ac:dyDescent="0.2">
      <x:c r="B181" s="778" t="s">
        <x:v>160</x:v>
      </x:c>
      <x:c r="C181" s="776" t="s">
        <x:v>132</x:v>
      </x:c>
      <x:c r="D181" s="223" t="s">
        <x:v>70</x:v>
      </x:c>
      <x:c r="E181" s="225">
        <x:f>E138+E120+E106+E80-K80-K106</x:f>
        <x:v>0</x:v>
      </x:c>
      <x:c r="F181" s="225">
        <x:f>F106+F80</x:f>
        <x:v>0</x:v>
      </x:c>
      <x:c r="G181" s="225">
        <x:f t="shared" ref="G181:R181" si="4">G106+G80</x:f>
        <x:v>0</x:v>
      </x:c>
      <x:c r="H181" s="225">
        <x:f t="shared" si="4"/>
        <x:v>0</x:v>
      </x:c>
      <x:c r="I181" s="225">
        <x:f t="shared" si="4"/>
        <x:v>0</x:v>
      </x:c>
      <x:c r="J181" s="225">
        <x:f t="shared" si="4"/>
        <x:v>0</x:v>
      </x:c>
      <x:c r="K181" s="225">
        <x:f t="shared" si="4"/>
        <x:v>0</x:v>
      </x:c>
      <x:c r="L181" s="225">
        <x:f t="shared" si="4"/>
        <x:v>0</x:v>
      </x:c>
      <x:c r="M181" s="225">
        <x:f t="shared" si="4"/>
        <x:v>0</x:v>
      </x:c>
      <x:c r="N181" s="225">
        <x:f t="shared" si="4"/>
        <x:v>0</x:v>
      </x:c>
      <x:c r="O181" s="225">
        <x:f t="shared" si="4"/>
        <x:v>0</x:v>
      </x:c>
      <x:c r="P181" s="225">
        <x:f t="shared" si="4"/>
        <x:v>0</x:v>
      </x:c>
      <x:c r="Q181" s="225">
        <x:f t="shared" si="4"/>
        <x:v>0</x:v>
      </x:c>
      <x:c r="R181" s="225">
        <x:f t="shared" si="4"/>
        <x:v>0</x:v>
      </x:c>
    </x:row>
    <x:row r="182" spans="1:19" ht="12.75" customHeight="1" x14ac:dyDescent="0.2">
      <x:c r="B182" s="778"/>
      <x:c r="C182" s="776"/>
      <x:c r="D182" s="223" t="s">
        <x:v>73</x:v>
      </x:c>
      <x:c r="E182" s="225">
        <x:f>E138+E120</x:f>
        <x:v>0</x:v>
      </x:c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</x:row>
    <x:row r="183" spans="1:19" ht="12.6" customHeight="1" x14ac:dyDescent="0.2">
      <x:c r="A183" s="89"/>
      <x:c r="B183" s="97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</x:row>
    <x:row r="184" spans="1:19" ht="12.75" customHeight="1" x14ac:dyDescent="0.2">
      <x:c r="B184" s="778" t="s">
        <x:v>155</x:v>
      </x:c>
      <x:c r="C184" s="776" t="s">
        <x:v>132</x:v>
      </x:c>
      <x:c r="D184" s="221" t="s">
        <x:v>70</x:v>
      </x:c>
      <x:c r="E184" s="222">
        <x:f>E123+E84-K84</x:f>
        <x:v>0</x:v>
      </x:c>
      <x:c r="F184" s="222">
        <x:f>F84</x:f>
        <x:v>0</x:v>
      </x:c>
      <x:c r="G184" s="222">
        <x:f t="shared" ref="G184:R184" si="5">G84</x:f>
        <x:v>0</x:v>
      </x:c>
      <x:c r="H184" s="222">
        <x:f t="shared" si="5"/>
        <x:v>0</x:v>
      </x:c>
      <x:c r="I184" s="222">
        <x:f t="shared" si="5"/>
        <x:v>0</x:v>
      </x:c>
      <x:c r="J184" s="222">
        <x:f t="shared" si="5"/>
        <x:v>0</x:v>
      </x:c>
      <x:c r="K184" s="222">
        <x:f t="shared" si="5"/>
        <x:v>0</x:v>
      </x:c>
      <x:c r="L184" s="222">
        <x:f t="shared" si="5"/>
        <x:v>0</x:v>
      </x:c>
      <x:c r="M184" s="222">
        <x:f t="shared" si="5"/>
        <x:v>0</x:v>
      </x:c>
      <x:c r="N184" s="222">
        <x:f t="shared" si="5"/>
        <x:v>0</x:v>
      </x:c>
      <x:c r="O184" s="222">
        <x:f t="shared" si="5"/>
        <x:v>0</x:v>
      </x:c>
      <x:c r="P184" s="222">
        <x:f t="shared" si="5"/>
        <x:v>0</x:v>
      </x:c>
      <x:c r="Q184" s="222">
        <x:f t="shared" si="5"/>
        <x:v>0</x:v>
      </x:c>
      <x:c r="R184" s="222">
        <x:f t="shared" si="5"/>
        <x:v>0</x:v>
      </x:c>
    </x:row>
    <x:row r="185" spans="1:19" ht="12.75" customHeight="1" x14ac:dyDescent="0.2">
      <x:c r="B185" s="778"/>
      <x:c r="C185" s="776"/>
      <x:c r="D185" s="221" t="s">
        <x:v>73</x:v>
      </x:c>
      <x:c r="E185" s="222">
        <x:f>E123</x:f>
        <x:v>0</x:v>
      </x:c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</x:row>
    <x:row r="186" spans="1:19" ht="12.75" customHeight="1" x14ac:dyDescent="0.2">
      <x:c r="A186" s="89"/>
      <x:c r="B186" s="97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</x:row>
    <x:row r="187" spans="1:19" ht="12.75" customHeight="1" x14ac:dyDescent="0.2">
      <x:c r="B187" s="779" t="s">
        <x:v>326</x:v>
      </x:c>
      <x:c r="C187" s="776" t="s">
        <x:v>132</x:v>
      </x:c>
      <x:c r="D187" s="373" t="s">
        <x:v>70</x:v>
      </x:c>
      <x:c r="E187" s="374">
        <x:v>0</x:v>
      </x:c>
      <x:c r="F187" s="374">
        <x:v>0</x:v>
      </x:c>
      <x:c r="G187" s="374">
        <x:v>0</x:v>
      </x:c>
      <x:c r="H187" s="374">
        <x:v>0</x:v>
      </x:c>
      <x:c r="I187" s="374">
        <x:v>0</x:v>
      </x:c>
      <x:c r="J187" s="374">
        <x:v>0</x:v>
      </x:c>
      <x:c r="K187" s="374">
        <x:v>0</x:v>
      </x:c>
      <x:c r="L187" s="374">
        <x:v>0</x:v>
      </x:c>
      <x:c r="M187" s="374">
        <x:v>0</x:v>
      </x:c>
      <x:c r="N187" s="374">
        <x:v>0</x:v>
      </x:c>
      <x:c r="O187" s="374">
        <x:v>0</x:v>
      </x:c>
      <x:c r="P187" s="374">
        <x:v>0</x:v>
      </x:c>
      <x:c r="Q187" s="374">
        <x:v>0</x:v>
      </x:c>
      <x:c r="R187" s="374">
        <x:v>0</x:v>
      </x:c>
    </x:row>
    <x:row r="188" spans="1:19" ht="12.75" customHeight="1" x14ac:dyDescent="0.2">
      <x:c r="B188" s="779"/>
      <x:c r="C188" s="776"/>
      <x:c r="D188" s="373" t="s">
        <x:v>73</x:v>
      </x:c>
      <x:c r="E188" s="374">
        <x:v>0</x:v>
      </x:c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</x:row>
    <x:row r="189" spans="1:19" ht="12.75" customHeight="1" x14ac:dyDescent="0.2">
      <x:c r="A189" s="89"/>
      <x:c r="B189" s="97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</x:row>
    <x:row r="190" spans="1:19" ht="12.75" customHeight="1" x14ac:dyDescent="0.2">
      <x:c r="B190" s="778" t="s">
        <x:v>119</x:v>
      </x:c>
      <x:c r="C190" s="776" t="s">
        <x:v>132</x:v>
      </x:c>
      <x:c r="D190" s="101" t="s">
        <x:v>70</x:v>
      </x:c>
      <x:c r="E190" s="93">
        <x:f>E116+E145-K116</x:f>
        <x:v>0</x:v>
      </x:c>
      <x:c r="F190" s="93">
        <x:f t="shared" ref="F190:R190" si="6">F116</x:f>
        <x:v>0</x:v>
      </x:c>
      <x:c r="G190" s="93">
        <x:f t="shared" si="6"/>
        <x:v>0</x:v>
      </x:c>
      <x:c r="H190" s="93">
        <x:f t="shared" si="6"/>
        <x:v>0</x:v>
      </x:c>
      <x:c r="I190" s="93">
        <x:f t="shared" si="6"/>
        <x:v>0</x:v>
      </x:c>
      <x:c r="J190" s="93">
        <x:f t="shared" si="6"/>
        <x:v>0</x:v>
      </x:c>
      <x:c r="K190" s="93">
        <x:f t="shared" si="6"/>
        <x:v>0</x:v>
      </x:c>
      <x:c r="L190" s="93">
        <x:f t="shared" si="6"/>
        <x:v>0</x:v>
      </x:c>
      <x:c r="M190" s="93">
        <x:f t="shared" si="6"/>
        <x:v>0</x:v>
      </x:c>
      <x:c r="N190" s="93">
        <x:f t="shared" si="6"/>
        <x:v>0</x:v>
      </x:c>
      <x:c r="O190" s="93">
        <x:f t="shared" si="6"/>
        <x:v>0</x:v>
      </x:c>
      <x:c r="P190" s="93">
        <x:f t="shared" si="6"/>
        <x:v>0</x:v>
      </x:c>
      <x:c r="Q190" s="93">
        <x:f t="shared" si="6"/>
        <x:v>0</x:v>
      </x:c>
      <x:c r="R190" s="93">
        <x:f t="shared" si="6"/>
        <x:v>0</x:v>
      </x:c>
    </x:row>
    <x:row r="191" spans="1:19" ht="12.75" customHeight="1" x14ac:dyDescent="0.2">
      <x:c r="B191" s="778"/>
      <x:c r="C191" s="776"/>
      <x:c r="D191" s="101" t="s">
        <x:v>73</x:v>
      </x:c>
      <x:c r="E191" s="93">
        <x:f>E145</x:f>
        <x:v>0</x:v>
      </x:c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</x:row>
    <x:row r="192" spans="1:19" ht="12.75" customHeight="1" x14ac:dyDescent="0.2">
      <x:c r="A192" s="89"/>
      <x:c r="B192" s="97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</x:row>
    <x:row r="193" spans="2:18" ht="12.75" customHeight="1" x14ac:dyDescent="0.2">
      <x:c r="B193" s="777" t="s">
        <x:v>161</x:v>
      </x:c>
      <x:c r="C193" s="776" t="s">
        <x:v>132</x:v>
      </x:c>
      <x:c r="D193" s="231" t="s">
        <x:v>70</x:v>
      </x:c>
      <x:c r="E193" s="232">
        <x:v>0</x:v>
      </x:c>
      <x:c r="F193" s="232">
        <x:v>0</x:v>
      </x:c>
      <x:c r="G193" s="232">
        <x:v>0</x:v>
      </x:c>
      <x:c r="H193" s="232">
        <x:v>0</x:v>
      </x:c>
      <x:c r="I193" s="232">
        <x:v>0</x:v>
      </x:c>
      <x:c r="J193" s="232">
        <x:v>0</x:v>
      </x:c>
      <x:c r="K193" s="232">
        <x:v>0</x:v>
      </x:c>
      <x:c r="L193" s="232">
        <x:v>0</x:v>
      </x:c>
      <x:c r="M193" s="232">
        <x:v>0</x:v>
      </x:c>
      <x:c r="N193" s="232">
        <x:v>0</x:v>
      </x:c>
      <x:c r="O193" s="232">
        <x:v>0</x:v>
      </x:c>
      <x:c r="P193" s="232">
        <x:v>0</x:v>
      </x:c>
      <x:c r="Q193" s="232">
        <x:v>0</x:v>
      </x:c>
      <x:c r="R193" s="232">
        <x:v>0</x:v>
      </x:c>
    </x:row>
    <x:row r="194" spans="2:18" ht="12.75" customHeight="1" x14ac:dyDescent="0.2">
      <x:c r="B194" s="777"/>
      <x:c r="C194" s="776"/>
      <x:c r="D194" s="231" t="s">
        <x:v>73</x:v>
      </x:c>
      <x:c r="E194" s="232">
        <x:v>0</x:v>
      </x:c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</x:row>
    <x:row r="195" spans="2:18" s="238" customFormat="1" x14ac:dyDescent="0.2"/>
    <x:row r="196" spans="2:18" x14ac:dyDescent="0.2">
      <x:c r="B196" s="97" t="s">
        <x:v>76</x:v>
      </x:c>
    </x:row>
    <x:row r="197" spans="2:18" ht="12.6" customHeight="1" x14ac:dyDescent="0.2">
      <x:c r="E197" s="89" t="s">
        <x:v>70</x:v>
      </x:c>
      <x:c r="F197" s="89" t="s">
        <x:v>64</x:v>
      </x:c>
      <x:c r="G197" s="89" t="s">
        <x:v>65</x:v>
      </x:c>
      <x:c r="H197" s="219" t="s">
        <x:v>164</x:v>
      </x:c>
      <x:c r="I197" s="89" t="s">
        <x:v>69</x:v>
      </x:c>
      <x:c r="J197" s="89" t="s">
        <x:v>68</x:v>
      </x:c>
      <x:c r="K197" s="89" t="s">
        <x:v>83</x:v>
      </x:c>
      <x:c r="L197" s="89" t="s">
        <x:v>66</x:v>
      </x:c>
      <x:c r="M197" s="89" t="s">
        <x:v>63</x:v>
      </x:c>
      <x:c r="N197" s="89" t="s">
        <x:v>61</x:v>
      </x:c>
      <x:c r="O197" s="89" t="s">
        <x:v>62</x:v>
      </x:c>
      <x:c r="P197" s="89" t="s">
        <x:v>67</x:v>
      </x:c>
      <x:c r="Q197" s="89" t="s">
        <x:v>84</x:v>
      </x:c>
      <x:c r="R197" s="384" t="s">
        <x:v>225</x:v>
      </x:c>
    </x:row>
    <x:row r="198" spans="2:18" ht="12.75" customHeight="1" x14ac:dyDescent="0.2">
      <x:c r="D198" s="89" t="s">
        <x:v>72</x:v>
      </x:c>
      <x:c r="E198" s="371" t="n">
        <x:v>73601.49</x:v>
      </x:c>
      <x:c r="F198" s="90" t="n">
        <x:v>9775.34</x:v>
      </x:c>
      <x:c r="G198" s="90" t="n">
        <x:v>5446.75</x:v>
      </x:c>
      <x:c r="H198" s="90" t="n">
        <x:v>2896.85</x:v>
      </x:c>
      <x:c r="I198" s="90" t="n">
        <x:v>10730.76</x:v>
      </x:c>
      <x:c r="J198" s="90" t="n">
        <x:v>261.31</x:v>
      </x:c>
      <x:c r="K198" s="90" t="n">
        <x:v>0</x:v>
      </x:c>
      <x:c r="L198" s="90" t="n">
        <x:v>2292.11</x:v>
      </x:c>
      <x:c r="M198" s="90" t="n">
        <x:v>3224.79</x:v>
      </x:c>
      <x:c r="N198" s="90" t="n">
        <x:v>15368.9</x:v>
      </x:c>
      <x:c r="O198" s="90" t="n">
        <x:v>23178.35</x:v>
      </x:c>
      <x:c r="P198" s="90" t="n">
        <x:v>426.33</x:v>
      </x:c>
      <x:c r="Q198" s="90" t="n">
        <x:v>0</x:v>
      </x:c>
      <x:c r="R198" t="n">
        <x:v>0</x:v>
      </x:c>
    </x:row>
    <x:row r="199" spans="2:18" ht="12.75" customHeight="1" x14ac:dyDescent="0.2">
      <x:c r="D199" t="s">
        <x:v>81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2:18" ht="12.75" customHeight="1" x14ac:dyDescent="0.2">
      <x:c r="C200" t="s">
        <x:v>332</x:v>
      </x:c>
      <x:c r="D200" s="89" t="s">
        <x:v>70</x:v>
      </x:c>
      <x:c r="E200" s="371" t="n">
        <x:v>73601.49</x:v>
      </x:c>
      <x:c r="F200" s="90" t="n">
        <x:v>9775.34</x:v>
      </x:c>
      <x:c r="G200" s="90" t="n">
        <x:v>5446.75</x:v>
      </x:c>
      <x:c r="H200" s="90" t="n">
        <x:v>2896.85</x:v>
      </x:c>
      <x:c r="I200" s="90" t="n">
        <x:v>10730.76</x:v>
      </x:c>
      <x:c r="J200" s="90" t="n">
        <x:v>261.31</x:v>
      </x:c>
      <x:c r="K200" s="90" t="n">
        <x:v>0</x:v>
      </x:c>
      <x:c r="L200" s="90" t="n">
        <x:v>2292.11</x:v>
      </x:c>
      <x:c r="M200" s="90" t="n">
        <x:v>3224.79</x:v>
      </x:c>
      <x:c r="N200" s="90" t="n">
        <x:v>15368.9</x:v>
      </x:c>
      <x:c r="O200" s="90" t="n">
        <x:v>23178.35</x:v>
      </x:c>
      <x:c r="P200" s="90" t="n">
        <x:v>426.33</x:v>
      </x:c>
      <x:c r="Q200" s="90" t="n">
        <x:v>0</x:v>
      </x:c>
      <x:c r="R200" t="n">
        <x:v>0</x:v>
      </x:c>
    </x:row>
    <x:row r="201" spans="2:18" s="739" customFormat="1" ht="12.75" customHeight="1" x14ac:dyDescent="0.2">
      <x:c r="B201" s="739" t="s">
        <x:v>85</x:v>
      </x:c>
      <x:c r="C201" s="739" t="s">
        <x:v>70</x:v>
      </x:c>
      <x:c r="D201" s="231"/>
      <x:c r="E201" s="740" t="n">
        <x:v>73601.49</x:v>
      </x:c>
      <x:c r="F201" s="232" t="n">
        <x:v>9775.34</x:v>
      </x:c>
      <x:c r="G201" s="232" t="n">
        <x:v>5446.75</x:v>
      </x:c>
      <x:c r="H201" s="232" t="n">
        <x:v>2896.85</x:v>
      </x:c>
      <x:c r="I201" s="232" t="n">
        <x:v>10730.76</x:v>
      </x:c>
      <x:c r="J201" s="232" t="n">
        <x:v>261.31</x:v>
      </x:c>
      <x:c r="K201" s="232" t="n">
        <x:v>0</x:v>
      </x:c>
      <x:c r="L201" s="232" t="n">
        <x:v>2292.11</x:v>
      </x:c>
      <x:c r="M201" s="232" t="n">
        <x:v>3224.79</x:v>
      </x:c>
      <x:c r="N201" s="232" t="n">
        <x:v>15368.9</x:v>
      </x:c>
      <x:c r="O201" s="232" t="n">
        <x:v>23178.35</x:v>
      </x:c>
      <x:c r="P201" s="232" t="n">
        <x:v>426.33</x:v>
      </x:c>
      <x:c r="Q201" s="232" t="n">
        <x:v>0</x:v>
      </x:c>
      <x:c r="R201" s="739" t="n">
        <x:v>0</x:v>
      </x:c>
    </x:row>
    <x:row r="202" spans="2:18" ht="12.6" customHeight="1" x14ac:dyDescent="0.2">
      <x:c r="D202" t="s">
        <x:v>72</x:v>
      </x:c>
      <x:c r="E202" t="n">
        <x:v>11423724.92</x:v>
      </x:c>
      <x:c r="F202" t="n">
        <x:v>588424.78</x:v>
      </x:c>
      <x:c r="G202" t="n">
        <x:v>367141.31</x:v>
      </x:c>
      <x:c r="H202" t="n">
        <x:v>170747.19</x:v>
      </x:c>
      <x:c r="I202" t="n">
        <x:v>3687113.58</x:v>
      </x:c>
      <x:c r="J202" t="n">
        <x:v>176001.89</x:v>
      </x:c>
      <x:c r="K202" t="n">
        <x:v>0</x:v>
      </x:c>
      <x:c r="L202" t="n">
        <x:v>672044.63</x:v>
      </x:c>
      <x:c r="M202" t="n">
        <x:v>642775.03</x:v>
      </x:c>
      <x:c r="N202" t="n">
        <x:v>3632551.15</x:v>
      </x:c>
      <x:c r="O202" t="n">
        <x:v>1320568.47</x:v>
      </x:c>
      <x:c r="P202" t="n">
        <x:v>166585.85</x:v>
      </x:c>
      <x:c r="Q202" t="n">
        <x:v>-228.96</x:v>
      </x:c>
      <x:c r="R202" t="n">
        <x:v>0</x:v>
      </x:c>
    </x:row>
    <x:row r="203" spans="2:18" ht="12.75" customHeight="1" x14ac:dyDescent="0.2">
      <x:c r="D203" t="s">
        <x:v>81</x:v>
      </x:c>
      <x:c r="E203" t="n">
        <x:v>28993.54</x:v>
      </x:c>
      <x:c r="F203" t="n">
        <x:v>3721.58</x:v>
      </x:c>
      <x:c r="G203" t="n">
        <x:v>1768.29</x:v>
      </x:c>
      <x:c r="H203" t="n">
        <x:v>966.65</x:v>
      </x:c>
      <x:c r="I203" t="n">
        <x:v>4474.69</x:v>
      </x:c>
      <x:c r="J203" t="n">
        <x:v>163.16</x:v>
      </x:c>
      <x:c r="K203" t="n">
        <x:v>0</x:v>
      </x:c>
      <x:c r="L203" t="n">
        <x:v>1413.42</x:v>
      </x:c>
      <x:c r="M203" t="n">
        <x:v>1317.43</x:v>
      </x:c>
      <x:c r="N203" t="n">
        <x:v>6187.23</x:v>
      </x:c>
      <x:c r="O203" t="n">
        <x:v>8714.61</x:v>
      </x:c>
      <x:c r="P203" t="n">
        <x:v>266.38</x:v>
      </x:c>
      <x:c r="Q203" t="n">
        <x:v>0.1</x:v>
      </x:c>
      <x:c r="R203" t="n">
        <x:v>0</x:v>
      </x:c>
    </x:row>
    <x:row r="204" spans="2:18" ht="12.75" customHeight="1" x14ac:dyDescent="0.2">
      <x:c r="C204" t="s">
        <x:v>156</x:v>
      </x:c>
      <x:c r="D204" s="89" t="s">
        <x:v>70</x:v>
      </x:c>
      <x:c r="E204" s="371" t="n">
        <x:v>11452718.46</x:v>
      </x:c>
      <x:c r="F204" s="90" t="n">
        <x:v>592146.36</x:v>
      </x:c>
      <x:c r="G204" s="90" t="n">
        <x:v>368909.6</x:v>
      </x:c>
      <x:c r="H204" s="90" t="n">
        <x:v>171713.84</x:v>
      </x:c>
      <x:c r="I204" s="90" t="n">
        <x:v>3691588.27</x:v>
      </x:c>
      <x:c r="J204" s="90" t="n">
        <x:v>176165.05</x:v>
      </x:c>
      <x:c r="K204" s="90" t="n">
        <x:v>0</x:v>
      </x:c>
      <x:c r="L204" s="90" t="n">
        <x:v>673458.05</x:v>
      </x:c>
      <x:c r="M204" s="90" t="n">
        <x:v>644092.46</x:v>
      </x:c>
      <x:c r="N204" s="90" t="n">
        <x:v>3638738.38</x:v>
      </x:c>
      <x:c r="O204" s="90" t="n">
        <x:v>1329283.08</x:v>
      </x:c>
      <x:c r="P204" s="90" t="n">
        <x:v>166852.23</x:v>
      </x:c>
      <x:c r="Q204" s="90" t="n">
        <x:v>-228.86</x:v>
      </x:c>
      <x:c r="R204" t="n">
        <x:v>0</x:v>
      </x:c>
    </x:row>
    <x:row r="205" spans="2:18" s="656" customFormat="1" ht="12.75" customHeight="1" x14ac:dyDescent="0.2">
      <x:c r="B205" s="656" t="s">
        <x:v>155</x:v>
      </x:c>
      <x:c r="C205" s="656" t="s">
        <x:v>70</x:v>
      </x:c>
      <x:c r="E205" s="741" t="n">
        <x:v>11452718.46</x:v>
      </x:c>
      <x:c r="F205" s="656" t="n">
        <x:v>592146.36</x:v>
      </x:c>
      <x:c r="G205" s="656" t="n">
        <x:v>368909.6</x:v>
      </x:c>
      <x:c r="H205" s="656" t="n">
        <x:v>171713.84</x:v>
      </x:c>
      <x:c r="I205" s="656" t="n">
        <x:v>3691588.27</x:v>
      </x:c>
      <x:c r="J205" s="656" t="n">
        <x:v>176165.05</x:v>
      </x:c>
      <x:c r="K205" s="656" t="n">
        <x:v>0</x:v>
      </x:c>
      <x:c r="L205" s="656" t="n">
        <x:v>673458.05</x:v>
      </x:c>
      <x:c r="M205" s="656" t="n">
        <x:v>644092.46</x:v>
      </x:c>
      <x:c r="N205" s="656" t="n">
        <x:v>3638738.38</x:v>
      </x:c>
      <x:c r="O205" s="656" t="n">
        <x:v>1329283.08</x:v>
      </x:c>
      <x:c r="P205" s="656" t="n">
        <x:v>166852.23</x:v>
      </x:c>
      <x:c r="Q205" s="656" t="n">
        <x:v>-228.86</x:v>
      </x:c>
      <x:c r="R205" s="656" t="n">
        <x:v>0</x:v>
      </x:c>
    </x:row>
    <x:row r="206" spans="2:18" ht="12.75" customHeight="1" x14ac:dyDescent="0.2">
      <x:c r="D206" t="s">
        <x:v>72</x:v>
      </x:c>
      <x:c r="E206" s="142" t="n">
        <x:v>2346741.73</x:v>
      </x:c>
      <x:c r="F206" t="n">
        <x:v>144869.45</x:v>
      </x:c>
      <x:c r="G206" t="n">
        <x:v>85406.63</x:v>
      </x:c>
      <x:c r="H206" t="n">
        <x:v>42451.78</x:v>
      </x:c>
      <x:c r="I206" t="n">
        <x:v>593661.53</x:v>
      </x:c>
      <x:c r="J206" t="n">
        <x:v>17355.28</x:v>
      </x:c>
      <x:c r="K206" t="n">
        <x:v>0</x:v>
      </x:c>
      <x:c r="L206" t="n">
        <x:v>132213.93</x:v>
      </x:c>
      <x:c r="M206" t="n">
        <x:v>208852.61</x:v>
      </x:c>
      <x:c r="N206" t="n">
        <x:v>733385.62</x:v>
      </x:c>
      <x:c r="O206" t="n">
        <x:v>367223.21</x:v>
      </x:c>
      <x:c r="P206" t="n">
        <x:v>21332.08</x:v>
      </x:c>
      <x:c r="Q206" t="n">
        <x:v>-10.39</x:v>
      </x:c>
      <x:c r="R206" t="n">
        <x:v>0</x:v>
      </x:c>
    </x:row>
    <x:row r="207" spans="2:18" ht="12.75" customHeight="1" x14ac:dyDescent="0.2">
      <x:c r="D207" t="s">
        <x:v>81</x:v>
      </x:c>
      <x:c r="E207" s="142" t="n">
        <x:v>7.25</x:v>
      </x:c>
      <x:c r="F207" t="n">
        <x:v>0.37</x:v>
      </x:c>
      <x:c r="G207" t="n">
        <x:v>0.21</x:v>
      </x:c>
      <x:c r="H207" t="n">
        <x:v>0.12</x:v>
      </x:c>
      <x:c r="I207" t="n">
        <x:v>1.75</x:v>
      </x:c>
      <x:c r="J207" t="n">
        <x:v>0.05</x:v>
      </x:c>
      <x:c r="K207" t="n">
        <x:v>0</x:v>
      </x:c>
      <x:c r="L207" t="n">
        <x:v>0.41</x:v>
      </x:c>
      <x:c r="M207" t="n">
        <x:v>0.59</x:v>
      </x:c>
      <x:c r="N207" t="n">
        <x:v>2.78</x:v>
      </x:c>
      <x:c r="O207" t="n">
        <x:v>0.89</x:v>
      </x:c>
      <x:c r="P207" t="n">
        <x:v>0.08</x:v>
      </x:c>
      <x:c r="Q207" t="n">
        <x:v>0</x:v>
      </x:c>
      <x:c r="R207" t="n">
        <x:v>0</x:v>
      </x:c>
    </x:row>
    <x:row r="208" spans="2:18" ht="12.75" customHeight="1" x14ac:dyDescent="0.2">
      <x:c r="C208" t="s">
        <x:v>82</x:v>
      </x:c>
      <x:c r="D208" t="s">
        <x:v>70</x:v>
      </x:c>
      <x:c r="E208" s="142" t="n">
        <x:v>2346748.98</x:v>
      </x:c>
      <x:c r="F208" t="n">
        <x:v>144869.82</x:v>
      </x:c>
      <x:c r="G208" t="n">
        <x:v>85406.84</x:v>
      </x:c>
      <x:c r="H208" t="n">
        <x:v>42451.9</x:v>
      </x:c>
      <x:c r="I208" t="n">
        <x:v>593663.28</x:v>
      </x:c>
      <x:c r="J208" t="n">
        <x:v>17355.33</x:v>
      </x:c>
      <x:c r="K208" t="n">
        <x:v>0</x:v>
      </x:c>
      <x:c r="L208" t="n">
        <x:v>132214.34</x:v>
      </x:c>
      <x:c r="M208" t="n">
        <x:v>208853.2</x:v>
      </x:c>
      <x:c r="N208" t="n">
        <x:v>733388.4</x:v>
      </x:c>
      <x:c r="O208" t="n">
        <x:v>367224.1</x:v>
      </x:c>
      <x:c r="P208" t="n">
        <x:v>21332.16</x:v>
      </x:c>
      <x:c r="Q208" t="n">
        <x:v>-10.39</x:v>
      </x:c>
      <x:c r="R208" t="n">
        <x:v>0</x:v>
      </x:c>
    </x:row>
    <x:row r="209" spans="1:18" ht="12.75" customHeight="1" x14ac:dyDescent="0.2">
      <x:c r="D209" t="s">
        <x:v>72</x:v>
      </x:c>
      <x:c r="E209" s="142" t="n">
        <x:v>1498752.72</x:v>
      </x:c>
      <x:c r="F209" t="n">
        <x:v>218686.44</x:v>
      </x:c>
      <x:c r="G209" t="n">
        <x:v>121875.61</x:v>
      </x:c>
      <x:c r="H209" t="n">
        <x:v>64266.73</x:v>
      </x:c>
      <x:c r="I209" t="n">
        <x:v>186453.14</x:v>
      </x:c>
      <x:c r="J209" t="n">
        <x:v>5614.62</x:v>
      </x:c>
      <x:c r="K209" t="n">
        <x:v>0</x:v>
      </x:c>
      <x:c r="L209" t="n">
        <x:v>49249.95</x:v>
      </x:c>
      <x:c r="M209" t="n">
        <x:v>59817.24</x:v>
      </x:c>
      <x:c r="N209" t="n">
        <x:v>259769.34</x:v>
      </x:c>
      <x:c r="O209" t="n">
        <x:v>524288.6</x:v>
      </x:c>
      <x:c r="P209" t="n">
        <x:v>8734.12</x:v>
      </x:c>
      <x:c r="Q209" t="n">
        <x:v>-3.07</x:v>
      </x:c>
      <x:c r="R209" t="n">
        <x:v>0</x:v>
      </x:c>
    </x:row>
    <x:row r="210" spans="1:18" ht="12.75" customHeight="1" x14ac:dyDescent="0.2">
      <x:c r="D210" t="s">
        <x:v>81</x:v>
      </x:c>
      <x:c r="E210" s="142" t="n">
        <x:v>4072.19</x:v>
      </x:c>
      <x:c r="F210" t="n">
        <x:v>469.32</x:v>
      </x:c>
      <x:c r="G210" t="n">
        <x:v>264.42</x:v>
      </x:c>
      <x:c r="H210" t="n">
        <x:v>139.12</x:v>
      </x:c>
      <x:c r="I210" t="n">
        <x:v>698.63</x:v>
      </x:c>
      <x:c r="J210" t="n">
        <x:v>22.19</x:v>
      </x:c>
      <x:c r="K210" t="n">
        <x:v>0</x:v>
      </x:c>
      <x:c r="L210" t="n">
        <x:v>194.85</x:v>
      </x:c>
      <x:c r="M210" t="n">
        <x:v>199.88</x:v>
      </x:c>
      <x:c r="N210" t="n">
        <x:v>944.44</x:v>
      </x:c>
      <x:c r="O210" t="n">
        <x:v>1103.04</x:v>
      </x:c>
      <x:c r="P210" t="n">
        <x:v>36.27</x:v>
      </x:c>
      <x:c r="Q210" t="n">
        <x:v>0.03</x:v>
      </x:c>
      <x:c r="R210" t="n">
        <x:v>0</x:v>
      </x:c>
    </x:row>
    <x:row r="211" spans="1:18" ht="12.75" customHeight="1" x14ac:dyDescent="0.2">
      <x:c r="C211" t="s">
        <x:v>86</x:v>
      </x:c>
      <x:c r="D211" t="s">
        <x:v>70</x:v>
      </x:c>
      <x:c r="E211" s="142" t="n">
        <x:v>1502824.91</x:v>
      </x:c>
      <x:c r="F211" t="n">
        <x:v>219155.76</x:v>
      </x:c>
      <x:c r="G211" t="n">
        <x:v>122140.03</x:v>
      </x:c>
      <x:c r="H211" t="n">
        <x:v>64405.85</x:v>
      </x:c>
      <x:c r="I211" t="n">
        <x:v>187151.77</x:v>
      </x:c>
      <x:c r="J211" t="n">
        <x:v>5636.81</x:v>
      </x:c>
      <x:c r="K211" t="n">
        <x:v>0</x:v>
      </x:c>
      <x:c r="L211" t="n">
        <x:v>49444.8</x:v>
      </x:c>
      <x:c r="M211" t="n">
        <x:v>60017.12</x:v>
      </x:c>
      <x:c r="N211" t="n">
        <x:v>260713.78</x:v>
      </x:c>
      <x:c r="O211" t="n">
        <x:v>525391.64</x:v>
      </x:c>
      <x:c r="P211" t="n">
        <x:v>8770.39</x:v>
      </x:c>
      <x:c r="Q211" t="n">
        <x:v>-3.04</x:v>
      </x:c>
      <x:c r="R211" t="n">
        <x:v>0</x:v>
      </x:c>
    </x:row>
    <x:row r="212" spans="1:18" ht="12.75" customHeight="1" x14ac:dyDescent="0.2">
      <x:c r="D212" t="s">
        <x:v>72</x:v>
      </x:c>
      <x:c r="E212" s="142" t="n">
        <x:v>55648019.14</x:v>
      </x:c>
      <x:c r="F212" t="n">
        <x:v>12014038.26</x:v>
      </x:c>
      <x:c r="G212" t="n">
        <x:v>6704476.15</x:v>
      </x:c>
      <x:c r="H212" t="n">
        <x:v>3561164.18</x:v>
      </x:c>
      <x:c r="I212" t="n">
        <x:v>1185037.65</x:v>
      </x:c>
      <x:c r="J212" t="n">
        <x:v>36834.04</x:v>
      </x:c>
      <x:c r="K212" t="n">
        <x:v>34149.98</x:v>
      </x:c>
      <x:c r="L212" t="n">
        <x:v>274444.39</x:v>
      </x:c>
      <x:c r="M212" t="n">
        <x:v>461462.93</x:v>
      </x:c>
      <x:c r="N212" t="n">
        <x:v>1456887.01</x:v>
      </x:c>
      <x:c r="O212" t="n">
        <x:v>29878634.87</x:v>
      </x:c>
      <x:c r="P212" t="n">
        <x:v>40967.71</x:v>
      </x:c>
      <x:c r="Q212" t="n">
        <x:v>-78.03</x:v>
      </x:c>
      <x:c r="R212" t="n">
        <x:v>0</x:v>
      </x:c>
    </x:row>
    <x:row r="213" spans="1:18" ht="12.75" customHeight="1" x14ac:dyDescent="0.2">
      <x:c r="D213" t="s">
        <x:v>81</x:v>
      </x:c>
      <x:c r="E213" s="142" t="n">
        <x:v>11.04</x:v>
      </x:c>
      <x:c r="F213" t="n">
        <x:v>0.5</x:v>
      </x:c>
      <x:c r="G213" t="n">
        <x:v>0.28</x:v>
      </x:c>
      <x:c r="H213" t="n">
        <x:v>0.15</x:v>
      </x:c>
      <x:c r="I213" t="n">
        <x:v>2.97</x:v>
      </x:c>
      <x:c r="J213" t="n">
        <x:v>0.07</x:v>
      </x:c>
      <x:c r="K213" t="n">
        <x:v>0</x:v>
      </x:c>
      <x:c r="L213" t="n">
        <x:v>0.62</x:v>
      </x:c>
      <x:c r="M213" t="n">
        <x:v>0.9</x:v>
      </x:c>
      <x:c r="N213" t="n">
        <x:v>4.24</x:v>
      </x:c>
      <x:c r="O213" t="n">
        <x:v>1.19</x:v>
      </x:c>
      <x:c r="P213" t="n">
        <x:v>0.12</x:v>
      </x:c>
      <x:c r="Q213" t="n">
        <x:v>0</x:v>
      </x:c>
      <x:c r="R213" t="n">
        <x:v>0</x:v>
      </x:c>
    </x:row>
    <x:row r="214" spans="1:18" ht="12.75" customHeight="1" x14ac:dyDescent="0.2">
      <x:c r="A214" s="89"/>
      <x:c r="B214" s="89"/>
      <x:c r="C214" t="s">
        <x:v>87</x:v>
      </x:c>
      <x:c r="D214" t="s">
        <x:v>70</x:v>
      </x:c>
      <x:c r="E214" s="90" t="n">
        <x:v>55648030.18</x:v>
      </x:c>
      <x:c r="F214" s="90" t="n">
        <x:v>12014038.76</x:v>
      </x:c>
      <x:c r="G214" s="90" t="n">
        <x:v>6704476.43</x:v>
      </x:c>
      <x:c r="H214" s="90" t="n">
        <x:v>3561164.33</x:v>
      </x:c>
      <x:c r="I214" s="90" t="n">
        <x:v>1185040.62</x:v>
      </x:c>
      <x:c r="J214" s="90" t="n">
        <x:v>36834.11</x:v>
      </x:c>
      <x:c r="K214" s="90" t="n">
        <x:v>34149.98</x:v>
      </x:c>
      <x:c r="L214" s="90" t="n">
        <x:v>274445.01</x:v>
      </x:c>
      <x:c r="M214" s="90" t="n">
        <x:v>461463.83</x:v>
      </x:c>
      <x:c r="N214" s="90" t="n">
        <x:v>1456891.25</x:v>
      </x:c>
      <x:c r="O214" s="90" t="n">
        <x:v>29878636.06</x:v>
      </x:c>
      <x:c r="P214" s="90" t="n">
        <x:v>40967.83</x:v>
      </x:c>
      <x:c r="Q214" s="90" t="n">
        <x:v>-78.03</x:v>
      </x:c>
      <x:c r="R214" t="n">
        <x:v>0</x:v>
      </x:c>
    </x:row>
    <x:row r="215" spans="1:18" s="94" customFormat="1" ht="12.75" customHeight="1" x14ac:dyDescent="0.2">
      <x:c r="A215" s="101"/>
      <x:c r="B215" s="101" t="s">
        <x:v>119</x:v>
      </x:c>
      <x:c r="C215" s="94" t="s">
        <x:v>70</x:v>
      </x:c>
      <x:c r="E215" s="93" t="n">
        <x:v>59497604.07</x:v>
      </x:c>
      <x:c r="F215" s="93" t="n">
        <x:v>12378064.34</x:v>
      </x:c>
      <x:c r="G215" s="93" t="n">
        <x:v>6912023.3</x:v>
      </x:c>
      <x:c r="H215" s="93" t="n">
        <x:v>3668022.08</x:v>
      </x:c>
      <x:c r="I215" s="93" t="n">
        <x:v>1965855.67</x:v>
      </x:c>
      <x:c r="J215" s="93" t="n">
        <x:v>59826.25</x:v>
      </x:c>
      <x:c r="K215" s="93" t="n">
        <x:v>34149.98</x:v>
      </x:c>
      <x:c r="L215" s="93" t="n">
        <x:v>456104.15</x:v>
      </x:c>
      <x:c r="M215" s="93" t="n">
        <x:v>730334.15</x:v>
      </x:c>
      <x:c r="N215" s="93" t="n">
        <x:v>2450993.43</x:v>
      </x:c>
      <x:c r="O215" s="93" t="n">
        <x:v>30771251.8</x:v>
      </x:c>
      <x:c r="P215" s="93" t="n">
        <x:v>71070.38</x:v>
      </x:c>
      <x:c r="Q215" s="93" t="n">
        <x:v>-91.46</x:v>
      </x:c>
      <x:c r="R215" s="94" t="n">
        <x:v>0</x:v>
      </x:c>
    </x:row>
    <x:row r="216" spans="1:18" s="226" customFormat="1" ht="12.75" customHeight="1" x14ac:dyDescent="0.2">
      <x:c r="A216" s="226" t="s">
        <x:v>78</x:v>
      </x:c>
      <x:c r="B216" s="226" t="s">
        <x:v>70</x:v>
      </x:c>
      <x:c r="D216" s="98"/>
      <x:c r="E216" s="100" t="n">
        <x:v>71023924.02</x:v>
      </x:c>
      <x:c r="F216" s="100" t="n">
        <x:v>12979986.04</x:v>
      </x:c>
      <x:c r="G216" s="100" t="n">
        <x:v>7286379.65</x:v>
      </x:c>
      <x:c r="H216" s="100" t="n">
        <x:v>3842632.77</x:v>
      </x:c>
      <x:c r="I216" s="100" t="n">
        <x:v>5668174.7</x:v>
      </x:c>
      <x:c r="J216" s="100" t="n">
        <x:v>236252.61</x:v>
      </x:c>
      <x:c r="K216" s="100" t="n">
        <x:v>34149.98</x:v>
      </x:c>
      <x:c r="L216" s="100" t="n">
        <x:v>1131854.31</x:v>
      </x:c>
      <x:c r="M216" s="100" t="n">
        <x:v>1377651.4</x:v>
      </x:c>
      <x:c r="N216" s="100" t="n">
        <x:v>6105100.71</x:v>
      </x:c>
      <x:c r="O216" s="100" t="n">
        <x:v>32123713.23</x:v>
      </x:c>
      <x:c r="P216" s="100" t="n">
        <x:v>238348.94</x:v>
      </x:c>
      <x:c r="Q216" s="100" t="n">
        <x:v>-320.32</x:v>
      </x:c>
      <x:c r="R216" s="226" t="n">
        <x:v>0</x:v>
      </x:c>
    </x:row>
    <x:row r="217" spans="1:18" ht="12.75" customHeight="1" x14ac:dyDescent="0.2">
      <x:c r="B217" s="89"/>
      <x:c r="C217" s="89"/>
      <x:c r="D217" t="s">
        <x:v>73</x:v>
      </x:c>
      <x:c r="E217" s="90">
        <x:v>0</x:v>
      </x:c>
      <x:c r="F217" s="90">
        <x:v>0</x:v>
      </x:c>
      <x:c r="G217" s="90">
        <x:v>0</x:v>
      </x:c>
      <x:c r="H217" s="90">
        <x:v>0</x:v>
      </x:c>
      <x:c r="I217" s="90">
        <x:v>0</x:v>
      </x:c>
      <x:c r="J217" s="90">
        <x:v>0</x:v>
      </x:c>
      <x:c r="K217" s="90">
        <x:v>0</x:v>
      </x:c>
      <x:c r="L217" s="90">
        <x:v>0</x:v>
      </x:c>
      <x:c r="M217" s="90">
        <x:v>0</x:v>
      </x:c>
      <x:c r="N217" s="90">
        <x:v>0</x:v>
      </x:c>
      <x:c r="O217" s="90">
        <x:v>0</x:v>
      </x:c>
      <x:c r="P217" s="90">
        <x:v>0</x:v>
      </x:c>
      <x:c r="Q217" s="90">
        <x:v>0</x:v>
      </x:c>
      <x:c r="R217">
        <x:v>0</x:v>
      </x:c>
    </x:row>
    <x:row r="218" spans="1:18" ht="12.75" customHeight="1" x14ac:dyDescent="0.2">
      <x:c r="B218" s="89"/>
      <x:c r="C218" s="89" t="s">
        <x:v>332</x:v>
      </x:c>
      <x:c r="D218" t="s">
        <x:v>70</x:v>
      </x:c>
      <x:c r="E218" s="90">
        <x:v>0</x:v>
      </x:c>
      <x:c r="F218" s="90">
        <x:v>0</x:v>
      </x:c>
      <x:c r="G218" s="90">
        <x:v>0</x:v>
      </x:c>
      <x:c r="H218" s="90">
        <x:v>0</x:v>
      </x:c>
      <x:c r="I218" s="90">
        <x:v>0</x:v>
      </x:c>
      <x:c r="J218" s="90">
        <x:v>0</x:v>
      </x:c>
      <x:c r="K218" s="90">
        <x:v>0</x:v>
      </x:c>
      <x:c r="L218" s="90">
        <x:v>0</x:v>
      </x:c>
      <x:c r="M218" s="90">
        <x:v>0</x:v>
      </x:c>
      <x:c r="N218" s="90">
        <x:v>0</x:v>
      </x:c>
      <x:c r="O218" s="90">
        <x:v>0</x:v>
      </x:c>
      <x:c r="P218" s="90">
        <x:v>0</x:v>
      </x:c>
      <x:c r="Q218" s="90">
        <x:v>0</x:v>
      </x:c>
      <x:c r="R218">
        <x:v>0</x:v>
      </x:c>
    </x:row>
    <x:row r="219" spans="1:18" s="378" customFormat="1" ht="12.75" customHeight="1" x14ac:dyDescent="0.2">
      <x:c r="B219" s="378" t="s">
        <x:v>85</x:v>
      </x:c>
      <x:c r="C219" s="378" t="s">
        <x:v>70</x:v>
      </x:c>
      <x:c r="E219" s="378">
        <x:v>0</x:v>
      </x:c>
      <x:c r="F219" s="378">
        <x:v>0</x:v>
      </x:c>
      <x:c r="G219" s="378">
        <x:v>0</x:v>
      </x:c>
      <x:c r="H219" s="378">
        <x:v>0</x:v>
      </x:c>
      <x:c r="I219" s="378">
        <x:v>0</x:v>
      </x:c>
      <x:c r="J219" s="378">
        <x:v>0</x:v>
      </x:c>
      <x:c r="K219" s="378">
        <x:v>0</x:v>
      </x:c>
      <x:c r="L219" s="378">
        <x:v>0</x:v>
      </x:c>
      <x:c r="M219" s="378">
        <x:v>0</x:v>
      </x:c>
      <x:c r="N219" s="378">
        <x:v>0</x:v>
      </x:c>
      <x:c r="O219" s="378">
        <x:v>0</x:v>
      </x:c>
      <x:c r="P219" s="378">
        <x:v>0</x:v>
      </x:c>
      <x:c r="Q219" s="378">
        <x:v>0</x:v>
      </x:c>
      <x:c r="R219" s="378">
        <x:v>0</x:v>
      </x:c>
    </x:row>
    <x:row r="220" spans="1:18" ht="12.75" customHeight="1" x14ac:dyDescent="0.2">
      <x:c r="C220" s="89"/>
      <x:c r="D220" s="89" t="s">
        <x:v>73</x:v>
      </x:c>
      <x:c r="E220" s="371" t="n">
        <x:v>-3800839.74</x:v>
      </x:c>
      <x:c r="F220" s="90" t="n">
        <x:v>-56179.64</x:v>
      </x:c>
      <x:c r="G220" s="90" t="n">
        <x:v>-44456.91</x:v>
      </x:c>
      <x:c r="H220" s="90" t="n">
        <x:v>-29909.02</x:v>
      </x:c>
      <x:c r="I220" s="90" t="n">
        <x:v>-1205757.05</x:v>
      </x:c>
      <x:c r="J220" s="90" t="n">
        <x:v>-39487.68</x:v>
      </x:c>
      <x:c r="K220" s="90" t="n">
        <x:v>0</x:v>
      </x:c>
      <x:c r="L220" s="90" t="n">
        <x:v>-344558.69</x:v>
      </x:c>
      <x:c r="M220" s="90" t="n">
        <x:v>-325783.34</x:v>
      </x:c>
      <x:c r="N220" s="90" t="n">
        <x:v>-1557044.96</x:v>
      </x:c>
      <x:c r="O220" s="90" t="n">
        <x:v>-133237.56</x:v>
      </x:c>
      <x:c r="P220" s="90" t="n">
        <x:v>-64424.89</x:v>
      </x:c>
      <x:c r="Q220" s="90" t="n">
        <x:v>0</x:v>
      </x:c>
      <x:c r="R220" t="n">
        <x:v>0</x:v>
      </x:c>
    </x:row>
    <x:row r="221" spans="1:18" ht="12.75" customHeight="1" x14ac:dyDescent="0.2">
      <x:c r="C221" s="89" t="s">
        <x:v>156</x:v>
      </x:c>
      <x:c r="D221" s="89" t="s">
        <x:v>70</x:v>
      </x:c>
      <x:c r="E221" s="371" t="n">
        <x:v>-3800839.74</x:v>
      </x:c>
      <x:c r="F221" s="90" t="n">
        <x:v>-56179.64</x:v>
      </x:c>
      <x:c r="G221" s="90" t="n">
        <x:v>-44456.91</x:v>
      </x:c>
      <x:c r="H221" s="90" t="n">
        <x:v>-29909.02</x:v>
      </x:c>
      <x:c r="I221" s="90" t="n">
        <x:v>-1205757.05</x:v>
      </x:c>
      <x:c r="J221" s="90" t="n">
        <x:v>-39487.68</x:v>
      </x:c>
      <x:c r="K221" s="90" t="n">
        <x:v>0</x:v>
      </x:c>
      <x:c r="L221" s="90" t="n">
        <x:v>-344558.69</x:v>
      </x:c>
      <x:c r="M221" s="90" t="n">
        <x:v>-325783.34</x:v>
      </x:c>
      <x:c r="N221" s="90" t="n">
        <x:v>-1557044.96</x:v>
      </x:c>
      <x:c r="O221" s="90" t="n">
        <x:v>-133237.56</x:v>
      </x:c>
      <x:c r="P221" s="90" t="n">
        <x:v>-64424.89</x:v>
      </x:c>
      <x:c r="Q221" s="90" t="n">
        <x:v>0</x:v>
      </x:c>
      <x:c r="R221" t="n">
        <x:v>0</x:v>
      </x:c>
    </x:row>
    <x:row r="222" spans="1:18" s="237" customFormat="1" ht="12.75" customHeight="1" x14ac:dyDescent="0.2">
      <x:c r="B222" s="237" t="s">
        <x:v>155</x:v>
      </x:c>
      <x:c r="C222" s="221" t="s">
        <x:v>70</x:v>
      </x:c>
      <x:c r="D222" s="221"/>
      <x:c r="E222" s="566" t="n">
        <x:v>-3800839.74</x:v>
      </x:c>
      <x:c r="F222" s="222" t="n">
        <x:v>-56179.64</x:v>
      </x:c>
      <x:c r="G222" s="222" t="n">
        <x:v>-44456.91</x:v>
      </x:c>
      <x:c r="H222" s="222" t="n">
        <x:v>-29909.02</x:v>
      </x:c>
      <x:c r="I222" s="222" t="n">
        <x:v>-1205757.05</x:v>
      </x:c>
      <x:c r="J222" s="222" t="n">
        <x:v>-39487.68</x:v>
      </x:c>
      <x:c r="K222" s="222" t="n">
        <x:v>0</x:v>
      </x:c>
      <x:c r="L222" s="222" t="n">
        <x:v>-344558.69</x:v>
      </x:c>
      <x:c r="M222" s="222" t="n">
        <x:v>-325783.34</x:v>
      </x:c>
      <x:c r="N222" s="222" t="n">
        <x:v>-1557044.96</x:v>
      </x:c>
      <x:c r="O222" s="222" t="n">
        <x:v>-133237.56</x:v>
      </x:c>
      <x:c r="P222" s="222" t="n">
        <x:v>-64424.89</x:v>
      </x:c>
      <x:c r="Q222" s="222" t="n">
        <x:v>0</x:v>
      </x:c>
      <x:c r="R222" s="237" t="n">
        <x:v>0</x:v>
      </x:c>
    </x:row>
    <x:row r="223" spans="1:18" ht="12.75" customHeight="1" x14ac:dyDescent="0.2">
      <x:c r="C223" s="89"/>
      <x:c r="D223" s="89" t="s">
        <x:v>73</x:v>
      </x:c>
      <x:c r="E223" s="371" t="n">
        <x:v>143926.05</x:v>
      </x:c>
      <x:c r="F223" s="90" t="n">
        <x:v>36929.02</x:v>
      </x:c>
      <x:c r="G223" s="90" t="n">
        <x:v>20576.67</x:v>
      </x:c>
      <x:c r="H223" s="90" t="n">
        <x:v>9278.13</x:v>
      </x:c>
      <x:c r="I223" s="90" t="n">
        <x:v>38.71</x:v>
      </x:c>
      <x:c r="J223" s="90" t="n">
        <x:v>-326.38</x:v>
      </x:c>
      <x:c r="K223" s="90" t="n">
        <x:v>0</x:v>
      </x:c>
      <x:c r="L223" s="90" t="n">
        <x:v>-993.6</x:v>
      </x:c>
      <x:c r="M223" s="90" t="n">
        <x:v>-2179.64</x:v>
      </x:c>
      <x:c r="N223" s="90" t="n">
        <x:v>-5267.99</x:v>
      </x:c>
      <x:c r="O223" s="90" t="n">
        <x:v>86403.81</x:v>
      </x:c>
      <x:c r="P223" s="90" t="n">
        <x:v>-532.68</x:v>
      </x:c>
      <x:c r="Q223" s="90" t="n">
        <x:v>0</x:v>
      </x:c>
      <x:c r="R223" t="n">
        <x:v>0</x:v>
      </x:c>
    </x:row>
    <x:row r="224" spans="1:18" ht="12.75" customHeight="1" x14ac:dyDescent="0.2">
      <x:c r="C224" t="s">
        <x:v>82</x:v>
      </x:c>
      <x:c r="D224" t="s">
        <x:v>70</x:v>
      </x:c>
      <x:c r="E224" t="n">
        <x:v>143926.05</x:v>
      </x:c>
      <x:c r="F224" t="n">
        <x:v>36929.02</x:v>
      </x:c>
      <x:c r="G224" t="n">
        <x:v>20576.67</x:v>
      </x:c>
      <x:c r="H224" t="n">
        <x:v>9278.13</x:v>
      </x:c>
      <x:c r="I224" t="n">
        <x:v>38.71</x:v>
      </x:c>
      <x:c r="J224" t="n">
        <x:v>-326.38</x:v>
      </x:c>
      <x:c r="K224" t="n">
        <x:v>0</x:v>
      </x:c>
      <x:c r="L224" t="n">
        <x:v>-993.6</x:v>
      </x:c>
      <x:c r="M224" t="n">
        <x:v>-2179.64</x:v>
      </x:c>
      <x:c r="N224" t="n">
        <x:v>-5267.99</x:v>
      </x:c>
      <x:c r="O224" t="n">
        <x:v>86403.81</x:v>
      </x:c>
      <x:c r="P224" t="n">
        <x:v>-532.68</x:v>
      </x:c>
      <x:c r="Q224" t="n">
        <x:v>0</x:v>
      </x:c>
      <x:c r="R224" t="n">
        <x:v>0</x:v>
      </x:c>
    </x:row>
    <x:row r="225" spans="1:18" ht="12.75" customHeight="1" x14ac:dyDescent="0.2">
      <x:c r="D225" t="s">
        <x:v>73</x:v>
      </x:c>
      <x:c r="E225" t="n">
        <x:v>819410.41</x:v>
      </x:c>
      <x:c r="F225" t="n">
        <x:v>165710.02</x:v>
      </x:c>
      <x:c r="G225" t="n">
        <x:v>92365.8</x:v>
      </x:c>
      <x:c r="H225" t="n">
        <x:v>49107.08</x:v>
      </x:c>
      <x:c r="I225" t="n">
        <x:v>49911.36</x:v>
      </x:c>
      <x:c r="J225" t="n">
        <x:v>1256.1</x:v>
      </x:c>
      <x:c r="K225" t="n">
        <x:v>0</x:v>
      </x:c>
      <x:c r="L225" t="n">
        <x:v>7666.28</x:v>
      </x:c>
      <x:c r="M225" t="n">
        <x:v>12779.44</x:v>
      </x:c>
      <x:c r="N225" t="n">
        <x:v>68656.17</x:v>
      </x:c>
      <x:c r="O225" t="n">
        <x:v>369908.79</x:v>
      </x:c>
      <x:c r="P225" t="n">
        <x:v>2049.37</x:v>
      </x:c>
      <x:c r="Q225" t="n">
        <x:v>0</x:v>
      </x:c>
      <x:c r="R225" t="n">
        <x:v>0</x:v>
      </x:c>
    </x:row>
    <x:row r="226" spans="1:18" ht="12.75" customHeight="1" x14ac:dyDescent="0.2">
      <x:c r="C226" t="s">
        <x:v>86</x:v>
      </x:c>
      <x:c r="D226" t="s">
        <x:v>70</x:v>
      </x:c>
      <x:c r="E226" t="n">
        <x:v>819410.41</x:v>
      </x:c>
      <x:c r="F226" t="n">
        <x:v>165710.02</x:v>
      </x:c>
      <x:c r="G226" t="n">
        <x:v>92365.8</x:v>
      </x:c>
      <x:c r="H226" t="n">
        <x:v>49107.08</x:v>
      </x:c>
      <x:c r="I226" t="n">
        <x:v>49911.36</x:v>
      </x:c>
      <x:c r="J226" t="n">
        <x:v>1256.1</x:v>
      </x:c>
      <x:c r="K226" t="n">
        <x:v>0</x:v>
      </x:c>
      <x:c r="L226" t="n">
        <x:v>7666.28</x:v>
      </x:c>
      <x:c r="M226" t="n">
        <x:v>12779.44</x:v>
      </x:c>
      <x:c r="N226" t="n">
        <x:v>68656.17</x:v>
      </x:c>
      <x:c r="O226" t="n">
        <x:v>369908.79</x:v>
      </x:c>
      <x:c r="P226" t="n">
        <x:v>2049.37</x:v>
      </x:c>
      <x:c r="Q226" t="n">
        <x:v>0</x:v>
      </x:c>
      <x:c r="R226" t="n">
        <x:v>0</x:v>
      </x:c>
    </x:row>
    <x:row r="227" spans="1:18" ht="12.75" customHeight="1" x14ac:dyDescent="0.2">
      <x:c r="D227" s="89" t="s">
        <x:v>73</x:v>
      </x:c>
      <x:c r="E227" s="90" t="n">
        <x:v>44896168.54</x:v>
      </x:c>
      <x:c r="F227" s="90" t="n">
        <x:v>10610205.35</x:v>
      </x:c>
      <x:c r="G227" s="90" t="n">
        <x:v>5910370.01</x:v>
      </x:c>
      <x:c r="H227" s="90" t="n">
        <x:v>3072955.56</x:v>
      </x:c>
      <x:c r="I227" s="90" t="n">
        <x:v>55025.25</x:v>
      </x:c>
      <x:c r="J227" s="90" t="n">
        <x:v>1014.12</x:v>
      </x:c>
      <x:c r="K227" s="90" t="n">
        <x:v>0</x:v>
      </x:c>
      <x:c r="L227" s="90" t="n">
        <x:v>11889.89</x:v>
      </x:c>
      <x:c r="M227" s="90" t="n">
        <x:v>12065.61</x:v>
      </x:c>
      <x:c r="N227" s="90" t="n">
        <x:v>63077.2</x:v>
      </x:c>
      <x:c r="O227" s="90" t="n">
        <x:v>25157911.59</x:v>
      </x:c>
      <x:c r="P227" s="90" t="n">
        <x:v>1653.96</x:v>
      </x:c>
      <x:c r="Q227" s="90" t="n">
        <x:v>0</x:v>
      </x:c>
      <x:c r="R227" t="n">
        <x:v>0</x:v>
      </x:c>
    </x:row>
    <x:row r="228" spans="1:18" ht="12.75" customHeight="1" x14ac:dyDescent="0.2">
      <x:c r="C228" t="s">
        <x:v>87</x:v>
      </x:c>
      <x:c r="D228" s="89" t="s">
        <x:v>70</x:v>
      </x:c>
      <x:c r="E228" s="90" t="n">
        <x:v>44896168.54</x:v>
      </x:c>
      <x:c r="F228" s="90" t="n">
        <x:v>10610205.35</x:v>
      </x:c>
      <x:c r="G228" s="90" t="n">
        <x:v>5910370.01</x:v>
      </x:c>
      <x:c r="H228" s="90" t="n">
        <x:v>3072955.56</x:v>
      </x:c>
      <x:c r="I228" s="90" t="n">
        <x:v>55025.25</x:v>
      </x:c>
      <x:c r="J228" s="90" t="n">
        <x:v>1014.12</x:v>
      </x:c>
      <x:c r="K228" s="90" t="n">
        <x:v>0</x:v>
      </x:c>
      <x:c r="L228" s="90" t="n">
        <x:v>11889.89</x:v>
      </x:c>
      <x:c r="M228" s="90" t="n">
        <x:v>12065.61</x:v>
      </x:c>
      <x:c r="N228" s="90" t="n">
        <x:v>63077.2</x:v>
      </x:c>
      <x:c r="O228" s="90" t="n">
        <x:v>25157911.59</x:v>
      </x:c>
      <x:c r="P228" s="90" t="n">
        <x:v>1653.96</x:v>
      </x:c>
      <x:c r="Q228" s="90" t="n">
        <x:v>0</x:v>
      </x:c>
      <x:c r="R228" t="n">
        <x:v>0</x:v>
      </x:c>
    </x:row>
    <x:row r="229" spans="1:18" s="94" customFormat="1" ht="12.75" customHeight="1" x14ac:dyDescent="0.2">
      <x:c r="B229" s="101" t="s">
        <x:v>119</x:v>
      </x:c>
      <x:c r="C229" s="101" t="s">
        <x:v>70</x:v>
      </x:c>
      <x:c r="E229" s="93" t="n">
        <x:v>45859505</x:v>
      </x:c>
      <x:c r="F229" s="93" t="n">
        <x:v>10812844.39</x:v>
      </x:c>
      <x:c r="G229" s="93" t="n">
        <x:v>6023312.48</x:v>
      </x:c>
      <x:c r="H229" s="93" t="n">
        <x:v>3131340.77</x:v>
      </x:c>
      <x:c r="I229" s="93" t="n">
        <x:v>104975.32</x:v>
      </x:c>
      <x:c r="J229" s="93" t="n">
        <x:v>1943.84</x:v>
      </x:c>
      <x:c r="K229" s="93" t="n">
        <x:v>0</x:v>
      </x:c>
      <x:c r="L229" s="93" t="n">
        <x:v>18562.57</x:v>
      </x:c>
      <x:c r="M229" s="93" t="n">
        <x:v>22665.41</x:v>
      </x:c>
      <x:c r="N229" s="93" t="n">
        <x:v>126465.38</x:v>
      </x:c>
      <x:c r="O229" s="93" t="n">
        <x:v>25614224.19</x:v>
      </x:c>
      <x:c r="P229" s="93" t="n">
        <x:v>3170.65</x:v>
      </x:c>
      <x:c r="Q229" s="93" t="n">
        <x:v>0</x:v>
      </x:c>
      <x:c r="R229" s="94" t="n">
        <x:v>0</x:v>
      </x:c>
    </x:row>
    <x:row r="230" spans="1:18" s="226" customFormat="1" ht="12.75" customHeight="1" x14ac:dyDescent="0.2">
      <x:c r="A230" s="98" t="s">
        <x:v>79</x:v>
      </x:c>
      <x:c r="B230" s="98" t="s">
        <x:v>70</x:v>
      </x:c>
      <x:c r="E230" s="100" t="n">
        <x:v>42058665.26</x:v>
      </x:c>
      <x:c r="F230" s="100" t="n">
        <x:v>10756664.75</x:v>
      </x:c>
      <x:c r="G230" s="100" t="n">
        <x:v>5978855.57</x:v>
      </x:c>
      <x:c r="H230" s="100" t="n">
        <x:v>3101431.75</x:v>
      </x:c>
      <x:c r="I230" s="100" t="n">
        <x:v>-1100781.73</x:v>
      </x:c>
      <x:c r="J230" s="100" t="n">
        <x:v>-37543.84</x:v>
      </x:c>
      <x:c r="K230" s="100" t="n">
        <x:v>0</x:v>
      </x:c>
      <x:c r="L230" s="100" t="n">
        <x:v>-325996.12</x:v>
      </x:c>
      <x:c r="M230" s="100" t="n">
        <x:v>-303117.93</x:v>
      </x:c>
      <x:c r="N230" s="100" t="n">
        <x:v>-1430579.58</x:v>
      </x:c>
      <x:c r="O230" s="100" t="n">
        <x:v>25480986.63</x:v>
      </x:c>
      <x:c r="P230" s="100" t="n">
        <x:v>-61254.24</x:v>
      </x:c>
      <x:c r="Q230" s="100" t="n">
        <x:v>0</x:v>
      </x:c>
      <x:c r="R230" s="226" t="n">
        <x:v>0</x:v>
      </x:c>
    </x:row>
    <x:row r="231" spans="1:18" ht="12.75" customHeight="1" x14ac:dyDescent="0.2">
      <x:c r="A231" s="89" t="s">
        <x:v>70</x:v>
      </x:c>
      <x:c r="E231" s="90" t="n">
        <x:v>113082589.28</x:v>
      </x:c>
      <x:c r="F231" s="90" t="n">
        <x:v>23736650.79</x:v>
      </x:c>
      <x:c r="G231" s="90" t="n">
        <x:v>13265235.22</x:v>
      </x:c>
      <x:c r="H231" s="90" t="n">
        <x:v>6944064.52</x:v>
      </x:c>
      <x:c r="I231" s="90" t="n">
        <x:v>4567392.97</x:v>
      </x:c>
      <x:c r="J231" s="90" t="n">
        <x:v>198708.77</x:v>
      </x:c>
      <x:c r="K231" s="90" t="n">
        <x:v>34149.98</x:v>
      </x:c>
      <x:c r="L231" s="90" t="n">
        <x:v>805858.19</x:v>
      </x:c>
      <x:c r="M231" s="90" t="n">
        <x:v>1074533.47</x:v>
      </x:c>
      <x:c r="N231" s="90" t="n">
        <x:v>4674521.13</x:v>
      </x:c>
      <x:c r="O231" s="90" t="n">
        <x:v>57604699.86</x:v>
      </x:c>
      <x:c r="P231" s="90" t="n">
        <x:v>177094.7</x:v>
      </x:c>
      <x:c r="Q231" s="90" t="n">
        <x:v>-320.32</x:v>
      </x:c>
      <x:c r="R231" t="n">
        <x:v>0</x:v>
      </x:c>
    </x:row>
    <x:row r="232" spans="1:18" ht="12.75" customHeight="1" x14ac:dyDescent="0.2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hidden="1" customHeight="1" x14ac:dyDescent="0.2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hidden="1" customHeight="1" x14ac:dyDescent="0.2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8" ht="12.75" customHeight="1" x14ac:dyDescent="0.2">
      <x:c r="C263" s="89"/>
      <x:c r="D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hidden="1" customHeight="1" x14ac:dyDescent="0.2">
      <x:c r="D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hidden="1" customHeight="1" x14ac:dyDescent="0.2">
      <x:c r="C265" s="89"/>
      <x:c r="D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</x:row>
    <x:row r="266" spans="1:18" ht="12.75" hidden="1" customHeight="1" x14ac:dyDescent="0.2">
      <x:c r="D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hidden="1" customHeight="1" x14ac:dyDescent="0.2">
      <x:c r="C267" s="89"/>
      <x:c r="D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hidden="1" customHeight="1" x14ac:dyDescent="0.2">
      <x:c r="B268" s="89"/>
      <x:c r="C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</x:row>
    <x:row r="269" spans="1:18" ht="12.75" hidden="1" customHeight="1" x14ac:dyDescent="0.2">
      <x:c r="A269" s="89"/>
      <x:c r="B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hidden="1" customHeight="1" x14ac:dyDescent="0.2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hidden="1" customHeight="1" x14ac:dyDescent="0.2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8" ht="12.75" hidden="1" customHeight="1" x14ac:dyDescent="0.2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7" ht="12.75" hidden="1" customHeight="1" x14ac:dyDescent="0.2">
      <x:c r="A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</x:row>
    <x:row r="274" spans="1:17" ht="12.75" hidden="1" customHeight="1" x14ac:dyDescent="0.2">
      <x:c r="A274" s="89"/>
      <x:c r="E274" s="90"/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</x:row>
    <x:row r="275" spans="1:17" ht="12.75" hidden="1" customHeight="1" x14ac:dyDescent="0.2">
      <x:c r="A275" s="89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</x:row>
    <x:row r="276" spans="1:17" ht="12.75" hidden="1" customHeight="1" x14ac:dyDescent="0.2">
      <x:c r="A276" s="89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</x:row>
    <x:row r="277" spans="1:17" ht="12.75" hidden="1" customHeight="1" x14ac:dyDescent="0.2">
      <x:c r="A277" s="89"/>
      <x:c r="E277" s="90"/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</x:row>
    <x:row r="278" spans="1:17" ht="12.75" hidden="1" customHeight="1" x14ac:dyDescent="0.2">
      <x:c r="A278" s="89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</x:row>
    <x:row r="279" spans="1:17" ht="12.75" hidden="1" customHeight="1" x14ac:dyDescent="0.2">
      <x:c r="A279" s="89"/>
      <x:c r="E279" s="90"/>
      <x:c r="F279" s="90"/>
      <x:c r="G279" s="90"/>
      <x:c r="H279" s="90"/>
      <x:c r="I279" s="90"/>
      <x:c r="J279" s="90"/>
      <x:c r="K279" s="90"/>
      <x:c r="L279" s="90"/>
      <x:c r="M279" s="90"/>
      <x:c r="N279" s="90"/>
      <x:c r="O279" s="90"/>
      <x:c r="P279" s="90"/>
      <x:c r="Q279" s="90"/>
    </x:row>
    <x:row r="280" spans="1:17" ht="12.75" hidden="1" customHeight="1" x14ac:dyDescent="0.2">
      <x:c r="A280" s="89"/>
      <x:c r="E280" s="90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</x:row>
    <x:row r="281" spans="1:17" ht="12.75" hidden="1" customHeight="1" x14ac:dyDescent="0.2">
      <x:c r="A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</x:row>
    <x:row r="282" spans="1:17" ht="12.75" hidden="1" customHeight="1" x14ac:dyDescent="0.2">
      <x:c r="A282" s="89"/>
      <x:c r="E282" s="90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</x:row>
    <x:row r="283" spans="1:17" ht="12.75" hidden="1" customHeight="1" x14ac:dyDescent="0.2">
      <x:c r="A283" s="89"/>
      <x:c r="E283" s="90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</x:row>
    <x:row r="284" spans="1:17" ht="12.75" hidden="1" customHeight="1" x14ac:dyDescent="0.2">
      <x:c r="A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</x:row>
    <x:row r="285" spans="1:17" ht="12.75" hidden="1" customHeight="1" x14ac:dyDescent="0.2">
      <x:c r="A285" s="89"/>
      <x:c r="E285" s="90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</x:row>
    <x:row r="286" spans="1:17" ht="12.75" hidden="1" customHeight="1" x14ac:dyDescent="0.2">
      <x:c r="A286" s="89"/>
      <x:c r="E286" s="90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</x:row>
    <x:row r="287" spans="1:17" ht="12.75" hidden="1" customHeight="1" x14ac:dyDescent="0.2">
      <x:c r="A287" s="89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17" ht="12.75" hidden="1" customHeight="1" x14ac:dyDescent="0.2">
      <x:c r="A288" s="89"/>
      <x:c r="E288" s="90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</x:row>
    <x:row r="289" spans="1:18" ht="12.75" hidden="1" customHeight="1" x14ac:dyDescent="0.2">
      <x:c r="A289" s="89"/>
      <x:c r="E289" s="90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</x:row>
    <x:row r="290" spans="1:18" ht="12.75" hidden="1" customHeight="1" x14ac:dyDescent="0.2">
      <x:c r="A290" s="89"/>
      <x:c r="E290" s="90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</x:row>
    <x:row r="291" spans="1:18" ht="12.75" hidden="1" customHeight="1" x14ac:dyDescent="0.2">
      <x:c r="A291" s="89"/>
      <x:c r="E291" s="90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</x:row>
    <x:row r="292" spans="1:18" ht="12.75" hidden="1" customHeight="1" x14ac:dyDescent="0.2">
      <x:c r="A292" s="89"/>
      <x:c r="E292" s="90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</x:row>
    <x:row r="293" spans="1:18" ht="12.75" hidden="1" customHeight="1" x14ac:dyDescent="0.2">
      <x:c r="A293" s="89"/>
      <x:c r="E293" s="90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</x:row>
    <x:row r="294" spans="1:18" ht="12.75" hidden="1" customHeight="1" x14ac:dyDescent="0.2">
      <x:c r="A294" s="89"/>
      <x:c r="E294" s="90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</x:row>
    <x:row r="295" spans="1:18" ht="12.75" hidden="1" customHeight="1" x14ac:dyDescent="0.2">
      <x:c r="A295" s="89"/>
      <x:c r="E295" s="90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</x:row>
    <x:row r="296" spans="1:18" ht="12.75" hidden="1" customHeight="1" x14ac:dyDescent="0.2">
      <x:c r="A296" s="89"/>
      <x:c r="E296" s="90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</x:row>
    <x:row r="297" spans="1:18" ht="12.75" hidden="1" customHeight="1" x14ac:dyDescent="0.2">
      <x:c r="A297" s="89"/>
      <x:c r="E297" s="90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</x:row>
    <x:row r="298" spans="1:18" ht="12.75" customHeight="1" x14ac:dyDescent="0.2">
      <x:c r="A298" s="89"/>
      <x:c r="E298" s="90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</x:row>
    <x:row r="299" spans="1:18" ht="12.75" customHeight="1" x14ac:dyDescent="0.2">
      <x:c r="B299" s="778" t="s">
        <x:v>2</x:v>
      </x:c>
      <x:c r="C299" s="776" t="s">
        <x:v>132</x:v>
      </x:c>
      <x:c r="D299" s="98" t="s">
        <x:v>70</x:v>
      </x:c>
      <x:c r="E299" s="100">
        <x:f>E216+E230-K216</x:f>
        <x:v>0</x:v>
      </x:c>
      <x:c r="F299" s="100">
        <x:f>F216</x:f>
        <x:v>0</x:v>
      </x:c>
      <x:c r="G299" s="100">
        <x:f t="shared" ref="G299:R299" si="7">G216</x:f>
        <x:v>0</x:v>
      </x:c>
      <x:c r="H299" s="100">
        <x:f t="shared" si="7"/>
        <x:v>0</x:v>
      </x:c>
      <x:c r="I299" s="100">
        <x:f t="shared" si="7"/>
        <x:v>0</x:v>
      </x:c>
      <x:c r="J299" s="100">
        <x:f t="shared" si="7"/>
        <x:v>0</x:v>
      </x:c>
      <x:c r="K299" s="100">
        <x:f t="shared" si="7"/>
        <x:v>0</x:v>
      </x:c>
      <x:c r="L299" s="100">
        <x:f t="shared" si="7"/>
        <x:v>0</x:v>
      </x:c>
      <x:c r="M299" s="100">
        <x:f t="shared" si="7"/>
        <x:v>0</x:v>
      </x:c>
      <x:c r="N299" s="100">
        <x:f t="shared" si="7"/>
        <x:v>0</x:v>
      </x:c>
      <x:c r="O299" s="100">
        <x:f t="shared" si="7"/>
        <x:v>0</x:v>
      </x:c>
      <x:c r="P299" s="100">
        <x:f t="shared" si="7"/>
        <x:v>0</x:v>
      </x:c>
      <x:c r="Q299" s="100">
        <x:f t="shared" si="7"/>
        <x:v>0</x:v>
      </x:c>
      <x:c r="R299" s="100">
        <x:f t="shared" si="7"/>
        <x:v>0</x:v>
      </x:c>
    </x:row>
    <x:row r="300" spans="1:18" ht="12.75" customHeight="1" x14ac:dyDescent="0.2">
      <x:c r="B300" s="778"/>
      <x:c r="C300" s="776"/>
      <x:c r="D300" s="98" t="s">
        <x:v>73</x:v>
      </x:c>
      <x:c r="E300" s="100">
        <x:f>E230</x:f>
        <x:v>0</x:v>
      </x:c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</x:row>
    <x:row r="301" spans="1:18" ht="12.75" customHeight="1" x14ac:dyDescent="0.2">
      <x:c r="A301" s="89"/>
      <x:c r="B301" s="97"/>
      <x:c r="E301" s="90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</x:row>
    <x:row r="302" spans="1:18" ht="12.75" customHeight="1" x14ac:dyDescent="0.2">
      <x:c r="B302" s="778" t="s">
        <x:v>160</x:v>
      </x:c>
      <x:c r="C302" s="776" t="s">
        <x:v>132</x:v>
      </x:c>
      <x:c r="D302" s="223" t="s">
        <x:v>70</x:v>
      </x:c>
      <x:c r="E302" s="225">
        <x:v>0</x:v>
      </x:c>
      <x:c r="F302" s="225">
        <x:v>0</x:v>
      </x:c>
      <x:c r="G302" s="225">
        <x:v>0</x:v>
      </x:c>
      <x:c r="H302" s="225">
        <x:v>0</x:v>
      </x:c>
      <x:c r="I302" s="225">
        <x:v>0</x:v>
      </x:c>
      <x:c r="J302" s="225">
        <x:v>0</x:v>
      </x:c>
      <x:c r="K302" s="225">
        <x:v>0</x:v>
      </x:c>
      <x:c r="L302" s="225">
        <x:v>0</x:v>
      </x:c>
      <x:c r="M302" s="225">
        <x:v>0</x:v>
      </x:c>
      <x:c r="N302" s="225">
        <x:v>0</x:v>
      </x:c>
      <x:c r="O302" s="225">
        <x:v>0</x:v>
      </x:c>
      <x:c r="P302" s="225">
        <x:v>0</x:v>
      </x:c>
      <x:c r="Q302" s="225">
        <x:v>0</x:v>
      </x:c>
      <x:c r="R302" s="225">
        <x:v>0</x:v>
      </x:c>
    </x:row>
    <x:row r="303" spans="1:18" ht="12.75" customHeight="1" x14ac:dyDescent="0.2">
      <x:c r="B303" s="778"/>
      <x:c r="C303" s="776"/>
      <x:c r="D303" s="223" t="s">
        <x:v>73</x:v>
      </x:c>
      <x:c r="E303" s="225">
        <x:v>0</x:v>
      </x:c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</x:row>
    <x:row r="304" spans="1:18" ht="12.75" customHeight="1" x14ac:dyDescent="0.2">
      <x:c r="A304" s="89"/>
      <x:c r="B304" s="97"/>
      <x:c r="E304" s="90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</x:row>
    <x:row r="305" spans="1:18" ht="12.75" customHeight="1" x14ac:dyDescent="0.2">
      <x:c r="B305" s="778" t="s">
        <x:v>155</x:v>
      </x:c>
      <x:c r="C305" s="776" t="s">
        <x:v>132</x:v>
      </x:c>
      <x:c r="D305" s="221" t="s">
        <x:v>70</x:v>
      </x:c>
      <x:c r="E305" s="222">
        <x:f>E222+E219+E205+E201-K205-K201</x:f>
        <x:v>0</x:v>
      </x:c>
      <x:c r="F305" s="222">
        <x:f>F201+F205</x:f>
        <x:v>0</x:v>
      </x:c>
      <x:c r="G305" s="222">
        <x:f t="shared" ref="G305:R305" si="8">G201+G205</x:f>
        <x:v>0</x:v>
      </x:c>
      <x:c r="H305" s="222">
        <x:f t="shared" si="8"/>
        <x:v>0</x:v>
      </x:c>
      <x:c r="I305" s="222">
        <x:f t="shared" si="8"/>
        <x:v>0</x:v>
      </x:c>
      <x:c r="J305" s="222">
        <x:f t="shared" si="8"/>
        <x:v>0</x:v>
      </x:c>
      <x:c r="K305" s="222">
        <x:f t="shared" si="8"/>
        <x:v>0</x:v>
      </x:c>
      <x:c r="L305" s="222">
        <x:f t="shared" si="8"/>
        <x:v>0</x:v>
      </x:c>
      <x:c r="M305" s="222">
        <x:f t="shared" si="8"/>
        <x:v>0</x:v>
      </x:c>
      <x:c r="N305" s="222">
        <x:f t="shared" si="8"/>
        <x:v>0</x:v>
      </x:c>
      <x:c r="O305" s="222">
        <x:f t="shared" si="8"/>
        <x:v>0</x:v>
      </x:c>
      <x:c r="P305" s="222">
        <x:f t="shared" si="8"/>
        <x:v>0</x:v>
      </x:c>
      <x:c r="Q305" s="222">
        <x:f t="shared" si="8"/>
        <x:v>0</x:v>
      </x:c>
      <x:c r="R305" s="222">
        <x:f t="shared" si="8"/>
        <x:v>0</x:v>
      </x:c>
    </x:row>
    <x:row r="306" spans="1:18" ht="12.75" customHeight="1" x14ac:dyDescent="0.2">
      <x:c r="B306" s="778"/>
      <x:c r="C306" s="776"/>
      <x:c r="D306" s="221" t="s">
        <x:v>73</x:v>
      </x:c>
      <x:c r="E306" s="222">
        <x:f>E222+E219</x:f>
        <x:v>0</x:v>
      </x:c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</x:row>
    <x:row r="307" spans="1:18" ht="12.75" customHeight="1" x14ac:dyDescent="0.2">
      <x:c r="B307" s="719"/>
      <x:c r="C307" s="220"/>
      <x:c r="D307" s="89"/>
      <x:c r="E307" s="90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</x:row>
    <x:row r="308" spans="1:18" ht="12.75" customHeight="1" x14ac:dyDescent="0.2">
      <x:c r="B308" s="779" t="s">
        <x:v>326</x:v>
      </x:c>
      <x:c r="C308" s="776" t="s">
        <x:v>132</x:v>
      </x:c>
      <x:c r="D308" s="373" t="s">
        <x:v>70</x:v>
      </x:c>
      <x:c r="E308" s="374">
        <x:v>0</x:v>
      </x:c>
      <x:c r="F308" s="374">
        <x:v>0</x:v>
      </x:c>
      <x:c r="G308" s="374">
        <x:v>0</x:v>
      </x:c>
      <x:c r="H308" s="374">
        <x:v>0</x:v>
      </x:c>
      <x:c r="I308" s="374">
        <x:v>0</x:v>
      </x:c>
      <x:c r="J308" s="374">
        <x:v>0</x:v>
      </x:c>
      <x:c r="K308" s="374">
        <x:v>0</x:v>
      </x:c>
      <x:c r="L308" s="374">
        <x:v>0</x:v>
      </x:c>
      <x:c r="M308" s="374">
        <x:v>0</x:v>
      </x:c>
      <x:c r="N308" s="374">
        <x:v>0</x:v>
      </x:c>
      <x:c r="O308" s="374">
        <x:v>0</x:v>
      </x:c>
      <x:c r="P308" s="374">
        <x:v>0</x:v>
      </x:c>
      <x:c r="Q308" s="374">
        <x:v>0</x:v>
      </x:c>
      <x:c r="R308" s="374">
        <x:v>0</x:v>
      </x:c>
    </x:row>
    <x:row r="309" spans="1:18" ht="12.75" customHeight="1" x14ac:dyDescent="0.2">
      <x:c r="B309" s="779"/>
      <x:c r="C309" s="776"/>
      <x:c r="D309" s="373" t="s">
        <x:v>73</x:v>
      </x:c>
      <x:c r="E309" s="374">
        <x:v>0</x:v>
      </x:c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</x:row>
    <x:row r="310" spans="1:18" ht="12.75" customHeight="1" x14ac:dyDescent="0.2">
      <x:c r="B310" s="719"/>
      <x:c r="C310" s="220"/>
      <x:c r="D310" s="89"/>
      <x:c r="E310" s="90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</x:row>
    <x:row r="311" spans="1:18" ht="12.75" customHeight="1" x14ac:dyDescent="0.2">
      <x:c r="B311" s="778" t="s">
        <x:v>119</x:v>
      </x:c>
      <x:c r="C311" s="776" t="s">
        <x:v>132</x:v>
      </x:c>
      <x:c r="D311" s="101" t="s">
        <x:v>70</x:v>
      </x:c>
      <x:c r="E311" s="93">
        <x:f>E215+E229-K215</x:f>
        <x:v>0</x:v>
      </x:c>
      <x:c r="F311" s="93">
        <x:f>F215</x:f>
        <x:v>0</x:v>
      </x:c>
      <x:c r="G311" s="93">
        <x:f t="shared" ref="G311:R311" si="9">G215</x:f>
        <x:v>0</x:v>
      </x:c>
      <x:c r="H311" s="93">
        <x:f t="shared" si="9"/>
        <x:v>0</x:v>
      </x:c>
      <x:c r="I311" s="93">
        <x:f t="shared" si="9"/>
        <x:v>0</x:v>
      </x:c>
      <x:c r="J311" s="93">
        <x:f t="shared" si="9"/>
        <x:v>0</x:v>
      </x:c>
      <x:c r="K311" s="93">
        <x:f t="shared" si="9"/>
        <x:v>0</x:v>
      </x:c>
      <x:c r="L311" s="93">
        <x:f t="shared" si="9"/>
        <x:v>0</x:v>
      </x:c>
      <x:c r="M311" s="93">
        <x:f t="shared" si="9"/>
        <x:v>0</x:v>
      </x:c>
      <x:c r="N311" s="93">
        <x:f t="shared" si="9"/>
        <x:v>0</x:v>
      </x:c>
      <x:c r="O311" s="93">
        <x:f t="shared" si="9"/>
        <x:v>0</x:v>
      </x:c>
      <x:c r="P311" s="93">
        <x:f t="shared" si="9"/>
        <x:v>0</x:v>
      </x:c>
      <x:c r="Q311" s="93">
        <x:f t="shared" si="9"/>
        <x:v>0</x:v>
      </x:c>
      <x:c r="R311" s="93">
        <x:f t="shared" si="9"/>
        <x:v>0</x:v>
      </x:c>
    </x:row>
    <x:row r="312" spans="1:18" ht="12.75" customHeight="1" x14ac:dyDescent="0.2">
      <x:c r="B312" s="778"/>
      <x:c r="C312" s="776"/>
      <x:c r="D312" s="101" t="s">
        <x:v>73</x:v>
      </x:c>
      <x:c r="E312" s="93">
        <x:f>E229</x:f>
        <x:v>0</x:v>
      </x:c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</x:row>
    <x:row r="313" spans="1:18" ht="12.75" customHeight="1" x14ac:dyDescent="0.2">
      <x:c r="A313" s="89"/>
      <x:c r="B313" s="97"/>
      <x:c r="E313" s="90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</x:row>
    <x:row r="314" spans="1:18" ht="12.75" customHeight="1" x14ac:dyDescent="0.2">
      <x:c r="B314" s="777" t="s">
        <x:v>161</x:v>
      </x:c>
      <x:c r="C314" s="776" t="s">
        <x:v>132</x:v>
      </x:c>
      <x:c r="D314" s="231" t="s">
        <x:v>70</x:v>
      </x:c>
      <x:c r="E314" s="232">
        <x:v>0</x:v>
      </x:c>
      <x:c r="F314" s="232">
        <x:v>0</x:v>
      </x:c>
      <x:c r="G314" s="232">
        <x:v>0</x:v>
      </x:c>
      <x:c r="H314" s="232">
        <x:v>0</x:v>
      </x:c>
      <x:c r="I314" s="232">
        <x:v>0</x:v>
      </x:c>
      <x:c r="J314" s="232">
        <x:v>0</x:v>
      </x:c>
      <x:c r="K314" s="232">
        <x:v>0</x:v>
      </x:c>
      <x:c r="L314" s="232">
        <x:v>0</x:v>
      </x:c>
      <x:c r="M314" s="232">
        <x:v>0</x:v>
      </x:c>
      <x:c r="N314" s="232">
        <x:v>0</x:v>
      </x:c>
      <x:c r="O314" s="232">
        <x:v>0</x:v>
      </x:c>
      <x:c r="P314" s="232">
        <x:v>0</x:v>
      </x:c>
      <x:c r="Q314" s="232">
        <x:v>0</x:v>
      </x:c>
      <x:c r="R314" s="232">
        <x:v>0</x:v>
      </x:c>
    </x:row>
    <x:row r="315" spans="1:18" ht="12.75" customHeight="1" x14ac:dyDescent="0.2">
      <x:c r="B315" s="777"/>
      <x:c r="C315" s="776"/>
      <x:c r="D315" s="231" t="s">
        <x:v>73</x:v>
      </x:c>
      <x:c r="E315" s="232">
        <x:v>0</x:v>
      </x:c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</x:row>
    <x:row r="316" spans="1:18" s="238" customFormat="1" x14ac:dyDescent="0.2"/>
    <x:row r="317" spans="1:18" ht="15" customHeight="1" x14ac:dyDescent="0.2">
      <x:c r="B317" s="97" t="s">
        <x:v>88</x:v>
      </x:c>
    </x:row>
    <x:row r="318" spans="1:18" ht="11.45" customHeight="1" x14ac:dyDescent="0.2">
      <x:c r="E318" s="89" t="s">
        <x:v>70</x:v>
      </x:c>
      <x:c r="F318" s="89" t="s">
        <x:v>64</x:v>
      </x:c>
      <x:c r="G318" s="89" t="s">
        <x:v>65</x:v>
      </x:c>
      <x:c r="H318" s="219" t="s">
        <x:v>164</x:v>
      </x:c>
      <x:c r="I318" s="89" t="s">
        <x:v>69</x:v>
      </x:c>
      <x:c r="J318" s="89" t="s">
        <x:v>68</x:v>
      </x:c>
      <x:c r="K318" s="89" t="s">
        <x:v>83</x:v>
      </x:c>
      <x:c r="L318" s="89" t="s">
        <x:v>66</x:v>
      </x:c>
      <x:c r="M318" s="89" t="s">
        <x:v>63</x:v>
      </x:c>
      <x:c r="N318" s="89" t="s">
        <x:v>61</x:v>
      </x:c>
      <x:c r="O318" s="89" t="s">
        <x:v>62</x:v>
      </x:c>
      <x:c r="P318" s="89" t="s">
        <x:v>67</x:v>
      </x:c>
      <x:c r="Q318" s="89" t="s">
        <x:v>84</x:v>
      </x:c>
      <x:c r="R318" s="384" t="s">
        <x:v>225</x:v>
      </x:c>
    </x:row>
    <x:row r="319" spans="1:18" ht="11.45" customHeight="1" x14ac:dyDescent="0.2">
      <x:c r="D319" t="s">
        <x:v>72</x:v>
      </x:c>
      <x:c r="E319" s="89" t="n">
        <x:v>65200</x:v>
      </x:c>
      <x:c r="F319" s="89" t="n">
        <x:v>0</x:v>
      </x:c>
      <x:c r="G319" s="89" t="n">
        <x:v>0</x:v>
      </x:c>
      <x:c r="H319" s="384" t="n">
        <x:v>0</x:v>
      </x:c>
      <x:c r="I319" s="89" t="n">
        <x:v>0</x:v>
      </x:c>
      <x:c r="J319" s="89" t="n">
        <x:v>0</x:v>
      </x:c>
      <x:c r="K319" s="89" t="n">
        <x:v>0</x:v>
      </x:c>
      <x:c r="L319" s="89" t="n">
        <x:v>8573.34</x:v>
      </x:c>
      <x:c r="M319" s="89" t="n">
        <x:v>12543.38</x:v>
      </x:c>
      <x:c r="N319" s="89" t="n">
        <x:v>30874.18</x:v>
      </x:c>
      <x:c r="O319" s="89" t="n">
        <x:v>13213.18</x:v>
      </x:c>
      <x:c r="P319" s="89" t="n">
        <x:v>0</x:v>
      </x:c>
      <x:c r="Q319" s="89" t="n">
        <x:v>-4.08</x:v>
      </x:c>
      <x:c r="R319" s="384" t="n">
        <x:v>0</x:v>
      </x:c>
    </x:row>
    <x:row r="320" spans="1:18" ht="12.75" customHeight="1" x14ac:dyDescent="0.2">
      <x:c r="D320" t="s">
        <x:v>81</x:v>
      </x:c>
      <x:c r="E320" s="384">
        <x:v>0</x:v>
      </x:c>
      <x:c r="F320" s="89">
        <x:v>0</x:v>
      </x:c>
      <x:c r="G320" s="89">
        <x:v>0</x:v>
      </x:c>
      <x:c r="H320" s="384">
        <x:v>0</x:v>
      </x:c>
      <x:c r="I320" s="89">
        <x:v>0</x:v>
      </x:c>
      <x:c r="J320" s="89">
        <x:v>0</x:v>
      </x:c>
      <x:c r="K320" s="89">
        <x:v>0</x:v>
      </x:c>
      <x:c r="L320" s="89">
        <x:v>0</x:v>
      </x:c>
      <x:c r="M320" s="89">
        <x:v>0</x:v>
      </x:c>
      <x:c r="N320" s="89">
        <x:v>0</x:v>
      </x:c>
      <x:c r="O320" s="89">
        <x:v>0</x:v>
      </x:c>
      <x:c r="P320" s="89">
        <x:v>0</x:v>
      </x:c>
      <x:c r="Q320" s="89">
        <x:v>0</x:v>
      </x:c>
      <x:c r="R320" s="384">
        <x:v>0</x:v>
      </x:c>
    </x:row>
    <x:row r="321" spans="2:18" ht="11.45" customHeight="1" x14ac:dyDescent="0.2">
      <x:c r="C321" t="s">
        <x:v>332</x:v>
      </x:c>
      <x:c r="D321" t="s">
        <x:v>70</x:v>
      </x:c>
      <x:c r="E321" s="384" t="n">
        <x:v>65200</x:v>
      </x:c>
      <x:c r="F321" s="89" t="n">
        <x:v>0</x:v>
      </x:c>
      <x:c r="G321" s="89" t="n">
        <x:v>0</x:v>
      </x:c>
      <x:c r="H321" s="384" t="n">
        <x:v>0</x:v>
      </x:c>
      <x:c r="I321" s="89" t="n">
        <x:v>0</x:v>
      </x:c>
      <x:c r="J321" s="89" t="n">
        <x:v>0</x:v>
      </x:c>
      <x:c r="K321" s="89" t="n">
        <x:v>0</x:v>
      </x:c>
      <x:c r="L321" s="89" t="n">
        <x:v>8573.34</x:v>
      </x:c>
      <x:c r="M321" s="89" t="n">
        <x:v>12543.38</x:v>
      </x:c>
      <x:c r="N321" s="89" t="n">
        <x:v>30874.18</x:v>
      </x:c>
      <x:c r="O321" s="89" t="n">
        <x:v>13213.18</x:v>
      </x:c>
      <x:c r="P321" s="89" t="n">
        <x:v>0</x:v>
      </x:c>
      <x:c r="Q321" s="89" t="n">
        <x:v>-4.08</x:v>
      </x:c>
      <x:c r="R321" s="384" t="n">
        <x:v>0</x:v>
      </x:c>
    </x:row>
    <x:row r="322" spans="2:18" s="739" customFormat="1" ht="11.45" customHeight="1" x14ac:dyDescent="0.2">
      <x:c r="B322" s="739" t="s">
        <x:v>85</x:v>
      </x:c>
      <x:c r="C322" s="739" t="s">
        <x:v>70</x:v>
      </x:c>
      <x:c r="E322" s="769" t="n">
        <x:v>65200</x:v>
      </x:c>
      <x:c r="F322" s="231" t="n">
        <x:v>0</x:v>
      </x:c>
      <x:c r="G322" s="231" t="n">
        <x:v>0</x:v>
      </x:c>
      <x:c r="H322" s="769" t="n">
        <x:v>0</x:v>
      </x:c>
      <x:c r="I322" s="231" t="n">
        <x:v>0</x:v>
      </x:c>
      <x:c r="J322" s="231" t="n">
        <x:v>0</x:v>
      </x:c>
      <x:c r="K322" s="231" t="n">
        <x:v>0</x:v>
      </x:c>
      <x:c r="L322" s="231" t="n">
        <x:v>8573.34</x:v>
      </x:c>
      <x:c r="M322" s="231" t="n">
        <x:v>12543.38</x:v>
      </x:c>
      <x:c r="N322" s="231" t="n">
        <x:v>30874.18</x:v>
      </x:c>
      <x:c r="O322" s="231" t="n">
        <x:v>13213.18</x:v>
      </x:c>
      <x:c r="P322" s="231" t="n">
        <x:v>0</x:v>
      </x:c>
      <x:c r="Q322" s="231" t="n">
        <x:v>-4.08</x:v>
      </x:c>
      <x:c r="R322" s="769" t="n">
        <x:v>0</x:v>
      </x:c>
    </x:row>
    <x:row r="323" spans="2:18" ht="11.45" customHeight="1" x14ac:dyDescent="0.2">
      <x:c r="D323" t="s">
        <x:v>72</x:v>
      </x:c>
      <x:c r="E323" s="384" t="n">
        <x:v>68714420.42</x:v>
      </x:c>
      <x:c r="F323" s="89" t="n">
        <x:v>4895211.77</x:v>
      </x:c>
      <x:c r="G323" s="89" t="n">
        <x:v>2735538</x:v>
      </x:c>
      <x:c r="H323" s="384" t="n">
        <x:v>1314029.25</x:v>
      </x:c>
      <x:c r="I323" s="89" t="n">
        <x:v>13547135.45</x:v>
      </x:c>
      <x:c r="J323" s="89" t="n">
        <x:v>563073.37</x:v>
      </x:c>
      <x:c r="K323" s="89" t="n">
        <x:v>0</x:v>
      </x:c>
      <x:c r="L323" s="89" t="n">
        <x:v>4872241.58</x:v>
      </x:c>
      <x:c r="M323" s="89" t="n">
        <x:v>4924747.43</x:v>
      </x:c>
      <x:c r="N323" s="89" t="n">
        <x:v>21693245.44</x:v>
      </x:c>
      <x:c r="O323" s="89" t="n">
        <x:v>13429215.78</x:v>
      </x:c>
      <x:c r="P323" s="89" t="n">
        <x:v>739746.82</x:v>
      </x:c>
      <x:c r="Q323" s="89" t="n">
        <x:v>235.53</x:v>
      </x:c>
      <x:c r="R323" s="384" t="n">
        <x:v>0</x:v>
      </x:c>
    </x:row>
    <x:row r="324" spans="2:18" ht="12.75" customHeight="1" x14ac:dyDescent="0.2">
      <x:c r="D324" t="s">
        <x:v>81</x:v>
      </x:c>
      <x:c r="E324" s="384" t="n">
        <x:v>100529.51</x:v>
      </x:c>
      <x:c r="F324" s="89" t="n">
        <x:v>9101.31</x:v>
      </x:c>
      <x:c r="G324" s="89" t="n">
        <x:v>4527.24</x:v>
      </x:c>
      <x:c r="H324" s="384" t="n">
        <x:v>2137.14</x:v>
      </x:c>
      <x:c r="I324" s="89" t="n">
        <x:v>21736.03</x:v>
      </x:c>
      <x:c r="J324" s="89" t="n">
        <x:v>829.63</x:v>
      </x:c>
      <x:c r="K324" s="89" t="n">
        <x:v>0</x:v>
      </x:c>
      <x:c r="L324" s="89" t="n">
        <x:v>7178.11</x:v>
      </x:c>
      <x:c r="M324" s="89" t="n">
        <x:v>7836.41</x:v>
      </x:c>
      <x:c r="N324" s="89" t="n">
        <x:v>21602.05</x:v>
      </x:c>
      <x:c r="O324" s="89" t="n">
        <x:v>24233.13</x:v>
      </x:c>
      <x:c r="P324" s="89" t="n">
        <x:v>1348.01</x:v>
      </x:c>
      <x:c r="Q324" s="89" t="n">
        <x:v>0.45</x:v>
      </x:c>
      <x:c r="R324" s="384" t="n">
        <x:v>0</x:v>
      </x:c>
    </x:row>
    <x:row r="325" spans="2:18" ht="12.75" customHeight="1" x14ac:dyDescent="0.2">
      <x:c r="C325" t="s">
        <x:v>156</x:v>
      </x:c>
      <x:c r="D325" t="s">
        <x:v>70</x:v>
      </x:c>
      <x:c r="E325" s="384" t="n">
        <x:v>68814949.93</x:v>
      </x:c>
      <x:c r="F325" s="89" t="n">
        <x:v>4904313.08</x:v>
      </x:c>
      <x:c r="G325" s="89" t="n">
        <x:v>2740065.24</x:v>
      </x:c>
      <x:c r="H325" s="384" t="n">
        <x:v>1316166.39</x:v>
      </x:c>
      <x:c r="I325" s="89" t="n">
        <x:v>13568871.48</x:v>
      </x:c>
      <x:c r="J325" s="89" t="n">
        <x:v>563903</x:v>
      </x:c>
      <x:c r="K325" s="89" t="n">
        <x:v>0</x:v>
      </x:c>
      <x:c r="L325" s="89" t="n">
        <x:v>4879419.69</x:v>
      </x:c>
      <x:c r="M325" s="89" t="n">
        <x:v>4932583.84</x:v>
      </x:c>
      <x:c r="N325" s="89" t="n">
        <x:v>21714847.49</x:v>
      </x:c>
      <x:c r="O325" s="89" t="n">
        <x:v>13453448.91</x:v>
      </x:c>
      <x:c r="P325" s="89" t="n">
        <x:v>741094.83</x:v>
      </x:c>
      <x:c r="Q325" s="89" t="n">
        <x:v>235.98</x:v>
      </x:c>
      <x:c r="R325" t="n">
        <x:v>0</x:v>
      </x:c>
    </x:row>
    <x:row r="326" spans="2:18" s="286" customFormat="1" ht="12.75" customHeight="1" x14ac:dyDescent="0.2">
      <x:c r="B326" s="286" t="s">
        <x:v>155</x:v>
      </x:c>
      <x:c r="C326" s="286" t="s">
        <x:v>70</x:v>
      </x:c>
      <x:c r="E326" s="753" t="n">
        <x:v>68814949.93</x:v>
      </x:c>
      <x:c r="F326" s="229" t="n">
        <x:v>4904313.08</x:v>
      </x:c>
      <x:c r="G326" s="229" t="n">
        <x:v>2740065.24</x:v>
      </x:c>
      <x:c r="H326" s="753" t="n">
        <x:v>1316166.39</x:v>
      </x:c>
      <x:c r="I326" s="229" t="n">
        <x:v>13568871.48</x:v>
      </x:c>
      <x:c r="J326" s="229" t="n">
        <x:v>563903</x:v>
      </x:c>
      <x:c r="K326" s="229" t="n">
        <x:v>0</x:v>
      </x:c>
      <x:c r="L326" s="229" t="n">
        <x:v>4879419.69</x:v>
      </x:c>
      <x:c r="M326" s="229" t="n">
        <x:v>4932583.84</x:v>
      </x:c>
      <x:c r="N326" s="229" t="n">
        <x:v>21714847.49</x:v>
      </x:c>
      <x:c r="O326" s="229" t="n">
        <x:v>13453448.91</x:v>
      </x:c>
      <x:c r="P326" s="229" t="n">
        <x:v>741094.83</x:v>
      </x:c>
      <x:c r="Q326" s="229" t="n">
        <x:v>235.98</x:v>
      </x:c>
      <x:c r="R326" s="286" t="n">
        <x:v>0</x:v>
      </x:c>
    </x:row>
    <x:row r="327" spans="2:18" ht="12.75" customHeight="1" x14ac:dyDescent="0.2">
      <x:c r="D327" t="s">
        <x:v>72</x:v>
      </x:c>
      <x:c r="E327" s="371" t="n">
        <x:v>3466726.24</x:v>
      </x:c>
      <x:c r="F327" s="90" t="n">
        <x:v>205023.32</x:v>
      </x:c>
      <x:c r="G327" s="90" t="n">
        <x:v>110875.97</x:v>
      </x:c>
      <x:c r="H327" s="90" t="n">
        <x:v>47292.72</x:v>
      </x:c>
      <x:c r="I327" s="90" t="n">
        <x:v>776320.57</x:v>
      </x:c>
      <x:c r="J327" s="90" t="n">
        <x:v>24341.09</x:v>
      </x:c>
      <x:c r="K327" s="90" t="n">
        <x:v>0</x:v>
      </x:c>
      <x:c r="L327" s="90" t="n">
        <x:v>225409.82</x:v>
      </x:c>
      <x:c r="M327" s="90" t="n">
        <x:v>243305.85</x:v>
      </x:c>
      <x:c r="N327" s="90" t="n">
        <x:v>1239272.56</x:v>
      </x:c>
      <x:c r="O327" s="90" t="n">
        <x:v>560128.56</x:v>
      </x:c>
      <x:c r="P327" s="90" t="n">
        <x:v>34732.46</x:v>
      </x:c>
      <x:c r="Q327" s="90" t="n">
        <x:v>23.32</x:v>
      </x:c>
      <x:c r="R327" t="n">
        <x:v>0</x:v>
      </x:c>
    </x:row>
    <x:row r="328" spans="2:18" ht="12.75" customHeight="1" x14ac:dyDescent="0.2">
      <x:c r="D328" t="s">
        <x:v>81</x:v>
      </x:c>
      <x:c r="E328" s="371" t="n">
        <x:v>-145.3</x:v>
      </x:c>
      <x:c r="F328" s="90" t="n">
        <x:v>6.78</x:v>
      </x:c>
      <x:c r="G328" s="90" t="n">
        <x:v>3.78</x:v>
      </x:c>
      <x:c r="H328" s="90" t="n">
        <x:v>2.01</x:v>
      </x:c>
      <x:c r="I328" s="90" t="n">
        <x:v>40.72</x:v>
      </x:c>
      <x:c r="J328" s="90" t="n">
        <x:v>1.38</x:v>
      </x:c>
      <x:c r="K328" s="90" t="n">
        <x:v>0</x:v>
      </x:c>
      <x:c r="L328" s="90" t="n">
        <x:v>12.09</x:v>
      </x:c>
      <x:c r="M328" s="90" t="n">
        <x:v>11.76</x:v>
      </x:c>
      <x:c r="N328" s="90" t="n">
        <x:v>-244.07</x:v>
      </x:c>
      <x:c r="O328" s="90" t="n">
        <x:v>17.94</x:v>
      </x:c>
      <x:c r="P328" s="90" t="n">
        <x:v>2.25</x:v>
      </x:c>
      <x:c r="Q328" s="90" t="n">
        <x:v>0.06</x:v>
      </x:c>
      <x:c r="R328" t="n">
        <x:v>0</x:v>
      </x:c>
    </x:row>
    <x:row r="329" spans="2:18" ht="12.75" customHeight="1" x14ac:dyDescent="0.2">
      <x:c r="C329" t="s">
        <x:v>115</x:v>
      </x:c>
      <x:c r="D329" t="s">
        <x:v>70</x:v>
      </x:c>
      <x:c r="E329" s="371" t="n">
        <x:v>3466580.94</x:v>
      </x:c>
      <x:c r="F329" s="90" t="n">
        <x:v>205030.1</x:v>
      </x:c>
      <x:c r="G329" s="90" t="n">
        <x:v>110879.75</x:v>
      </x:c>
      <x:c r="H329" s="90" t="n">
        <x:v>47294.73</x:v>
      </x:c>
      <x:c r="I329" s="90" t="n">
        <x:v>776361.29</x:v>
      </x:c>
      <x:c r="J329" s="90" t="n">
        <x:v>24342.47</x:v>
      </x:c>
      <x:c r="K329" s="90" t="n">
        <x:v>0</x:v>
      </x:c>
      <x:c r="L329" s="90" t="n">
        <x:v>225421.91</x:v>
      </x:c>
      <x:c r="M329" s="90" t="n">
        <x:v>243317.61</x:v>
      </x:c>
      <x:c r="N329" s="90" t="n">
        <x:v>1239028.49</x:v>
      </x:c>
      <x:c r="O329" s="90" t="n">
        <x:v>560146.5</x:v>
      </x:c>
      <x:c r="P329" s="90" t="n">
        <x:v>34734.71</x:v>
      </x:c>
      <x:c r="Q329" s="90" t="n">
        <x:v>23.38</x:v>
      </x:c>
      <x:c r="R329" t="n">
        <x:v>0</x:v>
      </x:c>
    </x:row>
    <x:row r="330" spans="2:18" ht="12.75" customHeight="1" x14ac:dyDescent="0.2">
      <x:c r="D330" t="s">
        <x:v>72</x:v>
      </x:c>
      <x:c r="E330" s="371" t="n">
        <x:v>532803.7</x:v>
      </x:c>
      <x:c r="F330" s="90" t="n">
        <x:v>59588.43</x:v>
      </x:c>
      <x:c r="G330" s="90" t="n">
        <x:v>33305.47</x:v>
      </x:c>
      <x:c r="H330" s="90" t="n">
        <x:v>17745.19</x:v>
      </x:c>
      <x:c r="I330" s="90" t="n">
        <x:v>89108.6</x:v>
      </x:c>
      <x:c r="J330" s="90" t="n">
        <x:v>3176.86</x:v>
      </x:c>
      <x:c r="K330" s="90" t="n">
        <x:v>0</x:v>
      </x:c>
      <x:c r="L330" s="90" t="n">
        <x:v>23127.64</x:v>
      </x:c>
      <x:c r="M330" s="90" t="n">
        <x:v>22061.13</x:v>
      </x:c>
      <x:c r="N330" s="90" t="n">
        <x:v>122413.18</x:v>
      </x:c>
      <x:c r="O330" s="90" t="n">
        <x:v>157988.38</x:v>
      </x:c>
      <x:c r="P330" s="90" t="n">
        <x:v>4291.91</x:v>
      </x:c>
      <x:c r="Q330" s="90" t="n">
        <x:v>-3.09</x:v>
      </x:c>
      <x:c r="R330" t="n">
        <x:v>0</x:v>
      </x:c>
    </x:row>
    <x:row r="331" spans="2:18" ht="12.75" customHeight="1" x14ac:dyDescent="0.2">
      <x:c r="D331" t="s">
        <x:v>81</x:v>
      </x:c>
      <x:c r="E331" s="371">
        <x:v>0</x:v>
      </x:c>
      <x:c r="F331" s="90">
        <x:v>0</x:v>
      </x:c>
      <x:c r="G331" s="90">
        <x:v>0</x:v>
      </x:c>
      <x:c r="H331" s="90">
        <x:v>0</x:v>
      </x:c>
      <x:c r="I331" s="90">
        <x:v>0</x:v>
      </x:c>
      <x:c r="J331" s="90">
        <x:v>0</x:v>
      </x:c>
      <x:c r="K331" s="90">
        <x:v>0</x:v>
      </x:c>
      <x:c r="L331" s="90">
        <x:v>0</x:v>
      </x:c>
      <x:c r="M331" s="90">
        <x:v>0</x:v>
      </x:c>
      <x:c r="N331" s="90">
        <x:v>0</x:v>
      </x:c>
      <x:c r="O331" s="90">
        <x:v>0</x:v>
      </x:c>
      <x:c r="P331" s="90">
        <x:v>0</x:v>
      </x:c>
      <x:c r="Q331" s="90">
        <x:v>0</x:v>
      </x:c>
      <x:c r="R331">
        <x:v>0</x:v>
      </x:c>
    </x:row>
    <x:row r="332" spans="2:18" ht="12.75" customHeight="1" x14ac:dyDescent="0.2">
      <x:c r="C332" t="s">
        <x:v>116</x:v>
      </x:c>
      <x:c r="D332" t="s">
        <x:v>70</x:v>
      </x:c>
      <x:c r="E332" s="371" t="n">
        <x:v>532803.7</x:v>
      </x:c>
      <x:c r="F332" s="90" t="n">
        <x:v>59588.43</x:v>
      </x:c>
      <x:c r="G332" s="90" t="n">
        <x:v>33305.47</x:v>
      </x:c>
      <x:c r="H332" s="90" t="n">
        <x:v>17745.19</x:v>
      </x:c>
      <x:c r="I332" s="90" t="n">
        <x:v>89108.6</x:v>
      </x:c>
      <x:c r="J332" s="90" t="n">
        <x:v>3176.86</x:v>
      </x:c>
      <x:c r="K332" s="90" t="n">
        <x:v>0</x:v>
      </x:c>
      <x:c r="L332" s="90" t="n">
        <x:v>23127.64</x:v>
      </x:c>
      <x:c r="M332" s="90" t="n">
        <x:v>22061.13</x:v>
      </x:c>
      <x:c r="N332" s="90" t="n">
        <x:v>122413.18</x:v>
      </x:c>
      <x:c r="O332" s="90" t="n">
        <x:v>157988.38</x:v>
      </x:c>
      <x:c r="P332" s="90" t="n">
        <x:v>4291.91</x:v>
      </x:c>
      <x:c r="Q332" s="90" t="n">
        <x:v>-3.09</x:v>
      </x:c>
      <x:c r="R332" t="n">
        <x:v>0</x:v>
      </x:c>
    </x:row>
    <x:row r="333" spans="2:18" ht="12.75" customHeight="1" x14ac:dyDescent="0.2">
      <x:c r="D333" t="s">
        <x:v>72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2:18" ht="12.75" customHeight="1" x14ac:dyDescent="0.2">
      <x:c r="D334" t="s">
        <x:v>81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2:18" ht="12.75" customHeight="1" x14ac:dyDescent="0.2">
      <x:c r="C335" s="772">
        <x:v>3</x:v>
      </x:c>
      <x:c r="D335" t="s">
        <x:v>70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2:18" ht="12.75" customHeight="1" x14ac:dyDescent="0.2">
      <x:c r="B336" s="89"/>
      <x:c r="C336" s="89"/>
      <x:c r="D336" t="s">
        <x:v>72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2:18" ht="12.75" customHeight="1" x14ac:dyDescent="0.2">
      <x:c r="B337" s="89"/>
      <x:c r="C337" s="89"/>
      <x:c r="D337" t="s">
        <x:v>81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2:18" ht="12.75" customHeight="1" x14ac:dyDescent="0.2">
      <x:c r="B338" s="89"/>
      <x:c r="C338" s="773">
        <x:v>4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2:18" ht="12.75" customHeight="1" x14ac:dyDescent="0.2">
      <x:c r="B339" s="89"/>
      <x:c r="C339" s="89"/>
      <x:c r="D339" t="s">
        <x:v>72</x:v>
      </x:c>
      <x:c r="E339" s="371" t="n">
        <x:v>6390734.3</x:v>
      </x:c>
      <x:c r="F339" s="90" t="n">
        <x:v>362089.5</x:v>
      </x:c>
      <x:c r="G339" s="90" t="n">
        <x:v>202267.41</x:v>
      </x:c>
      <x:c r="H339" s="90" t="n">
        <x:v>71249.84</x:v>
      </x:c>
      <x:c r="I339" s="90" t="n">
        <x:v>1581575.74</x:v>
      </x:c>
      <x:c r="J339" s="90" t="n">
        <x:v>55251.55</x:v>
      </x:c>
      <x:c r="K339" s="90" t="n">
        <x:v>0</x:v>
      </x:c>
      <x:c r="L339" s="90" t="n">
        <x:v>516823.44</x:v>
      </x:c>
      <x:c r="M339" s="90" t="n">
        <x:v>470272.99</x:v>
      </x:c>
      <x:c r="N339" s="90" t="n">
        <x:v>2029786.73</x:v>
      </x:c>
      <x:c r="O339" s="90" t="n">
        <x:v>1036240.18</x:v>
      </x:c>
      <x:c r="P339" s="90" t="n">
        <x:v>65182.06</x:v>
      </x:c>
      <x:c r="Q339" s="90" t="n">
        <x:v>-5.14</x:v>
      </x:c>
      <x:c r="R339" t="n">
        <x:v>0</x:v>
      </x:c>
    </x:row>
    <x:row r="340" spans="2:18" ht="12.75" customHeight="1" x14ac:dyDescent="0.2">
      <x:c r="B340" s="89"/>
      <x:c r="C340" s="89"/>
      <x:c r="D340" t="s">
        <x:v>81</x:v>
      </x:c>
      <x:c r="E340" s="371" t="n">
        <x:v>-216.72</x:v>
      </x:c>
      <x:c r="F340" s="90" t="n">
        <x:v>4.1</x:v>
      </x:c>
      <x:c r="G340" s="90" t="n">
        <x:v>2.31</x:v>
      </x:c>
      <x:c r="H340" s="90" t="n">
        <x:v>1.22</x:v>
      </x:c>
      <x:c r="I340" s="90" t="n">
        <x:v>26.4</x:v>
      </x:c>
      <x:c r="J340" s="90" t="n">
        <x:v>0.89</x:v>
      </x:c>
      <x:c r="K340" s="90" t="n">
        <x:v>0</x:v>
      </x:c>
      <x:c r="L340" s="90" t="n">
        <x:v>7.85</x:v>
      </x:c>
      <x:c r="M340" s="90" t="n">
        <x:v>7.64</x:v>
      </x:c>
      <x:c r="N340" s="90" t="n">
        <x:v>-279.48</x:v>
      </x:c>
      <x:c r="O340" s="90" t="n">
        <x:v>10.9</x:v>
      </x:c>
      <x:c r="P340" s="90" t="n">
        <x:v>1.45</x:v>
      </x:c>
      <x:c r="Q340" s="90" t="n">
        <x:v>0</x:v>
      </x:c>
      <x:c r="R340" t="n">
        <x:v>0</x:v>
      </x:c>
    </x:row>
    <x:row r="341" spans="2:18" ht="12.75" customHeight="1" x14ac:dyDescent="0.2">
      <x:c r="B341" s="89"/>
      <x:c r="C341" s="89" t="s">
        <x:v>118</x:v>
      </x:c>
      <x:c r="D341" t="s">
        <x:v>70</x:v>
      </x:c>
      <x:c r="E341" s="371" t="n">
        <x:v>6390517.58</x:v>
      </x:c>
      <x:c r="F341" s="90" t="n">
        <x:v>362093.6</x:v>
      </x:c>
      <x:c r="G341" s="90" t="n">
        <x:v>202269.72</x:v>
      </x:c>
      <x:c r="H341" s="90" t="n">
        <x:v>71251.06</x:v>
      </x:c>
      <x:c r="I341" s="90" t="n">
        <x:v>1581602.14</x:v>
      </x:c>
      <x:c r="J341" s="90" t="n">
        <x:v>55252.44</x:v>
      </x:c>
      <x:c r="K341" s="90" t="n">
        <x:v>0</x:v>
      </x:c>
      <x:c r="L341" s="90" t="n">
        <x:v>516831.29</x:v>
      </x:c>
      <x:c r="M341" s="90" t="n">
        <x:v>470280.63</x:v>
      </x:c>
      <x:c r="N341" s="90" t="n">
        <x:v>2029507.25</x:v>
      </x:c>
      <x:c r="O341" s="90" t="n">
        <x:v>1036251.08</x:v>
      </x:c>
      <x:c r="P341" s="90" t="n">
        <x:v>65183.51</x:v>
      </x:c>
      <x:c r="Q341" s="90" t="n">
        <x:v>-5.14</x:v>
      </x:c>
      <x:c r="R341" t="n">
        <x:v>0</x:v>
      </x:c>
    </x:row>
    <x:row r="342" spans="2:18" ht="12.75" customHeight="1" x14ac:dyDescent="0.2">
      <x:c r="B342" s="89"/>
      <x:c r="C342" s="89"/>
      <x:c r="D342" t="s">
        <x:v>72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2:18" ht="12.75" customHeight="1" x14ac:dyDescent="0.2">
      <x:c r="B343" s="89"/>
      <x:c r="C343" s="89"/>
      <x:c r="D343" t="s">
        <x:v>81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2:18" ht="12.75" customHeight="1" x14ac:dyDescent="0.2">
      <x:c r="B344" s="89"/>
      <x:c r="C344" s="773">
        <x:v>6</x:v>
      </x:c>
      <x:c r="D344" t="s">
        <x:v>70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2:18" ht="12.75" customHeight="1" x14ac:dyDescent="0.2">
      <x:c r="B345" s="89"/>
      <x:c r="C345" s="89"/>
      <x:c r="D345" t="s">
        <x:v>72</x:v>
      </x:c>
      <x:c r="E345" s="371">
        <x:v>0</x:v>
      </x:c>
      <x:c r="F345" s="90">
        <x:v>0</x:v>
      </x:c>
      <x:c r="G345" s="90">
        <x:v>0</x:v>
      </x:c>
      <x:c r="H345" s="90">
        <x:v>0</x:v>
      </x:c>
      <x:c r="I345" s="90">
        <x:v>0</x:v>
      </x:c>
      <x:c r="J345" s="90">
        <x:v>0</x:v>
      </x:c>
      <x:c r="K345" s="90">
        <x:v>0</x:v>
      </x:c>
      <x:c r="L345" s="90">
        <x:v>0</x:v>
      </x:c>
      <x:c r="M345" s="90">
        <x:v>0</x:v>
      </x:c>
      <x:c r="N345" s="90">
        <x:v>0</x:v>
      </x:c>
      <x:c r="O345" s="90">
        <x:v>0</x:v>
      </x:c>
      <x:c r="P345" s="90">
        <x:v>0</x:v>
      </x:c>
      <x:c r="Q345" s="90">
        <x:v>0</x:v>
      </x:c>
      <x:c r="R345">
        <x:v>0</x:v>
      </x:c>
    </x:row>
    <x:row r="346" spans="2:18" ht="12.75" customHeight="1" x14ac:dyDescent="0.2">
      <x:c r="B346" s="89"/>
      <x:c r="C346" s="89"/>
      <x:c r="D346" t="s">
        <x:v>81</x:v>
      </x:c>
      <x:c r="E346" s="371">
        <x:v>0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>
        <x:v>0</x:v>
      </x:c>
    </x:row>
    <x:row r="347" spans="2:18" ht="12.75" customHeight="1" x14ac:dyDescent="0.2">
      <x:c r="B347" s="89"/>
      <x:c r="C347" s="773">
        <x:v>9</x:v>
      </x:c>
      <x:c r="D347" t="s">
        <x:v>70</x:v>
      </x:c>
      <x:c r="E347" s="371">
        <x:v>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>
        <x:v>0</x:v>
      </x:c>
    </x:row>
    <x:row r="348" spans="2:18" s="224" customFormat="1" ht="12.75" customHeight="1" x14ac:dyDescent="0.2">
      <x:c r="B348" s="224" t="s">
        <x:v>120</x:v>
      </x:c>
      <x:c r="C348" s="223" t="s">
        <x:v>70</x:v>
      </x:c>
      <x:c r="D348" s="223"/>
      <x:c r="E348" s="225" t="n">
        <x:v>10389902.22</x:v>
      </x:c>
      <x:c r="F348" s="225" t="n">
        <x:v>626712.13</x:v>
      </x:c>
      <x:c r="G348" s="225" t="n">
        <x:v>346454.94</x:v>
      </x:c>
      <x:c r="H348" s="225" t="n">
        <x:v>136290.98</x:v>
      </x:c>
      <x:c r="I348" s="225" t="n">
        <x:v>2447072.03</x:v>
      </x:c>
      <x:c r="J348" s="225" t="n">
        <x:v>82771.77</x:v>
      </x:c>
      <x:c r="K348" s="225" t="n">
        <x:v>0</x:v>
      </x:c>
      <x:c r="L348" s="225" t="n">
        <x:v>765380.84</x:v>
      </x:c>
      <x:c r="M348" s="225" t="n">
        <x:v>735659.37</x:v>
      </x:c>
      <x:c r="N348" s="225" t="n">
        <x:v>3390948.92</x:v>
      </x:c>
      <x:c r="O348" s="225" t="n">
        <x:v>1754385.96</x:v>
      </x:c>
      <x:c r="P348" s="225" t="n">
        <x:v>104210.13</x:v>
      </x:c>
      <x:c r="Q348" s="225" t="n">
        <x:v>15.15</x:v>
      </x:c>
      <x:c r="R348" s="224" t="n">
        <x:v>0</x:v>
      </x:c>
    </x:row>
    <x:row r="349" spans="2:18" ht="12.75" customHeight="1" x14ac:dyDescent="0.2">
      <x:c r="C349" s="89"/>
      <x:c r="D349" s="89" t="s">
        <x:v>72</x:v>
      </x:c>
      <x:c r="E349" s="371" t="n">
        <x:v>5565241.44</x:v>
      </x:c>
      <x:c r="F349" s="90" t="n">
        <x:v>304818.66</x:v>
      </x:c>
      <x:c r="G349" s="90" t="n">
        <x:v>175592.01</x:v>
      </x:c>
      <x:c r="H349" s="90" t="n">
        <x:v>79961.23</x:v>
      </x:c>
      <x:c r="I349" s="90" t="n">
        <x:v>1285208.55</x:v>
      </x:c>
      <x:c r="J349" s="90" t="n">
        <x:v>35758.13</x:v>
      </x:c>
      <x:c r="K349" s="90" t="n">
        <x:v>0</x:v>
      </x:c>
      <x:c r="L349" s="90" t="n">
        <x:v>350530.3</x:v>
      </x:c>
      <x:c r="M349" s="90" t="n">
        <x:v>425808.76</x:v>
      </x:c>
      <x:c r="N349" s="90" t="n">
        <x:v>1942487.29</x:v>
      </x:c>
      <x:c r="O349" s="90" t="n">
        <x:v>911726.93</x:v>
      </x:c>
      <x:c r="P349" s="90" t="n">
        <x:v>53347.38</x:v>
      </x:c>
      <x:c r="Q349" s="90" t="n">
        <x:v>2.2</x:v>
      </x:c>
      <x:c r="R349" t="n">
        <x:v>0</x:v>
      </x:c>
    </x:row>
    <x:row r="350" spans="2:18" ht="12.75" customHeight="1" x14ac:dyDescent="0.2">
      <x:c r="C350" s="89"/>
      <x:c r="D350" s="89" t="s">
        <x:v>81</x:v>
      </x:c>
      <x:c r="E350" s="371" t="n">
        <x:v>1089.26</x:v>
      </x:c>
      <x:c r="F350" s="90" t="n">
        <x:v>76.24</x:v>
      </x:c>
      <x:c r="G350" s="90" t="n">
        <x:v>43.02</x:v>
      </x:c>
      <x:c r="H350" s="90" t="n">
        <x:v>22.61</x:v>
      </x:c>
      <x:c r="I350" s="90" t="n">
        <x:v>366.95</x:v>
      </x:c>
      <x:c r="J350" s="90" t="n">
        <x:v>10.79</x:v>
      </x:c>
      <x:c r="K350" s="90" t="n">
        <x:v>0</x:v>
      </x:c>
      <x:c r="L350" s="90" t="n">
        <x:v>94.5</x:v>
      </x:c>
      <x:c r="M350" s="90" t="n">
        <x:v>114.98</x:v>
      </x:c>
      <x:c r="N350" s="90" t="n">
        <x:v>140.64</x:v>
      </x:c>
      <x:c r="O350" s="90" t="n">
        <x:v>201.93</x:v>
      </x:c>
      <x:c r="P350" s="90" t="n">
        <x:v>17.58</x:v>
      </x:c>
      <x:c r="Q350" s="90" t="n">
        <x:v>0.02</x:v>
      </x:c>
      <x:c r="R350" t="n">
        <x:v>0</x:v>
      </x:c>
    </x:row>
    <x:row r="351" spans="2:18" ht="12.75" customHeight="1" x14ac:dyDescent="0.2">
      <x:c r="C351" s="89" t="s">
        <x:v>82</x:v>
      </x:c>
      <x:c r="D351" s="89" t="s">
        <x:v>70</x:v>
      </x:c>
      <x:c r="E351" s="371" t="n">
        <x:v>5566330.7</x:v>
      </x:c>
      <x:c r="F351" s="90" t="n">
        <x:v>304894.9</x:v>
      </x:c>
      <x:c r="G351" s="90" t="n">
        <x:v>175635.03</x:v>
      </x:c>
      <x:c r="H351" s="90" t="n">
        <x:v>79983.84</x:v>
      </x:c>
      <x:c r="I351" s="90" t="n">
        <x:v>1285575.5</x:v>
      </x:c>
      <x:c r="J351" s="90" t="n">
        <x:v>35768.92</x:v>
      </x:c>
      <x:c r="K351" s="90" t="n">
        <x:v>0</x:v>
      </x:c>
      <x:c r="L351" s="90" t="n">
        <x:v>350624.8</x:v>
      </x:c>
      <x:c r="M351" s="90" t="n">
        <x:v>425923.74</x:v>
      </x:c>
      <x:c r="N351" s="90" t="n">
        <x:v>1942627.93</x:v>
      </x:c>
      <x:c r="O351" s="90" t="n">
        <x:v>911928.86</x:v>
      </x:c>
      <x:c r="P351" s="90" t="n">
        <x:v>53364.96</x:v>
      </x:c>
      <x:c r="Q351" s="90" t="n">
        <x:v>2.22</x:v>
      </x:c>
      <x:c r="R351" t="n">
        <x:v>0</x:v>
      </x:c>
    </x:row>
    <x:row r="352" spans="2:18" ht="12.75" customHeight="1" x14ac:dyDescent="0.2">
      <x:c r="C352" s="89"/>
      <x:c r="D352" s="89" t="s">
        <x:v>72</x:v>
      </x:c>
      <x:c r="E352" s="371" t="n">
        <x:v>10871142.8</x:v>
      </x:c>
      <x:c r="F352" s="90" t="n">
        <x:v>506984.62</x:v>
      </x:c>
      <x:c r="G352" s="90" t="n">
        <x:v>308269.64</x:v>
      </x:c>
      <x:c r="H352" s="90" t="n">
        <x:v>139371.72</x:v>
      </x:c>
      <x:c r="I352" s="90" t="n">
        <x:v>2777170.93</x:v>
      </x:c>
      <x:c r="J352" s="90" t="n">
        <x:v>97216.6</x:v>
      </x:c>
      <x:c r="K352" s="90" t="n">
        <x:v>0</x:v>
      </x:c>
      <x:c r="L352" s="90" t="n">
        <x:v>798696.98</x:v>
      </x:c>
      <x:c r="M352" s="90" t="n">
        <x:v>896953.89</x:v>
      </x:c>
      <x:c r="N352" s="90" t="n">
        <x:v>3813009.85</x:v>
      </x:c>
      <x:c r="O352" s="90" t="n">
        <x:v>1408529.29</x:v>
      </x:c>
      <x:c r="P352" s="90" t="n">
        <x:v>124959.67</x:v>
      </x:c>
      <x:c r="Q352" s="90" t="n">
        <x:v>-20.39</x:v>
      </x:c>
      <x:c r="R352" t="n">
        <x:v>0</x:v>
      </x:c>
    </x:row>
    <x:row r="353" spans="1:18" ht="12.75" customHeight="1" x14ac:dyDescent="0.2">
      <x:c r="C353" s="89"/>
      <x:c r="D353" s="89" t="s">
        <x:v>81</x:v>
      </x:c>
      <x:c r="E353" s="371" t="n">
        <x:v>24122.73</x:v>
      </x:c>
      <x:c r="F353" s="90" t="n">
        <x:v>2026.55</x:v>
      </x:c>
      <x:c r="G353" s="90" t="n">
        <x:v>1069.6</x:v>
      </x:c>
      <x:c r="H353" s="90" t="n">
        <x:v>554.87</x:v>
      </x:c>
      <x:c r="I353" s="90" t="n">
        <x:v>6399.16</x:v>
      </x:c>
      <x:c r="J353" s="90" t="n">
        <x:v>232.39</x:v>
      </x:c>
      <x:c r="K353" s="90" t="n">
        <x:v>0</x:v>
      </x:c>
      <x:c r="L353" s="90" t="n">
        <x:v>1746.53</x:v>
      </x:c>
      <x:c r="M353" s="90" t="n">
        <x:v>2170.31</x:v>
      </x:c>
      <x:c r="N353" s="90" t="n">
        <x:v>4195.09</x:v>
      </x:c>
      <x:c r="O353" s="90" t="n">
        <x:v>5349.25</x:v>
      </x:c>
      <x:c r="P353" s="90" t="n">
        <x:v>378.89</x:v>
      </x:c>
      <x:c r="Q353" s="90" t="n">
        <x:v>0.09</x:v>
      </x:c>
      <x:c r="R353" t="n">
        <x:v>0</x:v>
      </x:c>
    </x:row>
    <x:row r="354" spans="1:18" ht="12.75" customHeight="1" x14ac:dyDescent="0.2">
      <x:c r="C354" s="89" t="s">
        <x:v>86</x:v>
      </x:c>
      <x:c r="D354" s="89" t="s">
        <x:v>70</x:v>
      </x:c>
      <x:c r="E354" s="371" t="n">
        <x:v>10895265.53</x:v>
      </x:c>
      <x:c r="F354" s="90" t="n">
        <x:v>509011.17</x:v>
      </x:c>
      <x:c r="G354" s="90" t="n">
        <x:v>309339.24</x:v>
      </x:c>
      <x:c r="H354" s="90" t="n">
        <x:v>139926.59</x:v>
      </x:c>
      <x:c r="I354" s="90" t="n">
        <x:v>2783570.09</x:v>
      </x:c>
      <x:c r="J354" s="90" t="n">
        <x:v>97448.99</x:v>
      </x:c>
      <x:c r="K354" s="90" t="n">
        <x:v>0</x:v>
      </x:c>
      <x:c r="L354" s="90" t="n">
        <x:v>800443.51</x:v>
      </x:c>
      <x:c r="M354" s="90" t="n">
        <x:v>899124.2</x:v>
      </x:c>
      <x:c r="N354" s="90" t="n">
        <x:v>3817204.94</x:v>
      </x:c>
      <x:c r="O354" s="90" t="n">
        <x:v>1413878.54</x:v>
      </x:c>
      <x:c r="P354" s="90" t="n">
        <x:v>125338.56</x:v>
      </x:c>
      <x:c r="Q354" s="90" t="n">
        <x:v>-20.3</x:v>
      </x:c>
      <x:c r="R354" t="n">
        <x:v>0</x:v>
      </x:c>
    </x:row>
    <x:row r="355" spans="1:18" ht="12.75" customHeight="1" x14ac:dyDescent="0.2">
      <x:c r="C355" s="89"/>
      <x:c r="D355" s="89" t="s">
        <x:v>72</x:v>
      </x:c>
      <x:c r="E355" s="371" t="n">
        <x:v>23521020.36</x:v>
      </x:c>
      <x:c r="F355" s="90" t="n">
        <x:v>3379530.51</x:v>
      </x:c>
      <x:c r="G355" s="90" t="n">
        <x:v>1879976.47</x:v>
      </x:c>
      <x:c r="H355" s="90" t="n">
        <x:v>1000044.14</x:v>
      </x:c>
      <x:c r="I355" s="90" t="n">
        <x:v>2485405.24</x:v>
      </x:c>
      <x:c r="J355" s="90" t="n">
        <x:v>64357.25</x:v>
      </x:c>
      <x:c r="K355" s="90" t="n">
        <x:v>858000</x:v>
      </x:c>
      <x:c r="L355" s="90" t="n">
        <x:v>572441.4</x:v>
      </x:c>
      <x:c r="M355" s="90" t="n">
        <x:v>803657.52</x:v>
      </x:c>
      <x:c r="N355" s="90" t="n">
        <x:v>3784959.27</x:v>
      </x:c>
      <x:c r="O355" s="90" t="n">
        <x:v>8591493.23</x:v>
      </x:c>
      <x:c r="P355" s="90" t="n">
        <x:v>101147.02</x:v>
      </x:c>
      <x:c r="Q355" s="90" t="n">
        <x:v>8.31</x:v>
      </x:c>
      <x:c r="R355" t="n">
        <x:v>0</x:v>
      </x:c>
    </x:row>
    <x:row r="356" spans="1:18" ht="12.75" customHeight="1" x14ac:dyDescent="0.2">
      <x:c r="C356" s="89"/>
      <x:c r="D356" s="89" t="s">
        <x:v>81</x:v>
      </x:c>
      <x:c r="E356" s="371" t="n">
        <x:v>15576.21</x:v>
      </x:c>
      <x:c r="F356" s="90" t="n">
        <x:v>1456.57</x:v>
      </x:c>
      <x:c r="G356" s="90" t="n">
        <x:v>683.12</x:v>
      </x:c>
      <x:c r="H356" s="90" t="n">
        <x:v>387.73</x:v>
      </x:c>
      <x:c r="I356" s="90" t="n">
        <x:v>3074.16</x:v>
      </x:c>
      <x:c r="J356" s="90" t="n">
        <x:v>82.27</x:v>
      </x:c>
      <x:c r="K356" s="90" t="n">
        <x:v>314.69</x:v>
      </x:c>
      <x:c r="L356" s="90" t="n">
        <x:v>721.78</x:v>
      </x:c>
      <x:c r="M356" s="90" t="n">
        <x:v>849.74</x:v>
      </x:c>
      <x:c r="N356" s="90" t="n">
        <x:v>3973.47</x:v>
      </x:c>
      <x:c r="O356" s="90" t="n">
        <x:v>3898.3</x:v>
      </x:c>
      <x:c r="P356" s="90" t="n">
        <x:v>134.36</x:v>
      </x:c>
      <x:c r="Q356" s="90" t="n">
        <x:v>0.02</x:v>
      </x:c>
      <x:c r="R356" t="n">
        <x:v>0</x:v>
      </x:c>
    </x:row>
    <x:row r="357" spans="1:18" ht="12.75" customHeight="1" x14ac:dyDescent="0.2">
      <x:c r="A357" s="89"/>
      <x:c r="B357" s="89"/>
      <x:c r="C357" t="s">
        <x:v>87</x:v>
      </x:c>
      <x:c r="D357" t="s">
        <x:v>70</x:v>
      </x:c>
      <x:c r="E357" s="90" t="n">
        <x:v>23536596.57</x:v>
      </x:c>
      <x:c r="F357" s="90" t="n">
        <x:v>3380987.08</x:v>
      </x:c>
      <x:c r="G357" s="90" t="n">
        <x:v>1880659.59</x:v>
      </x:c>
      <x:c r="H357" s="90" t="n">
        <x:v>1000431.87</x:v>
      </x:c>
      <x:c r="I357" s="90" t="n">
        <x:v>2488479.4</x:v>
      </x:c>
      <x:c r="J357" s="90" t="n">
        <x:v>64439.52</x:v>
      </x:c>
      <x:c r="K357" s="90" t="n">
        <x:v>858314.69</x:v>
      </x:c>
      <x:c r="L357" s="90" t="n">
        <x:v>573163.18</x:v>
      </x:c>
      <x:c r="M357" s="90" t="n">
        <x:v>804507.26</x:v>
      </x:c>
      <x:c r="N357" s="90" t="n">
        <x:v>3788932.74</x:v>
      </x:c>
      <x:c r="O357" s="90" t="n">
        <x:v>8595391.53</x:v>
      </x:c>
      <x:c r="P357" s="90" t="n">
        <x:v>101281.38</x:v>
      </x:c>
      <x:c r="Q357" s="90" t="n">
        <x:v>8.33</x:v>
      </x:c>
      <x:c r="R357" t="n">
        <x:v>0</x:v>
      </x:c>
    </x:row>
    <x:row r="358" spans="1:18" s="94" customFormat="1" ht="12.75" customHeight="1" x14ac:dyDescent="0.2">
      <x:c r="B358" s="101" t="s">
        <x:v>119</x:v>
      </x:c>
      <x:c r="C358" s="101" t="s">
        <x:v>70</x:v>
      </x:c>
      <x:c r="E358" s="93" t="n">
        <x:v>39998192.8</x:v>
      </x:c>
      <x:c r="F358" s="93" t="n">
        <x:v>4194893.15</x:v>
      </x:c>
      <x:c r="G358" s="93" t="n">
        <x:v>2365633.86</x:v>
      </x:c>
      <x:c r="H358" s="93" t="n">
        <x:v>1220342.3</x:v>
      </x:c>
      <x:c r="I358" s="93" t="n">
        <x:v>6557624.99</x:v>
      </x:c>
      <x:c r="J358" s="93" t="n">
        <x:v>197657.43</x:v>
      </x:c>
      <x:c r="K358" s="93" t="n">
        <x:v>858314.69</x:v>
      </x:c>
      <x:c r="L358" s="93" t="n">
        <x:v>1724231.49</x:v>
      </x:c>
      <x:c r="M358" s="93" t="n">
        <x:v>2129555.2</x:v>
      </x:c>
      <x:c r="N358" s="93" t="n">
        <x:v>9548765.61</x:v>
      </x:c>
      <x:c r="O358" s="93" t="n">
        <x:v>10921198.93</x:v>
      </x:c>
      <x:c r="P358" s="93" t="n">
        <x:v>279984.9</x:v>
      </x:c>
      <x:c r="Q358" s="93" t="n">
        <x:v>-9.75</x:v>
      </x:c>
      <x:c r="R358" s="94" t="n">
        <x:v>0</x:v>
      </x:c>
    </x:row>
    <x:row r="359" spans="1:18" s="226" customFormat="1" ht="12.75" customHeight="1" x14ac:dyDescent="0.2">
      <x:c r="A359" s="98" t="s">
        <x:v>78</x:v>
      </x:c>
      <x:c r="B359" s="98" t="s">
        <x:v>70</x:v>
      </x:c>
      <x:c r="E359" s="100" t="n">
        <x:v>119268244.95</x:v>
      </x:c>
      <x:c r="F359" s="100" t="n">
        <x:v>9725918.36</x:v>
      </x:c>
      <x:c r="G359" s="100" t="n">
        <x:v>5452154.04</x:v>
      </x:c>
      <x:c r="H359" s="100" t="n">
        <x:v>2672799.67</x:v>
      </x:c>
      <x:c r="I359" s="100" t="n">
        <x:v>22573568.5</x:v>
      </x:c>
      <x:c r="J359" s="100" t="n">
        <x:v>844332.2</x:v>
      </x:c>
      <x:c r="K359" s="100" t="n">
        <x:v>858314.69</x:v>
      </x:c>
      <x:c r="L359" s="100" t="n">
        <x:v>7377605.36</x:v>
      </x:c>
      <x:c r="M359" s="100" t="n">
        <x:v>7810341.79</x:v>
      </x:c>
      <x:c r="N359" s="100" t="n">
        <x:v>34685436.2</x:v>
      </x:c>
      <x:c r="O359" s="100" t="n">
        <x:v>26142246.98</x:v>
      </x:c>
      <x:c r="P359" s="100" t="n">
        <x:v>1125289.86</x:v>
      </x:c>
      <x:c r="Q359" s="100" t="n">
        <x:v>237.3</x:v>
      </x:c>
      <x:c r="R359" s="226" t="n">
        <x:v>0</x:v>
      </x:c>
    </x:row>
    <x:row r="360" spans="1:18" ht="12.75" customHeight="1" x14ac:dyDescent="0.2">
      <x:c r="B360" s="89"/>
      <x:c r="C360" s="89"/>
      <x:c r="D360" t="s">
        <x:v>73</x:v>
      </x:c>
      <x:c r="E360" s="90">
        <x:v>0</x:v>
      </x:c>
      <x:c r="F360" s="90">
        <x:v>0</x:v>
      </x:c>
      <x:c r="G360" s="90">
        <x:v>0</x:v>
      </x:c>
      <x:c r="H360" s="90">
        <x:v>0</x:v>
      </x:c>
      <x:c r="I360" s="90">
        <x:v>0</x:v>
      </x:c>
      <x:c r="J360" s="90">
        <x:v>0</x:v>
      </x:c>
      <x:c r="K360" s="90">
        <x:v>0</x:v>
      </x:c>
      <x:c r="L360" s="90">
        <x:v>0</x:v>
      </x:c>
      <x:c r="M360" s="90">
        <x:v>0</x:v>
      </x:c>
      <x:c r="N360" s="90">
        <x:v>0</x:v>
      </x:c>
      <x:c r="O360" s="90">
        <x:v>0</x:v>
      </x:c>
      <x:c r="P360" s="90">
        <x:v>0</x:v>
      </x:c>
      <x:c r="Q360" s="90">
        <x:v>0</x:v>
      </x:c>
      <x:c r="R360">
        <x:v>0</x:v>
      </x:c>
    </x:row>
    <x:row r="361" spans="1:18" ht="12.75" customHeight="1" x14ac:dyDescent="0.2">
      <x:c r="B361" s="89"/>
      <x:c r="C361" s="89" t="s">
        <x:v>332</x:v>
      </x:c>
      <x:c r="D361" t="s">
        <x:v>70</x:v>
      </x:c>
      <x:c r="E361" s="90">
        <x:v>0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>
        <x:v>0</x:v>
      </x:c>
    </x:row>
    <x:row r="362" spans="1:18" s="378" customFormat="1" ht="12.75" customHeight="1" x14ac:dyDescent="0.2">
      <x:c r="B362" s="378" t="s">
        <x:v>85</x:v>
      </x:c>
      <x:c r="C362" s="378" t="s">
        <x:v>70</x:v>
      </x:c>
      <x:c r="E362" s="378">
        <x:v>0</x:v>
      </x:c>
      <x:c r="F362" s="378">
        <x:v>0</x:v>
      </x:c>
      <x:c r="G362" s="378">
        <x:v>0</x:v>
      </x:c>
      <x:c r="H362" s="378">
        <x:v>0</x:v>
      </x:c>
      <x:c r="I362" s="378">
        <x:v>0</x:v>
      </x:c>
      <x:c r="J362" s="378">
        <x:v>0</x:v>
      </x:c>
      <x:c r="K362" s="378">
        <x:v>0</x:v>
      </x:c>
      <x:c r="L362" s="378">
        <x:v>0</x:v>
      </x:c>
      <x:c r="M362" s="378">
        <x:v>0</x:v>
      </x:c>
      <x:c r="N362" s="378">
        <x:v>0</x:v>
      </x:c>
      <x:c r="O362" s="378">
        <x:v>0</x:v>
      </x:c>
      <x:c r="P362" s="378">
        <x:v>0</x:v>
      </x:c>
      <x:c r="Q362" s="378">
        <x:v>0</x:v>
      </x:c>
      <x:c r="R362" s="378">
        <x:v>0</x:v>
      </x:c>
    </x:row>
    <x:row r="363" spans="1:18" ht="12.75" customHeight="1" x14ac:dyDescent="0.2">
      <x:c r="B363" s="89"/>
      <x:c r="C363" s="89"/>
      <x:c r="D363" t="s">
        <x:v>73</x:v>
      </x:c>
      <x:c r="E363" s="371" t="n">
        <x:v>-8893373.36</x:v>
      </x:c>
      <x:c r="F363" s="90" t="n">
        <x:v>-183502.75</x:v>
      </x:c>
      <x:c r="G363" s="90" t="n">
        <x:v>-105577.79</x:v>
      </x:c>
      <x:c r="H363" s="90" t="n">
        <x:v>-52212.49</x:v>
      </x:c>
      <x:c r="I363" s="90" t="n">
        <x:v>-2364321.11</x:v>
      </x:c>
      <x:c r="J363" s="90" t="n">
        <x:v>-90917.32</x:v>
      </x:c>
      <x:c r="K363" s="90" t="n">
        <x:v>0</x:v>
      </x:c>
      <x:c r="L363" s="90" t="n">
        <x:v>-790049.46</x:v>
      </x:c>
      <x:c r="M363" s="90" t="n">
        <x:v>-760783.95</x:v>
      </x:c>
      <x:c r="N363" s="90" t="n">
        <x:v>-3939721.02</x:v>
      </x:c>
      <x:c r="O363" s="90" t="n">
        <x:v>-459769.26</x:v>
      </x:c>
      <x:c r="P363" s="90" t="n">
        <x:v>-146518.21</x:v>
      </x:c>
      <x:c r="Q363" s="90" t="n">
        <x:v>0</x:v>
      </x:c>
      <x:c r="R363" t="n">
        <x:v>0</x:v>
      </x:c>
    </x:row>
    <x:row r="364" spans="1:18" ht="12.75" customHeight="1" x14ac:dyDescent="0.2">
      <x:c r="B364" s="89"/>
      <x:c r="C364" s="89" t="s">
        <x:v>156</x:v>
      </x:c>
      <x:c r="D364" t="s">
        <x:v>70</x:v>
      </x:c>
      <x:c r="E364" s="371" t="n">
        <x:v>-8893373.36</x:v>
      </x:c>
      <x:c r="F364" s="90" t="n">
        <x:v>-183502.75</x:v>
      </x:c>
      <x:c r="G364" s="90" t="n">
        <x:v>-105577.79</x:v>
      </x:c>
      <x:c r="H364" s="90" t="n">
        <x:v>-52212.49</x:v>
      </x:c>
      <x:c r="I364" s="90" t="n">
        <x:v>-2364321.11</x:v>
      </x:c>
      <x:c r="J364" s="90" t="n">
        <x:v>-90917.32</x:v>
      </x:c>
      <x:c r="K364" s="90" t="n">
        <x:v>0</x:v>
      </x:c>
      <x:c r="L364" s="90" t="n">
        <x:v>-790049.46</x:v>
      </x:c>
      <x:c r="M364" s="90" t="n">
        <x:v>-760783.95</x:v>
      </x:c>
      <x:c r="N364" s="90" t="n">
        <x:v>-3939721.02</x:v>
      </x:c>
      <x:c r="O364" s="90" t="n">
        <x:v>-459769.26</x:v>
      </x:c>
      <x:c r="P364" s="90" t="n">
        <x:v>-146518.21</x:v>
      </x:c>
      <x:c r="Q364" s="90" t="n">
        <x:v>0</x:v>
      </x:c>
      <x:c r="R364" t="n">
        <x:v>0</x:v>
      </x:c>
    </x:row>
    <x:row r="365" spans="1:18" s="286" customFormat="1" ht="12.75" customHeight="1" x14ac:dyDescent="0.2">
      <x:c r="B365" s="229" t="s">
        <x:v>155</x:v>
      </x:c>
      <x:c r="C365" s="229" t="s">
        <x:v>70</x:v>
      </x:c>
      <x:c r="E365" s="752" t="n">
        <x:v>-8893373.36</x:v>
      </x:c>
      <x:c r="F365" s="230" t="n">
        <x:v>-183502.75</x:v>
      </x:c>
      <x:c r="G365" s="230" t="n">
        <x:v>-105577.79</x:v>
      </x:c>
      <x:c r="H365" s="230" t="n">
        <x:v>-52212.49</x:v>
      </x:c>
      <x:c r="I365" s="230" t="n">
        <x:v>-2364321.11</x:v>
      </x:c>
      <x:c r="J365" s="230" t="n">
        <x:v>-90917.32</x:v>
      </x:c>
      <x:c r="K365" s="230" t="n">
        <x:v>0</x:v>
      </x:c>
      <x:c r="L365" s="230" t="n">
        <x:v>-790049.46</x:v>
      </x:c>
      <x:c r="M365" s="230" t="n">
        <x:v>-760783.95</x:v>
      </x:c>
      <x:c r="N365" s="230" t="n">
        <x:v>-3939721.02</x:v>
      </x:c>
      <x:c r="O365" s="230" t="n">
        <x:v>-459769.26</x:v>
      </x:c>
      <x:c r="P365" s="230" t="n">
        <x:v>-146518.21</x:v>
      </x:c>
      <x:c r="Q365" s="230" t="n">
        <x:v>0</x:v>
      </x:c>
      <x:c r="R365" s="286" t="n">
        <x:v>0</x:v>
      </x:c>
    </x:row>
    <x:row r="366" spans="1:18" ht="12.75" customHeight="1" x14ac:dyDescent="0.2">
      <x:c r="B366" s="89"/>
      <x:c r="C366" s="89"/>
      <x:c r="D366" t="s">
        <x:v>73</x:v>
      </x:c>
      <x:c r="E366" s="371" t="n">
        <x:v>-22715.23</x:v>
      </x:c>
      <x:c r="F366" s="90" t="n">
        <x:v>13607.71</x:v>
      </x:c>
      <x:c r="G366" s="90" t="n">
        <x:v>6689.87</x:v>
      </x:c>
      <x:c r="H366" s="90" t="n">
        <x:v>3629.95</x:v>
      </x:c>
      <x:c r="I366" s="90" t="n">
        <x:v>-47209.46</x:v>
      </x:c>
      <x:c r="J366" s="90" t="n">
        <x:v>-914.26</x:v>
      </x:c>
      <x:c r="K366" s="90" t="n">
        <x:v>0</x:v>
      </x:c>
      <x:c r="L366" s="90" t="n">
        <x:v>-8035.54</x:v>
      </x:c>
      <x:c r="M366" s="90" t="n">
        <x:v>-6861.14</x:v>
      </x:c>
      <x:c r="N366" s="90" t="n">
        <x:v>-18750.92</x:v>
      </x:c>
      <x:c r="O366" s="90" t="n">
        <x:v>36624.93</x:v>
      </x:c>
      <x:c r="P366" s="90" t="n">
        <x:v>-1496.37</x:v>
      </x:c>
      <x:c r="Q366" s="90" t="n">
        <x:v>0</x:v>
      </x:c>
      <x:c r="R366" t="n">
        <x:v>0</x:v>
      </x:c>
    </x:row>
    <x:row r="367" spans="1:18" ht="12.75" customHeight="1" x14ac:dyDescent="0.2">
      <x:c r="B367" s="89"/>
      <x:c r="C367" s="89" t="s">
        <x:v>115</x:v>
      </x:c>
      <x:c r="D367" t="s">
        <x:v>70</x:v>
      </x:c>
      <x:c r="E367" s="371" t="n">
        <x:v>-22715.23</x:v>
      </x:c>
      <x:c r="F367" s="90" t="n">
        <x:v>13607.71</x:v>
      </x:c>
      <x:c r="G367" s="90" t="n">
        <x:v>6689.87</x:v>
      </x:c>
      <x:c r="H367" s="90" t="n">
        <x:v>3629.95</x:v>
      </x:c>
      <x:c r="I367" s="90" t="n">
        <x:v>-47209.46</x:v>
      </x:c>
      <x:c r="J367" s="90" t="n">
        <x:v>-914.26</x:v>
      </x:c>
      <x:c r="K367" s="90" t="n">
        <x:v>0</x:v>
      </x:c>
      <x:c r="L367" s="90" t="n">
        <x:v>-8035.54</x:v>
      </x:c>
      <x:c r="M367" s="90" t="n">
        <x:v>-6861.14</x:v>
      </x:c>
      <x:c r="N367" s="90" t="n">
        <x:v>-18750.92</x:v>
      </x:c>
      <x:c r="O367" s="90" t="n">
        <x:v>36624.93</x:v>
      </x:c>
      <x:c r="P367" s="90" t="n">
        <x:v>-1496.37</x:v>
      </x:c>
      <x:c r="Q367" s="90" t="n">
        <x:v>0</x:v>
      </x:c>
      <x:c r="R367" t="n">
        <x:v>0</x:v>
      </x:c>
    </x:row>
    <x:row r="368" spans="1:18" ht="12.75" customHeight="1" x14ac:dyDescent="0.2">
      <x:c r="B368" s="89"/>
      <x:c r="C368" s="89"/>
      <x:c r="D368" t="s">
        <x:v>73</x:v>
      </x:c>
      <x:c r="E368" s="371" t="n">
        <x:v>241094.93</x:v>
      </x:c>
      <x:c r="F368" s="90" t="n">
        <x:v>40660.4</x:v>
      </x:c>
      <x:c r="G368" s="90" t="n">
        <x:v>22300.83</x:v>
      </x:c>
      <x:c r="H368" s="90" t="n">
        <x:v>12138.2</x:v>
      </x:c>
      <x:c r="I368" s="90" t="n">
        <x:v>18118.39</x:v>
      </x:c>
      <x:c r="J368" s="90" t="n">
        <x:v>445.56</x:v>
      </x:c>
      <x:c r="K368" s="90" t="n">
        <x:v>0</x:v>
      </x:c>
      <x:c r="L368" s="90" t="n">
        <x:v>3908.25</x:v>
      </x:c>
      <x:c r="M368" s="90" t="n">
        <x:v>5702.92</x:v>
      </x:c>
      <x:c r="N368" s="90" t="n">
        <x:v>29391.42</x:v>
      </x:c>
      <x:c r="O368" s="90" t="n">
        <x:v>107702.03</x:v>
      </x:c>
      <x:c r="P368" s="90" t="n">
        <x:v>726.93</x:v>
      </x:c>
      <x:c r="Q368" s="90" t="n">
        <x:v>0</x:v>
      </x:c>
      <x:c r="R368" t="n">
        <x:v>0</x:v>
      </x:c>
    </x:row>
    <x:row r="369" spans="2:18" ht="12.75" customHeight="1" x14ac:dyDescent="0.2">
      <x:c r="B369" s="89"/>
      <x:c r="C369" s="89" t="s">
        <x:v>116</x:v>
      </x:c>
      <x:c r="D369" t="s">
        <x:v>70</x:v>
      </x:c>
      <x:c r="E369" s="371" t="n">
        <x:v>241094.93</x:v>
      </x:c>
      <x:c r="F369" s="90" t="n">
        <x:v>40660.4</x:v>
      </x:c>
      <x:c r="G369" s="90" t="n">
        <x:v>22300.83</x:v>
      </x:c>
      <x:c r="H369" s="90" t="n">
        <x:v>12138.2</x:v>
      </x:c>
      <x:c r="I369" s="90" t="n">
        <x:v>18118.39</x:v>
      </x:c>
      <x:c r="J369" s="90" t="n">
        <x:v>445.56</x:v>
      </x:c>
      <x:c r="K369" s="90" t="n">
        <x:v>0</x:v>
      </x:c>
      <x:c r="L369" s="90" t="n">
        <x:v>3908.25</x:v>
      </x:c>
      <x:c r="M369" s="90" t="n">
        <x:v>5702.92</x:v>
      </x:c>
      <x:c r="N369" s="90" t="n">
        <x:v>29391.42</x:v>
      </x:c>
      <x:c r="O369" s="90" t="n">
        <x:v>107702.03</x:v>
      </x:c>
      <x:c r="P369" s="90" t="n">
        <x:v>726.93</x:v>
      </x:c>
      <x:c r="Q369" s="90" t="n">
        <x:v>0</x:v>
      </x:c>
      <x:c r="R369" t="n">
        <x:v>0</x:v>
      </x:c>
    </x:row>
    <x:row r="370" spans="2:18" ht="12.75" customHeight="1" x14ac:dyDescent="0.2">
      <x:c r="B370" s="89"/>
      <x:c r="C370" s="89"/>
      <x:c r="D370" t="s">
        <x:v>73</x:v>
      </x:c>
      <x:c r="E370" s="371">
        <x:v>0</x:v>
      </x:c>
      <x:c r="F370" s="90">
        <x:v>0</x:v>
      </x:c>
      <x:c r="G370" s="90">
        <x:v>0</x:v>
      </x:c>
      <x:c r="H370" s="90">
        <x:v>0</x:v>
      </x:c>
      <x:c r="I370" s="90">
        <x:v>0</x:v>
      </x:c>
      <x:c r="J370" s="90">
        <x:v>0</x:v>
      </x:c>
      <x:c r="K370" s="90">
        <x:v>0</x:v>
      </x:c>
      <x:c r="L370" s="90">
        <x:v>0</x:v>
      </x:c>
      <x:c r="M370" s="90">
        <x:v>0</x:v>
      </x:c>
      <x:c r="N370" s="90">
        <x:v>0</x:v>
      </x:c>
      <x:c r="O370" s="90">
        <x:v>0</x:v>
      </x:c>
      <x:c r="P370" s="90">
        <x:v>0</x:v>
      </x:c>
      <x:c r="Q370" s="90">
        <x:v>0</x:v>
      </x:c>
      <x:c r="R370">
        <x:v>0</x:v>
      </x:c>
    </x:row>
    <x:row r="371" spans="2:18" ht="12.75" customHeight="1" x14ac:dyDescent="0.2">
      <x:c r="B371" s="89"/>
      <x:c r="C371" s="773">
        <x:v>3</x:v>
      </x:c>
      <x:c r="D371" t="s">
        <x:v>70</x:v>
      </x:c>
      <x:c r="E371" s="371">
        <x:v>0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>
        <x:v>0</x:v>
      </x:c>
    </x:row>
    <x:row r="372" spans="2:18" ht="12.75" customHeight="1" x14ac:dyDescent="0.2">
      <x:c r="B372" s="89"/>
      <x:c r="C372" s="89"/>
      <x:c r="D372" t="s">
        <x:v>73</x:v>
      </x:c>
      <x:c r="E372" s="371">
        <x:v>0</x:v>
      </x:c>
      <x:c r="F372" s="90">
        <x:v>0</x:v>
      </x:c>
      <x:c r="G372" s="90">
        <x:v>0</x:v>
      </x:c>
      <x:c r="H372" s="90">
        <x:v>0</x:v>
      </x:c>
      <x:c r="I372" s="90">
        <x:v>0</x:v>
      </x:c>
      <x:c r="J372" s="90">
        <x:v>0</x:v>
      </x:c>
      <x:c r="K372" s="90">
        <x:v>0</x:v>
      </x:c>
      <x:c r="L372" s="90">
        <x:v>0</x:v>
      </x:c>
      <x:c r="M372" s="90">
        <x:v>0</x:v>
      </x:c>
      <x:c r="N372" s="90">
        <x:v>0</x:v>
      </x:c>
      <x:c r="O372" s="90">
        <x:v>0</x:v>
      </x:c>
      <x:c r="P372" s="90">
        <x:v>0</x:v>
      </x:c>
      <x:c r="Q372" s="90">
        <x:v>0</x:v>
      </x:c>
      <x:c r="R372">
        <x:v>0</x:v>
      </x:c>
    </x:row>
    <x:row r="373" spans="2:18" ht="12.75" customHeight="1" x14ac:dyDescent="0.2">
      <x:c r="B373" s="89"/>
      <x:c r="C373" s="773">
        <x:v>4</x:v>
      </x:c>
      <x:c r="D373" t="s">
        <x:v>70</x:v>
      </x:c>
      <x:c r="E373" s="371">
        <x:v>0</x:v>
      </x:c>
      <x:c r="F373" s="90">
        <x:v>0</x:v>
      </x:c>
      <x:c r="G373" s="90">
        <x:v>0</x:v>
      </x:c>
      <x:c r="H373" s="90">
        <x:v>0</x:v>
      </x:c>
      <x:c r="I373" s="90">
        <x:v>0</x:v>
      </x:c>
      <x:c r="J373" s="90">
        <x:v>0</x:v>
      </x:c>
      <x:c r="K373" s="90">
        <x:v>0</x:v>
      </x:c>
      <x:c r="L373" s="90">
        <x:v>0</x:v>
      </x:c>
      <x:c r="M373" s="90">
        <x:v>0</x:v>
      </x:c>
      <x:c r="N373" s="90">
        <x:v>0</x:v>
      </x:c>
      <x:c r="O373" s="90">
        <x:v>0</x:v>
      </x:c>
      <x:c r="P373" s="90">
        <x:v>0</x:v>
      </x:c>
      <x:c r="Q373" s="90">
        <x:v>0</x:v>
      </x:c>
      <x:c r="R373">
        <x:v>0</x:v>
      </x:c>
    </x:row>
    <x:row r="374" spans="2:18" ht="12.75" customHeight="1" x14ac:dyDescent="0.2">
      <x:c r="B374" s="89"/>
      <x:c r="C374" s="89"/>
      <x:c r="D374" t="s">
        <x:v>73</x:v>
      </x:c>
      <x:c r="E374" s="371" t="n">
        <x:v>-824644.56</x:v>
      </x:c>
      <x:c r="F374" s="90" t="n">
        <x:v>-11603.5</x:v>
      </x:c>
      <x:c r="G374" s="90" t="n">
        <x:v>-6469.33</x:v>
      </x:c>
      <x:c r="H374" s="90" t="n">
        <x:v>-2877.19</x:v>
      </x:c>
      <x:c r="I374" s="90" t="n">
        <x:v>-234878.39</x:v>
      </x:c>
      <x:c r="J374" s="90" t="n">
        <x:v>-8928.66</x:v>
      </x:c>
      <x:c r="K374" s="90" t="n">
        <x:v>0</x:v>
      </x:c>
      <x:c r="L374" s="90" t="n">
        <x:v>-79529.77</x:v>
      </x:c>
      <x:c r="M374" s="90" t="n">
        <x:v>-72587.53</x:v>
      </x:c>
      <x:c r="N374" s="90" t="n">
        <x:v>-362749.61</x:v>
      </x:c>
      <x:c r="O374" s="90" t="n">
        <x:v>-30640.23</x:v>
      </x:c>
      <x:c r="P374" s="90" t="n">
        <x:v>-14380.35</x:v>
      </x:c>
      <x:c r="Q374" s="90" t="n">
        <x:v>0</x:v>
      </x:c>
      <x:c r="R374" t="n">
        <x:v>0</x:v>
      </x:c>
    </x:row>
    <x:row r="375" spans="2:18" ht="12.75" customHeight="1" x14ac:dyDescent="0.2">
      <x:c r="B375" s="89"/>
      <x:c r="C375" s="89" t="s">
        <x:v>118</x:v>
      </x:c>
      <x:c r="D375" t="s">
        <x:v>70</x:v>
      </x:c>
      <x:c r="E375" s="371" t="n">
        <x:v>-824644.56</x:v>
      </x:c>
      <x:c r="F375" s="90" t="n">
        <x:v>-11603.5</x:v>
      </x:c>
      <x:c r="G375" s="90" t="n">
        <x:v>-6469.33</x:v>
      </x:c>
      <x:c r="H375" s="90" t="n">
        <x:v>-2877.19</x:v>
      </x:c>
      <x:c r="I375" s="90" t="n">
        <x:v>-234878.39</x:v>
      </x:c>
      <x:c r="J375" s="90" t="n">
        <x:v>-8928.66</x:v>
      </x:c>
      <x:c r="K375" s="90" t="n">
        <x:v>0</x:v>
      </x:c>
      <x:c r="L375" s="90" t="n">
        <x:v>-79529.77</x:v>
      </x:c>
      <x:c r="M375" s="90" t="n">
        <x:v>-72587.53</x:v>
      </x:c>
      <x:c r="N375" s="90" t="n">
        <x:v>-362749.61</x:v>
      </x:c>
      <x:c r="O375" s="90" t="n">
        <x:v>-30640.23</x:v>
      </x:c>
      <x:c r="P375" s="90" t="n">
        <x:v>-14380.35</x:v>
      </x:c>
      <x:c r="Q375" s="90" t="n">
        <x:v>0</x:v>
      </x:c>
      <x:c r="R375" t="n">
        <x:v>0</x:v>
      </x:c>
    </x:row>
    <x:row r="376" spans="2:18" ht="12.75" customHeight="1" x14ac:dyDescent="0.2">
      <x:c r="B376" s="89"/>
      <x:c r="C376" s="89"/>
      <x:c r="D376" t="s">
        <x:v>73</x:v>
      </x:c>
      <x:c r="E376" s="371">
        <x:v>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0</x:v>
      </x:c>
      <x:c r="R376">
        <x:v>0</x:v>
      </x:c>
    </x:row>
    <x:row r="377" spans="2:18" ht="12.75" customHeight="1" x14ac:dyDescent="0.2">
      <x:c r="B377" s="89"/>
      <x:c r="C377" s="773">
        <x:v>6</x:v>
      </x:c>
      <x:c r="D377" t="s">
        <x:v>70</x:v>
      </x:c>
      <x:c r="E377" s="371">
        <x:v>0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0</x:v>
      </x:c>
      <x:c r="R377">
        <x:v>0</x:v>
      </x:c>
    </x:row>
    <x:row r="378" spans="2:18" ht="12.75" customHeight="1" x14ac:dyDescent="0.2">
      <x:c r="B378" s="89"/>
      <x:c r="C378" s="89"/>
      <x:c r="D378" t="s">
        <x:v>73</x:v>
      </x:c>
      <x:c r="E378" s="371">
        <x:v>0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0</x:v>
      </x:c>
      <x:c r="R378">
        <x:v>0</x:v>
      </x:c>
    </x:row>
    <x:row r="379" spans="2:18" ht="12.75" customHeight="1" x14ac:dyDescent="0.2">
      <x:c r="B379" s="89"/>
      <x:c r="C379" s="773">
        <x:v>9</x:v>
      </x:c>
      <x:c r="D379" t="s">
        <x:v>70</x:v>
      </x:c>
      <x:c r="E379" s="371">
        <x:v>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0</x:v>
      </x:c>
      <x:c r="R379">
        <x:v>0</x:v>
      </x:c>
    </x:row>
    <x:row r="380" spans="2:18" s="224" customFormat="1" ht="12.75" customHeight="1" x14ac:dyDescent="0.2">
      <x:c r="B380" s="224" t="s">
        <x:v>120</x:v>
      </x:c>
      <x:c r="C380" s="224" t="s">
        <x:v>70</x:v>
      </x:c>
      <x:c r="D380" s="223"/>
      <x:c r="E380" s="225" t="n">
        <x:v>-606264.86</x:v>
      </x:c>
      <x:c r="F380" s="225" t="n">
        <x:v>42664.61</x:v>
      </x:c>
      <x:c r="G380" s="225" t="n">
        <x:v>22521.37</x:v>
      </x:c>
      <x:c r="H380" s="225" t="n">
        <x:v>12890.96</x:v>
      </x:c>
      <x:c r="I380" s="225" t="n">
        <x:v>-263969.46</x:v>
      </x:c>
      <x:c r="J380" s="225" t="n">
        <x:v>-9397.36</x:v>
      </x:c>
      <x:c r="K380" s="225" t="n">
        <x:v>0</x:v>
      </x:c>
      <x:c r="L380" s="225" t="n">
        <x:v>-83657.06</x:v>
      </x:c>
      <x:c r="M380" s="225" t="n">
        <x:v>-73745.75</x:v>
      </x:c>
      <x:c r="N380" s="225" t="n">
        <x:v>-352109.11</x:v>
      </x:c>
      <x:c r="O380" s="225" t="n">
        <x:v>113686.73</x:v>
      </x:c>
      <x:c r="P380" s="225" t="n">
        <x:v>-15149.79</x:v>
      </x:c>
      <x:c r="Q380" s="225" t="n">
        <x:v>0</x:v>
      </x:c>
      <x:c r="R380" s="224" t="n">
        <x:v>0</x:v>
      </x:c>
    </x:row>
    <x:row r="381" spans="2:18" ht="12.75" customHeight="1" x14ac:dyDescent="0.2">
      <x:c r="D381" s="89" t="s">
        <x:v>73</x:v>
      </x:c>
      <x:c r="E381" s="371" t="n">
        <x:v>-100962.73</x:v>
      </x:c>
      <x:c r="F381" s="90" t="n">
        <x:v>18047.1</x:v>
      </x:c>
      <x:c r="G381" s="90" t="n">
        <x:v>10018.58</x:v>
      </x:c>
      <x:c r="H381" s="90" t="n">
        <x:v>3829.57</x:v>
      </x:c>
      <x:c r="I381" s="90" t="n">
        <x:v>-68888.8</x:v>
      </x:c>
      <x:c r="J381" s="90" t="n">
        <x:v>-1958.82</x:v>
      </x:c>
      <x:c r="K381" s="90" t="n">
        <x:v>0</x:v>
      </x:c>
      <x:c r="L381" s="90" t="n">
        <x:v>-12720.2</x:v>
      </x:c>
      <x:c r="M381" s="90" t="n">
        <x:v>-15346.09</x:v>
      </x:c>
      <x:c r="N381" s="90" t="n">
        <x:v>-79954.86</x:v>
      </x:c>
      <x:c r="O381" s="90" t="n">
        <x:v>49246.92</x:v>
      </x:c>
      <x:c r="P381" s="90" t="n">
        <x:v>-3236.13</x:v>
      </x:c>
      <x:c r="Q381" s="90" t="n">
        <x:v>0</x:v>
      </x:c>
      <x:c r="R381" t="n">
        <x:v>0</x:v>
      </x:c>
    </x:row>
    <x:row r="382" spans="2:18" ht="12.75" customHeight="1" x14ac:dyDescent="0.2">
      <x:c r="C382" t="s">
        <x:v>82</x:v>
      </x:c>
      <x:c r="D382" s="89" t="s">
        <x:v>70</x:v>
      </x:c>
      <x:c r="E382" s="371" t="n">
        <x:v>-100962.73</x:v>
      </x:c>
      <x:c r="F382" s="90" t="n">
        <x:v>18047.1</x:v>
      </x:c>
      <x:c r="G382" s="90" t="n">
        <x:v>10018.58</x:v>
      </x:c>
      <x:c r="H382" s="90" t="n">
        <x:v>3829.57</x:v>
      </x:c>
      <x:c r="I382" s="90" t="n">
        <x:v>-68888.8</x:v>
      </x:c>
      <x:c r="J382" s="90" t="n">
        <x:v>-1958.82</x:v>
      </x:c>
      <x:c r="K382" s="90" t="n">
        <x:v>0</x:v>
      </x:c>
      <x:c r="L382" s="90" t="n">
        <x:v>-12720.2</x:v>
      </x:c>
      <x:c r="M382" s="90" t="n">
        <x:v>-15346.09</x:v>
      </x:c>
      <x:c r="N382" s="90" t="n">
        <x:v>-79954.86</x:v>
      </x:c>
      <x:c r="O382" s="90" t="n">
        <x:v>49246.92</x:v>
      </x:c>
      <x:c r="P382" s="90" t="n">
        <x:v>-3236.13</x:v>
      </x:c>
      <x:c r="Q382" s="90" t="n">
        <x:v>0</x:v>
      </x:c>
      <x:c r="R382" t="n">
        <x:v>0</x:v>
      </x:c>
    </x:row>
    <x:row r="383" spans="2:18" ht="12.75" customHeight="1" x14ac:dyDescent="0.2">
      <x:c r="D383" s="89" t="s">
        <x:v>73</x:v>
      </x:c>
      <x:c r="E383" s="371" t="n">
        <x:v>-2405130.37</x:v>
      </x:c>
      <x:c r="F383" s="90" t="n">
        <x:v>-105989.45</x:v>
      </x:c>
      <x:c r="G383" s="90" t="n">
        <x:v>-62008.22</x:v>
      </x:c>
      <x:c r="H383" s="90" t="n">
        <x:v>-32554.91</x:v>
      </x:c>
      <x:c r="I383" s="90" t="n">
        <x:v>-605058.16</x:v>
      </x:c>
      <x:c r="J383" s="90" t="n">
        <x:v>-20312.34</x:v>
      </x:c>
      <x:c r="K383" s="90" t="n">
        <x:v>0</x:v>
      </x:c>
      <x:c r="L383" s="90" t="n">
        <x:v>-177985.14</x:v>
      </x:c>
      <x:c r="M383" s="90" t="n">
        <x:v>-179019.47</x:v>
      </x:c>
      <x:c r="N383" s="90" t="n">
        <x:v>-922082.95</x:v>
      </x:c>
      <x:c r="O383" s="90" t="n">
        <x:v>-266473.47</x:v>
      </x:c>
      <x:c r="P383" s="90" t="n">
        <x:v>-33646.26</x:v>
      </x:c>
      <x:c r="Q383" s="90" t="n">
        <x:v>0</x:v>
      </x:c>
      <x:c r="R383" t="n">
        <x:v>0</x:v>
      </x:c>
    </x:row>
    <x:row r="384" spans="2:18" ht="12.75" customHeight="1" x14ac:dyDescent="0.2">
      <x:c r="C384" t="s">
        <x:v>86</x:v>
      </x:c>
      <x:c r="D384" s="89" t="s">
        <x:v>70</x:v>
      </x:c>
      <x:c r="E384" s="371" t="n">
        <x:v>-2405130.37</x:v>
      </x:c>
      <x:c r="F384" s="90" t="n">
        <x:v>-105989.45</x:v>
      </x:c>
      <x:c r="G384" s="90" t="n">
        <x:v>-62008.22</x:v>
      </x:c>
      <x:c r="H384" s="90" t="n">
        <x:v>-32554.91</x:v>
      </x:c>
      <x:c r="I384" s="90" t="n">
        <x:v>-605058.16</x:v>
      </x:c>
      <x:c r="J384" s="90" t="n">
        <x:v>-20312.34</x:v>
      </x:c>
      <x:c r="K384" s="90" t="n">
        <x:v>0</x:v>
      </x:c>
      <x:c r="L384" s="90" t="n">
        <x:v>-177985.14</x:v>
      </x:c>
      <x:c r="M384" s="90" t="n">
        <x:v>-179019.47</x:v>
      </x:c>
      <x:c r="N384" s="90" t="n">
        <x:v>-922082.95</x:v>
      </x:c>
      <x:c r="O384" s="90" t="n">
        <x:v>-266473.47</x:v>
      </x:c>
      <x:c r="P384" s="90" t="n">
        <x:v>-33646.26</x:v>
      </x:c>
      <x:c r="Q384" s="90" t="n">
        <x:v>0</x:v>
      </x:c>
      <x:c r="R384" t="n">
        <x:v>0</x:v>
      </x:c>
    </x:row>
    <x:row r="385" spans="1:18" ht="12.75" customHeight="1" x14ac:dyDescent="0.2">
      <x:c r="C385" s="89"/>
      <x:c r="D385" s="89" t="s">
        <x:v>73</x:v>
      </x:c>
      <x:c r="E385" s="90" t="n">
        <x:v>1841921.41</x:v>
      </x:c>
      <x:c r="F385" s="90" t="n">
        <x:v>158507.58</x:v>
      </x:c>
      <x:c r="G385" s="90" t="n">
        <x:v>97164.78</x:v>
      </x:c>
      <x:c r="H385" s="90" t="n">
        <x:v>51749.43</x:v>
      </x:c>
      <x:c r="I385" s="90" t="n">
        <x:v>321537.64</x:v>
      </x:c>
      <x:c r="J385" s="90" t="n">
        <x:v>2886.43</x:v>
      </x:c>
      <x:c r="K385" s="90" t="n">
        <x:v>0</x:v>
      </x:c>
      <x:c r="L385" s="90" t="n">
        <x:v>75585.81</x:v>
      </x:c>
      <x:c r="M385" s="90" t="n">
        <x:v>93928.56</x:v>
      </x:c>
      <x:c r="N385" s="90" t="n">
        <x:v>523962.18</x:v>
      </x:c>
      <x:c r="O385" s="90" t="n">
        <x:v>509985.89</x:v>
      </x:c>
      <x:c r="P385" s="90" t="n">
        <x:v>6613.11</x:v>
      </x:c>
      <x:c r="Q385" s="90" t="n">
        <x:v>0</x:v>
      </x:c>
      <x:c r="R385" t="n">
        <x:v>0</x:v>
      </x:c>
    </x:row>
    <x:row r="386" spans="1:18" ht="12.75" customHeight="1" x14ac:dyDescent="0.2">
      <x:c r="B386" s="89"/>
      <x:c r="C386" s="89" t="s">
        <x:v>87</x:v>
      </x:c>
      <x:c r="D386" t="s">
        <x:v>70</x:v>
      </x:c>
      <x:c r="E386" s="90" t="n">
        <x:v>1841921.41</x:v>
      </x:c>
      <x:c r="F386" s="90" t="n">
        <x:v>158507.58</x:v>
      </x:c>
      <x:c r="G386" s="90" t="n">
        <x:v>97164.78</x:v>
      </x:c>
      <x:c r="H386" s="90" t="n">
        <x:v>51749.43</x:v>
      </x:c>
      <x:c r="I386" s="90" t="n">
        <x:v>321537.64</x:v>
      </x:c>
      <x:c r="J386" s="90" t="n">
        <x:v>2886.43</x:v>
      </x:c>
      <x:c r="K386" s="90" t="n">
        <x:v>0</x:v>
      </x:c>
      <x:c r="L386" s="90" t="n">
        <x:v>75585.81</x:v>
      </x:c>
      <x:c r="M386" s="90" t="n">
        <x:v>93928.56</x:v>
      </x:c>
      <x:c r="N386" s="90" t="n">
        <x:v>523962.18</x:v>
      </x:c>
      <x:c r="O386" s="90" t="n">
        <x:v>509985.89</x:v>
      </x:c>
      <x:c r="P386" s="90" t="n">
        <x:v>6613.11</x:v>
      </x:c>
      <x:c r="Q386" s="90" t="n">
        <x:v>0</x:v>
      </x:c>
      <x:c r="R386" t="n">
        <x:v>0</x:v>
      </x:c>
    </x:row>
    <x:row r="387" spans="1:18" s="94" customFormat="1" ht="12.75" customHeight="1" x14ac:dyDescent="0.2">
      <x:c r="B387" s="101" t="s">
        <x:v>119</x:v>
      </x:c>
      <x:c r="C387" s="101" t="s">
        <x:v>70</x:v>
      </x:c>
      <x:c r="E387" s="93" t="n">
        <x:v>-664171.69</x:v>
      </x:c>
      <x:c r="F387" s="93" t="n">
        <x:v>70565.23</x:v>
      </x:c>
      <x:c r="G387" s="93" t="n">
        <x:v>45175.14</x:v>
      </x:c>
      <x:c r="H387" s="93" t="n">
        <x:v>23024.09</x:v>
      </x:c>
      <x:c r="I387" s="93" t="n">
        <x:v>-352409.32</x:v>
      </x:c>
      <x:c r="J387" s="93" t="n">
        <x:v>-19384.73</x:v>
      </x:c>
      <x:c r="K387" s="93" t="n">
        <x:v>0</x:v>
      </x:c>
      <x:c r="L387" s="93" t="n">
        <x:v>-115119.53</x:v>
      </x:c>
      <x:c r="M387" s="93" t="n">
        <x:v>-100437</x:v>
      </x:c>
      <x:c r="N387" s="93" t="n">
        <x:v>-478075.63</x:v>
      </x:c>
      <x:c r="O387" s="93" t="n">
        <x:v>292759.34</x:v>
      </x:c>
      <x:c r="P387" s="93" t="n">
        <x:v>-30269.28</x:v>
      </x:c>
      <x:c r="Q387" s="93" t="n">
        <x:v>0</x:v>
      </x:c>
      <x:c r="R387" s="94" t="n">
        <x:v>0</x:v>
      </x:c>
    </x:row>
    <x:row r="388" spans="1:18" s="226" customFormat="1" ht="12.75" customHeight="1" x14ac:dyDescent="0.2">
      <x:c r="A388" s="98" t="s">
        <x:v>79</x:v>
      </x:c>
      <x:c r="B388" s="98" t="s">
        <x:v>70</x:v>
      </x:c>
      <x:c r="E388" s="100" t="n">
        <x:v>-10163809.91</x:v>
      </x:c>
      <x:c r="F388" s="100" t="n">
        <x:v>-70272.91</x:v>
      </x:c>
      <x:c r="G388" s="100" t="n">
        <x:v>-37881.28</x:v>
      </x:c>
      <x:c r="H388" s="100" t="n">
        <x:v>-16297.44</x:v>
      </x:c>
      <x:c r="I388" s="100" t="n">
        <x:v>-2980699.89</x:v>
      </x:c>
      <x:c r="J388" s="100" t="n">
        <x:v>-119699.41</x:v>
      </x:c>
      <x:c r="K388" s="100" t="n">
        <x:v>0</x:v>
      </x:c>
      <x:c r="L388" s="100" t="n">
        <x:v>-988826.05</x:v>
      </x:c>
      <x:c r="M388" s="100" t="n">
        <x:v>-934966.7</x:v>
      </x:c>
      <x:c r="N388" s="100" t="n">
        <x:v>-4769905.76</x:v>
      </x:c>
      <x:c r="O388" s="100" t="n">
        <x:v>-53323.19</x:v>
      </x:c>
      <x:c r="P388" s="100" t="n">
        <x:v>-191937.28</x:v>
      </x:c>
      <x:c r="Q388" s="100" t="n">
        <x:v>0</x:v>
      </x:c>
      <x:c r="R388" s="226" t="n">
        <x:v>0</x:v>
      </x:c>
    </x:row>
    <x:row r="389" spans="1:18" ht="12.75" customHeight="1" x14ac:dyDescent="0.2">
      <x:c r="A389" s="89" t="s">
        <x:v>70</x:v>
      </x:c>
      <x:c r="E389" s="90" t="n">
        <x:v>109104435.04</x:v>
      </x:c>
      <x:c r="F389" s="90" t="n">
        <x:v>9655645.45</x:v>
      </x:c>
      <x:c r="G389" s="90" t="n">
        <x:v>5414272.76</x:v>
      </x:c>
      <x:c r="H389" s="90" t="n">
        <x:v>2656502.23</x:v>
      </x:c>
      <x:c r="I389" s="90" t="n">
        <x:v>19592868.61</x:v>
      </x:c>
      <x:c r="J389" s="90" t="n">
        <x:v>724632.79</x:v>
      </x:c>
      <x:c r="K389" s="90" t="n">
        <x:v>858314.69</x:v>
      </x:c>
      <x:c r="L389" s="90" t="n">
        <x:v>6388779.31</x:v>
      </x:c>
      <x:c r="M389" s="90" t="n">
        <x:v>6875375.09</x:v>
      </x:c>
      <x:c r="N389" s="90" t="n">
        <x:v>29915530.44</x:v>
      </x:c>
      <x:c r="O389" s="90" t="n">
        <x:v>26088923.79</x:v>
      </x:c>
      <x:c r="P389" s="90" t="n">
        <x:v>933352.58</x:v>
      </x:c>
      <x:c r="Q389" s="90" t="n">
        <x:v>237.3</x:v>
      </x:c>
      <x:c r="R389" t="n">
        <x:v>0</x:v>
      </x:c>
    </x:row>
    <x:row r="390" spans="1:18" ht="12.75" customHeight="1" x14ac:dyDescent="0.2">
      <x:c r="C390" s="89"/>
      <x:c r="D390" s="89"/>
      <x:c r="E390" s="90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</x:row>
    <x:row r="391" spans="1:18" ht="12.75" customHeight="1" x14ac:dyDescent="0.2">
      <x:c r="C391" s="89"/>
      <x:c r="D391" s="89"/>
      <x:c r="E391" s="90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</x:row>
    <x:row r="392" spans="1:18" ht="12.75" hidden="1" customHeight="1" x14ac:dyDescent="0.2">
      <x:c r="C392" s="89"/>
      <x:c r="D392" s="89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</x:row>
    <x:row r="393" spans="1:18" ht="12.75" hidden="1" customHeight="1" x14ac:dyDescent="0.2">
      <x:c r="C393" s="89"/>
      <x:c r="D393" s="89"/>
      <x:c r="E393" s="90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</x:row>
    <x:row r="394" spans="1:18" ht="12.75" hidden="1" customHeight="1" x14ac:dyDescent="0.2">
      <x:c r="C394" s="89"/>
      <x:c r="D394" s="89"/>
      <x:c r="E394" s="90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</x:row>
    <x:row r="395" spans="1:18" ht="12.75" hidden="1" customHeight="1" x14ac:dyDescent="0.2">
      <x:c r="C395" s="89"/>
      <x:c r="D395" s="89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</x:row>
    <x:row r="396" spans="1:18" ht="12.75" hidden="1" customHeight="1" x14ac:dyDescent="0.2">
      <x:c r="C396" s="89"/>
      <x:c r="D396" s="89"/>
      <x:c r="E396" s="90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</x:row>
    <x:row r="397" spans="1:18" ht="12.75" hidden="1" customHeight="1" x14ac:dyDescent="0.2">
      <x:c r="C397" s="89"/>
      <x:c r="D397" s="89"/>
      <x:c r="E397" s="90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</x:row>
    <x:row r="398" spans="1:18" ht="12.75" hidden="1" customHeight="1" x14ac:dyDescent="0.2">
      <x:c r="C398" s="89"/>
      <x:c r="D398" s="89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</x:row>
    <x:row r="399" spans="1:18" ht="12.75" hidden="1" customHeight="1" x14ac:dyDescent="0.2">
      <x:c r="C399" s="89"/>
      <x:c r="D399" s="89"/>
      <x:c r="E399" s="90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</x:row>
    <x:row r="400" spans="1:18" ht="12.75" hidden="1" customHeight="1" x14ac:dyDescent="0.2">
      <x:c r="C400" s="89"/>
      <x:c r="D400" s="89"/>
      <x:c r="E400" s="90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</x:row>
    <x:row r="401" spans="3:17" ht="12.75" hidden="1" customHeight="1" x14ac:dyDescent="0.2">
      <x:c r="C401" s="89"/>
      <x:c r="D401" s="89"/>
      <x:c r="E401" s="90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</x:row>
    <x:row r="402" spans="3:17" ht="12.75" hidden="1" customHeight="1" x14ac:dyDescent="0.2">
      <x:c r="C402" s="89"/>
      <x:c r="D402" s="89"/>
      <x:c r="E402" s="90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</x:row>
    <x:row r="403" spans="3:17" ht="12.75" hidden="1" customHeight="1" x14ac:dyDescent="0.2">
      <x:c r="C403" s="89"/>
      <x:c r="D403" s="89"/>
      <x:c r="E403" s="90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</x:row>
    <x:row r="404" spans="3:17" ht="12.75" hidden="1" customHeight="1" x14ac:dyDescent="0.2">
      <x:c r="C404" s="89"/>
      <x:c r="D404" s="89"/>
      <x:c r="E404" s="90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</x:row>
    <x:row r="405" spans="3:17" ht="12.75" hidden="1" customHeight="1" x14ac:dyDescent="0.2">
      <x:c r="C405" s="89"/>
      <x:c r="D405" s="89"/>
      <x:c r="E405" s="90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</x:row>
    <x:row r="406" spans="3:17" ht="12.75" hidden="1" customHeight="1" x14ac:dyDescent="0.2">
      <x:c r="C406" s="89"/>
      <x:c r="D406" s="89"/>
      <x:c r="E406" s="90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</x:row>
    <x:row r="407" spans="3:17" ht="12.75" hidden="1" customHeight="1" x14ac:dyDescent="0.2">
      <x:c r="C407" s="89"/>
      <x:c r="D407" s="89"/>
      <x:c r="E407" s="90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</x:row>
    <x:row r="408" spans="3:17" ht="12.75" hidden="1" customHeight="1" x14ac:dyDescent="0.2">
      <x:c r="C408" s="89"/>
      <x:c r="D408" s="89"/>
      <x:c r="E408" s="90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</x:row>
    <x:row r="409" spans="3:17" ht="12.75" hidden="1" customHeight="1" x14ac:dyDescent="0.2">
      <x:c r="C409" s="89"/>
      <x:c r="D409" s="89"/>
      <x:c r="E409" s="90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</x:row>
    <x:row r="410" spans="3:17" ht="12.75" hidden="1" customHeight="1" x14ac:dyDescent="0.2">
      <x:c r="C410" s="89"/>
      <x:c r="D410" s="89"/>
      <x:c r="E410" s="90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</x:row>
    <x:row r="411" spans="3:17" ht="12.75" hidden="1" customHeight="1" x14ac:dyDescent="0.2">
      <x:c r="C411" s="89"/>
      <x:c r="D411" s="89"/>
      <x:c r="E411" s="90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</x:row>
    <x:row r="412" spans="3:17" ht="12.75" hidden="1" customHeight="1" x14ac:dyDescent="0.2">
      <x:c r="C412" s="89"/>
      <x:c r="D412" s="89"/>
      <x:c r="E412" s="90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</x:row>
    <x:row r="413" spans="3:17" ht="12.75" hidden="1" customHeight="1" x14ac:dyDescent="0.2">
      <x:c r="C413" s="89"/>
      <x:c r="D413" s="89"/>
      <x:c r="E413" s="90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</x:row>
    <x:row r="414" spans="3:17" ht="12.75" hidden="1" customHeight="1" x14ac:dyDescent="0.2">
      <x:c r="C414" s="89"/>
      <x:c r="D414" s="89"/>
      <x:c r="E414" s="90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</x:row>
    <x:row r="415" spans="3:17" ht="12.75" hidden="1" customHeight="1" x14ac:dyDescent="0.2">
      <x:c r="C415" s="89"/>
      <x:c r="D415" s="89"/>
      <x:c r="E415" s="90"/>
      <x:c r="F415" s="90"/>
      <x:c r="G415" s="90"/>
      <x:c r="H415" s="90"/>
      <x:c r="I415" s="90"/>
      <x:c r="J415" s="90"/>
      <x:c r="K415" s="90"/>
      <x:c r="L415" s="90"/>
      <x:c r="M415" s="90"/>
      <x:c r="N415" s="90"/>
      <x:c r="O415" s="90"/>
      <x:c r="P415" s="90"/>
      <x:c r="Q415" s="90"/>
    </x:row>
    <x:row r="416" spans="3:17" ht="12.75" hidden="1" customHeight="1" x14ac:dyDescent="0.2">
      <x:c r="C416" s="89"/>
      <x:c r="D416" s="89"/>
      <x:c r="E416" s="90"/>
      <x:c r="F416" s="90"/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</x:row>
    <x:row r="417" spans="1:18" ht="12.75" hidden="1" customHeight="1" x14ac:dyDescent="0.2">
      <x:c r="C417" s="89"/>
      <x:c r="D417" s="89"/>
      <x:c r="E417" s="90"/>
      <x:c r="F417" s="90"/>
      <x:c r="G417" s="90"/>
      <x:c r="H417" s="90"/>
      <x:c r="I417" s="90"/>
      <x:c r="J417" s="90"/>
      <x:c r="K417" s="90"/>
      <x:c r="L417" s="90"/>
      <x:c r="M417" s="90"/>
      <x:c r="N417" s="90"/>
      <x:c r="O417" s="90"/>
      <x:c r="P417" s="90"/>
      <x:c r="Q417" s="90"/>
    </x:row>
    <x:row r="418" spans="1:18" ht="12.75" hidden="1" customHeight="1" x14ac:dyDescent="0.2">
      <x:c r="C418" s="89"/>
      <x:c r="D418" s="89"/>
      <x:c r="E418" s="90"/>
      <x:c r="F418" s="90"/>
      <x:c r="G418" s="90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</x:row>
    <x:row r="419" spans="1:18" ht="12.75" hidden="1" customHeight="1" x14ac:dyDescent="0.2">
      <x:c r="C419" s="89"/>
      <x:c r="D419" s="89"/>
      <x:c r="E419" s="90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</x:row>
    <x:row r="420" spans="1:18" ht="12.75" hidden="1" customHeight="1" x14ac:dyDescent="0.2">
      <x:c r="C420" s="89"/>
      <x:c r="D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</x:row>
    <x:row r="421" spans="1:18" ht="12.75" hidden="1" customHeight="1" x14ac:dyDescent="0.2">
      <x:c r="C421" s="89"/>
      <x:c r="D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</x:row>
    <x:row r="422" spans="1:18" ht="12.75" customHeight="1" x14ac:dyDescent="0.2">
      <x:c r="C422" s="89"/>
      <x:c r="D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</x:row>
    <x:row r="423" spans="1:18" ht="12.75" customHeight="1" x14ac:dyDescent="0.2">
      <x:c r="B423" s="778" t="s">
        <x:v>2</x:v>
      </x:c>
      <x:c r="C423" s="776" t="s">
        <x:v>132</x:v>
      </x:c>
      <x:c r="D423" s="98" t="s">
        <x:v>70</x:v>
      </x:c>
      <x:c r="E423" s="100">
        <x:f>E359+E388-K359</x:f>
        <x:v>0</x:v>
      </x:c>
      <x:c r="F423" s="100">
        <x:f>F359</x:f>
        <x:v>0</x:v>
      </x:c>
      <x:c r="G423" s="100">
        <x:f t="shared" ref="G423:R423" si="10">G359</x:f>
        <x:v>0</x:v>
      </x:c>
      <x:c r="H423" s="100">
        <x:f t="shared" si="10"/>
        <x:v>0</x:v>
      </x:c>
      <x:c r="I423" s="100">
        <x:f t="shared" si="10"/>
        <x:v>0</x:v>
      </x:c>
      <x:c r="J423" s="100">
        <x:f t="shared" si="10"/>
        <x:v>0</x:v>
      </x:c>
      <x:c r="K423" s="100">
        <x:f t="shared" si="10"/>
        <x:v>0</x:v>
      </x:c>
      <x:c r="L423" s="100">
        <x:f t="shared" si="10"/>
        <x:v>0</x:v>
      </x:c>
      <x:c r="M423" s="100">
        <x:f t="shared" si="10"/>
        <x:v>0</x:v>
      </x:c>
      <x:c r="N423" s="100">
        <x:f t="shared" si="10"/>
        <x:v>0</x:v>
      </x:c>
      <x:c r="O423" s="100">
        <x:f t="shared" si="10"/>
        <x:v>0</x:v>
      </x:c>
      <x:c r="P423" s="100">
        <x:f t="shared" si="10"/>
        <x:v>0</x:v>
      </x:c>
      <x:c r="Q423" s="100">
        <x:f t="shared" si="10"/>
        <x:v>0</x:v>
      </x:c>
      <x:c r="R423" s="100">
        <x:f t="shared" si="10"/>
        <x:v>0</x:v>
      </x:c>
    </x:row>
    <x:row r="424" spans="1:18" ht="12.75" customHeight="1" x14ac:dyDescent="0.2">
      <x:c r="B424" s="778"/>
      <x:c r="C424" s="776"/>
      <x:c r="D424" s="98" t="s">
        <x:v>73</x:v>
      </x:c>
      <x:c r="E424" s="100">
        <x:f>E388</x:f>
        <x:v>0</x:v>
      </x:c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customHeight="1" x14ac:dyDescent="0.2">
      <x:c r="A425" s="89"/>
      <x:c r="B425" s="97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customHeight="1" x14ac:dyDescent="0.2">
      <x:c r="B426" s="778" t="s">
        <x:v>160</x:v>
      </x:c>
      <x:c r="C426" s="776" t="s">
        <x:v>132</x:v>
      </x:c>
      <x:c r="D426" s="223" t="s">
        <x:v>70</x:v>
      </x:c>
      <x:c r="E426" s="225">
        <x:f>E380+E362+E348+E322-K322-K348</x:f>
        <x:v>0</x:v>
      </x:c>
      <x:c r="F426" s="225">
        <x:f>F348+F322</x:f>
        <x:v>0</x:v>
      </x:c>
      <x:c r="G426" s="225">
        <x:f t="shared" ref="G426:R426" si="11">G348+G322</x:f>
        <x:v>0</x:v>
      </x:c>
      <x:c r="H426" s="225">
        <x:f t="shared" si="11"/>
        <x:v>0</x:v>
      </x:c>
      <x:c r="I426" s="225">
        <x:f t="shared" si="11"/>
        <x:v>0</x:v>
      </x:c>
      <x:c r="J426" s="225">
        <x:f t="shared" si="11"/>
        <x:v>0</x:v>
      </x:c>
      <x:c r="K426" s="225">
        <x:f t="shared" si="11"/>
        <x:v>0</x:v>
      </x:c>
      <x:c r="L426" s="225">
        <x:f t="shared" si="11"/>
        <x:v>0</x:v>
      </x:c>
      <x:c r="M426" s="225">
        <x:f t="shared" si="11"/>
        <x:v>0</x:v>
      </x:c>
      <x:c r="N426" s="225">
        <x:f t="shared" si="11"/>
        <x:v>0</x:v>
      </x:c>
      <x:c r="O426" s="225">
        <x:f t="shared" si="11"/>
        <x:v>0</x:v>
      </x:c>
      <x:c r="P426" s="225">
        <x:f t="shared" si="11"/>
        <x:v>0</x:v>
      </x:c>
      <x:c r="Q426" s="225">
        <x:f t="shared" si="11"/>
        <x:v>0</x:v>
      </x:c>
      <x:c r="R426" s="225">
        <x:f t="shared" si="11"/>
        <x:v>0</x:v>
      </x:c>
    </x:row>
    <x:row r="427" spans="1:18" ht="12.75" customHeight="1" x14ac:dyDescent="0.2">
      <x:c r="B427" s="778"/>
      <x:c r="C427" s="776"/>
      <x:c r="D427" s="223" t="s">
        <x:v>73</x:v>
      </x:c>
      <x:c r="E427" s="225">
        <x:f>E380+E362</x:f>
        <x:v>0</x:v>
      </x:c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customHeight="1" x14ac:dyDescent="0.2">
      <x:c r="A428" s="89"/>
      <x:c r="B428" s="97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customHeight="1" x14ac:dyDescent="0.2">
      <x:c r="B429" s="778" t="s">
        <x:v>155</x:v>
      </x:c>
      <x:c r="C429" s="776" t="s">
        <x:v>132</x:v>
      </x:c>
      <x:c r="D429" s="221" t="s">
        <x:v>70</x:v>
      </x:c>
      <x:c r="E429" s="222">
        <x:f>E365+E326-K326</x:f>
        <x:v>0</x:v>
      </x:c>
      <x:c r="F429" s="222">
        <x:f t="shared" ref="F429:R429" si="12">F326</x:f>
        <x:v>0</x:v>
      </x:c>
      <x:c r="G429" s="222">
        <x:f t="shared" si="12"/>
        <x:v>0</x:v>
      </x:c>
      <x:c r="H429" s="222">
        <x:f t="shared" si="12"/>
        <x:v>0</x:v>
      </x:c>
      <x:c r="I429" s="222">
        <x:f t="shared" si="12"/>
        <x:v>0</x:v>
      </x:c>
      <x:c r="J429" s="222">
        <x:f t="shared" si="12"/>
        <x:v>0</x:v>
      </x:c>
      <x:c r="K429" s="222">
        <x:f t="shared" si="12"/>
        <x:v>0</x:v>
      </x:c>
      <x:c r="L429" s="222">
        <x:f t="shared" si="12"/>
        <x:v>0</x:v>
      </x:c>
      <x:c r="M429" s="222">
        <x:f t="shared" si="12"/>
        <x:v>0</x:v>
      </x:c>
      <x:c r="N429" s="222">
        <x:f t="shared" si="12"/>
        <x:v>0</x:v>
      </x:c>
      <x:c r="O429" s="222">
        <x:f t="shared" si="12"/>
        <x:v>0</x:v>
      </x:c>
      <x:c r="P429" s="222">
        <x:f t="shared" si="12"/>
        <x:v>0</x:v>
      </x:c>
      <x:c r="Q429" s="222">
        <x:f t="shared" si="12"/>
        <x:v>0</x:v>
      </x:c>
      <x:c r="R429" s="222">
        <x:f t="shared" si="12"/>
        <x:v>0</x:v>
      </x:c>
    </x:row>
    <x:row r="430" spans="1:18" ht="12.75" customHeight="1" x14ac:dyDescent="0.2">
      <x:c r="B430" s="778"/>
      <x:c r="C430" s="776"/>
      <x:c r="D430" s="221" t="s">
        <x:v>73</x:v>
      </x:c>
      <x:c r="E430" s="222">
        <x:f>E365</x:f>
        <x:v>0</x:v>
      </x:c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customHeight="1" x14ac:dyDescent="0.2">
      <x:c r="A431" s="89"/>
      <x:c r="B431" s="97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customHeight="1" x14ac:dyDescent="0.2">
      <x:c r="B432" s="779" t="s">
        <x:v>326</x:v>
      </x:c>
      <x:c r="C432" s="776" t="s">
        <x:v>132</x:v>
      </x:c>
      <x:c r="D432" s="373" t="s">
        <x:v>70</x:v>
      </x:c>
      <x:c r="E432" s="374">
        <x:v>0</x:v>
      </x:c>
      <x:c r="F432" s="374">
        <x:v>0</x:v>
      </x:c>
      <x:c r="G432" s="374">
        <x:v>0</x:v>
      </x:c>
      <x:c r="H432" s="374">
        <x:v>0</x:v>
      </x:c>
      <x:c r="I432" s="374">
        <x:v>0</x:v>
      </x:c>
      <x:c r="J432" s="374">
        <x:v>0</x:v>
      </x:c>
      <x:c r="K432" s="374">
        <x:v>0</x:v>
      </x:c>
      <x:c r="L432" s="374">
        <x:v>0</x:v>
      </x:c>
      <x:c r="M432" s="374">
        <x:v>0</x:v>
      </x:c>
      <x:c r="N432" s="374">
        <x:v>0</x:v>
      </x:c>
      <x:c r="O432" s="374">
        <x:v>0</x:v>
      </x:c>
      <x:c r="P432" s="374">
        <x:v>0</x:v>
      </x:c>
      <x:c r="Q432" s="374">
        <x:v>0</x:v>
      </x:c>
      <x:c r="R432" s="374">
        <x:v>0</x:v>
      </x:c>
    </x:row>
    <x:row r="433" spans="1:18" ht="12.75" customHeight="1" x14ac:dyDescent="0.2">
      <x:c r="B433" s="779"/>
      <x:c r="C433" s="776"/>
      <x:c r="D433" s="373" t="s">
        <x:v>73</x:v>
      </x:c>
      <x:c r="E433" s="374">
        <x:v>0</x:v>
      </x:c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customHeight="1" x14ac:dyDescent="0.2">
      <x:c r="A434" s="89"/>
      <x:c r="B434" s="97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customHeight="1" x14ac:dyDescent="0.2">
      <x:c r="A435" s="142" t="s">
        <x:v>226</x:v>
      </x:c>
      <x:c r="B435" s="778" t="s">
        <x:v>119</x:v>
      </x:c>
      <x:c r="C435" s="776" t="s">
        <x:v>132</x:v>
      </x:c>
      <x:c r="D435" s="101" t="s">
        <x:v>70</x:v>
      </x:c>
      <x:c r="E435" s="93">
        <x:f>E358+E387-K358</x:f>
        <x:v>0</x:v>
      </x:c>
      <x:c r="F435" s="93">
        <x:f t="shared" ref="F435:R435" si="13">F358</x:f>
        <x:v>0</x:v>
      </x:c>
      <x:c r="G435" s="93">
        <x:f t="shared" si="13"/>
        <x:v>0</x:v>
      </x:c>
      <x:c r="H435" s="93">
        <x:f t="shared" si="13"/>
        <x:v>0</x:v>
      </x:c>
      <x:c r="I435" s="93">
        <x:f t="shared" si="13"/>
        <x:v>0</x:v>
      </x:c>
      <x:c r="J435" s="93">
        <x:f t="shared" si="13"/>
        <x:v>0</x:v>
      </x:c>
      <x:c r="K435" s="93">
        <x:f t="shared" si="13"/>
        <x:v>0</x:v>
      </x:c>
      <x:c r="L435" s="93">
        <x:f t="shared" si="13"/>
        <x:v>0</x:v>
      </x:c>
      <x:c r="M435" s="93">
        <x:f t="shared" si="13"/>
        <x:v>0</x:v>
      </x:c>
      <x:c r="N435" s="93">
        <x:f t="shared" si="13"/>
        <x:v>0</x:v>
      </x:c>
      <x:c r="O435" s="93">
        <x:f t="shared" si="13"/>
        <x:v>0</x:v>
      </x:c>
      <x:c r="P435" s="93">
        <x:f t="shared" si="13"/>
        <x:v>0</x:v>
      </x:c>
      <x:c r="Q435" s="93">
        <x:f t="shared" si="13"/>
        <x:v>0</x:v>
      </x:c>
      <x:c r="R435" s="93">
        <x:f t="shared" si="13"/>
        <x:v>0</x:v>
      </x:c>
    </x:row>
    <x:row r="436" spans="1:18" ht="12.75" customHeight="1" x14ac:dyDescent="0.2">
      <x:c r="B436" s="778"/>
      <x:c r="C436" s="776"/>
      <x:c r="D436" s="101" t="s">
        <x:v>73</x:v>
      </x:c>
      <x:c r="E436" s="93">
        <x:f>E387</x:f>
        <x:v>0</x:v>
      </x:c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customHeight="1" x14ac:dyDescent="0.2">
      <x:c r="A437" s="89"/>
      <x:c r="B437" s="97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customHeight="1" x14ac:dyDescent="0.2">
      <x:c r="B438" s="777" t="s">
        <x:v>161</x:v>
      </x:c>
      <x:c r="C438" s="776" t="s">
        <x:v>132</x:v>
      </x:c>
      <x:c r="D438" s="231" t="s">
        <x:v>70</x:v>
      </x:c>
      <x:c r="E438" s="232">
        <x:v>0</x:v>
      </x:c>
      <x:c r="F438" s="232">
        <x:v>0</x:v>
      </x:c>
      <x:c r="G438" s="232">
        <x:v>0</x:v>
      </x:c>
      <x:c r="H438" s="232">
        <x:v>0</x:v>
      </x:c>
      <x:c r="I438" s="232">
        <x:v>0</x:v>
      </x:c>
      <x:c r="J438" s="232">
        <x:v>0</x:v>
      </x:c>
      <x:c r="K438" s="232">
        <x:v>0</x:v>
      </x:c>
      <x:c r="L438" s="232">
        <x:v>0</x:v>
      </x:c>
      <x:c r="M438" s="232">
        <x:v>0</x:v>
      </x:c>
      <x:c r="N438" s="232">
        <x:v>0</x:v>
      </x:c>
      <x:c r="O438" s="232">
        <x:v>0</x:v>
      </x:c>
      <x:c r="P438" s="232">
        <x:v>0</x:v>
      </x:c>
      <x:c r="Q438" s="232">
        <x:v>0</x:v>
      </x:c>
      <x:c r="R438" s="232">
        <x:v>0</x:v>
      </x:c>
    </x:row>
    <x:row r="439" spans="1:18" ht="12.75" customHeight="1" x14ac:dyDescent="0.2">
      <x:c r="B439" s="777"/>
      <x:c r="C439" s="776"/>
      <x:c r="D439" s="231" t="s">
        <x:v>73</x:v>
      </x:c>
      <x:c r="E439" s="232">
        <x:v>0</x:v>
      </x:c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s="238" customFormat="1" x14ac:dyDescent="0.2"/>
    <x:row r="441" spans="1:18" x14ac:dyDescent="0.2">
      <x:c r="B441" s="97" t="s">
        <x:v>93</x:v>
      </x:c>
    </x:row>
    <x:row r="442" spans="1:18" x14ac:dyDescent="0.2">
      <x:c r="E442" s="89" t="s">
        <x:v>70</x:v>
      </x:c>
      <x:c r="F442" s="89" t="s">
        <x:v>64</x:v>
      </x:c>
      <x:c r="G442" s="89" t="s">
        <x:v>65</x:v>
      </x:c>
      <x:c r="H442" s="219" t="s">
        <x:v>164</x:v>
      </x:c>
      <x:c r="I442" s="89" t="s">
        <x:v>69</x:v>
      </x:c>
      <x:c r="J442" s="89" t="s">
        <x:v>68</x:v>
      </x:c>
      <x:c r="K442" s="89" t="s">
        <x:v>83</x:v>
      </x:c>
      <x:c r="L442" s="89" t="s">
        <x:v>66</x:v>
      </x:c>
      <x:c r="M442" s="89" t="s">
        <x:v>63</x:v>
      </x:c>
      <x:c r="N442" s="89" t="s">
        <x:v>61</x:v>
      </x:c>
      <x:c r="O442" s="89" t="s">
        <x:v>62</x:v>
      </x:c>
      <x:c r="P442" s="89" t="s">
        <x:v>67</x:v>
      </x:c>
      <x:c r="Q442" s="89" t="s">
        <x:v>84</x:v>
      </x:c>
      <x:c r="R442" s="384" t="s">
        <x:v>225</x:v>
      </x:c>
    </x:row>
    <x:row r="443" spans="1:18" ht="11.45" customHeight="1" x14ac:dyDescent="0.2">
      <x:c r="D443" t="s">
        <x:v>72</x:v>
      </x:c>
      <x:c r="E443" s="89">
        <x:v>0</x:v>
      </x:c>
      <x:c r="F443" s="89">
        <x:v>0</x:v>
      </x:c>
      <x:c r="G443" s="89">
        <x:v>0</x:v>
      </x:c>
      <x:c r="H443" s="384">
        <x:v>0</x:v>
      </x:c>
      <x:c r="I443" s="89">
        <x:v>0</x:v>
      </x:c>
      <x:c r="J443" s="89">
        <x:v>0</x:v>
      </x:c>
      <x:c r="K443" s="89">
        <x:v>0</x:v>
      </x:c>
      <x:c r="L443" s="89">
        <x:v>0</x:v>
      </x:c>
      <x:c r="M443" s="89">
        <x:v>0</x:v>
      </x:c>
      <x:c r="N443" s="89">
        <x:v>0</x:v>
      </x:c>
      <x:c r="O443" s="89">
        <x:v>0</x:v>
      </x:c>
      <x:c r="P443" s="89">
        <x:v>0</x:v>
      </x:c>
      <x:c r="Q443" s="89">
        <x:v>0</x:v>
      </x:c>
      <x:c r="R443" s="384">
        <x:v>0</x:v>
      </x:c>
    </x:row>
    <x:row r="444" spans="1:18" ht="12.75" customHeight="1" x14ac:dyDescent="0.2">
      <x:c r="D444" t="s">
        <x:v>81</x:v>
      </x:c>
      <x:c r="E444" s="384">
        <x:v>0</x:v>
      </x:c>
      <x:c r="F444" s="89">
        <x:v>0</x:v>
      </x:c>
      <x:c r="G444" s="89">
        <x:v>0</x:v>
      </x:c>
      <x:c r="H444" s="384">
        <x:v>0</x:v>
      </x:c>
      <x:c r="I444" s="89">
        <x:v>0</x:v>
      </x:c>
      <x:c r="J444" s="89">
        <x:v>0</x:v>
      </x:c>
      <x:c r="K444" s="89">
        <x:v>0</x:v>
      </x:c>
      <x:c r="L444" s="89">
        <x:v>0</x:v>
      </x:c>
      <x:c r="M444" s="89">
        <x:v>0</x:v>
      </x:c>
      <x:c r="N444" s="89">
        <x:v>0</x:v>
      </x:c>
      <x:c r="O444" s="89">
        <x:v>0</x:v>
      </x:c>
      <x:c r="P444" s="89">
        <x:v>0</x:v>
      </x:c>
      <x:c r="Q444" s="89">
        <x:v>0</x:v>
      </x:c>
      <x:c r="R444" s="384">
        <x:v>0</x:v>
      </x:c>
    </x:row>
    <x:row r="445" spans="1:18" ht="11.45" customHeight="1" x14ac:dyDescent="0.2">
      <x:c r="C445" t="s">
        <x:v>332</x:v>
      </x:c>
      <x:c r="D445" t="s">
        <x:v>70</x:v>
      </x:c>
      <x:c r="E445" s="384">
        <x:v>0</x:v>
      </x:c>
      <x:c r="F445" s="89">
        <x:v>0</x:v>
      </x:c>
      <x:c r="G445" s="89">
        <x:v>0</x:v>
      </x:c>
      <x:c r="H445" s="384">
        <x:v>0</x:v>
      </x:c>
      <x:c r="I445" s="89">
        <x:v>0</x:v>
      </x:c>
      <x:c r="J445" s="89">
        <x:v>0</x:v>
      </x:c>
      <x:c r="K445" s="89">
        <x:v>0</x:v>
      </x:c>
      <x:c r="L445" s="89">
        <x:v>0</x:v>
      </x:c>
      <x:c r="M445" s="89">
        <x:v>0</x:v>
      </x:c>
      <x:c r="N445" s="89">
        <x:v>0</x:v>
      </x:c>
      <x:c r="O445" s="89">
        <x:v>0</x:v>
      </x:c>
      <x:c r="P445" s="89">
        <x:v>0</x:v>
      </x:c>
      <x:c r="Q445" s="89">
        <x:v>0</x:v>
      </x:c>
      <x:c r="R445" s="384">
        <x:v>0</x:v>
      </x:c>
    </x:row>
    <x:row r="446" spans="1:18" s="378" customFormat="1" ht="11.45" customHeight="1" x14ac:dyDescent="0.2">
      <x:c r="B446" s="378" t="s">
        <x:v>85</x:v>
      </x:c>
      <x:c r="C446" s="378" t="s">
        <x:v>70</x:v>
      </x:c>
      <x:c r="E446" s="774">
        <x:v>0</x:v>
      </x:c>
      <x:c r="F446" s="376">
        <x:v>0</x:v>
      </x:c>
      <x:c r="G446" s="376">
        <x:v>0</x:v>
      </x:c>
      <x:c r="H446" s="774">
        <x:v>0</x:v>
      </x:c>
      <x:c r="I446" s="376">
        <x:v>0</x:v>
      </x:c>
      <x:c r="J446" s="376">
        <x:v>0</x:v>
      </x:c>
      <x:c r="K446" s="376">
        <x:v>0</x:v>
      </x:c>
      <x:c r="L446" s="376">
        <x:v>0</x:v>
      </x:c>
      <x:c r="M446" s="376">
        <x:v>0</x:v>
      </x:c>
      <x:c r="N446" s="376">
        <x:v>0</x:v>
      </x:c>
      <x:c r="O446" s="376">
        <x:v>0</x:v>
      </x:c>
      <x:c r="P446" s="376">
        <x:v>0</x:v>
      </x:c>
      <x:c r="Q446" s="376">
        <x:v>0</x:v>
      </x:c>
      <x:c r="R446" s="774">
        <x:v>0</x:v>
      </x:c>
    </x:row>
    <x:row r="447" spans="1:18" ht="12.75" customHeight="1" x14ac:dyDescent="0.2">
      <x:c r="D447" s="89" t="s">
        <x:v>72</x:v>
      </x:c>
      <x:c r="E447" s="90" t="n">
        <x:v>8655921.83</x:v>
      </x:c>
      <x:c r="F447" s="90" t="n">
        <x:v>509975.18</x:v>
      </x:c>
      <x:c r="G447" s="90" t="n">
        <x:v>296684.5</x:v>
      </x:c>
      <x:c r="H447" s="90" t="n">
        <x:v>135127.25</x:v>
      </x:c>
      <x:c r="I447" s="90" t="n">
        <x:v>2104381.64</x:v>
      </x:c>
      <x:c r="J447" s="90" t="n">
        <x:v>75189.29</x:v>
      </x:c>
      <x:c r="K447" s="90" t="n">
        <x:v>0</x:v>
      </x:c>
      <x:c r="L447" s="90" t="n">
        <x:v>631706.36</x:v>
      </x:c>
      <x:c r="M447" s="90" t="n">
        <x:v>625616.75</x:v>
      </x:c>
      <x:c r="N447" s="90" t="n">
        <x:v>2499155.7</x:v>
      </x:c>
      <x:c r="O447" s="90" t="n">
        <x:v>1660982.83</x:v>
      </x:c>
      <x:c r="P447" s="90" t="n">
        <x:v>117100.63</x:v>
      </x:c>
      <x:c r="Q447" s="90" t="n">
        <x:v>1.7</x:v>
      </x:c>
      <x:c r="R447" t="n">
        <x:v>0</x:v>
      </x:c>
    </x:row>
    <x:row r="448" spans="1:18" ht="12.75" customHeight="1" x14ac:dyDescent="0.2">
      <x:c r="D448" s="89" t="s">
        <x:v>81</x:v>
      </x:c>
      <x:c r="E448" s="90" t="n">
        <x:v>8432.37</x:v>
      </x:c>
      <x:c r="F448" s="90" t="n">
        <x:v>485.81</x:v>
      </x:c>
      <x:c r="G448" s="90" t="n">
        <x:v>272.28</x:v>
      </x:c>
      <x:c r="H448" s="90" t="n">
        <x:v>144.04</x:v>
      </x:c>
      <x:c r="I448" s="90" t="n">
        <x:v>1825.84</x:v>
      </x:c>
      <x:c r="J448" s="90" t="n">
        <x:v>67.93</x:v>
      </x:c>
      <x:c r="K448" s="90" t="n">
        <x:v>0</x:v>
      </x:c>
      <x:c r="L448" s="90" t="n">
        <x:v>595.64</x:v>
      </x:c>
      <x:c r="M448" s="90" t="n">
        <x:v>500.17</x:v>
      </x:c>
      <x:c r="N448" s="90" t="n">
        <x:v>2970.53</x:v>
      </x:c>
      <x:c r="O448" s="90" t="n">
        <x:v>1459.28</x:v>
      </x:c>
      <x:c r="P448" s="90" t="n">
        <x:v>110.82</x:v>
      </x:c>
      <x:c r="Q448" s="90" t="n">
        <x:v>0.03</x:v>
      </x:c>
      <x:c r="R448" t="n">
        <x:v>0</x:v>
      </x:c>
    </x:row>
    <x:row r="449" spans="2:19" ht="12.75" customHeight="1" x14ac:dyDescent="0.2">
      <x:c r="B449" s="89"/>
      <x:c r="C449" s="89" t="s">
        <x:v>156</x:v>
      </x:c>
      <x:c r="D449" t="s">
        <x:v>70</x:v>
      </x:c>
      <x:c r="E449" s="90" t="n">
        <x:v>8664354.2</x:v>
      </x:c>
      <x:c r="F449" s="90" t="n">
        <x:v>510460.99</x:v>
      </x:c>
      <x:c r="G449" s="90" t="n">
        <x:v>296956.78</x:v>
      </x:c>
      <x:c r="H449" s="90" t="n">
        <x:v>135271.29</x:v>
      </x:c>
      <x:c r="I449" s="90" t="n">
        <x:v>2106207.48</x:v>
      </x:c>
      <x:c r="J449" s="90" t="n">
        <x:v>75257.22</x:v>
      </x:c>
      <x:c r="K449" s="90" t="n">
        <x:v>0</x:v>
      </x:c>
      <x:c r="L449" s="90" t="n">
        <x:v>632302</x:v>
      </x:c>
      <x:c r="M449" s="90" t="n">
        <x:v>626116.92</x:v>
      </x:c>
      <x:c r="N449" s="90" t="n">
        <x:v>2502126.23</x:v>
      </x:c>
      <x:c r="O449" s="90" t="n">
        <x:v>1662442.11</x:v>
      </x:c>
      <x:c r="P449" s="90" t="n">
        <x:v>117211.45</x:v>
      </x:c>
      <x:c r="Q449" s="90" t="n">
        <x:v>1.73</x:v>
      </x:c>
      <x:c r="R449" t="n">
        <x:v>0</x:v>
      </x:c>
    </x:row>
    <x:row r="450" spans="2:19" s="237" customFormat="1" ht="12.75" customHeight="1" x14ac:dyDescent="0.2">
      <x:c r="B450" s="221" t="s">
        <x:v>155</x:v>
      </x:c>
      <x:c r="C450" s="221" t="s">
        <x:v>70</x:v>
      </x:c>
      <x:c r="E450" s="222" t="n">
        <x:v>8664354.2</x:v>
      </x:c>
      <x:c r="F450" s="222" t="n">
        <x:v>510460.99</x:v>
      </x:c>
      <x:c r="G450" s="222" t="n">
        <x:v>296956.78</x:v>
      </x:c>
      <x:c r="H450" s="222" t="n">
        <x:v>135271.29</x:v>
      </x:c>
      <x:c r="I450" s="222" t="n">
        <x:v>2106207.48</x:v>
      </x:c>
      <x:c r="J450" s="222" t="n">
        <x:v>75257.22</x:v>
      </x:c>
      <x:c r="K450" s="222" t="n">
        <x:v>0</x:v>
      </x:c>
      <x:c r="L450" s="222" t="n">
        <x:v>632302</x:v>
      </x:c>
      <x:c r="M450" s="222" t="n">
        <x:v>626116.92</x:v>
      </x:c>
      <x:c r="N450" s="222" t="n">
        <x:v>2502126.23</x:v>
      </x:c>
      <x:c r="O450" s="222" t="n">
        <x:v>1662442.11</x:v>
      </x:c>
      <x:c r="P450" s="222" t="n">
        <x:v>117211.45</x:v>
      </x:c>
      <x:c r="Q450" s="222" t="n">
        <x:v>1.73</x:v>
      </x:c>
      <x:c r="R450" s="237" t="n">
        <x:v>0</x:v>
      </x:c>
    </x:row>
    <x:row r="451" spans="2:19" ht="12.75" customHeight="1" x14ac:dyDescent="0.2">
      <x:c r="D451" t="s">
        <x:v>72</x:v>
      </x:c>
      <x:c r="E451" s="142" t="n">
        <x:v>5172314.44</x:v>
      </x:c>
      <x:c r="F451" t="n">
        <x:v>315475.92</x:v>
      </x:c>
      <x:c r="G451" t="n">
        <x:v>168590.02</x:v>
      </x:c>
      <x:c r="H451" t="n">
        <x:v>84045.66</x:v>
      </x:c>
      <x:c r="I451" t="n">
        <x:v>1499054.93</x:v>
      </x:c>
      <x:c r="J451" t="n">
        <x:v>40257.77</x:v>
      </x:c>
      <x:c r="K451" t="n">
        <x:v>0</x:v>
      </x:c>
      <x:c r="L451" t="n">
        <x:v>342313.96</x:v>
      </x:c>
      <x:c r="M451" t="n">
        <x:v>329814.82</x:v>
      </x:c>
      <x:c r="N451" t="n">
        <x:v>1504835.88</x:v>
      </x:c>
      <x:c r="O451" t="n">
        <x:v>820968.36</x:v>
      </x:c>
      <x:c r="P451" t="n">
        <x:v>66961.08</x:v>
      </x:c>
      <x:c r="Q451" t="n">
        <x:v>-3.96</x:v>
      </x:c>
      <x:c r="R451" t="n">
        <x:v>0</x:v>
      </x:c>
    </x:row>
    <x:row r="452" spans="2:19" ht="12.75" customHeight="1" x14ac:dyDescent="0.2">
      <x:c r="D452" t="s">
        <x:v>81</x:v>
      </x:c>
      <x:c r="E452" s="142" t="n">
        <x:v>1991.76</x:v>
      </x:c>
      <x:c r="F452" t="n">
        <x:v>109.49</x:v>
      </x:c>
      <x:c r="G452" t="n">
        <x:v>61.49</x:v>
      </x:c>
      <x:c r="H452" t="n">
        <x:v>32.78</x:v>
      </x:c>
      <x:c r="I452" t="n">
        <x:v>443.4</x:v>
      </x:c>
      <x:c r="J452" t="n">
        <x:v>15.73</x:v>
      </x:c>
      <x:c r="K452" t="n">
        <x:v>0</x:v>
      </x:c>
      <x:c r="L452" t="n">
        <x:v>138.26</x:v>
      </x:c>
      <x:c r="M452" t="n">
        <x:v>138.78</x:v>
      </x:c>
      <x:c r="N452" t="n">
        <x:v>695.5</x:v>
      </x:c>
      <x:c r="O452" t="n">
        <x:v>330.66</x:v>
      </x:c>
      <x:c r="P452" t="n">
        <x:v>25.71</x:v>
      </x:c>
      <x:c r="Q452" t="n">
        <x:v>-0.04</x:v>
      </x:c>
      <x:c r="R452" t="n">
        <x:v>0</x:v>
      </x:c>
    </x:row>
    <x:row r="453" spans="2:19" ht="12.75" customHeight="1" x14ac:dyDescent="0.2">
      <x:c r="C453" t="s">
        <x:v>156</x:v>
      </x:c>
      <x:c r="D453" t="s">
        <x:v>70</x:v>
      </x:c>
      <x:c r="E453" s="142" t="n">
        <x:v>5174306.2</x:v>
      </x:c>
      <x:c r="F453" t="n">
        <x:v>315585.41</x:v>
      </x:c>
      <x:c r="G453" t="n">
        <x:v>168651.51</x:v>
      </x:c>
      <x:c r="H453" t="n">
        <x:v>84078.44</x:v>
      </x:c>
      <x:c r="I453" t="n">
        <x:v>1499498.33</x:v>
      </x:c>
      <x:c r="J453" t="n">
        <x:v>40273.5</x:v>
      </x:c>
      <x:c r="K453" t="n">
        <x:v>0</x:v>
      </x:c>
      <x:c r="L453" t="n">
        <x:v>342452.22</x:v>
      </x:c>
      <x:c r="M453" t="n">
        <x:v>329953.6</x:v>
      </x:c>
      <x:c r="N453" t="n">
        <x:v>1505531.38</x:v>
      </x:c>
      <x:c r="O453" t="n">
        <x:v>821299.02</x:v>
      </x:c>
      <x:c r="P453" t="n">
        <x:v>66986.79</x:v>
      </x:c>
      <x:c r="Q453" t="n">
        <x:v>-4</x:v>
      </x:c>
      <x:c r="R453" t="n">
        <x:v>0</x:v>
      </x:c>
    </x:row>
    <x:row r="454" spans="2:19" s="739" customFormat="1" ht="12.75" customHeight="1" x14ac:dyDescent="0.2">
      <x:c r="B454" s="739" t="s">
        <x:v>326</x:v>
      </x:c>
      <x:c r="C454" s="739" t="s">
        <x:v>70</x:v>
      </x:c>
      <x:c r="E454" s="231" t="n">
        <x:v>5174306.2</x:v>
      </x:c>
      <x:c r="F454" s="740" t="n">
        <x:v>315585.41</x:v>
      </x:c>
      <x:c r="G454" s="232" t="n">
        <x:v>168651.51</x:v>
      </x:c>
      <x:c r="H454" s="232" t="n">
        <x:v>84078.44</x:v>
      </x:c>
      <x:c r="I454" s="232" t="n">
        <x:v>1499498.33</x:v>
      </x:c>
      <x:c r="J454" s="232" t="n">
        <x:v>40273.5</x:v>
      </x:c>
      <x:c r="K454" s="232" t="n">
        <x:v>0</x:v>
      </x:c>
      <x:c r="L454" s="232" t="n">
        <x:v>342452.22</x:v>
      </x:c>
      <x:c r="M454" s="232" t="n">
        <x:v>329953.6</x:v>
      </x:c>
      <x:c r="N454" s="232" t="n">
        <x:v>1505531.38</x:v>
      </x:c>
      <x:c r="O454" s="232" t="n">
        <x:v>821299.02</x:v>
      </x:c>
      <x:c r="P454" s="232" t="n">
        <x:v>66986.79</x:v>
      </x:c>
      <x:c r="Q454" s="232" t="n">
        <x:v>-4</x:v>
      </x:c>
      <x:c r="R454" s="232" t="n">
        <x:v>0</x:v>
      </x:c>
      <x:c r="S454" s="232"/>
    </x:row>
    <x:row r="455" spans="2:19" ht="12.75" customHeight="1" x14ac:dyDescent="0.2">
      <x:c r="D455" t="s">
        <x:v>72</x:v>
      </x:c>
      <x:c r="E455" s="142" t="n">
        <x:v>2351744.22</x:v>
      </x:c>
      <x:c r="F455" t="n">
        <x:v>149451.74</x:v>
      </x:c>
      <x:c r="G455" t="n">
        <x:v>80910.55</x:v>
      </x:c>
      <x:c r="H455" t="n">
        <x:v>36715.87</x:v>
      </x:c>
      <x:c r="I455" t="n">
        <x:v>661431.94</x:v>
      </x:c>
      <x:c r="J455" t="n">
        <x:v>19739.46</x:v>
      </x:c>
      <x:c r="K455" t="n">
        <x:v>0</x:v>
      </x:c>
      <x:c r="L455" t="n">
        <x:v>130422.74</x:v>
      </x:c>
      <x:c r="M455" t="n">
        <x:v>146187.78</x:v>
      </x:c>
      <x:c r="N455" t="n">
        <x:v>683824.2</x:v>
      </x:c>
      <x:c r="O455" t="n">
        <x:v>411131.26</x:v>
      </x:c>
      <x:c r="P455" t="n">
        <x:v>31935.01</x:v>
      </x:c>
      <x:c r="Q455" t="n">
        <x:v>-6.33</x:v>
      </x:c>
      <x:c r="R455" t="n">
        <x:v>0</x:v>
      </x:c>
    </x:row>
    <x:row r="456" spans="2:19" ht="12.75" customHeight="1" x14ac:dyDescent="0.2">
      <x:c r="D456" t="s">
        <x:v>81</x:v>
      </x:c>
      <x:c r="E456" s="142" t="n">
        <x:v>0.43</x:v>
      </x:c>
      <x:c r="F456" t="n">
        <x:v>0</x:v>
      </x:c>
      <x:c r="G456" t="n">
        <x:v>0</x:v>
      </x:c>
      <x:c r="H456" t="n">
        <x:v>0.43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</x:row>
    <x:row r="457" spans="2:19" ht="12.75" customHeight="1" x14ac:dyDescent="0.2">
      <x:c r="C457" t="s">
        <x:v>82</x:v>
      </x:c>
      <x:c r="D457" t="s">
        <x:v>70</x:v>
      </x:c>
      <x:c r="E457" s="142" t="n">
        <x:v>2351744.65</x:v>
      </x:c>
      <x:c r="F457" t="n">
        <x:v>149451.74</x:v>
      </x:c>
      <x:c r="G457" t="n">
        <x:v>80910.55</x:v>
      </x:c>
      <x:c r="H457" t="n">
        <x:v>36716.3</x:v>
      </x:c>
      <x:c r="I457" t="n">
        <x:v>661431.94</x:v>
      </x:c>
      <x:c r="J457" t="n">
        <x:v>19739.46</x:v>
      </x:c>
      <x:c r="K457" t="n">
        <x:v>0</x:v>
      </x:c>
      <x:c r="L457" t="n">
        <x:v>130422.74</x:v>
      </x:c>
      <x:c r="M457" t="n">
        <x:v>146187.78</x:v>
      </x:c>
      <x:c r="N457" t="n">
        <x:v>683824.2</x:v>
      </x:c>
      <x:c r="O457" t="n">
        <x:v>411131.26</x:v>
      </x:c>
      <x:c r="P457" t="n">
        <x:v>31935.01</x:v>
      </x:c>
      <x:c r="Q457" t="n">
        <x:v>-6.33</x:v>
      </x:c>
      <x:c r="R457" t="n">
        <x:v>0</x:v>
      </x:c>
    </x:row>
    <x:row r="458" spans="2:19" ht="12.75" customHeight="1" x14ac:dyDescent="0.2">
      <x:c r="D458" t="s">
        <x:v>72</x:v>
      </x:c>
      <x:c r="E458" s="142" t="n">
        <x:v>1701780.65</x:v>
      </x:c>
      <x:c r="F458" t="n">
        <x:v>119609.09</x:v>
      </x:c>
      <x:c r="G458" t="n">
        <x:v>82415.16</x:v>
      </x:c>
      <x:c r="H458" t="n">
        <x:v>29626.34</x:v>
      </x:c>
      <x:c r="I458" t="n">
        <x:v>544894.72</x:v>
      </x:c>
      <x:c r="J458" t="n">
        <x:v>22974.34</x:v>
      </x:c>
      <x:c r="K458" t="n">
        <x:v>0</x:v>
      </x:c>
      <x:c r="L458" t="n">
        <x:v>67913.02</x:v>
      </x:c>
      <x:c r="M458" t="n">
        <x:v>221545.18</x:v>
      </x:c>
      <x:c r="N458" t="n">
        <x:v>256791.57</x:v>
      </x:c>
      <x:c r="O458" t="n">
        <x:v>319935.9</x:v>
      </x:c>
      <x:c r="P458" t="n">
        <x:v>35973.35</x:v>
      </x:c>
      <x:c r="Q458" t="n">
        <x:v>101.98</x:v>
      </x:c>
      <x:c r="R458" t="n">
        <x:v>0</x:v>
      </x:c>
    </x:row>
    <x:row r="459" spans="2:19" ht="12.75" customHeight="1" x14ac:dyDescent="0.2">
      <x:c r="D459" t="s">
        <x:v>81</x:v>
      </x:c>
      <x:c r="E459" s="142" t="n">
        <x:v>2548.26</x:v>
      </x:c>
      <x:c r="F459" t="n">
        <x:v>4.85</x:v>
      </x:c>
      <x:c r="G459" t="n">
        <x:v>2.66</x:v>
      </x:c>
      <x:c r="H459" t="n">
        <x:v>214.76</x:v>
      </x:c>
      <x:c r="I459" t="n">
        <x:v>1369.85</x:v>
      </x:c>
      <x:c r="J459" t="n">
        <x:v>166.06</x:v>
      </x:c>
      <x:c r="K459" t="n">
        <x:v>0</x:v>
      </x:c>
      <x:c r="L459" t="n">
        <x:v>72.63</x:v>
      </x:c>
      <x:c r="M459" t="n">
        <x:v>70.7</x:v>
      </x:c>
      <x:c r="N459" t="n">
        <x:v>360.97</x:v>
      </x:c>
      <x:c r="O459" t="n">
        <x:v>14.4</x:v>
      </x:c>
      <x:c r="P459" t="n">
        <x:v>271</x:v>
      </x:c>
      <x:c r="Q459" t="n">
        <x:v>0.38</x:v>
      </x:c>
      <x:c r="R459" t="n">
        <x:v>0</x:v>
      </x:c>
    </x:row>
    <x:row r="460" spans="2:19" ht="12.75" customHeight="1" x14ac:dyDescent="0.2">
      <x:c r="C460" t="s">
        <x:v>86</x:v>
      </x:c>
      <x:c r="D460" t="s">
        <x:v>70</x:v>
      </x:c>
      <x:c r="E460" s="142" t="n">
        <x:v>1704328.91</x:v>
      </x:c>
      <x:c r="F460" t="n">
        <x:v>119613.94</x:v>
      </x:c>
      <x:c r="G460" t="n">
        <x:v>82417.82</x:v>
      </x:c>
      <x:c r="H460" t="n">
        <x:v>29841.1</x:v>
      </x:c>
      <x:c r="I460" t="n">
        <x:v>546264.57</x:v>
      </x:c>
      <x:c r="J460" t="n">
        <x:v>23140.4</x:v>
      </x:c>
      <x:c r="K460" t="n">
        <x:v>0</x:v>
      </x:c>
      <x:c r="L460" t="n">
        <x:v>67985.65</x:v>
      </x:c>
      <x:c r="M460" t="n">
        <x:v>221615.88</x:v>
      </x:c>
      <x:c r="N460" t="n">
        <x:v>257152.54</x:v>
      </x:c>
      <x:c r="O460" t="n">
        <x:v>319950.3</x:v>
      </x:c>
      <x:c r="P460" t="n">
        <x:v>36244.35</x:v>
      </x:c>
      <x:c r="Q460" t="n">
        <x:v>102.36</x:v>
      </x:c>
      <x:c r="R460" t="n">
        <x:v>0</x:v>
      </x:c>
    </x:row>
    <x:row r="461" spans="2:19" ht="12.75" customHeight="1" x14ac:dyDescent="0.2">
      <x:c r="D461" t="s">
        <x:v>72</x:v>
      </x:c>
      <x:c r="E461" s="142" t="n">
        <x:v>10416494.68</x:v>
      </x:c>
      <x:c r="F461" t="n">
        <x:v>1261173.26</x:v>
      </x:c>
      <x:c r="G461" t="n">
        <x:v>697716.55</x:v>
      </x:c>
      <x:c r="H461" t="n">
        <x:v>368894.57</x:v>
      </x:c>
      <x:c r="I461" t="n">
        <x:v>1191425.46</x:v>
      </x:c>
      <x:c r="J461" t="n">
        <x:v>35691.62</x:v>
      </x:c>
      <x:c r="K461" t="n">
        <x:v>575000</x:v>
      </x:c>
      <x:c r="L461" t="n">
        <x:v>283575.32</x:v>
      </x:c>
      <x:c r="M461" t="n">
        <x:v>358077.87</x:v>
      </x:c>
      <x:c r="N461" t="n">
        <x:v>1733591.56</x:v>
      </x:c>
      <x:c r="O461" t="n">
        <x:v>3851686.53</x:v>
      </x:c>
      <x:c r="P461" t="n">
        <x:v>59675.81</x:v>
      </x:c>
      <x:c r="Q461" t="n">
        <x:v>-13.87</x:v>
      </x:c>
      <x:c r="R461" t="n">
        <x:v>0</x:v>
      </x:c>
    </x:row>
    <x:row r="462" spans="2:19" ht="12.75" customHeight="1" x14ac:dyDescent="0.2">
      <x:c r="B462" s="142"/>
      <x:c r="D462" t="s">
        <x:v>81</x:v>
      </x:c>
      <x:c r="E462" s="142" t="n">
        <x:v>1599.04</x:v>
      </x:c>
      <x:c r="F462" t="n">
        <x:v>197.39</x:v>
      </x:c>
      <x:c r="G462" t="n">
        <x:v>108.74</x:v>
      </x:c>
      <x:c r="H462" t="n">
        <x:v>57.97</x:v>
      </x:c>
      <x:c r="I462" t="n">
        <x:v>200.6</x:v>
      </x:c>
      <x:c r="J462" t="n">
        <x:v>6.92</x:v>
      </x:c>
      <x:c r="K462" t="n">
        <x:v>0</x:v>
      </x:c>
      <x:c r="L462" t="n">
        <x:v>62.14</x:v>
      </x:c>
      <x:c r="M462" t="n">
        <x:v>59.78</x:v>
      </x:c>
      <x:c r="N462" t="n">
        <x:v>302.73</x:v>
      </x:c>
      <x:c r="O462" t="n">
        <x:v>591.48</x:v>
      </x:c>
      <x:c r="P462" t="n">
        <x:v>11.31</x:v>
      </x:c>
      <x:c r="Q462" t="n">
        <x:v>-0.02</x:v>
      </x:c>
      <x:c r="R462" t="n">
        <x:v>0</x:v>
      </x:c>
    </x:row>
    <x:row r="463" spans="2:19" ht="12.75" customHeight="1" x14ac:dyDescent="0.2">
      <x:c r="B463" s="142"/>
      <x:c r="C463" t="s">
        <x:v>87</x:v>
      </x:c>
      <x:c r="D463" t="s">
        <x:v>70</x:v>
      </x:c>
      <x:c r="E463" s="142" t="n">
        <x:v>10418093.72</x:v>
      </x:c>
      <x:c r="F463" t="n">
        <x:v>1261370.65</x:v>
      </x:c>
      <x:c r="G463" t="n">
        <x:v>697825.29</x:v>
      </x:c>
      <x:c r="H463" t="n">
        <x:v>368952.54</x:v>
      </x:c>
      <x:c r="I463" t="n">
        <x:v>1191626.06</x:v>
      </x:c>
      <x:c r="J463" t="n">
        <x:v>35698.54</x:v>
      </x:c>
      <x:c r="K463" t="n">
        <x:v>575000</x:v>
      </x:c>
      <x:c r="L463" t="n">
        <x:v>283637.46</x:v>
      </x:c>
      <x:c r="M463" t="n">
        <x:v>358137.65</x:v>
      </x:c>
      <x:c r="N463" t="n">
        <x:v>1733894.29</x:v>
      </x:c>
      <x:c r="O463" t="n">
        <x:v>3852278.01</x:v>
      </x:c>
      <x:c r="P463" t="n">
        <x:v>59687.12</x:v>
      </x:c>
      <x:c r="Q463" t="n">
        <x:v>-13.89</x:v>
      </x:c>
      <x:c r="R463" t="n">
        <x:v>0</x:v>
      </x:c>
    </x:row>
    <x:row r="464" spans="2:19" s="94" customFormat="1" ht="12.75" customHeight="1" x14ac:dyDescent="0.2">
      <x:c r="B464" s="101" t="s">
        <x:v>119</x:v>
      </x:c>
      <x:c r="C464" s="101" t="s">
        <x:v>70</x:v>
      </x:c>
      <x:c r="E464" s="93" t="n">
        <x:v>14474167.28</x:v>
      </x:c>
      <x:c r="F464" s="93" t="n">
        <x:v>1530436.33</x:v>
      </x:c>
      <x:c r="G464" s="93" t="n">
        <x:v>861153.66</x:v>
      </x:c>
      <x:c r="H464" s="93" t="n">
        <x:v>435509.94</x:v>
      </x:c>
      <x:c r="I464" s="93" t="n">
        <x:v>2399322.57</x:v>
      </x:c>
      <x:c r="J464" s="93" t="n">
        <x:v>78578.4</x:v>
      </x:c>
      <x:c r="K464" s="93" t="n">
        <x:v>575000</x:v>
      </x:c>
      <x:c r="L464" s="93" t="n">
        <x:v>482045.85</x:v>
      </x:c>
      <x:c r="M464" s="93" t="n">
        <x:v>725941.31</x:v>
      </x:c>
      <x:c r="N464" s="93" t="n">
        <x:v>2674871.03</x:v>
      </x:c>
      <x:c r="O464" s="93" t="n">
        <x:v>4583359.57</x:v>
      </x:c>
      <x:c r="P464" s="93" t="n">
        <x:v>127866.48</x:v>
      </x:c>
      <x:c r="Q464" s="93" t="n">
        <x:v>82.14</x:v>
      </x:c>
      <x:c r="R464" s="94" t="n">
        <x:v>0</x:v>
      </x:c>
    </x:row>
    <x:row r="465" spans="1:19" s="226" customFormat="1" ht="12.75" customHeight="1" x14ac:dyDescent="0.2">
      <x:c r="A465" s="98" t="s">
        <x:v>78</x:v>
      </x:c>
      <x:c r="B465" s="98" t="s">
        <x:v>70</x:v>
      </x:c>
      <x:c r="E465" s="100" t="n">
        <x:v>28312827.68</x:v>
      </x:c>
      <x:c r="F465" s="100" t="n">
        <x:v>2356482.73</x:v>
      </x:c>
      <x:c r="G465" s="100" t="n">
        <x:v>1326761.95</x:v>
      </x:c>
      <x:c r="H465" s="100" t="n">
        <x:v>654859.67</x:v>
      </x:c>
      <x:c r="I465" s="100" t="n">
        <x:v>6005028.38</x:v>
      </x:c>
      <x:c r="J465" s="100" t="n">
        <x:v>194109.12</x:v>
      </x:c>
      <x:c r="K465" s="100" t="n">
        <x:v>575000</x:v>
      </x:c>
      <x:c r="L465" s="100" t="n">
        <x:v>1456800.07</x:v>
      </x:c>
      <x:c r="M465" s="100" t="n">
        <x:v>1682011.83</x:v>
      </x:c>
      <x:c r="N465" s="100" t="n">
        <x:v>6682528.64</x:v>
      </x:c>
      <x:c r="O465" s="100" t="n">
        <x:v>7067100.7</x:v>
      </x:c>
      <x:c r="P465" s="100" t="n">
        <x:v>312064.72</x:v>
      </x:c>
      <x:c r="Q465" s="100" t="n">
        <x:v>79.87</x:v>
      </x:c>
      <x:c r="R465" s="226" t="n">
        <x:v>0</x:v>
      </x:c>
    </x:row>
    <x:row r="466" spans="1:19" ht="12.75" customHeight="1" x14ac:dyDescent="0.2">
      <x:c r="B466" s="89"/>
      <x:c r="C466" s="89"/>
      <x:c r="D466" t="s">
        <x:v>73</x:v>
      </x:c>
      <x:c r="E466" s="90">
        <x:v>0</x:v>
      </x:c>
      <x:c r="F466" s="90">
        <x:v>0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>
        <x:v>0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>
        <x:v>0</x:v>
      </x:c>
    </x:row>
    <x:row r="467" spans="1:19" ht="12.75" customHeight="1" x14ac:dyDescent="0.2">
      <x:c r="B467" s="89"/>
      <x:c r="C467" s="89" t="s">
        <x:v>332</x:v>
      </x:c>
      <x:c r="D467" t="s">
        <x:v>70</x:v>
      </x:c>
      <x:c r="E467" s="90">
        <x:v>0</x:v>
      </x:c>
      <x:c r="F467" s="90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>
        <x:v>0</x:v>
      </x:c>
    </x:row>
    <x:row r="468" spans="1:19" s="378" customFormat="1" ht="12.75" customHeight="1" x14ac:dyDescent="0.2">
      <x:c r="B468" s="378" t="s">
        <x:v>85</x:v>
      </x:c>
      <x:c r="C468" s="378" t="s">
        <x:v>70</x:v>
      </x:c>
      <x:c r="E468" s="378">
        <x:v>0</x:v>
      </x:c>
      <x:c r="F468" s="378">
        <x:v>0</x:v>
      </x:c>
      <x:c r="G468" s="378">
        <x:v>0</x:v>
      </x:c>
      <x:c r="H468" s="378">
        <x:v>0</x:v>
      </x:c>
      <x:c r="I468" s="378">
        <x:v>0</x:v>
      </x:c>
      <x:c r="J468" s="378">
        <x:v>0</x:v>
      </x:c>
      <x:c r="K468" s="378">
        <x:v>0</x:v>
      </x:c>
      <x:c r="L468" s="378">
        <x:v>0</x:v>
      </x:c>
      <x:c r="M468" s="378">
        <x:v>0</x:v>
      </x:c>
      <x:c r="N468" s="378">
        <x:v>0</x:v>
      </x:c>
      <x:c r="O468" s="378">
        <x:v>0</x:v>
      </x:c>
      <x:c r="P468" s="378">
        <x:v>0</x:v>
      </x:c>
      <x:c r="Q468" s="378">
        <x:v>0</x:v>
      </x:c>
      <x:c r="R468" s="378">
        <x:v>0</x:v>
      </x:c>
    </x:row>
    <x:row r="469" spans="1:19" ht="12.75" customHeight="1" x14ac:dyDescent="0.2">
      <x:c r="C469" s="89"/>
      <x:c r="D469" s="89" t="s">
        <x:v>73</x:v>
      </x:c>
      <x:c r="E469" s="90" t="n">
        <x:v>488579.14</x:v>
      </x:c>
      <x:c r="F469" s="90" t="n">
        <x:v>95497.44</x:v>
      </x:c>
      <x:c r="G469" s="90" t="n">
        <x:v>47572.38</x:v>
      </x:c>
      <x:c r="H469" s="90" t="n">
        <x:v>19013.96</x:v>
      </x:c>
      <x:c r="I469" s="90" t="n">
        <x:v>17444.46</x:v>
      </x:c>
      <x:c r="J469" s="90" t="n">
        <x:v>300.07</x:v>
      </x:c>
      <x:c r="K469" s="90" t="n">
        <x:v>0</x:v>
      </x:c>
      <x:c r="L469" s="90" t="n">
        <x:v>19448.33</x:v>
      </x:c>
      <x:c r="M469" s="90" t="n">
        <x:v>-21283.17</x:v>
      </x:c>
      <x:c r="N469" s="90" t="n">
        <x:v>20875.03</x:v>
      </x:c>
      <x:c r="O469" s="90" t="n">
        <x:v>287674.84</x:v>
      </x:c>
      <x:c r="P469" s="90" t="n">
        <x:v>2035.8</x:v>
      </x:c>
      <x:c r="Q469" s="90" t="n">
        <x:v>0</x:v>
      </x:c>
      <x:c r="R469" t="n">
        <x:v>0</x:v>
      </x:c>
    </x:row>
    <x:row r="470" spans="1:19" ht="12.75" customHeight="1" x14ac:dyDescent="0.2">
      <x:c r="B470" s="89"/>
      <x:c r="C470" s="89" t="s">
        <x:v>156</x:v>
      </x:c>
      <x:c r="D470" t="s">
        <x:v>70</x:v>
      </x:c>
      <x:c r="E470" s="90" t="n">
        <x:v>488579.14</x:v>
      </x:c>
      <x:c r="F470" s="90" t="n">
        <x:v>95497.44</x:v>
      </x:c>
      <x:c r="G470" s="90" t="n">
        <x:v>47572.38</x:v>
      </x:c>
      <x:c r="H470" s="90" t="n">
        <x:v>19013.96</x:v>
      </x:c>
      <x:c r="I470" s="90" t="n">
        <x:v>17444.46</x:v>
      </x:c>
      <x:c r="J470" s="90" t="n">
        <x:v>300.07</x:v>
      </x:c>
      <x:c r="K470" s="90" t="n">
        <x:v>0</x:v>
      </x:c>
      <x:c r="L470" s="90" t="n">
        <x:v>19448.33</x:v>
      </x:c>
      <x:c r="M470" s="90" t="n">
        <x:v>-21283.17</x:v>
      </x:c>
      <x:c r="N470" s="90" t="n">
        <x:v>20875.03</x:v>
      </x:c>
      <x:c r="O470" s="90" t="n">
        <x:v>287674.84</x:v>
      </x:c>
      <x:c r="P470" s="90" t="n">
        <x:v>2035.8</x:v>
      </x:c>
      <x:c r="Q470" s="90" t="n">
        <x:v>0</x:v>
      </x:c>
      <x:c r="R470" t="n">
        <x:v>0</x:v>
      </x:c>
    </x:row>
    <x:row r="471" spans="1:19" s="237" customFormat="1" ht="12.75" customHeight="1" x14ac:dyDescent="0.2">
      <x:c r="B471" s="221" t="s">
        <x:v>155</x:v>
      </x:c>
      <x:c r="C471" s="221" t="s">
        <x:v>70</x:v>
      </x:c>
      <x:c r="E471" s="222" t="n">
        <x:v>488579.14</x:v>
      </x:c>
      <x:c r="F471" s="222" t="n">
        <x:v>95497.44</x:v>
      </x:c>
      <x:c r="G471" s="222" t="n">
        <x:v>47572.38</x:v>
      </x:c>
      <x:c r="H471" s="222" t="n">
        <x:v>19013.96</x:v>
      </x:c>
      <x:c r="I471" s="222" t="n">
        <x:v>17444.46</x:v>
      </x:c>
      <x:c r="J471" s="222" t="n">
        <x:v>300.07</x:v>
      </x:c>
      <x:c r="K471" s="222" t="n">
        <x:v>0</x:v>
      </x:c>
      <x:c r="L471" s="222" t="n">
        <x:v>19448.33</x:v>
      </x:c>
      <x:c r="M471" s="222" t="n">
        <x:v>-21283.17</x:v>
      </x:c>
      <x:c r="N471" s="222" t="n">
        <x:v>20875.03</x:v>
      </x:c>
      <x:c r="O471" s="222" t="n">
        <x:v>287674.84</x:v>
      </x:c>
      <x:c r="P471" s="222" t="n">
        <x:v>2035.8</x:v>
      </x:c>
      <x:c r="Q471" s="222" t="n">
        <x:v>0</x:v>
      </x:c>
      <x:c r="R471" s="237" t="n">
        <x:v>0</x:v>
      </x:c>
    </x:row>
    <x:row r="472" spans="1:19" ht="12.75" customHeight="1" x14ac:dyDescent="0.2">
      <x:c r="B472" s="142"/>
      <x:c r="C472" s="89"/>
      <x:c r="D472" s="89" t="s">
        <x:v>73</x:v>
      </x:c>
      <x:c r="E472" s="371" t="n">
        <x:v>-1383458.96</x:v>
      </x:c>
      <x:c r="F472" s="90" t="n">
        <x:v>-69317.35</x:v>
      </x:c>
      <x:c r="G472" s="90" t="n">
        <x:v>-38623.25</x:v>
      </x:c>
      <x:c r="H472" s="90" t="n">
        <x:v>-20542.21</x:v>
      </x:c>
      <x:c r="I472" s="90" t="n">
        <x:v>-344723.51</x:v>
      </x:c>
      <x:c r="J472" s="90" t="n">
        <x:v>-11277.59</x:v>
      </x:c>
      <x:c r="K472" s="90" t="n">
        <x:v>0</x:v>
      </x:c>
      <x:c r="L472" s="90" t="n">
        <x:v>-98923</x:v>
      </x:c>
      <x:c r="M472" s="90" t="n">
        <x:v>-93755.85</x:v>
      </x:c>
      <x:c r="N472" s="90" t="n">
        <x:v>-481301.4</x:v>
      </x:c>
      <x:c r="O472" s="90" t="n">
        <x:v>-206595.13</x:v>
      </x:c>
      <x:c r="P472" s="90" t="n">
        <x:v>-18399.67</x:v>
      </x:c>
      <x:c r="Q472" s="90" t="n">
        <x:v>0</x:v>
      </x:c>
      <x:c r="R472" t="n">
        <x:v>0</x:v>
      </x:c>
    </x:row>
    <x:row r="473" spans="1:19" ht="12.75" customHeight="1" x14ac:dyDescent="0.2">
      <x:c r="B473" s="142"/>
      <x:c r="C473" s="89" t="s">
        <x:v>156</x:v>
      </x:c>
      <x:c r="D473" s="89" t="s">
        <x:v>70</x:v>
      </x:c>
      <x:c r="E473" s="371" t="n">
        <x:v>-1383458.96</x:v>
      </x:c>
      <x:c r="F473" s="90" t="n">
        <x:v>-69317.35</x:v>
      </x:c>
      <x:c r="G473" s="90" t="n">
        <x:v>-38623.25</x:v>
      </x:c>
      <x:c r="H473" s="90" t="n">
        <x:v>-20542.21</x:v>
      </x:c>
      <x:c r="I473" s="90" t="n">
        <x:v>-344723.51</x:v>
      </x:c>
      <x:c r="J473" s="90" t="n">
        <x:v>-11277.59</x:v>
      </x:c>
      <x:c r="K473" s="90" t="n">
        <x:v>0</x:v>
      </x:c>
      <x:c r="L473" s="90" t="n">
        <x:v>-98923</x:v>
      </x:c>
      <x:c r="M473" s="90" t="n">
        <x:v>-93755.85</x:v>
      </x:c>
      <x:c r="N473" s="90" t="n">
        <x:v>-481301.4</x:v>
      </x:c>
      <x:c r="O473" s="90" t="n">
        <x:v>-206595.13</x:v>
      </x:c>
      <x:c r="P473" s="90" t="n">
        <x:v>-18399.67</x:v>
      </x:c>
      <x:c r="Q473" s="90" t="n">
        <x:v>0</x:v>
      </x:c>
      <x:c r="R473" t="n">
        <x:v>0</x:v>
      </x:c>
    </x:row>
    <x:row r="474" spans="1:19" s="739" customFormat="1" ht="12.75" customHeight="1" x14ac:dyDescent="0.2">
      <x:c r="B474" s="739" t="s">
        <x:v>326</x:v>
      </x:c>
      <x:c r="C474" s="739" t="s">
        <x:v>70</x:v>
      </x:c>
      <x:c r="E474" s="231" t="n">
        <x:v>-1383458.96</x:v>
      </x:c>
      <x:c r="F474" s="740" t="n">
        <x:v>-69317.35</x:v>
      </x:c>
      <x:c r="G474" s="232" t="n">
        <x:v>-38623.25</x:v>
      </x:c>
      <x:c r="H474" s="232" t="n">
        <x:v>-20542.21</x:v>
      </x:c>
      <x:c r="I474" s="232" t="n">
        <x:v>-344723.51</x:v>
      </x:c>
      <x:c r="J474" s="232" t="n">
        <x:v>-11277.59</x:v>
      </x:c>
      <x:c r="K474" s="232" t="n">
        <x:v>0</x:v>
      </x:c>
      <x:c r="L474" s="232" t="n">
        <x:v>-98923</x:v>
      </x:c>
      <x:c r="M474" s="232" t="n">
        <x:v>-93755.85</x:v>
      </x:c>
      <x:c r="N474" s="232" t="n">
        <x:v>-481301.4</x:v>
      </x:c>
      <x:c r="O474" s="232" t="n">
        <x:v>-206595.13</x:v>
      </x:c>
      <x:c r="P474" s="232" t="n">
        <x:v>-18399.67</x:v>
      </x:c>
      <x:c r="Q474" s="232" t="n">
        <x:v>0</x:v>
      </x:c>
      <x:c r="R474" s="232" t="n">
        <x:v>0</x:v>
      </x:c>
      <x:c r="S474" s="232"/>
    </x:row>
    <x:row r="475" spans="1:19" ht="12.75" customHeight="1" x14ac:dyDescent="0.2">
      <x:c r="B475" s="142"/>
      <x:c r="C475" s="89"/>
      <x:c r="D475" s="89" t="s">
        <x:v>73</x:v>
      </x:c>
      <x:c r="E475" s="371" t="n">
        <x:v>-363925.29</x:v>
      </x:c>
      <x:c r="F475" s="90" t="n">
        <x:v>-974.72</x:v>
      </x:c>
      <x:c r="G475" s="90" t="n">
        <x:v>-543.74</x:v>
      </x:c>
      <x:c r="H475" s="90" t="n">
        <x:v>1159.38</x:v>
      </x:c>
      <x:c r="I475" s="90" t="n">
        <x:v>-108910.43</x:v>
      </x:c>
      <x:c r="J475" s="90" t="n">
        <x:v>-3331.78</x:v>
      </x:c>
      <x:c r="K475" s="90" t="n">
        <x:v>0</x:v>
      </x:c>
      <x:c r="L475" s="90" t="n">
        <x:v>-30381.84</x:v>
      </x:c>
      <x:c r="M475" s="90" t="n">
        <x:v>-33693.5</x:v>
      </x:c>
      <x:c r="N475" s="90" t="n">
        <x:v>-178864.85</x:v>
      </x:c>
      <x:c r="O475" s="90" t="n">
        <x:v>-2908.13</x:v>
      </x:c>
      <x:c r="P475" s="90" t="n">
        <x:v>-5475.68</x:v>
      </x:c>
      <x:c r="Q475" s="90" t="n">
        <x:v>0</x:v>
      </x:c>
      <x:c r="R475" t="n">
        <x:v>0</x:v>
      </x:c>
    </x:row>
    <x:row r="476" spans="1:19" ht="12.75" customHeight="1" x14ac:dyDescent="0.2">
      <x:c r="B476" s="142"/>
      <x:c r="C476" s="89" t="s">
        <x:v>82</x:v>
      </x:c>
      <x:c r="D476" s="89" t="s">
        <x:v>70</x:v>
      </x:c>
      <x:c r="E476" s="371" t="n">
        <x:v>-363925.29</x:v>
      </x:c>
      <x:c r="F476" s="90" t="n">
        <x:v>-974.72</x:v>
      </x:c>
      <x:c r="G476" s="90" t="n">
        <x:v>-543.74</x:v>
      </x:c>
      <x:c r="H476" s="90" t="n">
        <x:v>1159.38</x:v>
      </x:c>
      <x:c r="I476" s="90" t="n">
        <x:v>-108910.43</x:v>
      </x:c>
      <x:c r="J476" s="90" t="n">
        <x:v>-3331.78</x:v>
      </x:c>
      <x:c r="K476" s="90" t="n">
        <x:v>0</x:v>
      </x:c>
      <x:c r="L476" s="90" t="n">
        <x:v>-30381.84</x:v>
      </x:c>
      <x:c r="M476" s="90" t="n">
        <x:v>-33693.5</x:v>
      </x:c>
      <x:c r="N476" s="90" t="n">
        <x:v>-178864.85</x:v>
      </x:c>
      <x:c r="O476" s="90" t="n">
        <x:v>-2908.13</x:v>
      </x:c>
      <x:c r="P476" s="90" t="n">
        <x:v>-5475.68</x:v>
      </x:c>
      <x:c r="Q476" s="90" t="n">
        <x:v>0</x:v>
      </x:c>
      <x:c r="R476" t="n">
        <x:v>0</x:v>
      </x:c>
    </x:row>
    <x:row r="477" spans="1:19" ht="12.75" customHeight="1" x14ac:dyDescent="0.2">
      <x:c r="B477" s="142"/>
      <x:c r="C477" s="89"/>
      <x:c r="D477" s="89" t="s">
        <x:v>73</x:v>
      </x:c>
      <x:c r="E477" s="371" t="n">
        <x:v>-246140.4</x:v>
      </x:c>
      <x:c r="F477" s="90" t="n">
        <x:v>27531.86</x:v>
      </x:c>
      <x:c r="G477" s="90" t="n">
        <x:v>15340.35</x:v>
      </x:c>
      <x:c r="H477" s="90" t="n">
        <x:v>5734.16</x:v>
      </x:c>
      <x:c r="I477" s="90" t="n">
        <x:v>-106436.87</x:v>
      </x:c>
      <x:c r="J477" s="90" t="n">
        <x:v>-4510.69</x:v>
      </x:c>
      <x:c r="K477" s="90" t="n">
        <x:v>0</x:v>
      </x:c>
      <x:c r="L477" s="90" t="n">
        <x:v>-36690.18</x:v>
      </x:c>
      <x:c r="M477" s="90" t="n">
        <x:v>-36499.82</x:v>
      </x:c>
      <x:c r="N477" s="90" t="n">
        <x:v>-183470.43</x:v>
      </x:c>
      <x:c r="O477" s="90" t="n">
        <x:v>80082.1</x:v>
      </x:c>
      <x:c r="P477" s="90" t="n">
        <x:v>-7220.88</x:v>
      </x:c>
      <x:c r="Q477" s="90" t="n">
        <x:v>0</x:v>
      </x:c>
      <x:c r="R477" t="n">
        <x:v>0</x:v>
      </x:c>
    </x:row>
    <x:row r="478" spans="1:19" ht="12.75" customHeight="1" x14ac:dyDescent="0.2">
      <x:c r="B478" s="142"/>
      <x:c r="C478" s="89" t="s">
        <x:v>86</x:v>
      </x:c>
      <x:c r="D478" s="89" t="s">
        <x:v>70</x:v>
      </x:c>
      <x:c r="E478" s="371" t="n">
        <x:v>-246140.4</x:v>
      </x:c>
      <x:c r="F478" s="90" t="n">
        <x:v>27531.86</x:v>
      </x:c>
      <x:c r="G478" s="90" t="n">
        <x:v>15340.35</x:v>
      </x:c>
      <x:c r="H478" s="90" t="n">
        <x:v>5734.16</x:v>
      </x:c>
      <x:c r="I478" s="90" t="n">
        <x:v>-106436.87</x:v>
      </x:c>
      <x:c r="J478" s="90" t="n">
        <x:v>-4510.69</x:v>
      </x:c>
      <x:c r="K478" s="90" t="n">
        <x:v>0</x:v>
      </x:c>
      <x:c r="L478" s="90" t="n">
        <x:v>-36690.18</x:v>
      </x:c>
      <x:c r="M478" s="90" t="n">
        <x:v>-36499.82</x:v>
      </x:c>
      <x:c r="N478" s="90" t="n">
        <x:v>-183470.43</x:v>
      </x:c>
      <x:c r="O478" s="90" t="n">
        <x:v>80082.1</x:v>
      </x:c>
      <x:c r="P478" s="90" t="n">
        <x:v>-7220.88</x:v>
      </x:c>
      <x:c r="Q478" s="90" t="n">
        <x:v>0</x:v>
      </x:c>
      <x:c r="R478" t="n">
        <x:v>0</x:v>
      </x:c>
    </x:row>
    <x:row r="479" spans="1:19" ht="12.75" customHeight="1" x14ac:dyDescent="0.2">
      <x:c r="B479" s="142"/>
      <x:c r="C479" s="89"/>
      <x:c r="D479" s="89" t="s">
        <x:v>73</x:v>
      </x:c>
      <x:c r="E479" s="371" t="n">
        <x:v>3196292.23</x:v>
      </x:c>
      <x:c r="F479" s="90" t="n">
        <x:v>801864.36</x:v>
      </x:c>
      <x:c r="G479" s="90" t="n">
        <x:v>396100.04</x:v>
      </x:c>
      <x:c r="H479" s="90" t="n">
        <x:v>16707.19</x:v>
      </x:c>
      <x:c r="I479" s="90" t="n">
        <x:v>-104967.44</x:v>
      </x:c>
      <x:c r="J479" s="90" t="n">
        <x:v>-4148.15</x:v>
      </x:c>
      <x:c r="K479" s="90" t="n">
        <x:v>0</x:v>
      </x:c>
      <x:c r="L479" s="90" t="n">
        <x:v>-31057.5</x:v>
      </x:c>
      <x:c r="M479" s="90" t="n">
        <x:v>-41228.61</x:v>
      </x:c>
      <x:c r="N479" s="90" t="n">
        <x:v>-220121.48</x:v>
      </x:c>
      <x:c r="O479" s="90" t="n">
        <x:v>2389872.14</x:v>
      </x:c>
      <x:c r="P479" s="90" t="n">
        <x:v>-6728.32</x:v>
      </x:c>
      <x:c r="Q479" s="90" t="n">
        <x:v>0</x:v>
      </x:c>
      <x:c r="R479" t="n">
        <x:v>0</x:v>
      </x:c>
    </x:row>
    <x:row r="480" spans="1:19" ht="12.75" customHeight="1" x14ac:dyDescent="0.2">
      <x:c r="B480" s="142"/>
      <x:c r="C480" s="89" t="s">
        <x:v>87</x:v>
      </x:c>
      <x:c r="D480" s="89" t="s">
        <x:v>70</x:v>
      </x:c>
      <x:c r="E480" s="371" t="n">
        <x:v>3196292.23</x:v>
      </x:c>
      <x:c r="F480" s="90" t="n">
        <x:v>801864.36</x:v>
      </x:c>
      <x:c r="G480" s="90" t="n">
        <x:v>396100.04</x:v>
      </x:c>
      <x:c r="H480" s="90" t="n">
        <x:v>16707.19</x:v>
      </x:c>
      <x:c r="I480" s="90" t="n">
        <x:v>-104967.44</x:v>
      </x:c>
      <x:c r="J480" s="90" t="n">
        <x:v>-4148.15</x:v>
      </x:c>
      <x:c r="K480" s="90" t="n">
        <x:v>0</x:v>
      </x:c>
      <x:c r="L480" s="90" t="n">
        <x:v>-31057.5</x:v>
      </x:c>
      <x:c r="M480" s="90" t="n">
        <x:v>-41228.61</x:v>
      </x:c>
      <x:c r="N480" s="90" t="n">
        <x:v>-220121.48</x:v>
      </x:c>
      <x:c r="O480" s="90" t="n">
        <x:v>2389872.14</x:v>
      </x:c>
      <x:c r="P480" s="90" t="n">
        <x:v>-6728.32</x:v>
      </x:c>
      <x:c r="Q480" s="90" t="n">
        <x:v>0</x:v>
      </x:c>
      <x:c r="R480" t="n">
        <x:v>0</x:v>
      </x:c>
    </x:row>
    <x:row r="481" spans="1:18" s="94" customFormat="1" ht="12.75" customHeight="1" x14ac:dyDescent="0.2">
      <x:c r="B481" s="101" t="s">
        <x:v>119</x:v>
      </x:c>
      <x:c r="C481" s="101" t="s">
        <x:v>70</x:v>
      </x:c>
      <x:c r="E481" s="93" t="n">
        <x:v>2586226.54</x:v>
      </x:c>
      <x:c r="F481" s="93" t="n">
        <x:v>828421.5</x:v>
      </x:c>
      <x:c r="G481" s="93" t="n">
        <x:v>410896.65</x:v>
      </x:c>
      <x:c r="H481" s="93" t="n">
        <x:v>23600.73</x:v>
      </x:c>
      <x:c r="I481" s="93" t="n">
        <x:v>-320314.74</x:v>
      </x:c>
      <x:c r="J481" s="93" t="n">
        <x:v>-11990.62</x:v>
      </x:c>
      <x:c r="K481" s="93" t="n">
        <x:v>0</x:v>
      </x:c>
      <x:c r="L481" s="93" t="n">
        <x:v>-98129.52</x:v>
      </x:c>
      <x:c r="M481" s="93" t="n">
        <x:v>-111421.93</x:v>
      </x:c>
      <x:c r="N481" s="93" t="n">
        <x:v>-582456.76</x:v>
      </x:c>
      <x:c r="O481" s="93" t="n">
        <x:v>2467046.11</x:v>
      </x:c>
      <x:c r="P481" s="93" t="n">
        <x:v>-19424.88</x:v>
      </x:c>
      <x:c r="Q481" s="93" t="n">
        <x:v>0</x:v>
      </x:c>
      <x:c r="R481" s="94" t="n">
        <x:v>0</x:v>
      </x:c>
    </x:row>
    <x:row r="482" spans="1:18" s="226" customFormat="1" ht="12.75" customHeight="1" x14ac:dyDescent="0.2">
      <x:c r="A482" s="98" t="s">
        <x:v>79</x:v>
      </x:c>
      <x:c r="B482" s="98" t="s">
        <x:v>70</x:v>
      </x:c>
      <x:c r="E482" s="100" t="n">
        <x:v>1691346.72</x:v>
      </x:c>
      <x:c r="F482" s="100" t="n">
        <x:v>854601.59</x:v>
      </x:c>
      <x:c r="G482" s="100" t="n">
        <x:v>419845.78</x:v>
      </x:c>
      <x:c r="H482" s="100" t="n">
        <x:v>22072.48</x:v>
      </x:c>
      <x:c r="I482" s="100" t="n">
        <x:v>-647593.79</x:v>
      </x:c>
      <x:c r="J482" s="100" t="n">
        <x:v>-22968.14</x:v>
      </x:c>
      <x:c r="K482" s="100" t="n">
        <x:v>0</x:v>
      </x:c>
      <x:c r="L482" s="100" t="n">
        <x:v>-177604.19</x:v>
      </x:c>
      <x:c r="M482" s="100" t="n">
        <x:v>-226460.95</x:v>
      </x:c>
      <x:c r="N482" s="100" t="n">
        <x:v>-1042883.13</x:v>
      </x:c>
      <x:c r="O482" s="100" t="n">
        <x:v>2548125.82</x:v>
      </x:c>
      <x:c r="P482" s="100" t="n">
        <x:v>-35788.75</x:v>
      </x:c>
      <x:c r="Q482" s="100" t="n">
        <x:v>0</x:v>
      </x:c>
      <x:c r="R482" s="226" t="n">
        <x:v>0</x:v>
      </x:c>
    </x:row>
    <x:row r="483" spans="1:18" ht="12.75" customHeight="1" x14ac:dyDescent="0.2">
      <x:c r="A483" s="89" t="s">
        <x:v>70</x:v>
      </x:c>
      <x:c r="E483" s="90" t="n">
        <x:v>30004174.4</x:v>
      </x:c>
      <x:c r="F483" s="90" t="n">
        <x:v>3211084.32</x:v>
      </x:c>
      <x:c r="G483" s="90" t="n">
        <x:v>1746607.73</x:v>
      </x:c>
      <x:c r="H483" s="90" t="n">
        <x:v>676932.15</x:v>
      </x:c>
      <x:c r="I483" s="90" t="n">
        <x:v>5357434.59</x:v>
      </x:c>
      <x:c r="J483" s="90" t="n">
        <x:v>171140.98</x:v>
      </x:c>
      <x:c r="K483" s="90" t="n">
        <x:v>575000</x:v>
      </x:c>
      <x:c r="L483" s="90" t="n">
        <x:v>1279195.88</x:v>
      </x:c>
      <x:c r="M483" s="90" t="n">
        <x:v>1455550.88</x:v>
      </x:c>
      <x:c r="N483" s="90" t="n">
        <x:v>5639645.51</x:v>
      </x:c>
      <x:c r="O483" s="90" t="n">
        <x:v>9615226.52</x:v>
      </x:c>
      <x:c r="P483" s="90" t="n">
        <x:v>276275.97</x:v>
      </x:c>
      <x:c r="Q483" s="90" t="n">
        <x:v>79.87</x:v>
      </x:c>
      <x:c r="R483" s="90" t="n">
        <x:v>0</x:v>
      </x:c>
    </x:row>
    <x:row r="484" spans="1:18" ht="12.75" hidden="1" customHeight="1" x14ac:dyDescent="0.2">
      <x:c r="A484" s="89"/>
      <x:c r="E484" s="90"/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ht="12.75" hidden="1" customHeight="1" x14ac:dyDescent="0.2">
      <x:c r="A485" s="89"/>
      <x:c r="E485" s="90"/>
      <x:c r="F485" s="90"/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</x:row>
    <x:row r="486" spans="1:18" ht="12.75" hidden="1" customHeight="1" x14ac:dyDescent="0.2">
      <x:c r="A486" s="89"/>
      <x:c r="E486" s="90"/>
      <x:c r="F486" s="90"/>
      <x:c r="G486" s="90"/>
      <x:c r="H486" s="90"/>
      <x:c r="I486" s="90"/>
      <x:c r="J486" s="90"/>
      <x:c r="K486" s="90"/>
      <x:c r="L486" s="90"/>
      <x:c r="M486" s="90"/>
      <x:c r="N486" s="90"/>
      <x:c r="O486" s="90"/>
      <x:c r="P486" s="90"/>
      <x:c r="Q486" s="90"/>
      <x:c r="R486" s="90"/>
    </x:row>
    <x:row r="487" spans="1:18" ht="12.75" hidden="1" customHeight="1" x14ac:dyDescent="0.2">
      <x:c r="A487" s="89"/>
      <x:c r="E487" s="90"/>
      <x:c r="F487" s="90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18" ht="12.75" hidden="1" customHeight="1" x14ac:dyDescent="0.2">
      <x:c r="A488" s="89"/>
      <x:c r="E488" s="90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</x:row>
    <x:row r="489" spans="1:18" ht="12.75" hidden="1" customHeight="1" x14ac:dyDescent="0.2">
      <x:c r="A489" s="89"/>
      <x:c r="E489" s="90"/>
      <x:c r="F489" s="90"/>
      <x:c r="G489" s="90"/>
      <x:c r="H489" s="90"/>
      <x:c r="I489" s="90"/>
      <x:c r="J489" s="90"/>
      <x:c r="K489" s="90"/>
      <x:c r="L489" s="90"/>
      <x:c r="M489" s="90"/>
      <x:c r="N489" s="90"/>
      <x:c r="O489" s="90"/>
      <x:c r="P489" s="90"/>
      <x:c r="Q489" s="90"/>
      <x:c r="R489" s="90"/>
    </x:row>
    <x:row r="490" spans="1:18" ht="12.75" hidden="1" customHeight="1" x14ac:dyDescent="0.2">
      <x:c r="A490" s="89"/>
      <x:c r="E490" s="90"/>
      <x:c r="F490" s="90"/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</x:row>
    <x:row r="491" spans="1:18" ht="12.75" hidden="1" customHeight="1" x14ac:dyDescent="0.2">
      <x:c r="A491" s="89"/>
      <x:c r="E491" s="90"/>
      <x:c r="F491" s="90"/>
      <x:c r="G491" s="90"/>
      <x:c r="H491" s="90"/>
      <x:c r="I491" s="90"/>
      <x:c r="J491" s="90"/>
      <x:c r="K491" s="90"/>
      <x:c r="L491" s="90"/>
      <x:c r="M491" s="90"/>
      <x:c r="N491" s="90"/>
      <x:c r="O491" s="90"/>
      <x:c r="P491" s="90"/>
      <x:c r="Q491" s="90"/>
      <x:c r="R491" s="90"/>
    </x:row>
    <x:row r="492" spans="1:18" ht="12.75" hidden="1" customHeight="1" x14ac:dyDescent="0.2">
      <x:c r="A492" s="89"/>
      <x:c r="E492" s="90"/>
      <x:c r="F492" s="90"/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18" ht="12.75" hidden="1" customHeight="1" x14ac:dyDescent="0.2">
      <x:c r="A493" s="89"/>
      <x:c r="E493" s="90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</x:row>
    <x:row r="494" spans="1:18" ht="12.75" hidden="1" customHeight="1" x14ac:dyDescent="0.2">
      <x:c r="A494" s="89"/>
      <x:c r="E494" s="90"/>
      <x:c r="F494" s="90"/>
      <x:c r="G494" s="90"/>
      <x:c r="H494" s="90"/>
      <x:c r="I494" s="90"/>
      <x:c r="J494" s="90"/>
      <x:c r="K494" s="90"/>
      <x:c r="L494" s="90"/>
      <x:c r="M494" s="90"/>
      <x:c r="N494" s="90"/>
      <x:c r="O494" s="90"/>
      <x:c r="P494" s="90"/>
      <x:c r="Q494" s="90"/>
      <x:c r="R494" s="90"/>
    </x:row>
    <x:row r="495" spans="1:18" ht="12.75" hidden="1" customHeight="1" x14ac:dyDescent="0.2">
      <x:c r="A495" s="89"/>
      <x:c r="E495" s="90"/>
      <x:c r="F495" s="90"/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</x:row>
    <x:row r="496" spans="1:18" ht="12.75" hidden="1" customHeight="1" x14ac:dyDescent="0.2">
      <x:c r="A496" s="89"/>
      <x:c r="E496" s="90"/>
      <x:c r="F496" s="90"/>
      <x:c r="G496" s="90"/>
      <x:c r="H496" s="90"/>
      <x:c r="I496" s="90"/>
      <x:c r="J496" s="90"/>
      <x:c r="K496" s="90"/>
      <x:c r="L496" s="90"/>
      <x:c r="M496" s="90"/>
      <x:c r="N496" s="90"/>
      <x:c r="O496" s="90"/>
      <x:c r="P496" s="90"/>
      <x:c r="Q496" s="90"/>
      <x:c r="R496" s="90"/>
    </x:row>
    <x:row r="497" spans="1:18" ht="12.75" hidden="1" customHeight="1" x14ac:dyDescent="0.2">
      <x:c r="A497" s="89"/>
      <x:c r="E497" s="90"/>
      <x:c r="F497" s="90"/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18" ht="12.75" hidden="1" customHeight="1" x14ac:dyDescent="0.2">
      <x:c r="A498" s="89"/>
      <x:c r="E498" s="90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</x:row>
    <x:row r="499" spans="1:18" ht="12.75" hidden="1" customHeight="1" x14ac:dyDescent="0.2">
      <x:c r="A499" s="89"/>
      <x:c r="E499" s="90"/>
      <x:c r="F499" s="90"/>
      <x:c r="G499" s="90"/>
      <x:c r="H499" s="90"/>
      <x:c r="I499" s="90"/>
      <x:c r="J499" s="90"/>
      <x:c r="K499" s="90"/>
      <x:c r="L499" s="90"/>
      <x:c r="M499" s="90"/>
      <x:c r="N499" s="90"/>
      <x:c r="O499" s="90"/>
      <x:c r="P499" s="90"/>
      <x:c r="Q499" s="90"/>
      <x:c r="R499" s="90"/>
    </x:row>
    <x:row r="500" spans="1:18" ht="12.75" hidden="1" customHeight="1" x14ac:dyDescent="0.2">
      <x:c r="A500" s="89"/>
      <x:c r="E500" s="90"/>
      <x:c r="F500" s="90"/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</x:row>
    <x:row r="501" spans="1:18" ht="12.75" hidden="1" customHeight="1" x14ac:dyDescent="0.2">
      <x:c r="A501" s="89"/>
      <x:c r="E501" s="90"/>
      <x:c r="F501" s="90"/>
      <x:c r="G501" s="90"/>
      <x:c r="H501" s="90"/>
      <x:c r="I501" s="90"/>
      <x:c r="J501" s="90"/>
      <x:c r="K501" s="90"/>
      <x:c r="L501" s="90"/>
      <x:c r="M501" s="90"/>
      <x:c r="N501" s="90"/>
      <x:c r="O501" s="90"/>
      <x:c r="P501" s="90"/>
      <x:c r="Q501" s="90"/>
      <x:c r="R501" s="90"/>
    </x:row>
    <x:row r="502" spans="1:18" ht="12.75" hidden="1" customHeight="1" x14ac:dyDescent="0.2">
      <x:c r="A502" s="89"/>
      <x:c r="E502" s="90"/>
      <x:c r="F502" s="90"/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18" ht="12.75" hidden="1" customHeight="1" x14ac:dyDescent="0.2">
      <x:c r="A503" s="89"/>
      <x:c r="E503" s="90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</x:row>
    <x:row r="504" spans="1:18" ht="12.75" hidden="1" customHeight="1" x14ac:dyDescent="0.2">
      <x:c r="A504" s="89"/>
      <x:c r="E504" s="90"/>
      <x:c r="F504" s="90"/>
      <x:c r="G504" s="90"/>
      <x:c r="H504" s="90"/>
      <x:c r="I504" s="90"/>
      <x:c r="J504" s="90"/>
      <x:c r="K504" s="90"/>
      <x:c r="L504" s="90"/>
      <x:c r="M504" s="90"/>
      <x:c r="N504" s="90"/>
      <x:c r="O504" s="90"/>
      <x:c r="P504" s="90"/>
      <x:c r="Q504" s="90"/>
      <x:c r="R504" s="90"/>
    </x:row>
    <x:row r="505" spans="1:18" ht="12.75" hidden="1" customHeight="1" x14ac:dyDescent="0.2">
      <x:c r="A505" s="89"/>
      <x:c r="E505" s="90"/>
      <x:c r="F505" s="90"/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</x:row>
    <x:row r="506" spans="1:18" ht="12.75" hidden="1" customHeight="1" x14ac:dyDescent="0.2">
      <x:c r="A506" s="89"/>
      <x:c r="E506" s="90"/>
      <x:c r="F506" s="90"/>
      <x:c r="G506" s="90"/>
      <x:c r="H506" s="90"/>
      <x:c r="I506" s="90"/>
      <x:c r="J506" s="90"/>
      <x:c r="K506" s="90"/>
      <x:c r="L506" s="90"/>
      <x:c r="M506" s="90"/>
      <x:c r="N506" s="90"/>
      <x:c r="O506" s="90"/>
      <x:c r="P506" s="90"/>
      <x:c r="Q506" s="90"/>
      <x:c r="R506" s="90"/>
    </x:row>
    <x:row r="507" spans="1:18" ht="12.75" hidden="1" customHeight="1" x14ac:dyDescent="0.2">
      <x:c r="A507" s="89"/>
      <x:c r="E507" s="90"/>
      <x:c r="F507" s="90"/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18" ht="12.75" customHeight="1" x14ac:dyDescent="0.2">
      <x:c r="A508" s="89"/>
      <x:c r="E508" s="90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</x:row>
    <x:row r="509" spans="1:18" ht="12.75" customHeight="1" x14ac:dyDescent="0.2">
      <x:c r="A509" s="89"/>
      <x:c r="E509" s="90"/>
      <x:c r="F509" s="90"/>
      <x:c r="G509" s="90"/>
      <x:c r="H509" s="90"/>
      <x:c r="I509" s="90"/>
      <x:c r="J509" s="90"/>
      <x:c r="K509" s="90"/>
      <x:c r="L509" s="90"/>
      <x:c r="M509" s="90"/>
      <x:c r="N509" s="90"/>
      <x:c r="O509" s="90"/>
      <x:c r="P509" s="90"/>
      <x:c r="Q509" s="90"/>
      <x:c r="R509" s="90"/>
    </x:row>
    <x:row r="510" spans="1:18" ht="12.75" customHeight="1" x14ac:dyDescent="0.2">
      <x:c r="B510" s="778" t="s">
        <x:v>2</x:v>
      </x:c>
      <x:c r="C510" s="776" t="s">
        <x:v>132</x:v>
      </x:c>
      <x:c r="D510" s="98" t="s">
        <x:v>70</x:v>
      </x:c>
      <x:c r="E510" s="100">
        <x:f>E482+E465-K465</x:f>
        <x:v>0</x:v>
      </x:c>
      <x:c r="F510" s="100">
        <x:f>F465</x:f>
        <x:v>0</x:v>
      </x:c>
      <x:c r="G510" s="100">
        <x:f t="shared" ref="G510:R510" si="14">G465</x:f>
        <x:v>0</x:v>
      </x:c>
      <x:c r="H510" s="100">
        <x:f t="shared" si="14"/>
        <x:v>0</x:v>
      </x:c>
      <x:c r="I510" s="100">
        <x:f t="shared" si="14"/>
        <x:v>0</x:v>
      </x:c>
      <x:c r="J510" s="100">
        <x:f t="shared" si="14"/>
        <x:v>0</x:v>
      </x:c>
      <x:c r="K510" s="100">
        <x:f t="shared" si="14"/>
        <x:v>0</x:v>
      </x:c>
      <x:c r="L510" s="100">
        <x:f t="shared" si="14"/>
        <x:v>0</x:v>
      </x:c>
      <x:c r="M510" s="100">
        <x:f t="shared" si="14"/>
        <x:v>0</x:v>
      </x:c>
      <x:c r="N510" s="100">
        <x:f t="shared" si="14"/>
        <x:v>0</x:v>
      </x:c>
      <x:c r="O510" s="100">
        <x:f t="shared" si="14"/>
        <x:v>0</x:v>
      </x:c>
      <x:c r="P510" s="100">
        <x:f>P465</x:f>
        <x:v>0</x:v>
      </x:c>
      <x:c r="Q510" s="100">
        <x:f t="shared" si="14"/>
        <x:v>0</x:v>
      </x:c>
      <x:c r="R510" s="100">
        <x:f t="shared" si="14"/>
        <x:v>0</x:v>
      </x:c>
    </x:row>
    <x:row r="511" spans="1:18" ht="12.75" customHeight="1" x14ac:dyDescent="0.2">
      <x:c r="B511" s="778"/>
      <x:c r="C511" s="776"/>
      <x:c r="D511" s="98" t="s">
        <x:v>73</x:v>
      </x:c>
      <x:c r="E511" s="100">
        <x:f>E482</x:f>
        <x:v>0</x:v>
      </x:c>
      <x:c r="F511" s="90"/>
      <x:c r="G511" s="90"/>
      <x:c r="H511" s="90"/>
      <x:c r="I511" s="90"/>
      <x:c r="J511" s="90"/>
      <x:c r="K511" s="90"/>
      <x:c r="L511" s="90"/>
      <x:c r="M511" s="90"/>
      <x:c r="N511" s="90"/>
      <x:c r="O511" s="90"/>
      <x:c r="P511" s="90"/>
      <x:c r="Q511" s="90"/>
      <x:c r="R511" s="90"/>
    </x:row>
    <x:row r="512" spans="1:18" ht="12.75" customHeight="1" x14ac:dyDescent="0.2">
      <x:c r="A512" s="89"/>
      <x:c r="B512" s="97"/>
      <x:c r="E512" s="90"/>
      <x:c r="F512" s="90"/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18" ht="12.75" customHeight="1" x14ac:dyDescent="0.2">
      <x:c r="B513" s="778" t="s">
        <x:v>160</x:v>
      </x:c>
      <x:c r="C513" s="776" t="s">
        <x:v>132</x:v>
      </x:c>
      <x:c r="D513" s="223" t="s">
        <x:v>70</x:v>
      </x:c>
      <x:c r="E513" s="225">
        <x:v>0</x:v>
      </x:c>
      <x:c r="F513" s="225">
        <x:v>0</x:v>
      </x:c>
      <x:c r="G513" s="225">
        <x:v>0</x:v>
      </x:c>
      <x:c r="H513" s="225">
        <x:v>0</x:v>
      </x:c>
      <x:c r="I513" s="225">
        <x:v>0</x:v>
      </x:c>
      <x:c r="J513" s="225">
        <x:v>0</x:v>
      </x:c>
      <x:c r="K513" s="225">
        <x:v>0</x:v>
      </x:c>
      <x:c r="L513" s="225">
        <x:v>0</x:v>
      </x:c>
      <x:c r="M513" s="225">
        <x:v>0</x:v>
      </x:c>
      <x:c r="N513" s="225">
        <x:v>0</x:v>
      </x:c>
      <x:c r="O513" s="225">
        <x:v>0</x:v>
      </x:c>
      <x:c r="P513" s="225">
        <x:v>0</x:v>
      </x:c>
      <x:c r="Q513" s="225">
        <x:v>0</x:v>
      </x:c>
      <x:c r="R513" s="225">
        <x:v>0</x:v>
      </x:c>
    </x:row>
    <x:row r="514" spans="1:18" ht="12.75" customHeight="1" x14ac:dyDescent="0.2">
      <x:c r="B514" s="778"/>
      <x:c r="C514" s="776"/>
      <x:c r="D514" s="223" t="s">
        <x:v>73</x:v>
      </x:c>
      <x:c r="E514" s="225">
        <x:v>0</x:v>
      </x:c>
      <x:c r="F514" s="90"/>
      <x:c r="G514" s="90"/>
      <x:c r="H514" s="90"/>
      <x:c r="I514" s="90"/>
      <x:c r="J514" s="90"/>
      <x:c r="K514" s="90"/>
      <x:c r="L514" s="90"/>
      <x:c r="M514" s="90"/>
      <x:c r="N514" s="90"/>
      <x:c r="O514" s="90"/>
      <x:c r="P514" s="90"/>
      <x:c r="Q514" s="90"/>
      <x:c r="R514" s="90"/>
    </x:row>
    <x:row r="515" spans="1:18" ht="12.75" customHeight="1" x14ac:dyDescent="0.2">
      <x:c r="A515" s="89"/>
      <x:c r="B515" s="97"/>
      <x:c r="E515" s="90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18" ht="12.75" customHeight="1" x14ac:dyDescent="0.2">
      <x:c r="B516" s="778" t="s">
        <x:v>155</x:v>
      </x:c>
      <x:c r="C516" s="776" t="s">
        <x:v>132</x:v>
      </x:c>
      <x:c r="D516" s="221" t="s">
        <x:v>70</x:v>
      </x:c>
      <x:c r="E516" s="222">
        <x:f>E471+E468+E450+E446-K446-K450</x:f>
        <x:v>0</x:v>
      </x:c>
      <x:c r="F516" s="222">
        <x:f>F450+F446</x:f>
        <x:v>0</x:v>
      </x:c>
      <x:c r="G516" s="222">
        <x:f t="shared" ref="G516:R516" si="15">G450+G446</x:f>
        <x:v>0</x:v>
      </x:c>
      <x:c r="H516" s="222">
        <x:f t="shared" si="15"/>
        <x:v>0</x:v>
      </x:c>
      <x:c r="I516" s="222">
        <x:f t="shared" si="15"/>
        <x:v>0</x:v>
      </x:c>
      <x:c r="J516" s="222">
        <x:f t="shared" si="15"/>
        <x:v>0</x:v>
      </x:c>
      <x:c r="K516" s="222">
        <x:f t="shared" si="15"/>
        <x:v>0</x:v>
      </x:c>
      <x:c r="L516" s="222">
        <x:f t="shared" si="15"/>
        <x:v>0</x:v>
      </x:c>
      <x:c r="M516" s="222">
        <x:f t="shared" si="15"/>
        <x:v>0</x:v>
      </x:c>
      <x:c r="N516" s="222">
        <x:f t="shared" si="15"/>
        <x:v>0</x:v>
      </x:c>
      <x:c r="O516" s="222">
        <x:f t="shared" si="15"/>
        <x:v>0</x:v>
      </x:c>
      <x:c r="P516" s="222">
        <x:f t="shared" si="15"/>
        <x:v>0</x:v>
      </x:c>
      <x:c r="Q516" s="222">
        <x:f t="shared" si="15"/>
        <x:v>0</x:v>
      </x:c>
      <x:c r="R516" s="222">
        <x:f t="shared" si="15"/>
        <x:v>0</x:v>
      </x:c>
    </x:row>
    <x:row r="517" spans="1:18" ht="12.75" customHeight="1" x14ac:dyDescent="0.2">
      <x:c r="B517" s="778"/>
      <x:c r="C517" s="776"/>
      <x:c r="D517" s="221" t="s">
        <x:v>73</x:v>
      </x:c>
      <x:c r="E517" s="222">
        <x:f>E471+E468</x:f>
        <x:v>0</x:v>
      </x:c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  <x:c r="R517" s="90"/>
    </x:row>
    <x:row r="518" spans="1:18" ht="12.75" customHeight="1" x14ac:dyDescent="0.2">
      <x:c r="A518" s="89"/>
      <x:c r="B518" s="97"/>
      <x:c r="E518" s="90"/>
      <x:c r="F518" s="90"/>
      <x:c r="G518" s="90"/>
      <x:c r="H518" s="90"/>
      <x:c r="I518" s="90"/>
      <x:c r="J518" s="90"/>
      <x:c r="K518" s="90"/>
      <x:c r="L518" s="90"/>
      <x:c r="M518" s="90"/>
      <x:c r="N518" s="90"/>
      <x:c r="O518" s="90"/>
      <x:c r="P518" s="90"/>
      <x:c r="Q518" s="90"/>
      <x:c r="R518" s="90"/>
    </x:row>
    <x:row r="519" spans="1:18" ht="12.75" customHeight="1" x14ac:dyDescent="0.2">
      <x:c r="B519" s="779" t="s">
        <x:v>326</x:v>
      </x:c>
      <x:c r="C519" s="776" t="s">
        <x:v>132</x:v>
      </x:c>
      <x:c r="D519" s="373" t="s">
        <x:v>70</x:v>
      </x:c>
      <x:c r="E519" s="374">
        <x:f>E474+E454-K454</x:f>
        <x:v>0</x:v>
      </x:c>
      <x:c r="F519" s="374">
        <x:f>F454</x:f>
        <x:v>0</x:v>
      </x:c>
      <x:c r="G519" s="374">
        <x:f t="shared" ref="G519:R519" si="16">G454</x:f>
        <x:v>0</x:v>
      </x:c>
      <x:c r="H519" s="374">
        <x:f t="shared" si="16"/>
        <x:v>0</x:v>
      </x:c>
      <x:c r="I519" s="374">
        <x:f t="shared" si="16"/>
        <x:v>0</x:v>
      </x:c>
      <x:c r="J519" s="374">
        <x:f t="shared" si="16"/>
        <x:v>0</x:v>
      </x:c>
      <x:c r="K519" s="374">
        <x:f t="shared" si="16"/>
        <x:v>0</x:v>
      </x:c>
      <x:c r="L519" s="374">
        <x:f t="shared" si="16"/>
        <x:v>0</x:v>
      </x:c>
      <x:c r="M519" s="374">
        <x:f t="shared" si="16"/>
        <x:v>0</x:v>
      </x:c>
      <x:c r="N519" s="374">
        <x:f t="shared" si="16"/>
        <x:v>0</x:v>
      </x:c>
      <x:c r="O519" s="374">
        <x:f t="shared" si="16"/>
        <x:v>0</x:v>
      </x:c>
      <x:c r="P519" s="374">
        <x:f t="shared" si="16"/>
        <x:v>0</x:v>
      </x:c>
      <x:c r="Q519" s="374">
        <x:f t="shared" si="16"/>
        <x:v>0</x:v>
      </x:c>
      <x:c r="R519" s="374">
        <x:f t="shared" si="16"/>
        <x:v>0</x:v>
      </x:c>
    </x:row>
    <x:row r="520" spans="1:18" ht="12.75" customHeight="1" x14ac:dyDescent="0.2">
      <x:c r="B520" s="779"/>
      <x:c r="C520" s="776"/>
      <x:c r="D520" s="373" t="s">
        <x:v>73</x:v>
      </x:c>
      <x:c r="E520" s="374">
        <x:f>E474</x:f>
        <x:v>0</x:v>
      </x:c>
      <x:c r="F520" s="90"/>
      <x:c r="G520" s="90"/>
      <x:c r="H520" s="90"/>
      <x:c r="I520" s="90"/>
      <x:c r="J520" s="90"/>
      <x:c r="K520" s="90"/>
      <x:c r="L520" s="90"/>
      <x:c r="M520" s="90"/>
      <x:c r="N520" s="90"/>
      <x:c r="O520" s="90"/>
      <x:c r="P520" s="90"/>
      <x:c r="Q520" s="90"/>
      <x:c r="R520" s="90"/>
    </x:row>
    <x:row r="521" spans="1:18" ht="12.75" customHeight="1" x14ac:dyDescent="0.2">
      <x:c r="B521" s="719"/>
      <x:c r="C521" s="220"/>
      <x:c r="D521" s="89"/>
      <x:c r="E521" s="90"/>
      <x:c r="F521" s="90"/>
      <x:c r="G521" s="90"/>
      <x:c r="H521" s="90"/>
      <x:c r="I521" s="90"/>
      <x:c r="J521" s="90"/>
      <x:c r="K521" s="90"/>
      <x:c r="L521" s="90"/>
      <x:c r="M521" s="90"/>
      <x:c r="N521" s="90"/>
      <x:c r="O521" s="90"/>
      <x:c r="P521" s="90"/>
      <x:c r="Q521" s="90"/>
      <x:c r="R521" s="90"/>
    </x:row>
    <x:row r="522" spans="1:18" ht="12.75" customHeight="1" x14ac:dyDescent="0.2">
      <x:c r="B522" s="778" t="s">
        <x:v>119</x:v>
      </x:c>
      <x:c r="C522" s="776" t="s">
        <x:v>132</x:v>
      </x:c>
      <x:c r="D522" s="101" t="s">
        <x:v>70</x:v>
      </x:c>
      <x:c r="E522" s="93">
        <x:f>E464+E481-K464</x:f>
        <x:v>0</x:v>
      </x:c>
      <x:c r="F522" s="93">
        <x:f>F464</x:f>
        <x:v>0</x:v>
      </x:c>
      <x:c r="G522" s="93">
        <x:f t="shared" ref="G522:R522" si="17">G464</x:f>
        <x:v>0</x:v>
      </x:c>
      <x:c r="H522" s="93">
        <x:f t="shared" si="17"/>
        <x:v>0</x:v>
      </x:c>
      <x:c r="I522" s="93">
        <x:f t="shared" si="17"/>
        <x:v>0</x:v>
      </x:c>
      <x:c r="J522" s="93">
        <x:f t="shared" si="17"/>
        <x:v>0</x:v>
      </x:c>
      <x:c r="K522" s="93">
        <x:f t="shared" si="17"/>
        <x:v>0</x:v>
      </x:c>
      <x:c r="L522" s="93">
        <x:f t="shared" si="17"/>
        <x:v>0</x:v>
      </x:c>
      <x:c r="M522" s="93">
        <x:f t="shared" si="17"/>
        <x:v>0</x:v>
      </x:c>
      <x:c r="N522" s="93">
        <x:f t="shared" si="17"/>
        <x:v>0</x:v>
      </x:c>
      <x:c r="O522" s="93">
        <x:f t="shared" si="17"/>
        <x:v>0</x:v>
      </x:c>
      <x:c r="P522" s="93">
        <x:f t="shared" si="17"/>
        <x:v>0</x:v>
      </x:c>
      <x:c r="Q522" s="93">
        <x:f t="shared" si="17"/>
        <x:v>0</x:v>
      </x:c>
      <x:c r="R522" s="93">
        <x:f t="shared" si="17"/>
        <x:v>0</x:v>
      </x:c>
    </x:row>
    <x:row r="523" spans="1:18" ht="12.75" customHeight="1" x14ac:dyDescent="0.2">
      <x:c r="B523" s="778"/>
      <x:c r="C523" s="776"/>
      <x:c r="D523" s="101" t="s">
        <x:v>73</x:v>
      </x:c>
      <x:c r="E523" s="93">
        <x:f>E481</x:f>
        <x:v>0</x:v>
      </x:c>
      <x:c r="F523" s="90"/>
      <x:c r="G523" s="90"/>
      <x:c r="H523" s="90"/>
      <x:c r="I523" s="90"/>
      <x:c r="J523" s="90"/>
      <x:c r="K523" s="90"/>
      <x:c r="L523" s="90"/>
      <x:c r="M523" s="90"/>
      <x:c r="N523" s="90"/>
      <x:c r="O523" s="90"/>
      <x:c r="P523" s="90"/>
      <x:c r="Q523" s="90"/>
      <x:c r="R523" s="90"/>
    </x:row>
    <x:row r="524" spans="1:18" ht="12.75" customHeight="1" x14ac:dyDescent="0.2">
      <x:c r="A524" s="89"/>
      <x:c r="B524" s="97"/>
      <x:c r="E524" s="90"/>
      <x:c r="F524" s="90"/>
      <x:c r="G524" s="90"/>
      <x:c r="H524" s="90"/>
      <x:c r="I524" s="90"/>
      <x:c r="J524" s="90"/>
      <x:c r="K524" s="90"/>
      <x:c r="L524" s="90"/>
      <x:c r="M524" s="90"/>
      <x:c r="N524" s="90"/>
      <x:c r="O524" s="90"/>
      <x:c r="P524" s="90"/>
      <x:c r="Q524" s="90"/>
      <x:c r="R524" s="90"/>
    </x:row>
    <x:row r="525" spans="1:18" ht="12.75" customHeight="1" x14ac:dyDescent="0.2">
      <x:c r="B525" s="777" t="s">
        <x:v>161</x:v>
      </x:c>
      <x:c r="C525" s="776" t="s">
        <x:v>132</x:v>
      </x:c>
      <x:c r="D525" s="231" t="s">
        <x:v>70</x:v>
      </x:c>
      <x:c r="E525" s="232">
        <x:v>0</x:v>
      </x:c>
      <x:c r="F525" s="232">
        <x:v>0</x:v>
      </x:c>
      <x:c r="G525" s="232">
        <x:v>0</x:v>
      </x:c>
      <x:c r="H525" s="232">
        <x:v>0</x:v>
      </x:c>
      <x:c r="I525" s="232">
        <x:v>0</x:v>
      </x:c>
      <x:c r="J525" s="232">
        <x:v>0</x:v>
      </x:c>
      <x:c r="K525" s="232">
        <x:v>0</x:v>
      </x:c>
      <x:c r="L525" s="232">
        <x:v>0</x:v>
      </x:c>
      <x:c r="M525" s="232">
        <x:v>0</x:v>
      </x:c>
      <x:c r="N525" s="232">
        <x:v>0</x:v>
      </x:c>
      <x:c r="O525" s="232">
        <x:v>0</x:v>
      </x:c>
      <x:c r="P525" s="232">
        <x:v>0</x:v>
      </x:c>
      <x:c r="Q525" s="232">
        <x:v>0</x:v>
      </x:c>
      <x:c r="R525" s="232">
        <x:v>0</x:v>
      </x:c>
    </x:row>
    <x:row r="526" spans="1:18" ht="12.75" customHeight="1" x14ac:dyDescent="0.2">
      <x:c r="B526" s="777"/>
      <x:c r="C526" s="776"/>
      <x:c r="D526" s="231" t="s">
        <x:v>73</x:v>
      </x:c>
      <x:c r="E526" s="232">
        <x:v>0</x:v>
      </x:c>
      <x:c r="F526" s="90"/>
      <x:c r="G526" s="90"/>
      <x:c r="H526" s="90"/>
      <x:c r="I526" s="90"/>
      <x:c r="J526" s="90"/>
      <x:c r="K526" s="90"/>
      <x:c r="L526" s="90"/>
      <x:c r="M526" s="90"/>
      <x:c r="N526" s="90"/>
      <x:c r="O526" s="90"/>
      <x:c r="P526" s="90"/>
      <x:c r="Q526" s="90"/>
      <x:c r="R526" s="90"/>
    </x:row>
    <x:row r="527" spans="1:18" s="238" customFormat="1" x14ac:dyDescent="0.2"/>
  </x:sheetData>
  <x:mergeCells count="60">
    <x:mergeCell ref="B522:B523"/>
    <x:mergeCell ref="C522:C523"/>
    <x:mergeCell ref="B525:B526"/>
    <x:mergeCell ref="C525:C526"/>
    <x:mergeCell ref="B519:B520"/>
    <x:mergeCell ref="C519:C520"/>
    <x:mergeCell ref="B510:B511"/>
    <x:mergeCell ref="C510:C511"/>
    <x:mergeCell ref="B513:B514"/>
    <x:mergeCell ref="C513:C514"/>
    <x:mergeCell ref="B516:B517"/>
    <x:mergeCell ref="C516:C517"/>
    <x:mergeCell ref="B435:B436"/>
    <x:mergeCell ref="C435:C436"/>
    <x:mergeCell ref="B438:B439"/>
    <x:mergeCell ref="C438:C439"/>
    <x:mergeCell ref="B432:B433"/>
    <x:mergeCell ref="C432:C433"/>
    <x:mergeCell ref="B423:B424"/>
    <x:mergeCell ref="C423:C424"/>
    <x:mergeCell ref="B426:B427"/>
    <x:mergeCell ref="C426:C427"/>
    <x:mergeCell ref="B429:B430"/>
    <x:mergeCell ref="C429:C430"/>
    <x:mergeCell ref="B311:B312"/>
    <x:mergeCell ref="C311:C312"/>
    <x:mergeCell ref="B308:B309"/>
    <x:mergeCell ref="C308:C309"/>
    <x:mergeCell ref="B314:B315"/>
    <x:mergeCell ref="C314:C315"/>
    <x:mergeCell ref="B299:B300"/>
    <x:mergeCell ref="C299:C300"/>
    <x:mergeCell ref="B302:B303"/>
    <x:mergeCell ref="C302:C303"/>
    <x:mergeCell ref="B305:B306"/>
    <x:mergeCell ref="C305:C306"/>
    <x:mergeCell ref="B57:B58"/>
    <x:mergeCell ref="C57:C58"/>
    <x:mergeCell ref="B60:B61"/>
    <x:mergeCell ref="C60:C61"/>
    <x:mergeCell ref="B66:B67"/>
    <x:mergeCell ref="C66:C67"/>
    <x:mergeCell ref="B63:B64"/>
    <x:mergeCell ref="C63:C64"/>
    <x:mergeCell ref="B69:B70"/>
    <x:mergeCell ref="C69:C70"/>
    <x:mergeCell ref="B193:B194"/>
    <x:mergeCell ref="C193:C194"/>
    <x:mergeCell ref="B72:B73"/>
    <x:mergeCell ref="C72:C73"/>
    <x:mergeCell ref="B178:B179"/>
    <x:mergeCell ref="C178:C179"/>
    <x:mergeCell ref="B181:B182"/>
    <x:mergeCell ref="C181:C182"/>
    <x:mergeCell ref="B184:B185"/>
    <x:mergeCell ref="C184:C185"/>
    <x:mergeCell ref="B190:B191"/>
    <x:mergeCell ref="C190:C191"/>
    <x:mergeCell ref="B187:B188"/>
    <x:mergeCell ref="C187:C18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94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2578125" defaultRowHeight="12.75" x14ac:dyDescent="0.2"/>
  <x:cols>
    <x:col min="1" max="1" width="21.140625" style="616" customWidth="1"/>
    <x:col min="2" max="2" width="19.85546875" style="616" bestFit="1" customWidth="1"/>
    <x:col min="3" max="3" width="24.85546875" style="616" bestFit="1" customWidth="1"/>
    <x:col min="4" max="4" width="23.140625" style="616" bestFit="1" customWidth="1"/>
    <x:col min="5" max="5" width="15.85546875" style="616" bestFit="1" customWidth="1"/>
    <x:col min="6" max="6" width="15.42578125" style="616" bestFit="1" customWidth="1"/>
    <x:col min="7" max="7" width="15.42578125" style="616" customWidth="1"/>
    <x:col min="8" max="8" width="16.42578125" style="616" bestFit="1" customWidth="1"/>
    <x:col min="9" max="9" width="18" style="616" bestFit="1" customWidth="1"/>
    <x:col min="10" max="10" width="17" style="616" bestFit="1" customWidth="1"/>
    <x:col min="11" max="11" width="15.5703125" style="616" bestFit="1" customWidth="1"/>
    <x:col min="12" max="13" width="15.85546875" style="616" bestFit="1" customWidth="1"/>
    <x:col min="14" max="14" width="21.42578125" style="616" bestFit="1" customWidth="1"/>
    <x:col min="15" max="16" width="20.42578125" style="616" bestFit="1" customWidth="1"/>
    <x:col min="17" max="17" width="20" style="616" bestFit="1" customWidth="1"/>
    <x:col min="18" max="16384" width="11.42578125" style="616"/>
  </x:cols>
  <x:sheetData>
    <x:row r="1" spans="1:18" x14ac:dyDescent="0.2">
      <x:c r="B1" s="617" t="s">
        <x:v>74</x:v>
      </x:c>
    </x:row>
    <x:row r="2" spans="1:18" ht="12.75" customHeight="1" x14ac:dyDescent="0.2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">
      <x:c r="C3" s="616" t="s">
        <x:v>72</x:v>
      </x:c>
      <x:c r="D3" s="618" t="n">
        <x:v>-902656.46</x:v>
      </x:c>
      <x:c r="E3" s="618" t="n">
        <x:v>-50786.1</x:v>
      </x:c>
      <x:c r="F3" s="618" t="n">
        <x:v>-28687.84</x:v>
      </x:c>
      <x:c r="G3" s="620" t="n">
        <x:v>-15112.67</x:v>
      </x:c>
      <x:c r="H3" s="618" t="n">
        <x:v>-214829.29</x:v>
      </x:c>
      <x:c r="I3" s="618" t="n">
        <x:v>-7567.12</x:v>
      </x:c>
      <x:c r="J3" s="618" t="n">
        <x:v>-66377.88</x:v>
      </x:c>
      <x:c r="K3" s="618" t="n">
        <x:v>-64591.46</x:v>
      </x:c>
      <x:c r="L3" s="618" t="n">
        <x:v>-303450.84</x:v>
      </x:c>
      <x:c r="M3" s="618" t="n">
        <x:v>-138897.31</x:v>
      </x:c>
      <x:c r="N3" s="618" t="n">
        <x:v>-12346.16</x:v>
      </x:c>
      <x:c r="O3" s="618" t="n">
        <x:v>-9.79</x:v>
      </x:c>
      <x:c r="P3" s="618">
        <x:v>0</x:v>
      </x:c>
      <x:c r="Q3" s="618">
        <x:v>0</x:v>
      </x:c>
      <x:c r="R3" s="616">
        <x:v>0</x:v>
      </x:c>
    </x:row>
    <x:row r="4" spans="1:18" ht="12.6" customHeight="1" x14ac:dyDescent="0.2">
      <x:c r="C4" s="616" t="s">
        <x:v>81</x:v>
      </x:c>
      <x:c r="D4" s="618" t="n">
        <x:v>-84.31</x:v>
      </x:c>
      <x:c r="E4" s="618" t="n">
        <x:v>-4.65</x:v>
      </x:c>
      <x:c r="F4" s="618" t="n">
        <x:v>-2.63</x:v>
      </x:c>
      <x:c r="G4" s="620" t="n">
        <x:v>-1.39</x:v>
      </x:c>
      <x:c r="H4" s="618" t="n">
        <x:v>-20.46</x:v>
      </x:c>
      <x:c r="I4" s="618" t="n">
        <x:v>-0.71</x:v>
      </x:c>
      <x:c r="J4" s="618" t="n">
        <x:v>-6.2</x:v>
      </x:c>
      <x:c r="K4" s="618" t="n">
        <x:v>-6.14</x:v>
      </x:c>
      <x:c r="L4" s="618" t="n">
        <x:v>-28.19</x:v>
      </x:c>
      <x:c r="M4" s="618" t="n">
        <x:v>-12.78</x:v>
      </x:c>
      <x:c r="N4" s="618" t="n">
        <x:v>-1.15</x:v>
      </x:c>
      <x:c r="O4" s="618" t="n">
        <x:v>-0.01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">
      <x:c r="B5" s="622" t="s">
        <x:v>78</x:v>
      </x:c>
      <x:c r="C5" s="622" t="s">
        <x:v>70</x:v>
      </x:c>
      <x:c r="D5" s="622" t="n">
        <x:v>-902740.77</x:v>
      </x:c>
      <x:c r="E5" s="622" t="n">
        <x:v>-50790.75</x:v>
      </x:c>
      <x:c r="F5" s="622" t="n">
        <x:v>-28690.47</x:v>
      </x:c>
      <x:c r="G5" s="622" t="n">
        <x:v>-15114.06</x:v>
      </x:c>
      <x:c r="H5" s="622" t="n">
        <x:v>-214849.75</x:v>
      </x:c>
      <x:c r="I5" s="622" t="n">
        <x:v>-7567.83</x:v>
      </x:c>
      <x:c r="J5" s="622" t="n">
        <x:v>-66384.08</x:v>
      </x:c>
      <x:c r="K5" s="622" t="n">
        <x:v>-64597.6</x:v>
      </x:c>
      <x:c r="L5" s="622" t="n">
        <x:v>-303479.03</x:v>
      </x:c>
      <x:c r="M5" s="622" t="n">
        <x:v>-138910.09</x:v>
      </x:c>
      <x:c r="N5" s="622" t="n">
        <x:v>-12347.31</x:v>
      </x:c>
      <x:c r="O5" s="622" t="n">
        <x:v>-9.8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2">
      <x:c r="C6" s="616" t="s">
        <x:v>73</x:v>
      </x:c>
      <x:c r="D6" s="618" t="n">
        <x:v>-342249.23</x:v>
      </x:c>
      <x:c r="E6" s="618" t="n">
        <x:v>-20012.25</x:v>
      </x:c>
      <x:c r="F6" s="618" t="n">
        <x:v>-11305.96</x:v>
      </x:c>
      <x:c r="G6" s="620" t="n">
        <x:v>-5961.84</x:v>
      </x:c>
      <x:c r="H6" s="618" t="n">
        <x:v>-80024.59</x:v>
      </x:c>
      <x:c r="I6" s="618" t="n">
        <x:v>-2832.43</x:v>
      </x:c>
      <x:c r="J6" s="618" t="n">
        <x:v>-24845.71</x:v>
      </x:c>
      <x:c r="K6" s="618" t="n">
        <x:v>-24218.43</x:v>
      </x:c>
      <x:c r="L6" s="618" t="n">
        <x:v>-113481.59</x:v>
      </x:c>
      <x:c r="M6" s="618" t="n">
        <x:v>-54945.16</x:v>
      </x:c>
      <x:c r="N6" s="618" t="n">
        <x:v>-4621.27</x:v>
      </x:c>
      <x:c r="O6" s="618" t="n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2">
      <x:c r="B7" s="624" t="s">
        <x:v>79</x:v>
      </x:c>
      <x:c r="C7" s="624" t="s">
        <x:v>70</x:v>
      </x:c>
      <x:c r="D7" s="624" t="n">
        <x:v>-342249.23</x:v>
      </x:c>
      <x:c r="E7" s="624" t="n">
        <x:v>-20012.25</x:v>
      </x:c>
      <x:c r="F7" s="624" t="n">
        <x:v>-11305.96</x:v>
      </x:c>
      <x:c r="G7" s="624" t="n">
        <x:v>-5961.84</x:v>
      </x:c>
      <x:c r="H7" s="624" t="n">
        <x:v>-80024.59</x:v>
      </x:c>
      <x:c r="I7" s="624" t="n">
        <x:v>-2832.43</x:v>
      </x:c>
      <x:c r="J7" s="624" t="n">
        <x:v>-24845.71</x:v>
      </x:c>
      <x:c r="K7" s="624" t="n">
        <x:v>-24218.43</x:v>
      </x:c>
      <x:c r="L7" s="624" t="n">
        <x:v>-113481.59</x:v>
      </x:c>
      <x:c r="M7" s="624" t="n">
        <x:v>-54945.16</x:v>
      </x:c>
      <x:c r="N7" s="624" t="n">
        <x:v>-4621.27</x:v>
      </x:c>
      <x:c r="O7" s="624" t="n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2">
      <x:c r="A8" s="625" t="s">
        <x:v>155</x:v>
      </x:c>
      <x:c r="B8" s="625" t="s">
        <x:v>70</x:v>
      </x:c>
      <x:c r="D8" s="626" t="n">
        <x:v>-1244990</x:v>
      </x:c>
      <x:c r="E8" s="626" t="n">
        <x:v>-70803</x:v>
      </x:c>
      <x:c r="F8" s="626" t="n">
        <x:v>-39996.43</x:v>
      </x:c>
      <x:c r="G8" s="627" t="n">
        <x:v>-21075.9</x:v>
      </x:c>
      <x:c r="H8" s="626" t="n">
        <x:v>-294874.34</x:v>
      </x:c>
      <x:c r="I8" s="626" t="n">
        <x:v>-10400.26</x:v>
      </x:c>
      <x:c r="J8" s="626" t="n">
        <x:v>-91229.79</x:v>
      </x:c>
      <x:c r="K8" s="626" t="n">
        <x:v>-88816.03</x:v>
      </x:c>
      <x:c r="L8" s="626" t="n">
        <x:v>-416960.62</x:v>
      </x:c>
      <x:c r="M8" s="626" t="n">
        <x:v>-193855.25</x:v>
      </x:c>
      <x:c r="N8" s="626" t="n">
        <x:v>-16968.58</x:v>
      </x:c>
      <x:c r="O8" s="626" t="n">
        <x:v>-9.8</x:v>
      </x:c>
      <x:c r="P8" s="626" t="n">
        <x:v>0</x:v>
      </x:c>
      <x:c r="Q8" s="626">
        <x:v>0</x:v>
      </x:c>
      <x:c r="R8" s="625">
        <x:v>0</x:v>
      </x:c>
    </x:row>
    <x:row r="9" spans="1:18" ht="12.75" customHeight="1" x14ac:dyDescent="0.2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739" customFormat="1" ht="12.75" customHeight="1" x14ac:dyDescent="0.2">
      <x:c r="A14" s="739" t="s">
        <x:v>326</x:v>
      </x:c>
      <x:c r="B14" s="739" t="s">
        <x:v>70</x:v>
      </x:c>
      <x:c r="D14" s="739">
        <x:v>0</x:v>
      </x:c>
      <x:c r="E14" s="739">
        <x:v>0</x:v>
      </x:c>
      <x:c r="F14" s="739">
        <x:v>0</x:v>
      </x:c>
      <x:c r="G14" s="739">
        <x:v>0</x:v>
      </x:c>
      <x:c r="H14" s="739">
        <x:v>0</x:v>
      </x:c>
      <x:c r="I14" s="739">
        <x:v>0</x:v>
      </x:c>
      <x:c r="J14" s="739">
        <x:v>0</x:v>
      </x:c>
      <x:c r="K14" s="739">
        <x:v>0</x:v>
      </x:c>
      <x:c r="L14" s="739">
        <x:v>0</x:v>
      </x:c>
      <x:c r="M14" s="739">
        <x:v>0</x:v>
      </x:c>
      <x:c r="N14" s="739">
        <x:v>0</x:v>
      </x:c>
      <x:c r="O14" s="739">
        <x:v>0</x:v>
      </x:c>
      <x:c r="P14" s="739">
        <x:v>0</x:v>
      </x:c>
      <x:c r="Q14" s="739">
        <x:v>0</x:v>
      </x:c>
      <x:c r="R14" s="739">
        <x:v>0</x:v>
      </x:c>
    </x:row>
    <x:row r="15" spans="1:18" ht="12.75" customHeight="1" x14ac:dyDescent="0.2">
      <x:c r="C15" s="616" t="s">
        <x:v>72</x:v>
      </x:c>
      <x:c r="D15" s="618" t="n">
        <x:v>-40070</x:v>
      </x:c>
      <x:c r="E15" s="618" t="n">
        <x:v>-2042.17</x:v>
      </x:c>
      <x:c r="F15" s="618" t="n">
        <x:v>-1153.02</x:v>
      </x:c>
      <x:c r="G15" s="620" t="n">
        <x:v>-605.19</x:v>
      </x:c>
      <x:c r="H15" s="618" t="n">
        <x:v>-10019.35</x:v>
      </x:c>
      <x:c r="I15" s="618" t="n">
        <x:v>-249.19</x:v>
      </x:c>
      <x:c r="J15" s="618" t="n">
        <x:v>-2185.89</x:v>
      </x:c>
      <x:c r="K15" s="618" t="n">
        <x:v>-3113.99</x:v>
      </x:c>
      <x:c r="L15" s="618" t="n">
        <x:v>-14745.86</x:v>
      </x:c>
      <x:c r="M15" s="618" t="n">
        <x:v>-5553.38</x:v>
      </x:c>
      <x:c r="N15" s="618" t="n">
        <x:v>-406.58</x:v>
      </x:c>
      <x:c r="O15" s="618" t="n">
        <x:v>4.62</x:v>
      </x:c>
      <x:c r="P15" s="618">
        <x:v>0</x:v>
      </x:c>
      <x:c r="Q15" s="618">
        <x:v>0</x:v>
      </x:c>
      <x:c r="R15" s="616">
        <x:v>0</x:v>
      </x:c>
    </x:row>
    <x:row r="16" spans="1:18" ht="12.6" customHeight="1" x14ac:dyDescent="0.2">
      <x:c r="C16" s="616" t="s">
        <x:v>81</x:v>
      </x:c>
      <x:c r="D16" s="618">
        <x:v>0</x:v>
      </x:c>
      <x:c r="E16" s="618">
        <x:v>0</x:v>
      </x:c>
      <x:c r="F16" s="618">
        <x:v>0</x:v>
      </x:c>
      <x:c r="G16" s="620">
        <x:v>0</x:v>
      </x:c>
      <x:c r="H16" s="618">
        <x:v>0</x:v>
      </x:c>
      <x:c r="I16" s="618">
        <x:v>0</x:v>
      </x:c>
      <x:c r="J16" s="618">
        <x:v>0</x:v>
      </x:c>
      <x:c r="K16" s="618">
        <x:v>0</x:v>
      </x:c>
      <x:c r="L16" s="618">
        <x:v>0</x:v>
      </x:c>
      <x:c r="M16" s="618">
        <x:v>0</x:v>
      </x:c>
      <x:c r="N16" s="618">
        <x:v>0</x:v>
      </x:c>
      <x:c r="O16" s="618">
        <x:v>0</x:v>
      </x:c>
      <x:c r="P16" s="618">
        <x:v>0</x:v>
      </x:c>
      <x:c r="Q16" s="618">
        <x:v>0</x:v>
      </x:c>
      <x:c r="R16" s="616">
        <x:v>0</x:v>
      </x:c>
    </x:row>
    <x:row r="17" spans="1:18" s="621" customFormat="1" ht="12.75" customHeight="1" x14ac:dyDescent="0.2">
      <x:c r="B17" s="622" t="s">
        <x:v>78</x:v>
      </x:c>
      <x:c r="C17" s="622" t="s">
        <x:v>70</x:v>
      </x:c>
      <x:c r="D17" s="622" t="n">
        <x:v>-40070</x:v>
      </x:c>
      <x:c r="E17" s="622" t="n">
        <x:v>-2042.17</x:v>
      </x:c>
      <x:c r="F17" s="622" t="n">
        <x:v>-1153.02</x:v>
      </x:c>
      <x:c r="G17" s="622" t="n">
        <x:v>-605.19</x:v>
      </x:c>
      <x:c r="H17" s="622" t="n">
        <x:v>-10019.35</x:v>
      </x:c>
      <x:c r="I17" s="622" t="n">
        <x:v>-249.19</x:v>
      </x:c>
      <x:c r="J17" s="622" t="n">
        <x:v>-2185.89</x:v>
      </x:c>
      <x:c r="K17" s="622" t="n">
        <x:v>-3113.99</x:v>
      </x:c>
      <x:c r="L17" s="622" t="n">
        <x:v>-14745.86</x:v>
      </x:c>
      <x:c r="M17" s="622" t="n">
        <x:v>-5553.38</x:v>
      </x:c>
      <x:c r="N17" s="622" t="n">
        <x:v>-406.58</x:v>
      </x:c>
      <x:c r="O17" s="622" t="n">
        <x:v>4.62</x:v>
      </x:c>
      <x:c r="P17" s="621">
        <x:v>0</x:v>
      </x:c>
      <x:c r="Q17" s="622">
        <x:v>0</x:v>
      </x:c>
      <x:c r="R17" s="622">
        <x:v>0</x:v>
      </x:c>
    </x:row>
    <x:row r="18" spans="1:18" ht="12.75" customHeight="1" x14ac:dyDescent="0.2">
      <x:c r="C18" s="616" t="s">
        <x:v>73</x:v>
      </x:c>
      <x:c r="D18" s="618">
        <x:v>0</x:v>
      </x:c>
      <x:c r="E18" s="618">
        <x:v>0</x:v>
      </x:c>
      <x:c r="F18" s="618">
        <x:v>0</x:v>
      </x:c>
      <x:c r="G18" s="620">
        <x:v>0</x:v>
      </x:c>
      <x:c r="H18" s="618">
        <x:v>0</x:v>
      </x:c>
      <x:c r="I18" s="618">
        <x:v>0</x:v>
      </x:c>
      <x:c r="J18" s="618">
        <x:v>0</x:v>
      </x:c>
      <x:c r="K18" s="618">
        <x:v>0</x:v>
      </x:c>
      <x:c r="L18" s="618">
        <x:v>0</x:v>
      </x:c>
      <x:c r="M18" s="618">
        <x:v>0</x:v>
      </x:c>
      <x:c r="N18" s="618">
        <x:v>0</x:v>
      </x:c>
      <x:c r="O18" s="618">
        <x:v>0</x:v>
      </x:c>
      <x:c r="P18" s="618">
        <x:v>0</x:v>
      </x:c>
      <x:c r="Q18" s="618">
        <x:v>0</x:v>
      </x:c>
      <x:c r="R18" s="616">
        <x:v>0</x:v>
      </x:c>
    </x:row>
    <x:row r="19" spans="1:18" s="623" customFormat="1" ht="12.75" customHeight="1" x14ac:dyDescent="0.2">
      <x:c r="B19" s="624" t="s">
        <x:v>79</x:v>
      </x:c>
      <x:c r="C19" s="624" t="s">
        <x:v>70</x:v>
      </x:c>
      <x:c r="D19" s="624">
        <x:v>0</x:v>
      </x:c>
      <x:c r="E19" s="624">
        <x:v>0</x:v>
      </x:c>
      <x:c r="F19" s="624">
        <x:v>0</x:v>
      </x:c>
      <x:c r="G19" s="624">
        <x:v>0</x:v>
      </x:c>
      <x:c r="H19" s="624">
        <x:v>0</x:v>
      </x:c>
      <x:c r="I19" s="624">
        <x:v>0</x:v>
      </x:c>
      <x:c r="J19" s="624">
        <x:v>0</x:v>
      </x:c>
      <x:c r="K19" s="624">
        <x:v>0</x:v>
      </x:c>
      <x:c r="L19" s="624">
        <x:v>0</x:v>
      </x:c>
      <x:c r="M19" s="624">
        <x:v>0</x:v>
      </x:c>
      <x:c r="N19" s="624">
        <x:v>0</x:v>
      </x:c>
      <x:c r="O19" s="624">
        <x:v>0</x:v>
      </x:c>
      <x:c r="P19" s="623">
        <x:v>0</x:v>
      </x:c>
      <x:c r="Q19" s="624">
        <x:v>0</x:v>
      </x:c>
      <x:c r="R19" s="624">
        <x:v>0</x:v>
      </x:c>
    </x:row>
    <x:row r="20" spans="1:18" s="628" customFormat="1" ht="12.75" customHeight="1" x14ac:dyDescent="0.2">
      <x:c r="A20" s="628" t="s">
        <x:v>119</x:v>
      </x:c>
      <x:c r="B20" s="628" t="s">
        <x:v>70</x:v>
      </x:c>
      <x:c r="D20" s="628" t="n">
        <x:v>-40070</x:v>
      </x:c>
      <x:c r="E20" s="628" t="n">
        <x:v>-2042.17</x:v>
      </x:c>
      <x:c r="F20" s="628" t="n">
        <x:v>-1153.02</x:v>
      </x:c>
      <x:c r="G20" s="628" t="n">
        <x:v>-605.19</x:v>
      </x:c>
      <x:c r="H20" s="628" t="n">
        <x:v>-10019.35</x:v>
      </x:c>
      <x:c r="I20" s="628" t="n">
        <x:v>-249.19</x:v>
      </x:c>
      <x:c r="J20" s="628" t="n">
        <x:v>-2185.89</x:v>
      </x:c>
      <x:c r="K20" s="628" t="n">
        <x:v>-3113.99</x:v>
      </x:c>
      <x:c r="L20" s="628" t="n">
        <x:v>-14745.86</x:v>
      </x:c>
      <x:c r="M20" s="628" t="n">
        <x:v>-5553.38</x:v>
      </x:c>
      <x:c r="N20" s="628" t="n">
        <x:v>-406.58</x:v>
      </x:c>
      <x:c r="O20" s="628" t="n">
        <x:v>4.62</x:v>
      </x:c>
      <x:c r="P20" s="628" t="n">
        <x:v>0</x:v>
      </x:c>
      <x:c r="Q20" s="628">
        <x:v>0</x:v>
      </x:c>
      <x:c r="R20" s="628">
        <x:v>0</x:v>
      </x:c>
    </x:row>
    <x:row r="21" spans="1:18" s="631" customFormat="1" ht="12.75" customHeight="1" x14ac:dyDescent="0.2">
      <x:c r="A21" s="630" t="s">
        <x:v>70</x:v>
      </x:c>
      <x:c r="D21" s="630" t="n">
        <x:v>-1285060</x:v>
      </x:c>
      <x:c r="E21" s="630" t="n">
        <x:v>-72845.17</x:v>
      </x:c>
      <x:c r="F21" s="630" t="n">
        <x:v>-41149.45</x:v>
      </x:c>
      <x:c r="G21" s="630" t="n">
        <x:v>-21681.09</x:v>
      </x:c>
      <x:c r="H21" s="630" t="n">
        <x:v>-304893.69</x:v>
      </x:c>
      <x:c r="I21" s="630" t="n">
        <x:v>-10649.45</x:v>
      </x:c>
      <x:c r="J21" s="630" t="n">
        <x:v>-93415.68</x:v>
      </x:c>
      <x:c r="K21" s="630" t="n">
        <x:v>-91930.02</x:v>
      </x:c>
      <x:c r="L21" s="630" t="n">
        <x:v>-431706.48</x:v>
      </x:c>
      <x:c r="M21" s="630" t="n">
        <x:v>-199408.63</x:v>
      </x:c>
      <x:c r="N21" s="630" t="n">
        <x:v>-17375.16</x:v>
      </x:c>
      <x:c r="O21" s="630" t="n">
        <x:v>-5.18</x:v>
      </x:c>
      <x:c r="P21" s="631" t="n">
        <x:v>0</x:v>
      </x:c>
      <x:c r="Q21" s="630">
        <x:v>0</x:v>
      </x:c>
      <x:c r="R21" s="630">
        <x:v>0</x:v>
      </x:c>
    </x:row>
    <x:row r="22" spans="1:18" ht="12.75" customHeight="1" x14ac:dyDescent="0.2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8" ht="12.75" customHeight="1" x14ac:dyDescent="0.2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8" ht="12.75" hidden="1" customHeight="1" x14ac:dyDescent="0.2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8" ht="12.75" hidden="1" customHeight="1" x14ac:dyDescent="0.2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8" ht="12.75" hidden="1" customHeight="1" x14ac:dyDescent="0.2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8" ht="12.75" hidden="1" customHeight="1" x14ac:dyDescent="0.2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8" ht="12.75" hidden="1" customHeight="1" x14ac:dyDescent="0.2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8" ht="12.75" hidden="1" customHeight="1" x14ac:dyDescent="0.2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8" ht="12.75" hidden="1" customHeight="1" x14ac:dyDescent="0.2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8" ht="12.75" hidden="1" customHeight="1" x14ac:dyDescent="0.2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8" ht="12.75" hidden="1" customHeight="1" x14ac:dyDescent="0.2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ht="12.75" hidden="1" customHeight="1" x14ac:dyDescent="0.2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ht="12.75" hidden="1" customHeight="1" x14ac:dyDescent="0.2">
      <x:c r="A73" s="618"/>
      <x:c r="D73" s="618"/>
      <x:c r="E73" s="618"/>
      <x:c r="F73" s="618"/>
      <x:c r="G73" s="618"/>
      <x:c r="H73" s="618"/>
      <x:c r="I73" s="618"/>
      <x:c r="J73" s="618"/>
      <x:c r="K73" s="618"/>
      <x:c r="L73" s="618"/>
      <x:c r="M73" s="618"/>
      <x:c r="N73" s="618"/>
      <x:c r="O73" s="618"/>
    </x:row>
    <x:row r="74" spans="1:18" ht="12.75" hidden="1" customHeight="1" x14ac:dyDescent="0.2">
      <x:c r="A74" s="618"/>
      <x:c r="D74" s="618"/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</x:row>
    <x:row r="75" spans="1:18" ht="12.75" hidden="1" customHeight="1" x14ac:dyDescent="0.2">
      <x:c r="A75" s="618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</x:row>
    <x:row r="76" spans="1:18" ht="12.75" hidden="1" customHeight="1" x14ac:dyDescent="0.2">
      <x:c r="A76" s="618"/>
      <x:c r="D76" s="618"/>
      <x:c r="E76" s="618"/>
      <x:c r="F76" s="618"/>
      <x:c r="G76" s="618"/>
      <x:c r="H76" s="618"/>
      <x:c r="I76" s="618"/>
      <x:c r="J76" s="618"/>
      <x:c r="K76" s="618"/>
      <x:c r="L76" s="618"/>
      <x:c r="M76" s="618"/>
      <x:c r="N76" s="618"/>
      <x:c r="O76" s="618"/>
    </x:row>
    <x:row r="77" spans="1:18" ht="12.75" hidden="1" customHeight="1" x14ac:dyDescent="0.2">
      <x:c r="A77" s="618"/>
      <x:c r="D77" s="618"/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</x:row>
    <x:row r="78" spans="1:18" x14ac:dyDescent="0.2">
      <x:c r="A78" s="618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</x:row>
    <x:row r="79" spans="1:18" x14ac:dyDescent="0.2">
      <x:c r="A79" s="782" t="s">
        <x:v>2</x:v>
      </x:c>
      <x:c r="B79" s="781" t="s">
        <x:v>132</x:v>
      </x:c>
      <x:c r="C79" s="766" t="s">
        <x:v>70</x:v>
      </x:c>
      <x:c r="D79" s="766">
        <x:f>D21-P21</x:f>
        <x:v>0</x:v>
      </x:c>
      <x:c r="E79" s="766">
        <x:f>E5+E17</x:f>
        <x:v>0</x:v>
      </x:c>
      <x:c r="F79" s="766">
        <x:f t="shared" ref="F79:R79" si="0">F5+F17</x:f>
        <x:v>0</x:v>
      </x:c>
      <x:c r="G79" s="766">
        <x:f t="shared" si="0"/>
        <x:v>0</x:v>
      </x:c>
      <x:c r="H79" s="766">
        <x:f t="shared" si="0"/>
        <x:v>0</x:v>
      </x:c>
      <x:c r="I79" s="766">
        <x:f t="shared" si="0"/>
        <x:v>0</x:v>
      </x:c>
      <x:c r="J79" s="766">
        <x:f t="shared" si="0"/>
        <x:v>0</x:v>
      </x:c>
      <x:c r="K79" s="766">
        <x:f t="shared" si="0"/>
        <x:v>0</x:v>
      </x:c>
      <x:c r="L79" s="766">
        <x:f t="shared" si="0"/>
        <x:v>0</x:v>
      </x:c>
      <x:c r="M79" s="766">
        <x:f t="shared" si="0"/>
        <x:v>0</x:v>
      </x:c>
      <x:c r="N79" s="766">
        <x:f t="shared" si="0"/>
        <x:v>0</x:v>
      </x:c>
      <x:c r="O79" s="766">
        <x:f t="shared" si="0"/>
        <x:v>0</x:v>
      </x:c>
      <x:c r="P79" s="766">
        <x:f t="shared" si="0"/>
        <x:v>0</x:v>
      </x:c>
      <x:c r="Q79" s="766">
        <x:f t="shared" si="0"/>
        <x:v>0</x:v>
      </x:c>
      <x:c r="R79" s="766">
        <x:f t="shared" si="0"/>
        <x:v>0</x:v>
      </x:c>
    </x:row>
    <x:row r="80" spans="1:18" x14ac:dyDescent="0.2">
      <x:c r="A80" s="782"/>
      <x:c r="B80" s="781"/>
      <x:c r="C80" s="766" t="s">
        <x:v>73</x:v>
      </x:c>
      <x:c r="D80" s="766">
        <x:f>D7+D19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">
      <x:c r="A81" s="617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x14ac:dyDescent="0.2">
      <x:c r="A82" s="782" t="s">
        <x:v>160</x:v>
      </x:c>
      <x:c r="B82" s="781" t="s">
        <x:v>132</x:v>
      </x:c>
      <x:c r="C82" s="632" t="s">
        <x:v>70</x:v>
      </x:c>
      <x:c r="D82" s="632">
        <x:v>0</x:v>
      </x:c>
      <x:c r="E82" s="632">
        <x:v>0</x:v>
      </x:c>
      <x:c r="F82" s="632">
        <x:v>0</x:v>
      </x:c>
      <x:c r="G82" s="632">
        <x:v>0</x:v>
      </x:c>
      <x:c r="H82" s="632">
        <x:v>0</x:v>
      </x:c>
      <x:c r="I82" s="632">
        <x:v>0</x:v>
      </x:c>
      <x:c r="J82" s="632">
        <x:v>0</x:v>
      </x:c>
      <x:c r="K82" s="632">
        <x:v>0</x:v>
      </x:c>
      <x:c r="L82" s="632">
        <x:v>0</x:v>
      </x:c>
      <x:c r="M82" s="632">
        <x:v>0</x:v>
      </x:c>
      <x:c r="N82" s="632">
        <x:v>0</x:v>
      </x:c>
      <x:c r="O82" s="632">
        <x:v>0</x:v>
      </x:c>
      <x:c r="P82" s="632">
        <x:v>0</x:v>
      </x:c>
      <x:c r="Q82" s="632">
        <x:v>0</x:v>
      </x:c>
      <x:c r="R82" s="632">
        <x:v>0</x:v>
      </x:c>
    </x:row>
    <x:row r="83" spans="1:18" x14ac:dyDescent="0.2">
      <x:c r="A83" s="782"/>
      <x:c r="B83" s="781"/>
      <x:c r="C83" s="632" t="s">
        <x:v>73</x:v>
      </x:c>
      <x:c r="D83" s="632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  <x:c r="R83" s="618"/>
    </x:row>
    <x:row r="84" spans="1:18" x14ac:dyDescent="0.2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">
      <x:c r="A85" s="782" t="s">
        <x:v>155</x:v>
      </x:c>
      <x:c r="B85" s="781" t="s">
        <x:v>132</x:v>
      </x:c>
      <x:c r="C85" s="633" t="s">
        <x:v>70</x:v>
      </x:c>
      <x:c r="D85" s="633">
        <x:f>D8-P8</x:f>
        <x:v>0</x:v>
      </x:c>
      <x:c r="E85" s="633">
        <x:f>E5</x:f>
        <x:v>0</x:v>
      </x:c>
      <x:c r="F85" s="633">
        <x:f t="shared" ref="F85:R85" si="1">F5</x:f>
        <x:v>0</x:v>
      </x:c>
      <x:c r="G85" s="633">
        <x:f t="shared" si="1"/>
        <x:v>0</x:v>
      </x:c>
      <x:c r="H85" s="633">
        <x:f t="shared" si="1"/>
        <x:v>0</x:v>
      </x:c>
      <x:c r="I85" s="633">
        <x:f t="shared" si="1"/>
        <x:v>0</x:v>
      </x:c>
      <x:c r="J85" s="633">
        <x:f t="shared" si="1"/>
        <x:v>0</x:v>
      </x:c>
      <x:c r="K85" s="633">
        <x:f t="shared" si="1"/>
        <x:v>0</x:v>
      </x:c>
      <x:c r="L85" s="633">
        <x:f t="shared" si="1"/>
        <x:v>0</x:v>
      </x:c>
      <x:c r="M85" s="633">
        <x:f t="shared" si="1"/>
        <x:v>0</x:v>
      </x:c>
      <x:c r="N85" s="633">
        <x:f t="shared" si="1"/>
        <x:v>0</x:v>
      </x:c>
      <x:c r="O85" s="633">
        <x:f t="shared" si="1"/>
        <x:v>0</x:v>
      </x:c>
      <x:c r="P85" s="633">
        <x:f t="shared" si="1"/>
        <x:v>0</x:v>
      </x:c>
      <x:c r="Q85" s="633">
        <x:f t="shared" si="1"/>
        <x:v>0</x:v>
      </x:c>
      <x:c r="R85" s="633">
        <x:f t="shared" si="1"/>
        <x:v>0</x:v>
      </x:c>
    </x:row>
    <x:row r="86" spans="1:18" x14ac:dyDescent="0.2">
      <x:c r="A86" s="782"/>
      <x:c r="B86" s="781"/>
      <x:c r="C86" s="633" t="s">
        <x:v>73</x:v>
      </x:c>
      <x:c r="D86" s="633">
        <x:f>D7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x14ac:dyDescent="0.2">
      <x:c r="A87" s="722"/>
      <x:c r="B87" s="721"/>
      <x:c r="C87" s="618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">
      <x:c r="A88" s="783" t="s">
        <x:v>326</x:v>
      </x:c>
      <x:c r="B88" s="781" t="s">
        <x:v>132</x:v>
      </x:c>
      <x:c r="C88" s="633" t="s">
        <x:v>70</x:v>
      </x:c>
      <x:c r="D88" s="720">
        <x:f>D14-P14</x:f>
        <x:v>0</x:v>
      </x:c>
      <x:c r="E88" s="720">
        <x:f>E11</x:f>
        <x:v>0</x:v>
      </x:c>
      <x:c r="F88" s="720">
        <x:f t="shared" ref="F88:R88" si="2">F11</x:f>
        <x:v>0</x:v>
      </x:c>
      <x:c r="G88" s="720">
        <x:f t="shared" si="2"/>
        <x:v>0</x:v>
      </x:c>
      <x:c r="H88" s="720">
        <x:f t="shared" si="2"/>
        <x:v>0</x:v>
      </x:c>
      <x:c r="I88" s="720">
        <x:f t="shared" si="2"/>
        <x:v>0</x:v>
      </x:c>
      <x:c r="J88" s="720">
        <x:f t="shared" si="2"/>
        <x:v>0</x:v>
      </x:c>
      <x:c r="K88" s="720">
        <x:f t="shared" si="2"/>
        <x:v>0</x:v>
      </x:c>
      <x:c r="L88" s="720">
        <x:f t="shared" si="2"/>
        <x:v>0</x:v>
      </x:c>
      <x:c r="M88" s="720">
        <x:f t="shared" si="2"/>
        <x:v>0</x:v>
      </x:c>
      <x:c r="N88" s="720">
        <x:f t="shared" si="2"/>
        <x:v>0</x:v>
      </x:c>
      <x:c r="O88" s="720">
        <x:f t="shared" si="2"/>
        <x:v>0</x:v>
      </x:c>
      <x:c r="P88" s="720">
        <x:f t="shared" si="2"/>
        <x:v>0</x:v>
      </x:c>
      <x:c r="Q88" s="720">
        <x:f t="shared" si="2"/>
        <x:v>0</x:v>
      </x:c>
      <x:c r="R88" s="720">
        <x:f t="shared" si="2"/>
        <x:v>0</x:v>
      </x:c>
    </x:row>
    <x:row r="89" spans="1:18" ht="12.75" customHeight="1" x14ac:dyDescent="0.2">
      <x:c r="A89" s="783"/>
      <x:c r="B89" s="781"/>
      <x:c r="C89" s="633" t="s">
        <x:v>73</x:v>
      </x:c>
      <x:c r="D89" s="720">
        <x:f>D13</x:f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x14ac:dyDescent="0.2">
      <x:c r="A90" s="617"/>
      <x:c r="D90" s="618"/>
      <x:c r="E90" s="618"/>
      <x:c r="F90" s="618"/>
      <x:c r="G90" s="618"/>
      <x:c r="H90" s="618"/>
      <x:c r="I90" s="618"/>
      <x:c r="J90" s="618"/>
      <x:c r="K90" s="618"/>
      <x:c r="L90" s="618"/>
      <x:c r="M90" s="618"/>
      <x:c r="N90" s="618"/>
      <x:c r="O90" s="618"/>
      <x:c r="P90" s="618"/>
      <x:c r="Q90" s="618"/>
      <x:c r="R90" s="618"/>
    </x:row>
    <x:row r="91" spans="1:18" x14ac:dyDescent="0.2">
      <x:c r="A91" s="782" t="s">
        <x:v>119</x:v>
      </x:c>
      <x:c r="B91" s="781" t="s">
        <x:v>132</x:v>
      </x:c>
      <x:c r="C91" s="628" t="s">
        <x:v>70</x:v>
      </x:c>
      <x:c r="D91" s="628">
        <x:f>D20-P20</x:f>
        <x:v>0</x:v>
      </x:c>
      <x:c r="E91" s="628">
        <x:f>E17</x:f>
        <x:v>0</x:v>
      </x:c>
      <x:c r="F91" s="628">
        <x:f t="shared" ref="F91:R91" si="3">F17</x:f>
        <x:v>0</x:v>
      </x:c>
      <x:c r="G91" s="628">
        <x:f t="shared" si="3"/>
        <x:v>0</x:v>
      </x:c>
      <x:c r="H91" s="628">
        <x:f t="shared" si="3"/>
        <x:v>0</x:v>
      </x:c>
      <x:c r="I91" s="628">
        <x:f t="shared" si="3"/>
        <x:v>0</x:v>
      </x:c>
      <x:c r="J91" s="628">
        <x:f t="shared" si="3"/>
        <x:v>0</x:v>
      </x:c>
      <x:c r="K91" s="628">
        <x:f t="shared" si="3"/>
        <x:v>0</x:v>
      </x:c>
      <x:c r="L91" s="628">
        <x:f t="shared" si="3"/>
        <x:v>0</x:v>
      </x:c>
      <x:c r="M91" s="628">
        <x:f t="shared" si="3"/>
        <x:v>0</x:v>
      </x:c>
      <x:c r="N91" s="628">
        <x:f t="shared" si="3"/>
        <x:v>0</x:v>
      </x:c>
      <x:c r="O91" s="628">
        <x:f t="shared" si="3"/>
        <x:v>0</x:v>
      </x:c>
      <x:c r="P91" s="628">
        <x:f t="shared" si="3"/>
        <x:v>0</x:v>
      </x:c>
      <x:c r="Q91" s="628">
        <x:f t="shared" si="3"/>
        <x:v>0</x:v>
      </x:c>
      <x:c r="R91" s="628">
        <x:f t="shared" si="3"/>
        <x:v>0</x:v>
      </x:c>
    </x:row>
    <x:row r="92" spans="1:18" ht="12.75" customHeight="1" x14ac:dyDescent="0.2">
      <x:c r="A92" s="782"/>
      <x:c r="B92" s="781"/>
      <x:c r="C92" s="628" t="s">
        <x:v>73</x:v>
      </x:c>
      <x:c r="D92" s="628">
        <x:f>D19</x:f>
        <x:v>0</x:v>
      </x:c>
      <x:c r="E92" s="618"/>
      <x:c r="F92" s="618"/>
      <x:c r="G92" s="618"/>
      <x:c r="H92" s="618"/>
      <x:c r="I92" s="618"/>
      <x:c r="J92" s="618"/>
      <x:c r="K92" s="618"/>
      <x:c r="L92" s="618"/>
      <x:c r="M92" s="618"/>
      <x:c r="N92" s="618"/>
      <x:c r="O92" s="618"/>
      <x:c r="P92" s="618"/>
      <x:c r="Q92" s="618"/>
      <x:c r="R92" s="618"/>
    </x:row>
    <x:row r="93" spans="1:18" ht="12.75" customHeight="1" x14ac:dyDescent="0.2">
      <x:c r="A93" s="617"/>
      <x:c r="D93" s="618"/>
      <x:c r="E93" s="618"/>
      <x:c r="F93" s="618"/>
      <x:c r="G93" s="618"/>
      <x:c r="H93" s="618"/>
      <x:c r="I93" s="618"/>
      <x:c r="J93" s="618"/>
      <x:c r="K93" s="618"/>
      <x:c r="L93" s="618"/>
      <x:c r="M93" s="618"/>
      <x:c r="N93" s="618"/>
      <x:c r="O93" s="618"/>
      <x:c r="P93" s="618"/>
      <x:c r="Q93" s="618"/>
      <x:c r="R93" s="618"/>
    </x:row>
    <x:row r="94" spans="1:18" ht="12.75" customHeight="1" x14ac:dyDescent="0.2">
      <x:c r="A94" s="780" t="s">
        <x:v>161</x:v>
      </x:c>
      <x:c r="B94" s="781" t="s">
        <x:v>132</x:v>
      </x:c>
      <x:c r="C94" s="634" t="s">
        <x:v>70</x:v>
      </x:c>
      <x:c r="D94" s="634">
        <x:v>0</x:v>
      </x:c>
      <x:c r="E94" s="634">
        <x:v>0</x:v>
      </x:c>
      <x:c r="F94" s="634">
        <x:v>0</x:v>
      </x:c>
      <x:c r="G94" s="634">
        <x:v>0</x:v>
      </x:c>
      <x:c r="H94" s="634">
        <x:v>0</x:v>
      </x:c>
      <x:c r="I94" s="634">
        <x:v>0</x:v>
      </x:c>
      <x:c r="J94" s="634">
        <x:v>0</x:v>
      </x:c>
      <x:c r="K94" s="634">
        <x:v>0</x:v>
      </x:c>
      <x:c r="L94" s="634">
        <x:v>0</x:v>
      </x:c>
      <x:c r="M94" s="634">
        <x:v>0</x:v>
      </x:c>
      <x:c r="N94" s="634">
        <x:v>0</x:v>
      </x:c>
      <x:c r="O94" s="634">
        <x:v>0</x:v>
      </x:c>
      <x:c r="P94" s="634">
        <x:v>0</x:v>
      </x:c>
      <x:c r="Q94" s="634">
        <x:v>0</x:v>
      </x:c>
      <x:c r="R94" s="634">
        <x:v>0</x:v>
      </x:c>
    </x:row>
    <x:row r="95" spans="1:18" ht="12.75" customHeight="1" x14ac:dyDescent="0.2">
      <x:c r="A95" s="780"/>
      <x:c r="B95" s="781"/>
      <x:c r="C95" s="634" t="s">
        <x:v>73</x:v>
      </x:c>
      <x:c r="D95" s="634">
        <x:v>0</x:v>
      </x:c>
      <x:c r="E95" s="618"/>
      <x:c r="F95" s="618"/>
      <x:c r="G95" s="618"/>
      <x:c r="H95" s="618"/>
      <x:c r="I95" s="618"/>
      <x:c r="J95" s="618"/>
      <x:c r="K95" s="618"/>
      <x:c r="L95" s="618"/>
      <x:c r="M95" s="618"/>
      <x:c r="N95" s="618"/>
      <x:c r="O95" s="618"/>
      <x:c r="P95" s="618"/>
      <x:c r="Q95" s="618"/>
    </x:row>
    <x:row r="96" spans="1:18" s="635" customFormat="1" x14ac:dyDescent="0.2"/>
    <x:row r="97" spans="1:18" x14ac:dyDescent="0.2">
      <x:c r="B97" s="617" t="s">
        <x:v>75</x:v>
      </x:c>
    </x:row>
    <x:row r="98" spans="1:18" ht="12.6" customHeight="1" x14ac:dyDescent="0.2">
      <x:c r="D98" s="618" t="s">
        <x:v>70</x:v>
      </x:c>
      <x:c r="E98" s="618" t="s">
        <x:v>64</x:v>
      </x:c>
      <x:c r="F98" s="618" t="s">
        <x:v>65</x:v>
      </x:c>
      <x:c r="G98" s="619" t="s">
        <x:v>164</x:v>
      </x:c>
      <x:c r="H98" s="618" t="s">
        <x:v>69</x:v>
      </x:c>
      <x:c r="I98" s="618" t="s">
        <x:v>68</x:v>
      </x:c>
      <x:c r="J98" s="618" t="s">
        <x:v>66</x:v>
      </x:c>
      <x:c r="K98" s="618" t="s">
        <x:v>63</x:v>
      </x:c>
      <x:c r="L98" s="618" t="s">
        <x:v>61</x:v>
      </x:c>
      <x:c r="M98" s="618" t="s">
        <x:v>62</x:v>
      </x:c>
      <x:c r="N98" s="618" t="s">
        <x:v>67</x:v>
      </x:c>
      <x:c r="O98" s="618" t="s">
        <x:v>77</x:v>
      </x:c>
      <x:c r="P98" s="616" t="s">
        <x:v>71</x:v>
      </x:c>
      <x:c r="Q98" s="618" t="s">
        <x:v>80</x:v>
      </x:c>
      <x:c r="R98" s="616" t="s">
        <x:v>168</x:v>
      </x:c>
    </x:row>
    <x:row r="99" spans="1:18" ht="12.75" customHeight="1" x14ac:dyDescent="0.2">
      <x:c r="C99" s="616" t="s">
        <x:v>72</x:v>
      </x:c>
      <x:c r="D99" s="618" t="n">
        <x:v>-50598098.74</x:v>
      </x:c>
      <x:c r="E99" s="618" t="n">
        <x:v>-3020381.93</x:v>
      </x:c>
      <x:c r="F99" s="618" t="n">
        <x:v>-1629949.61</x:v>
      </x:c>
      <x:c r="G99" s="620" t="n">
        <x:v>-850506.71</x:v>
      </x:c>
      <x:c r="H99" s="618" t="n">
        <x:v>-12343960.93</x:v>
      </x:c>
      <x:c r="I99" s="618" t="n">
        <x:v>-436345.15</x:v>
      </x:c>
      <x:c r="J99" s="618" t="n">
        <x:v>-3854743.39</x:v>
      </x:c>
      <x:c r="K99" s="618" t="n">
        <x:v>-3881901.29</x:v>
      </x:c>
      <x:c r="L99" s="618" t="n">
        <x:v>-17844916.7</x:v>
      </x:c>
      <x:c r="M99" s="618" t="n">
        <x:v>-6019284.2</x:v>
      </x:c>
      <x:c r="N99" s="618" t="n">
        <x:v>-716097.95</x:v>
      </x:c>
      <x:c r="O99" s="618" t="n">
        <x:v>-10.88</x:v>
      </x:c>
      <x:c r="P99" s="616">
        <x:v>0</x:v>
      </x:c>
      <x:c r="Q99" s="618" t="n">
        <x:v>0</x:v>
      </x:c>
      <x:c r="R99" s="616" t="n">
        <x:v>0</x:v>
      </x:c>
    </x:row>
    <x:row r="100" spans="1:18" ht="12.75" customHeight="1" x14ac:dyDescent="0.2">
      <x:c r="C100" s="616" t="s">
        <x:v>81</x:v>
      </x:c>
      <x:c r="D100" s="618" t="n">
        <x:v>-863642.25</x:v>
      </x:c>
      <x:c r="E100" s="618" t="n">
        <x:v>-86868.6</x:v>
      </x:c>
      <x:c r="F100" s="618" t="n">
        <x:v>-40393.28</x:v>
      </x:c>
      <x:c r="G100" s="620" t="n">
        <x:v>-20594.22</x:v>
      </x:c>
      <x:c r="H100" s="618" t="n">
        <x:v>-182194.3</x:v>
      </x:c>
      <x:c r="I100" s="618" t="n">
        <x:v>-5497.81</x:v>
      </x:c>
      <x:c r="J100" s="618" t="n">
        <x:v>-48405.41</x:v>
      </x:c>
      <x:c r="K100" s="618" t="n">
        <x:v>-58042.26</x:v>
      </x:c>
      <x:c r="L100" s="618" t="n">
        <x:v>-238361.58</x:v>
      </x:c>
      <x:c r="M100" s="618" t="n">
        <x:v>-174296.88</x:v>
      </x:c>
      <x:c r="N100" s="618" t="n">
        <x:v>-8984.88</x:v>
      </x:c>
      <x:c r="O100" s="618" t="n">
        <x:v>-3.29</x:v>
      </x:c>
      <x:c r="P100" s="616">
        <x:v>0</x:v>
      </x:c>
      <x:c r="Q100" s="618" t="n">
        <x:v>0.26</x:v>
      </x:c>
      <x:c r="R100" s="616" t="n">
        <x:v>0</x:v>
      </x:c>
    </x:row>
    <x:row r="101" spans="1:18" s="621" customFormat="1" ht="12.75" customHeight="1" x14ac:dyDescent="0.2">
      <x:c r="B101" s="622" t="s">
        <x:v>78</x:v>
      </x:c>
      <x:c r="C101" s="622" t="s">
        <x:v>70</x:v>
      </x:c>
      <x:c r="D101" s="622" t="n">
        <x:v>-51461740.99</x:v>
      </x:c>
      <x:c r="E101" s="622" t="n">
        <x:v>-3107250.53</x:v>
      </x:c>
      <x:c r="F101" s="622" t="n">
        <x:v>-1670342.89</x:v>
      </x:c>
      <x:c r="G101" s="622" t="n">
        <x:v>-871100.93</x:v>
      </x:c>
      <x:c r="H101" s="622" t="n">
        <x:v>-12526155.23</x:v>
      </x:c>
      <x:c r="I101" s="622" t="n">
        <x:v>-441842.96</x:v>
      </x:c>
      <x:c r="J101" s="622" t="n">
        <x:v>-3903148.8</x:v>
      </x:c>
      <x:c r="K101" s="622" t="n">
        <x:v>-3939943.55</x:v>
      </x:c>
      <x:c r="L101" s="622" t="n">
        <x:v>-18083278.28</x:v>
      </x:c>
      <x:c r="M101" s="622" t="n">
        <x:v>-6193581.08</x:v>
      </x:c>
      <x:c r="N101" s="622" t="n">
        <x:v>-725082.83</x:v>
      </x:c>
      <x:c r="O101" s="622" t="n">
        <x:v>-14.17</x:v>
      </x:c>
      <x:c r="P101" s="621">
        <x:v>0</x:v>
      </x:c>
      <x:c r="Q101" s="622" t="n">
        <x:v>0.26</x:v>
      </x:c>
      <x:c r="R101" s="622" t="n">
        <x:v>0</x:v>
      </x:c>
    </x:row>
    <x:row r="102" spans="1:18" ht="12.75" customHeight="1" x14ac:dyDescent="0.2">
      <x:c r="C102" s="616" t="s">
        <x:v>73</x:v>
      </x:c>
      <x:c r="D102" s="618" t="n">
        <x:v>9920874.99</x:v>
      </x:c>
      <x:c r="E102" s="618" t="n">
        <x:v>303875.69</x:v>
      </x:c>
      <x:c r="F102" s="618" t="n">
        <x:v>150290.09</x:v>
      </x:c>
      <x:c r="G102" s="620" t="n">
        <x:v>72257.8</x:v>
      </x:c>
      <x:c r="H102" s="618" t="n">
        <x:v>2865204.24</x:v>
      </x:c>
      <x:c r="I102" s="618" t="n">
        <x:v>96655.6</x:v>
      </x:c>
      <x:c r="J102" s="618" t="n">
        <x:v>848909.8</x:v>
      </x:c>
      <x:c r="K102" s="618" t="n">
        <x:v>888082.75</x:v>
      </x:c>
      <x:c r="L102" s="618" t="n">
        <x:v>3956095.5</x:v>
      </x:c>
      <x:c r="M102" s="618" t="n">
        <x:v>581803.98</x:v>
      </x:c>
      <x:c r="N102" s="618" t="n">
        <x:v>157699.54</x:v>
      </x:c>
      <x:c r="O102" s="618" t="n">
        <x:v>0</x:v>
      </x:c>
      <x:c r="P102" s="616">
        <x:v>0</x:v>
      </x:c>
      <x:c r="Q102" s="618" t="n">
        <x:v>0</x:v>
      </x:c>
      <x:c r="R102" s="616" t="n">
        <x:v>0</x:v>
      </x:c>
    </x:row>
    <x:row r="103" spans="1:18" s="623" customFormat="1" ht="12.75" customHeight="1" x14ac:dyDescent="0.2">
      <x:c r="B103" s="623" t="s">
        <x:v>79</x:v>
      </x:c>
      <x:c r="C103" s="623" t="s">
        <x:v>70</x:v>
      </x:c>
      <x:c r="D103" s="636" t="n">
        <x:v>9920874.99</x:v>
      </x:c>
      <x:c r="E103" s="624" t="n">
        <x:v>303875.69</x:v>
      </x:c>
      <x:c r="F103" s="624" t="n">
        <x:v>150290.09</x:v>
      </x:c>
      <x:c r="G103" s="636" t="n">
        <x:v>72257.8</x:v>
      </x:c>
      <x:c r="H103" s="624" t="n">
        <x:v>2865204.24</x:v>
      </x:c>
      <x:c r="I103" s="624" t="n">
        <x:v>96655.6</x:v>
      </x:c>
      <x:c r="J103" s="624" t="n">
        <x:v>848909.8</x:v>
      </x:c>
      <x:c r="K103" s="624" t="n">
        <x:v>888082.75</x:v>
      </x:c>
      <x:c r="L103" s="624" t="n">
        <x:v>3956095.5</x:v>
      </x:c>
      <x:c r="M103" s="624" t="n">
        <x:v>581803.98</x:v>
      </x:c>
      <x:c r="N103" s="624" t="n">
        <x:v>157699.54</x:v>
      </x:c>
      <x:c r="O103" s="624" t="n">
        <x:v>0</x:v>
      </x:c>
      <x:c r="P103" s="623">
        <x:v>0</x:v>
      </x:c>
      <x:c r="Q103" s="624" t="n">
        <x:v>0</x:v>
      </x:c>
      <x:c r="R103" s="623" t="n">
        <x:v>0</x:v>
      </x:c>
    </x:row>
    <x:row r="104" spans="1:18" s="625" customFormat="1" ht="12.75" customHeight="1" x14ac:dyDescent="0.2">
      <x:c r="A104" s="625" t="s">
        <x:v>155</x:v>
      </x:c>
      <x:c r="B104" s="625" t="s">
        <x:v>70</x:v>
      </x:c>
      <x:c r="D104" s="626" t="n">
        <x:v>-41540866</x:v>
      </x:c>
      <x:c r="E104" s="626" t="n">
        <x:v>-2803374.84</x:v>
      </x:c>
      <x:c r="F104" s="626" t="n">
        <x:v>-1520052.8</x:v>
      </x:c>
      <x:c r="G104" s="627" t="n">
        <x:v>-798843.13</x:v>
      </x:c>
      <x:c r="H104" s="626" t="n">
        <x:v>-9660950.99</x:v>
      </x:c>
      <x:c r="I104" s="626" t="n">
        <x:v>-345187.36</x:v>
      </x:c>
      <x:c r="J104" s="626" t="n">
        <x:v>-3054239</x:v>
      </x:c>
      <x:c r="K104" s="626" t="n">
        <x:v>-3051860.8</x:v>
      </x:c>
      <x:c r="L104" s="626" t="n">
        <x:v>-14127182.78</x:v>
      </x:c>
      <x:c r="M104" s="626" t="n">
        <x:v>-5611777.1</x:v>
      </x:c>
      <x:c r="N104" s="626" t="n">
        <x:v>-567383.29</x:v>
      </x:c>
      <x:c r="O104" s="626" t="n">
        <x:v>-14.17</x:v>
      </x:c>
      <x:c r="P104" s="625" t="n">
        <x:v>0</x:v>
      </x:c>
      <x:c r="Q104" s="626" t="n">
        <x:v>0.26</x:v>
      </x:c>
      <x:c r="R104" s="625" t="n">
        <x:v>0</x:v>
      </x:c>
    </x:row>
    <x:row r="105" spans="1:18" ht="12.75" customHeight="1" x14ac:dyDescent="0.2">
      <x:c r="C105" s="616" t="s">
        <x:v>72</x:v>
      </x:c>
      <x:c r="D105" s="620" t="n">
        <x:v>-76886.16</x:v>
      </x:c>
      <x:c r="E105" s="618" t="n">
        <x:v>-3878.52</x:v>
      </x:c>
      <x:c r="F105" s="618" t="n">
        <x:v>-2172.78</x:v>
      </x:c>
      <x:c r="G105" s="620" t="n">
        <x:v>-1192.62</x:v>
      </x:c>
      <x:c r="H105" s="618" t="n">
        <x:v>-20529.3</x:v>
      </x:c>
      <x:c r="I105" s="618" t="n">
        <x:v>-491.85</x:v>
      </x:c>
      <x:c r="J105" s="618" t="n">
        <x:v>-4314.5</x:v>
      </x:c>
      <x:c r="K105" s="618" t="n">
        <x:v>-6347.49</x:v>
      </x:c>
      <x:c r="L105" s="618" t="n">
        <x:v>-29323.18</x:v>
      </x:c>
      <x:c r="M105" s="618" t="n">
        <x:v>-7837.65</x:v>
      </x:c>
      <x:c r="N105" s="618" t="n">
        <x:v>-802.5</x:v>
      </x:c>
      <x:c r="O105" s="618" t="n">
        <x:v>4.23</x:v>
      </x:c>
      <x:c r="P105" s="616">
        <x:v>0</x:v>
      </x:c>
      <x:c r="Q105" s="618" t="n">
        <x:v>0</x:v>
      </x:c>
      <x:c r="R105" s="616" t="n">
        <x:v>0</x:v>
      </x:c>
    </x:row>
    <x:row r="106" spans="1:18" ht="12.75" customHeight="1" x14ac:dyDescent="0.2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">
      <x:c r="B107" s="622" t="s">
        <x:v>78</x:v>
      </x:c>
      <x:c r="C107" s="622" t="s">
        <x:v>70</x:v>
      </x:c>
      <x:c r="D107" s="622" t="n">
        <x:v>-76886.16</x:v>
      </x:c>
      <x:c r="E107" s="622" t="n">
        <x:v>-3878.52</x:v>
      </x:c>
      <x:c r="F107" s="622" t="n">
        <x:v>-2172.78</x:v>
      </x:c>
      <x:c r="G107" s="622" t="n">
        <x:v>-1192.62</x:v>
      </x:c>
      <x:c r="H107" s="622" t="n">
        <x:v>-20529.3</x:v>
      </x:c>
      <x:c r="I107" s="622" t="n">
        <x:v>-491.85</x:v>
      </x:c>
      <x:c r="J107" s="622" t="n">
        <x:v>-4314.5</x:v>
      </x:c>
      <x:c r="K107" s="622" t="n">
        <x:v>-6347.49</x:v>
      </x:c>
      <x:c r="L107" s="622" t="n">
        <x:v>-29323.18</x:v>
      </x:c>
      <x:c r="M107" s="622" t="n">
        <x:v>-7837.65</x:v>
      </x:c>
      <x:c r="N107" s="622" t="n">
        <x:v>-802.5</x:v>
      </x:c>
      <x:c r="O107" s="622" t="n">
        <x:v>4.23</x:v>
      </x:c>
      <x:c r="P107" s="621">
        <x:v>0</x:v>
      </x:c>
      <x:c r="Q107" s="622" t="n">
        <x:v>0</x:v>
      </x:c>
      <x:c r="R107" s="622" t="n">
        <x:v>0</x:v>
      </x:c>
    </x:row>
    <x:row r="108" spans="1:18" ht="12.75" customHeight="1" x14ac:dyDescent="0.2">
      <x:c r="C108" s="616" t="s">
        <x:v>73</x:v>
      </x:c>
      <x:c r="D108" s="620" t="n">
        <x:v>30756.16</x:v>
      </x:c>
      <x:c r="E108" s="618" t="n">
        <x:v>1551.4</x:v>
      </x:c>
      <x:c r="F108" s="618" t="n">
        <x:v>869.11</x:v>
      </x:c>
      <x:c r="G108" s="620" t="n">
        <x:v>477.04</x:v>
      </x:c>
      <x:c r="H108" s="618" t="n">
        <x:v>8211.72</x:v>
      </x:c>
      <x:c r="I108" s="618" t="n">
        <x:v>196.73</x:v>
      </x:c>
      <x:c r="J108" s="618" t="n">
        <x:v>1725.81</x:v>
      </x:c>
      <x:c r="K108" s="618" t="n">
        <x:v>2539</x:v>
      </x:c>
      <x:c r="L108" s="618" t="n">
        <x:v>11729.28</x:v>
      </x:c>
      <x:c r="M108" s="618" t="n">
        <x:v>3135.07</x:v>
      </x:c>
      <x:c r="N108" s="618" t="n">
        <x:v>321</x:v>
      </x:c>
      <x:c r="O108" s="618" t="n">
        <x:v>0</x:v>
      </x:c>
      <x:c r="P108" s="616">
        <x:v>0</x:v>
      </x:c>
      <x:c r="Q108" s="618" t="n">
        <x:v>0</x:v>
      </x:c>
      <x:c r="R108" s="616" t="n">
        <x:v>0</x:v>
      </x:c>
    </x:row>
    <x:row r="109" spans="1:18" s="623" customFormat="1" ht="12.75" customHeight="1" x14ac:dyDescent="0.2">
      <x:c r="B109" s="623" t="s">
        <x:v>79</x:v>
      </x:c>
      <x:c r="C109" s="623" t="s">
        <x:v>70</x:v>
      </x:c>
      <x:c r="D109" s="636" t="n">
        <x:v>30756.16</x:v>
      </x:c>
      <x:c r="E109" s="624" t="n">
        <x:v>1551.4</x:v>
      </x:c>
      <x:c r="F109" s="624" t="n">
        <x:v>869.11</x:v>
      </x:c>
      <x:c r="G109" s="636" t="n">
        <x:v>477.04</x:v>
      </x:c>
      <x:c r="H109" s="624" t="n">
        <x:v>8211.72</x:v>
      </x:c>
      <x:c r="I109" s="624" t="n">
        <x:v>196.73</x:v>
      </x:c>
      <x:c r="J109" s="624" t="n">
        <x:v>1725.81</x:v>
      </x:c>
      <x:c r="K109" s="624" t="n">
        <x:v>2539</x:v>
      </x:c>
      <x:c r="L109" s="624" t="n">
        <x:v>11729.28</x:v>
      </x:c>
      <x:c r="M109" s="624" t="n">
        <x:v>3135.07</x:v>
      </x:c>
      <x:c r="N109" s="624" t="n">
        <x:v>321</x:v>
      </x:c>
      <x:c r="O109" s="624" t="n">
        <x:v>0</x:v>
      </x:c>
      <x:c r="P109" s="623">
        <x:v>0</x:v>
      </x:c>
      <x:c r="Q109" s="624" t="n">
        <x:v>0</x:v>
      </x:c>
      <x:c r="R109" s="623" t="n">
        <x:v>0</x:v>
      </x:c>
    </x:row>
    <x:row r="110" spans="1:18" s="632" customFormat="1" ht="12.75" customHeight="1" x14ac:dyDescent="0.2">
      <x:c r="A110" s="632" t="s">
        <x:v>120</x:v>
      </x:c>
      <x:c r="B110" s="632" t="s">
        <x:v>70</x:v>
      </x:c>
      <x:c r="D110" s="632" t="n">
        <x:v>-46130</x:v>
      </x:c>
      <x:c r="E110" s="632" t="n">
        <x:v>-2327.12</x:v>
      </x:c>
      <x:c r="F110" s="632" t="n">
        <x:v>-1303.67</x:v>
      </x:c>
      <x:c r="G110" s="632" t="n">
        <x:v>-715.58</x:v>
      </x:c>
      <x:c r="H110" s="632" t="n">
        <x:v>-12317.58</x:v>
      </x:c>
      <x:c r="I110" s="632" t="n">
        <x:v>-295.12</x:v>
      </x:c>
      <x:c r="J110" s="632" t="n">
        <x:v>-2588.69</x:v>
      </x:c>
      <x:c r="K110" s="632" t="n">
        <x:v>-3808.49</x:v>
      </x:c>
      <x:c r="L110" s="632" t="n">
        <x:v>-17593.9</x:v>
      </x:c>
      <x:c r="M110" s="632" t="n">
        <x:v>-4702.58</x:v>
      </x:c>
      <x:c r="N110" s="632" t="n">
        <x:v>-481.5</x:v>
      </x:c>
      <x:c r="O110" s="632" t="n">
        <x:v>4.23</x:v>
      </x:c>
      <x:c r="P110" s="632" t="n">
        <x:v>0</x:v>
      </x:c>
      <x:c r="Q110" s="632" t="n">
        <x:v>0</x:v>
      </x:c>
      <x:c r="R110" s="632" t="n">
        <x:v>0</x:v>
      </x:c>
    </x:row>
    <x:row r="111" spans="1:18" ht="12.6" customHeight="1" x14ac:dyDescent="0.2">
      <x:c r="C111" s="616" t="s">
        <x:v>72</x:v>
      </x:c>
      <x:c r="D111" s="618" t="n">
        <x:v>-6896431.44</x:v>
      </x:c>
      <x:c r="E111" s="618" t="n">
        <x:v>-457444.01</x:v>
      </x:c>
      <x:c r="F111" s="618" t="n">
        <x:v>-239394.76</x:v>
      </x:c>
      <x:c r="G111" s="620" t="n">
        <x:v>-121915.4</x:v>
      </x:c>
      <x:c r="H111" s="618" t="n">
        <x:v>-1704835.53</x:v>
      </x:c>
      <x:c r="I111" s="618" t="n">
        <x:v>-52568.96</x:v>
      </x:c>
      <x:c r="J111" s="618" t="n">
        <x:v>-464698</x:v>
      </x:c>
      <x:c r="K111" s="618" t="n">
        <x:v>-563915.35</x:v>
      </x:c>
      <x:c r="L111" s="618" t="n">
        <x:v>-2331911.47</x:v>
      </x:c>
      <x:c r="M111" s="618" t="n">
        <x:v>-875007.12</x:v>
      </x:c>
      <x:c r="N111" s="618" t="n">
        <x:v>-84792.49</x:v>
      </x:c>
      <x:c r="O111" s="618" t="n">
        <x:v>51.65</x:v>
      </x:c>
      <x:c r="P111" s="616">
        <x:v>0</x:v>
      </x:c>
      <x:c r="Q111" s="618" t="n">
        <x:v>0</x:v>
      </x:c>
      <x:c r="R111" s="616" t="n">
        <x:v>0</x:v>
      </x:c>
    </x:row>
    <x:row r="112" spans="1:18" ht="12.75" customHeight="1" x14ac:dyDescent="0.2">
      <x:c r="C112" s="616" t="s">
        <x:v>81</x:v>
      </x:c>
      <x:c r="D112" s="618" t="n">
        <x:v>-436148.07</x:v>
      </x:c>
      <x:c r="E112" s="618" t="n">
        <x:v>-65575.05</x:v>
      </x:c>
      <x:c r="F112" s="618" t="n">
        <x:v>-28205.75</x:v>
      </x:c>
      <x:c r="G112" s="620" t="n">
        <x:v>-9888.85</x:v>
      </x:c>
      <x:c r="H112" s="618" t="n">
        <x:v>-63469.4</x:v>
      </x:c>
      <x:c r="I112" s="618" t="n">
        <x:v>-2533.87</x:v>
      </x:c>
      <x:c r="J112" s="618" t="n">
        <x:v>-22226.6</x:v>
      </x:c>
      <x:c r="K112" s="618" t="n">
        <x:v>-23823.17</x:v>
      </x:c>
      <x:c r="L112" s="618" t="n">
        <x:v>-89035.29</x:v>
      </x:c>
      <x:c r="M112" s="618" t="n">
        <x:v>-127548.68</x:v>
      </x:c>
      <x:c r="N112" s="618" t="n">
        <x:v>-4134.18</x:v>
      </x:c>
      <x:c r="O112" s="618" t="n">
        <x:v>14</x:v>
      </x:c>
      <x:c r="P112" s="616">
        <x:v>0</x:v>
      </x:c>
      <x:c r="Q112" s="618" t="n">
        <x:v>-10.42</x:v>
      </x:c>
      <x:c r="R112" s="616" t="n">
        <x:v>289.19</x:v>
      </x:c>
    </x:row>
    <x:row r="113" spans="1:18" s="621" customFormat="1" ht="12.75" customHeight="1" x14ac:dyDescent="0.2">
      <x:c r="B113" s="622" t="s">
        <x:v>78</x:v>
      </x:c>
      <x:c r="C113" s="622" t="s">
        <x:v>70</x:v>
      </x:c>
      <x:c r="D113" s="622" t="n">
        <x:v>-7332579.51</x:v>
      </x:c>
      <x:c r="E113" s="622" t="n">
        <x:v>-523019.06</x:v>
      </x:c>
      <x:c r="F113" s="622" t="n">
        <x:v>-267600.51</x:v>
      </x:c>
      <x:c r="G113" s="622" t="n">
        <x:v>-131804.25</x:v>
      </x:c>
      <x:c r="H113" s="622" t="n">
        <x:v>-1768304.93</x:v>
      </x:c>
      <x:c r="I113" s="622" t="n">
        <x:v>-55102.83</x:v>
      </x:c>
      <x:c r="J113" s="622" t="n">
        <x:v>-486924.6</x:v>
      </x:c>
      <x:c r="K113" s="622" t="n">
        <x:v>-587738.52</x:v>
      </x:c>
      <x:c r="L113" s="622" t="n">
        <x:v>-2420946.76</x:v>
      </x:c>
      <x:c r="M113" s="622" t="n">
        <x:v>-1002555.8</x:v>
      </x:c>
      <x:c r="N113" s="622" t="n">
        <x:v>-88926.67</x:v>
      </x:c>
      <x:c r="O113" s="622" t="n">
        <x:v>65.65</x:v>
      </x:c>
      <x:c r="P113" s="621">
        <x:v>0</x:v>
      </x:c>
      <x:c r="Q113" s="622" t="n">
        <x:v>-10.42</x:v>
      </x:c>
      <x:c r="R113" s="622" t="n">
        <x:v>289.19</x:v>
      </x:c>
    </x:row>
    <x:row r="114" spans="1:18" ht="12.75" customHeight="1" x14ac:dyDescent="0.2">
      <x:c r="C114" s="616" t="s">
        <x:v>73</x:v>
      </x:c>
      <x:c r="D114" s="620" t="n">
        <x:v>3689523.51</x:v>
      </x:c>
      <x:c r="E114" s="618" t="n">
        <x:v>196445.95</x:v>
      </x:c>
      <x:c r="F114" s="618" t="n">
        <x:v>97024.73</x:v>
      </x:c>
      <x:c r="G114" s="620" t="n">
        <x:v>47913.53</x:v>
      </x:c>
      <x:c r="H114" s="618" t="n">
        <x:v>980845.01</x:v>
      </x:c>
      <x:c r="I114" s="618" t="n">
        <x:v>31030.31</x:v>
      </x:c>
      <x:c r="J114" s="618" t="n">
        <x:v>272193.56</x:v>
      </x:c>
      <x:c r="K114" s="618" t="n">
        <x:v>321126.58</x:v>
      </x:c>
      <x:c r="L114" s="618" t="n">
        <x:v>1303205.05</x:v>
      </x:c>
      <x:c r="M114" s="618" t="n">
        <x:v>389110.69</x:v>
      </x:c>
      <x:c r="N114" s="618" t="n">
        <x:v>50628.1</x:v>
      </x:c>
      <x:c r="O114" s="618" t="n">
        <x:v>0</x:v>
      </x:c>
      <x:c r="P114" s="616">
        <x:v>0</x:v>
      </x:c>
      <x:c r="Q114" s="618" t="n">
        <x:v>0</x:v>
      </x:c>
      <x:c r="R114" s="616" t="n">
        <x:v>0</x:v>
      </x:c>
    </x:row>
    <x:row r="115" spans="1:18" s="623" customFormat="1" ht="12.75" customHeight="1" x14ac:dyDescent="0.2">
      <x:c r="B115" s="623" t="s">
        <x:v>79</x:v>
      </x:c>
      <x:c r="C115" s="623" t="s">
        <x:v>70</x:v>
      </x:c>
      <x:c r="D115" s="636" t="n">
        <x:v>3689523.51</x:v>
      </x:c>
      <x:c r="E115" s="624" t="n">
        <x:v>196445.95</x:v>
      </x:c>
      <x:c r="F115" s="624" t="n">
        <x:v>97024.73</x:v>
      </x:c>
      <x:c r="G115" s="636" t="n">
        <x:v>47913.53</x:v>
      </x:c>
      <x:c r="H115" s="624" t="n">
        <x:v>980845.01</x:v>
      </x:c>
      <x:c r="I115" s="624" t="n">
        <x:v>31030.31</x:v>
      </x:c>
      <x:c r="J115" s="624" t="n">
        <x:v>272193.56</x:v>
      </x:c>
      <x:c r="K115" s="624" t="n">
        <x:v>321126.58</x:v>
      </x:c>
      <x:c r="L115" s="624" t="n">
        <x:v>1303205.05</x:v>
      </x:c>
      <x:c r="M115" s="624" t="n">
        <x:v>389110.69</x:v>
      </x:c>
      <x:c r="N115" s="624" t="n">
        <x:v>50628.1</x:v>
      </x:c>
      <x:c r="O115" s="624" t="n">
        <x:v>0</x:v>
      </x:c>
      <x:c r="P115" s="623">
        <x:v>0</x:v>
      </x:c>
      <x:c r="Q115" s="624" t="n">
        <x:v>0</x:v>
      </x:c>
      <x:c r="R115" s="623" t="n">
        <x:v>0</x:v>
      </x:c>
    </x:row>
    <x:row r="116" spans="1:18" s="628" customFormat="1" ht="12.75" customHeight="1" x14ac:dyDescent="0.2">
      <x:c r="A116" s="628" t="s">
        <x:v>119</x:v>
      </x:c>
      <x:c r="B116" s="628" t="s">
        <x:v>70</x:v>
      </x:c>
      <x:c r="D116" s="628" t="n">
        <x:v>-3643056</x:v>
      </x:c>
      <x:c r="E116" s="628" t="n">
        <x:v>-326573.11</x:v>
      </x:c>
      <x:c r="F116" s="628" t="n">
        <x:v>-170575.78</x:v>
      </x:c>
      <x:c r="G116" s="628" t="n">
        <x:v>-83890.72</x:v>
      </x:c>
      <x:c r="H116" s="628" t="n">
        <x:v>-787459.92</x:v>
      </x:c>
      <x:c r="I116" s="628" t="n">
        <x:v>-24072.52</x:v>
      </x:c>
      <x:c r="J116" s="628" t="n">
        <x:v>-214731.04</x:v>
      </x:c>
      <x:c r="K116" s="628" t="n">
        <x:v>-266611.94</x:v>
      </x:c>
      <x:c r="L116" s="628" t="n">
        <x:v>-1117741.71</x:v>
      </x:c>
      <x:c r="M116" s="628" t="n">
        <x:v>-613445.11</x:v>
      </x:c>
      <x:c r="N116" s="628" t="n">
        <x:v>-38298.57</x:v>
      </x:c>
      <x:c r="O116" s="628" t="n">
        <x:v>65.65</x:v>
      </x:c>
      <x:c r="P116" s="628" t="n">
        <x:v>0</x:v>
      </x:c>
      <x:c r="Q116" s="628" t="n">
        <x:v>-10.42</x:v>
      </x:c>
      <x:c r="R116" s="628" t="n">
        <x:v>289.19</x:v>
      </x:c>
    </x:row>
    <x:row r="117" spans="1:18" s="631" customFormat="1" ht="12.75" customHeight="1" x14ac:dyDescent="0.2">
      <x:c r="A117" s="630" t="s">
        <x:v>70</x:v>
      </x:c>
      <x:c r="D117" s="630" t="n">
        <x:v>-45230052</x:v>
      </x:c>
      <x:c r="E117" s="630" t="n">
        <x:v>-3132275.07</x:v>
      </x:c>
      <x:c r="F117" s="630" t="n">
        <x:v>-1691932.25</x:v>
      </x:c>
      <x:c r="G117" s="630" t="n">
        <x:v>-883449.43</x:v>
      </x:c>
      <x:c r="H117" s="630" t="n">
        <x:v>-10460728.49</x:v>
      </x:c>
      <x:c r="I117" s="630" t="n">
        <x:v>-369555</x:v>
      </x:c>
      <x:c r="J117" s="630" t="n">
        <x:v>-3271558.73</x:v>
      </x:c>
      <x:c r="K117" s="630" t="n">
        <x:v>-3322281.23</x:v>
      </x:c>
      <x:c r="L117" s="630" t="n">
        <x:v>-15262518.39</x:v>
      </x:c>
      <x:c r="M117" s="630" t="n">
        <x:v>-6229924.79</x:v>
      </x:c>
      <x:c r="N117" s="630" t="n">
        <x:v>-606163.36</x:v>
      </x:c>
      <x:c r="O117" s="630" t="n">
        <x:v>55.71</x:v>
      </x:c>
      <x:c r="P117" s="631" t="n">
        <x:v>0</x:v>
      </x:c>
      <x:c r="Q117" s="630" t="n">
        <x:v>-10.16</x:v>
      </x:c>
      <x:c r="R117" s="630" t="n">
        <x:v>289.19</x:v>
      </x:c>
    </x:row>
    <x:row r="118" spans="1:18" ht="12.75" customHeight="1" x14ac:dyDescent="0.2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8" ht="12.75" hidden="1" customHeight="1" x14ac:dyDescent="0.2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8" ht="12.75" hidden="1" customHeight="1" x14ac:dyDescent="0.2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8" ht="12.75" hidden="1" customHeight="1" x14ac:dyDescent="0.2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8" ht="12.75" hidden="1" customHeight="1" x14ac:dyDescent="0.2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8" ht="12.75" hidden="1" customHeight="1" x14ac:dyDescent="0.2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8" ht="12.75" hidden="1" customHeight="1" x14ac:dyDescent="0.2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8" ht="12.75" hidden="1" customHeight="1" x14ac:dyDescent="0.2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8" ht="12.75" hidden="1" customHeight="1" x14ac:dyDescent="0.2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8" ht="12.75" hidden="1" customHeight="1" x14ac:dyDescent="0.2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8" ht="12.75" hidden="1" customHeight="1" x14ac:dyDescent="0.2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6" ht="12.75" hidden="1" customHeight="1" x14ac:dyDescent="0.2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6" ht="12.75" hidden="1" customHeight="1" x14ac:dyDescent="0.2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6" ht="12.75" hidden="1" customHeight="1" x14ac:dyDescent="0.2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6" ht="12.75" hidden="1" customHeight="1" x14ac:dyDescent="0.2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6" ht="12.75" hidden="1" customHeight="1" x14ac:dyDescent="0.2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6" ht="12.75" hidden="1" customHeight="1" x14ac:dyDescent="0.2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6" ht="12.75" hidden="1" customHeight="1" x14ac:dyDescent="0.2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6" ht="12.75" hidden="1" customHeight="1" x14ac:dyDescent="0.2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6" ht="12.75" hidden="1" customHeight="1" x14ac:dyDescent="0.2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6" ht="12.75" hidden="1" customHeight="1" x14ac:dyDescent="0.2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6" ht="12.75" hidden="1" customHeight="1" x14ac:dyDescent="0.2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6" ht="12.75" hidden="1" customHeight="1" x14ac:dyDescent="0.2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6" ht="12.75" hidden="1" customHeight="1" x14ac:dyDescent="0.2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6" ht="12.75" hidden="1" customHeight="1" x14ac:dyDescent="0.2">
      <x:c r="A174" s="618"/>
      <x:c r="D174" s="618"/>
      <x:c r="E174" s="618"/>
      <x:c r="F174" s="618"/>
      <x:c r="G174" s="618"/>
      <x:c r="H174" s="618"/>
      <x:c r="I174" s="618"/>
      <x:c r="J174" s="618"/>
      <x:c r="K174" s="618"/>
      <x:c r="L174" s="618"/>
      <x:c r="M174" s="618"/>
      <x:c r="N174" s="618"/>
      <x:c r="O174" s="618"/>
      <x:c r="P174" s="618"/>
    </x:row>
    <x:row r="175" spans="1:16" ht="12.75" hidden="1" customHeight="1" x14ac:dyDescent="0.2">
      <x:c r="A175" s="618"/>
      <x:c r="D175" s="618"/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</x:row>
    <x:row r="176" spans="1:16" ht="12.75" hidden="1" customHeight="1" x14ac:dyDescent="0.2">
      <x:c r="A176" s="618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</x:row>
    <x:row r="177" spans="1:18" ht="12.75" hidden="1" customHeight="1" x14ac:dyDescent="0.2">
      <x:c r="A177" s="618"/>
      <x:c r="D177" s="618"/>
      <x:c r="E177" s="618"/>
      <x:c r="F177" s="618"/>
      <x:c r="G177" s="618"/>
      <x:c r="H177" s="618"/>
      <x:c r="I177" s="618"/>
      <x:c r="J177" s="618"/>
      <x:c r="K177" s="618"/>
      <x:c r="L177" s="618"/>
      <x:c r="M177" s="618"/>
      <x:c r="N177" s="618"/>
      <x:c r="O177" s="618"/>
      <x:c r="P177" s="618"/>
    </x:row>
    <x:row r="178" spans="1:18" ht="12.75" hidden="1" customHeight="1" x14ac:dyDescent="0.2">
      <x:c r="A178" s="618"/>
      <x:c r="D178" s="618"/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</x:row>
    <x:row r="179" spans="1:18" ht="12.75" customHeight="1" x14ac:dyDescent="0.2">
      <x:c r="A179" s="618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</x:row>
    <x:row r="180" spans="1:18" ht="12.75" customHeight="1" x14ac:dyDescent="0.2">
      <x:c r="A180" s="782" t="s">
        <x:v>2</x:v>
      </x:c>
      <x:c r="B180" s="781" t="s">
        <x:v>132</x:v>
      </x:c>
      <x:c r="C180" s="766" t="s">
        <x:v>70</x:v>
      </x:c>
      <x:c r="D180" s="766">
        <x:f>D117-P117</x:f>
        <x:v>0</x:v>
      </x:c>
      <x:c r="E180" s="766">
        <x:f>E101+E107+E113</x:f>
        <x:v>0</x:v>
      </x:c>
      <x:c r="F180" s="766">
        <x:f t="shared" ref="F180:R180" si="4">F101+F107+F113</x:f>
        <x:v>0</x:v>
      </x:c>
      <x:c r="G180" s="766">
        <x:f t="shared" si="4"/>
        <x:v>0</x:v>
      </x:c>
      <x:c r="H180" s="766">
        <x:f t="shared" si="4"/>
        <x:v>0</x:v>
      </x:c>
      <x:c r="I180" s="766">
        <x:f t="shared" si="4"/>
        <x:v>0</x:v>
      </x:c>
      <x:c r="J180" s="766">
        <x:f t="shared" si="4"/>
        <x:v>0</x:v>
      </x:c>
      <x:c r="K180" s="766">
        <x:f t="shared" si="4"/>
        <x:v>0</x:v>
      </x:c>
      <x:c r="L180" s="766">
        <x:f t="shared" si="4"/>
        <x:v>0</x:v>
      </x:c>
      <x:c r="M180" s="766">
        <x:f t="shared" si="4"/>
        <x:v>0</x:v>
      </x:c>
      <x:c r="N180" s="766">
        <x:f t="shared" si="4"/>
        <x:v>0</x:v>
      </x:c>
      <x:c r="O180" s="766">
        <x:f t="shared" si="4"/>
        <x:v>0</x:v>
      </x:c>
      <x:c r="P180" s="766">
        <x:f t="shared" si="4"/>
        <x:v>0</x:v>
      </x:c>
      <x:c r="Q180" s="766">
        <x:f t="shared" si="4"/>
        <x:v>0</x:v>
      </x:c>
      <x:c r="R180" s="766">
        <x:f t="shared" si="4"/>
        <x:v>0</x:v>
      </x:c>
    </x:row>
    <x:row r="181" spans="1:18" ht="12.75" customHeight="1" x14ac:dyDescent="0.2">
      <x:c r="A181" s="782"/>
      <x:c r="B181" s="781"/>
      <x:c r="C181" s="766" t="s">
        <x:v>73</x:v>
      </x:c>
      <x:c r="D181" s="766">
        <x:f>D103+D109+D115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">
      <x:c r="A182" s="617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">
      <x:c r="A183" s="782" t="s">
        <x:v>160</x:v>
      </x:c>
      <x:c r="B183" s="781" t="s">
        <x:v>132</x:v>
      </x:c>
      <x:c r="C183" s="632" t="s">
        <x:v>70</x:v>
      </x:c>
      <x:c r="D183" s="632">
        <x:f>D110-P110</x:f>
        <x:v>0</x:v>
      </x:c>
      <x:c r="E183" s="632">
        <x:f>E107</x:f>
        <x:v>0</x:v>
      </x:c>
      <x:c r="F183" s="632">
        <x:f t="shared" ref="F183:R183" si="5">F107</x:f>
        <x:v>0</x:v>
      </x:c>
      <x:c r="G183" s="632">
        <x:f t="shared" si="5"/>
        <x:v>0</x:v>
      </x:c>
      <x:c r="H183" s="632">
        <x:f t="shared" si="5"/>
        <x:v>0</x:v>
      </x:c>
      <x:c r="I183" s="632">
        <x:f t="shared" si="5"/>
        <x:v>0</x:v>
      </x:c>
      <x:c r="J183" s="632">
        <x:f t="shared" si="5"/>
        <x:v>0</x:v>
      </x:c>
      <x:c r="K183" s="632">
        <x:f t="shared" si="5"/>
        <x:v>0</x:v>
      </x:c>
      <x:c r="L183" s="632">
        <x:f t="shared" si="5"/>
        <x:v>0</x:v>
      </x:c>
      <x:c r="M183" s="632">
        <x:f t="shared" si="5"/>
        <x:v>0</x:v>
      </x:c>
      <x:c r="N183" s="632">
        <x:f t="shared" si="5"/>
        <x:v>0</x:v>
      </x:c>
      <x:c r="O183" s="632">
        <x:f t="shared" si="5"/>
        <x:v>0</x:v>
      </x:c>
      <x:c r="P183" s="632">
        <x:f t="shared" si="5"/>
        <x:v>0</x:v>
      </x:c>
      <x:c r="Q183" s="632">
        <x:f t="shared" si="5"/>
        <x:v>0</x:v>
      </x:c>
      <x:c r="R183" s="632">
        <x:f t="shared" si="5"/>
        <x:v>0</x:v>
      </x:c>
    </x:row>
    <x:row r="184" spans="1:18" ht="12.75" customHeight="1" x14ac:dyDescent="0.2">
      <x:c r="A184" s="782"/>
      <x:c r="B184" s="781"/>
      <x:c r="C184" s="632" t="s">
        <x:v>73</x:v>
      </x:c>
      <x:c r="D184" s="632">
        <x:f>D109</x:f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">
      <x:c r="A186" s="782" t="s">
        <x:v>155</x:v>
      </x:c>
      <x:c r="B186" s="781" t="s">
        <x:v>132</x:v>
      </x:c>
      <x:c r="C186" s="633" t="s">
        <x:v>70</x:v>
      </x:c>
      <x:c r="D186" s="633">
        <x:f>D104-P104</x:f>
        <x:v>0</x:v>
      </x:c>
      <x:c r="E186" s="633">
        <x:f>E101</x:f>
        <x:v>0</x:v>
      </x:c>
      <x:c r="F186" s="633">
        <x:f t="shared" ref="F186:R186" si="6">F101</x:f>
        <x:v>0</x:v>
      </x:c>
      <x:c r="G186" s="633">
        <x:f t="shared" si="6"/>
        <x:v>0</x:v>
      </x:c>
      <x:c r="H186" s="633">
        <x:f t="shared" si="6"/>
        <x:v>0</x:v>
      </x:c>
      <x:c r="I186" s="633">
        <x:f t="shared" si="6"/>
        <x:v>0</x:v>
      </x:c>
      <x:c r="J186" s="633">
        <x:f t="shared" si="6"/>
        <x:v>0</x:v>
      </x:c>
      <x:c r="K186" s="633">
        <x:f t="shared" si="6"/>
        <x:v>0</x:v>
      </x:c>
      <x:c r="L186" s="633">
        <x:f t="shared" si="6"/>
        <x:v>0</x:v>
      </x:c>
      <x:c r="M186" s="633">
        <x:f t="shared" si="6"/>
        <x:v>0</x:v>
      </x:c>
      <x:c r="N186" s="633">
        <x:f t="shared" si="6"/>
        <x:v>0</x:v>
      </x:c>
      <x:c r="O186" s="633">
        <x:f t="shared" si="6"/>
        <x:v>0</x:v>
      </x:c>
      <x:c r="P186" s="633">
        <x:f t="shared" si="6"/>
        <x:v>0</x:v>
      </x:c>
      <x:c r="Q186" s="633">
        <x:f t="shared" si="6"/>
        <x:v>0</x:v>
      </x:c>
      <x:c r="R186" s="633">
        <x:f t="shared" si="6"/>
        <x:v>0</x:v>
      </x:c>
    </x:row>
    <x:row r="187" spans="1:18" ht="12.75" customHeight="1" x14ac:dyDescent="0.2">
      <x:c r="A187" s="782"/>
      <x:c r="B187" s="781"/>
      <x:c r="C187" s="633" t="s">
        <x:v>73</x:v>
      </x:c>
      <x:c r="D187" s="633">
        <x:f>D103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</x:row>
    <x:row r="188" spans="1:18" ht="12.75" customHeight="1" x14ac:dyDescent="0.2">
      <x:c r="A188" s="722"/>
      <x:c r="B188" s="721"/>
      <x:c r="C188" s="618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</x:row>
    <x:row r="189" spans="1:18" ht="12.75" customHeight="1" x14ac:dyDescent="0.2">
      <x:c r="A189" s="783" t="s">
        <x:v>326</x:v>
      </x:c>
      <x:c r="B189" s="781" t="s">
        <x:v>132</x:v>
      </x:c>
      <x:c r="C189" s="633" t="s">
        <x:v>70</x:v>
      </x:c>
      <x:c r="D189" s="720">
        <x:v>0</x:v>
      </x:c>
      <x:c r="E189" s="720">
        <x:v>0</x:v>
      </x:c>
      <x:c r="F189" s="720">
        <x:v>0</x:v>
      </x:c>
      <x:c r="G189" s="720">
        <x:v>0</x:v>
      </x:c>
      <x:c r="H189" s="720">
        <x:v>0</x:v>
      </x:c>
      <x:c r="I189" s="720">
        <x:v>0</x:v>
      </x:c>
      <x:c r="J189" s="720">
        <x:v>0</x:v>
      </x:c>
      <x:c r="K189" s="720">
        <x:v>0</x:v>
      </x:c>
      <x:c r="L189" s="720">
        <x:v>0</x:v>
      </x:c>
      <x:c r="M189" s="720">
        <x:v>0</x:v>
      </x:c>
      <x:c r="N189" s="720">
        <x:v>0</x:v>
      </x:c>
      <x:c r="O189" s="720">
        <x:v>0</x:v>
      </x:c>
      <x:c r="P189" s="720">
        <x:v>0</x:v>
      </x:c>
      <x:c r="Q189" s="720">
        <x:v>0</x:v>
      </x:c>
      <x:c r="R189" s="720">
        <x:v>0</x:v>
      </x:c>
    </x:row>
    <x:row r="190" spans="1:18" ht="12.75" customHeight="1" x14ac:dyDescent="0.2">
      <x:c r="A190" s="783"/>
      <x:c r="B190" s="781"/>
      <x:c r="C190" s="633" t="s">
        <x:v>73</x:v>
      </x:c>
      <x:c r="D190" s="720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ht="12.75" customHeight="1" x14ac:dyDescent="0.2">
      <x:c r="A191" s="617"/>
      <x:c r="D191" s="618"/>
      <x:c r="E191" s="618"/>
      <x:c r="F191" s="618"/>
      <x:c r="G191" s="618"/>
      <x:c r="H191" s="618"/>
      <x:c r="I191" s="618"/>
      <x:c r="J191" s="618"/>
      <x:c r="K191" s="618"/>
      <x:c r="L191" s="618"/>
      <x:c r="M191" s="618"/>
      <x:c r="N191" s="618"/>
      <x:c r="O191" s="618"/>
      <x:c r="P191" s="618"/>
      <x:c r="Q191" s="618"/>
    </x:row>
    <x:row r="192" spans="1:18" ht="12.75" customHeight="1" x14ac:dyDescent="0.2">
      <x:c r="A192" s="782" t="s">
        <x:v>119</x:v>
      </x:c>
      <x:c r="B192" s="781" t="s">
        <x:v>132</x:v>
      </x:c>
      <x:c r="C192" s="628" t="s">
        <x:v>70</x:v>
      </x:c>
      <x:c r="D192" s="628">
        <x:f>D116-P116</x:f>
        <x:v>0</x:v>
      </x:c>
      <x:c r="E192" s="628">
        <x:f>E113</x:f>
        <x:v>0</x:v>
      </x:c>
      <x:c r="F192" s="628">
        <x:f t="shared" ref="F192:R192" si="7">F113</x:f>
        <x:v>0</x:v>
      </x:c>
      <x:c r="G192" s="628">
        <x:f t="shared" si="7"/>
        <x:v>0</x:v>
      </x:c>
      <x:c r="H192" s="628">
        <x:f t="shared" si="7"/>
        <x:v>0</x:v>
      </x:c>
      <x:c r="I192" s="628">
        <x:f t="shared" si="7"/>
        <x:v>0</x:v>
      </x:c>
      <x:c r="J192" s="628">
        <x:f t="shared" si="7"/>
        <x:v>0</x:v>
      </x:c>
      <x:c r="K192" s="628">
        <x:f t="shared" si="7"/>
        <x:v>0</x:v>
      </x:c>
      <x:c r="L192" s="628">
        <x:f t="shared" si="7"/>
        <x:v>0</x:v>
      </x:c>
      <x:c r="M192" s="628">
        <x:f t="shared" si="7"/>
        <x:v>0</x:v>
      </x:c>
      <x:c r="N192" s="628">
        <x:f t="shared" si="7"/>
        <x:v>0</x:v>
      </x:c>
      <x:c r="O192" s="628">
        <x:f t="shared" si="7"/>
        <x:v>0</x:v>
      </x:c>
      <x:c r="P192" s="628">
        <x:f t="shared" si="7"/>
        <x:v>0</x:v>
      </x:c>
      <x:c r="Q192" s="628">
        <x:f t="shared" si="7"/>
        <x:v>0</x:v>
      </x:c>
      <x:c r="R192" s="628">
        <x:f t="shared" si="7"/>
        <x:v>0</x:v>
      </x:c>
    </x:row>
    <x:row r="193" spans="1:18" ht="12.75" customHeight="1" x14ac:dyDescent="0.2">
      <x:c r="A193" s="782"/>
      <x:c r="B193" s="781"/>
      <x:c r="C193" s="628" t="s">
        <x:v>73</x:v>
      </x:c>
      <x:c r="D193" s="628">
        <x:f>D115</x:f>
        <x:v>0</x:v>
      </x:c>
      <x:c r="E193" s="618"/>
      <x:c r="F193" s="618"/>
      <x:c r="G193" s="618"/>
      <x:c r="H193" s="618"/>
      <x:c r="I193" s="618"/>
      <x:c r="J193" s="618"/>
      <x:c r="K193" s="618"/>
      <x:c r="L193" s="618"/>
      <x:c r="M193" s="618"/>
      <x:c r="N193" s="618"/>
      <x:c r="O193" s="618"/>
      <x:c r="P193" s="618"/>
      <x:c r="Q193" s="618"/>
      <x:c r="R193" s="618"/>
    </x:row>
    <x:row r="194" spans="1:18" ht="12.75" customHeight="1" x14ac:dyDescent="0.2">
      <x:c r="A194" s="617"/>
      <x:c r="D194" s="618"/>
      <x:c r="E194" s="618"/>
      <x:c r="F194" s="618"/>
      <x:c r="G194" s="618"/>
      <x:c r="H194" s="618"/>
      <x:c r="I194" s="618"/>
      <x:c r="J194" s="618"/>
      <x:c r="K194" s="618"/>
      <x:c r="L194" s="618"/>
      <x:c r="M194" s="618"/>
      <x:c r="N194" s="618"/>
      <x:c r="O194" s="618"/>
      <x:c r="P194" s="618"/>
      <x:c r="Q194" s="618"/>
      <x:c r="R194" s="618"/>
    </x:row>
    <x:row r="195" spans="1:18" ht="12.75" customHeight="1" x14ac:dyDescent="0.2">
      <x:c r="A195" s="780" t="s">
        <x:v>161</x:v>
      </x:c>
      <x:c r="B195" s="781" t="s">
        <x:v>132</x:v>
      </x:c>
      <x:c r="C195" s="634" t="s">
        <x:v>70</x:v>
      </x:c>
      <x:c r="D195" s="634">
        <x:v>0</x:v>
      </x:c>
      <x:c r="E195" s="634">
        <x:v>0</x:v>
      </x:c>
      <x:c r="F195" s="634">
        <x:v>0</x:v>
      </x:c>
      <x:c r="G195" s="634">
        <x:v>0</x:v>
      </x:c>
      <x:c r="H195" s="634">
        <x:v>0</x:v>
      </x:c>
      <x:c r="I195" s="634">
        <x:v>0</x:v>
      </x:c>
      <x:c r="J195" s="634">
        <x:v>0</x:v>
      </x:c>
      <x:c r="K195" s="634">
        <x:v>0</x:v>
      </x:c>
      <x:c r="L195" s="634">
        <x:v>0</x:v>
      </x:c>
      <x:c r="M195" s="634">
        <x:v>0</x:v>
      </x:c>
      <x:c r="N195" s="634">
        <x:v>0</x:v>
      </x:c>
      <x:c r="O195" s="634">
        <x:v>0</x:v>
      </x:c>
      <x:c r="P195" s="634">
        <x:v>0</x:v>
      </x:c>
      <x:c r="Q195" s="634">
        <x:v>0</x:v>
      </x:c>
      <x:c r="R195" s="634">
        <x:v>0</x:v>
      </x:c>
    </x:row>
    <x:row r="196" spans="1:18" ht="12.75" customHeight="1" x14ac:dyDescent="0.2">
      <x:c r="A196" s="780"/>
      <x:c r="B196" s="781"/>
      <x:c r="C196" s="634" t="s">
        <x:v>73</x:v>
      </x:c>
      <x:c r="D196" s="634">
        <x:v>0</x:v>
      </x:c>
      <x:c r="E196" s="618"/>
      <x:c r="F196" s="618"/>
      <x:c r="G196" s="618"/>
      <x:c r="H196" s="618"/>
      <x:c r="I196" s="618"/>
      <x:c r="J196" s="618"/>
      <x:c r="K196" s="618"/>
      <x:c r="L196" s="618"/>
      <x:c r="M196" s="618"/>
      <x:c r="N196" s="618"/>
      <x:c r="O196" s="618"/>
      <x:c r="P196" s="618"/>
      <x:c r="Q196" s="618"/>
    </x:row>
    <x:row r="197" spans="1:18" s="635" customFormat="1" x14ac:dyDescent="0.2"/>
    <x:row r="198" spans="1:18" x14ac:dyDescent="0.2">
      <x:c r="B198" s="617" t="s">
        <x:v>76</x:v>
      </x:c>
    </x:row>
    <x:row r="199" spans="1:18" x14ac:dyDescent="0.2">
      <x:c r="D199" s="618" t="s">
        <x:v>70</x:v>
      </x:c>
      <x:c r="E199" s="618" t="s">
        <x:v>64</x:v>
      </x:c>
      <x:c r="F199" s="618" t="s">
        <x:v>65</x:v>
      </x:c>
      <x:c r="G199" s="619" t="s">
        <x:v>164</x:v>
      </x:c>
      <x:c r="H199" s="618" t="s">
        <x:v>69</x:v>
      </x:c>
      <x:c r="I199" s="618" t="s">
        <x:v>68</x:v>
      </x:c>
      <x:c r="J199" s="618" t="s">
        <x:v>66</x:v>
      </x:c>
      <x:c r="K199" s="618" t="s">
        <x:v>63</x:v>
      </x:c>
      <x:c r="L199" s="618" t="s">
        <x:v>61</x:v>
      </x:c>
      <x:c r="M199" s="618" t="s">
        <x:v>62</x:v>
      </x:c>
      <x:c r="N199" s="618" t="s">
        <x:v>67</x:v>
      </x:c>
      <x:c r="O199" s="618" t="s">
        <x:v>77</x:v>
      </x:c>
      <x:c r="P199" s="616" t="s">
        <x:v>71</x:v>
      </x:c>
      <x:c r="Q199" s="618" t="s">
        <x:v>80</x:v>
      </x:c>
      <x:c r="R199" s="616" t="s">
        <x:v>168</x:v>
      </x:c>
    </x:row>
    <x:row r="200" spans="1:18" ht="12.75" customHeight="1" x14ac:dyDescent="0.2">
      <x:c r="B200" s="618"/>
      <x:c r="C200" s="618" t="s">
        <x:v>72</x:v>
      </x:c>
      <x:c r="D200" s="618" t="n">
        <x:v>-7273359.13</x:v>
      </x:c>
      <x:c r="E200" s="618" t="n">
        <x:v>-515292.55</x:v>
      </x:c>
      <x:c r="F200" s="618" t="n">
        <x:v>-289983.7</x:v>
      </x:c>
      <x:c r="G200" s="618" t="n">
        <x:v>-152857.65</x:v>
      </x:c>
      <x:c r="H200" s="618" t="n">
        <x:v>-1791444.12</x:v>
      </x:c>
      <x:c r="I200" s="618" t="n">
        <x:v>-54888.34</x:v>
      </x:c>
      <x:c r="J200" s="618" t="n">
        <x:v>-481479.26</x:v>
      </x:c>
      <x:c r="K200" s="618" t="n">
        <x:v>-469276.25</x:v>
      </x:c>
      <x:c r="L200" s="618" t="n">
        <x:v>-2213791.06</x:v>
      </x:c>
      <x:c r="M200" s="618" t="n">
        <x:v>-1214658.71</x:v>
      </x:c>
      <x:c r="N200" s="618" t="n">
        <x:v>-89555.13</x:v>
      </x:c>
      <x:c r="O200" s="618" t="n">
        <x:v>-132.36</x:v>
      </x:c>
      <x:c r="P200" s="616">
        <x:v>0</x:v>
      </x:c>
      <x:c r="Q200" s="618">
        <x:v>0</x:v>
      </x:c>
      <x:c r="R200" s="618">
        <x:v>0</x:v>
      </x:c>
    </x:row>
    <x:row r="201" spans="1:18" ht="12.75" customHeight="1" x14ac:dyDescent="0.2">
      <x:c r="B201" s="618"/>
      <x:c r="C201" s="618" t="s">
        <x:v>81</x:v>
      </x:c>
      <x:c r="D201" s="618" t="n">
        <x:v>-3288.33</x:v>
      </x:c>
      <x:c r="E201" s="618" t="n">
        <x:v>-359.82</x:v>
      </x:c>
      <x:c r="F201" s="618" t="n">
        <x:v>-203.26</x:v>
      </x:c>
      <x:c r="G201" s="618" t="n">
        <x:v>-107.06</x:v>
      </x:c>
      <x:c r="H201" s="618" t="n">
        <x:v>-573.45</x:v>
      </x:c>
      <x:c r="I201" s="618" t="n">
        <x:v>-19.83</x:v>
      </x:c>
      <x:c r="J201" s="618" t="n">
        <x:v>-173.94</x:v>
      </x:c>
      <x:c r="K201" s="618" t="n">
        <x:v>-170.76</x:v>
      </x:c>
      <x:c r="L201" s="618" t="n">
        <x:v>-807.72</x:v>
      </x:c>
      <x:c r="M201" s="618" t="n">
        <x:v>-840.06</x:v>
      </x:c>
      <x:c r="N201" s="618" t="n">
        <x:v>-32.37</x:v>
      </x:c>
      <x:c r="O201" s="618" t="n">
        <x:v>-0.06</x:v>
      </x:c>
      <x:c r="P201" s="616">
        <x:v>0</x:v>
      </x:c>
      <x:c r="Q201" s="618">
        <x:v>0</x:v>
      </x:c>
      <x:c r="R201" s="618">
        <x:v>0</x:v>
      </x:c>
    </x:row>
    <x:row r="202" spans="1:18" s="621" customFormat="1" ht="12.75" customHeight="1" x14ac:dyDescent="0.2">
      <x:c r="B202" s="622" t="s">
        <x:v>78</x:v>
      </x:c>
      <x:c r="C202" s="622" t="s">
        <x:v>70</x:v>
      </x:c>
      <x:c r="D202" s="622" t="n">
        <x:v>-7276647.46</x:v>
      </x:c>
      <x:c r="E202" s="622" t="n">
        <x:v>-515652.37</x:v>
      </x:c>
      <x:c r="F202" s="622" t="n">
        <x:v>-290186.96</x:v>
      </x:c>
      <x:c r="G202" s="622" t="n">
        <x:v>-152964.71</x:v>
      </x:c>
      <x:c r="H202" s="622" t="n">
        <x:v>-1792017.57</x:v>
      </x:c>
      <x:c r="I202" s="622" t="n">
        <x:v>-54908.17</x:v>
      </x:c>
      <x:c r="J202" s="622" t="n">
        <x:v>-481653.2</x:v>
      </x:c>
      <x:c r="K202" s="622" t="n">
        <x:v>-469447.01</x:v>
      </x:c>
      <x:c r="L202" s="622" t="n">
        <x:v>-2214598.78</x:v>
      </x:c>
      <x:c r="M202" s="622" t="n">
        <x:v>-1215498.77</x:v>
      </x:c>
      <x:c r="N202" s="622" t="n">
        <x:v>-89587.5</x:v>
      </x:c>
      <x:c r="O202" s="622" t="n">
        <x:v>-132.42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">
      <x:c r="B203" s="618"/>
      <x:c r="C203" s="618" t="s">
        <x:v>73</x:v>
      </x:c>
      <x:c r="D203" s="618" t="n">
        <x:v>-439016.54</x:v>
      </x:c>
      <x:c r="E203" s="618" t="n">
        <x:v>-190403.28</x:v>
      </x:c>
      <x:c r="F203" s="618" t="n">
        <x:v>-107378.28</x:v>
      </x:c>
      <x:c r="G203" s="618" t="n">
        <x:v>-56563.26</x:v>
      </x:c>
      <x:c r="H203" s="618" t="n">
        <x:v>140225.3</x:v>
      </x:c>
      <x:c r="I203" s="618" t="n">
        <x:v>3676.03</x:v>
      </x:c>
      <x:c r="J203" s="618" t="n">
        <x:v>32245.56</x:v>
      </x:c>
      <x:c r="K203" s="618" t="n">
        <x:v>31345.12</x:v>
      </x:c>
      <x:c r="L203" s="618" t="n">
        <x:v>148908.02</x:v>
      </x:c>
      <x:c r="M203" s="618" t="n">
        <x:v>-447069.41</x:v>
      </x:c>
      <x:c r="N203" s="618" t="n">
        <x:v>5997.66</x:v>
      </x:c>
      <x:c r="O203" s="618" t="n">
        <x:v>0</x:v>
      </x:c>
      <x:c r="P203" s="616">
        <x:v>0</x:v>
      </x:c>
      <x:c r="Q203" s="618">
        <x:v>0</x:v>
      </x:c>
      <x:c r="R203" s="618">
        <x:v>0</x:v>
      </x:c>
    </x:row>
    <x:row r="204" spans="1:18" s="623" customFormat="1" ht="12.75" customHeight="1" x14ac:dyDescent="0.2">
      <x:c r="B204" s="623" t="s">
        <x:v>79</x:v>
      </x:c>
      <x:c r="C204" s="623" t="s">
        <x:v>70</x:v>
      </x:c>
      <x:c r="D204" s="624" t="n">
        <x:v>-439016.54</x:v>
      </x:c>
      <x:c r="E204" s="624" t="n">
        <x:v>-190403.28</x:v>
      </x:c>
      <x:c r="F204" s="624" t="n">
        <x:v>-107378.28</x:v>
      </x:c>
      <x:c r="G204" s="636" t="n">
        <x:v>-56563.26</x:v>
      </x:c>
      <x:c r="H204" s="624" t="n">
        <x:v>140225.3</x:v>
      </x:c>
      <x:c r="I204" s="624" t="n">
        <x:v>3676.03</x:v>
      </x:c>
      <x:c r="J204" s="624" t="n">
        <x:v>32245.56</x:v>
      </x:c>
      <x:c r="K204" s="624" t="n">
        <x:v>31345.12</x:v>
      </x:c>
      <x:c r="L204" s="624" t="n">
        <x:v>148908.02</x:v>
      </x:c>
      <x:c r="M204" s="624" t="n">
        <x:v>-447069.41</x:v>
      </x:c>
      <x:c r="N204" s="624" t="n">
        <x:v>5997.66</x:v>
      </x:c>
      <x:c r="O204" s="624" t="n">
        <x:v>0</x:v>
      </x:c>
      <x:c r="P204" s="624">
        <x:v>0</x:v>
      </x:c>
      <x:c r="Q204" s="624">
        <x:v>0</x:v>
      </x:c>
      <x:c r="R204" s="623">
        <x:v>0</x:v>
      </x:c>
    </x:row>
    <x:row r="205" spans="1:18" s="637" customFormat="1" ht="12.75" customHeight="1" x14ac:dyDescent="0.2">
      <x:c r="A205" s="637" t="s">
        <x:v>155</x:v>
      </x:c>
      <x:c r="B205" s="633" t="s">
        <x:v>70</x:v>
      </x:c>
      <x:c r="C205" s="633"/>
      <x:c r="D205" s="633" t="n">
        <x:v>-7715664</x:v>
      </x:c>
      <x:c r="E205" s="633" t="n">
        <x:v>-706055.65</x:v>
      </x:c>
      <x:c r="F205" s="633" t="n">
        <x:v>-397565.24</x:v>
      </x:c>
      <x:c r="G205" s="633" t="n">
        <x:v>-209527.97</x:v>
      </x:c>
      <x:c r="H205" s="633" t="n">
        <x:v>-1651792.27</x:v>
      </x:c>
      <x:c r="I205" s="633" t="n">
        <x:v>-51232.14</x:v>
      </x:c>
      <x:c r="J205" s="633" t="n">
        <x:v>-449407.64</x:v>
      </x:c>
      <x:c r="K205" s="633" t="n">
        <x:v>-438101.89</x:v>
      </x:c>
      <x:c r="L205" s="633" t="n">
        <x:v>-2065690.76</x:v>
      </x:c>
      <x:c r="M205" s="633" t="n">
        <x:v>-1662568.18</x:v>
      </x:c>
      <x:c r="N205" s="633" t="n">
        <x:v>-83589.84</x:v>
      </x:c>
      <x:c r="O205" s="633" t="n">
        <x:v>-132.42</x:v>
      </x:c>
      <x:c r="P205" s="637" t="n">
        <x:v>0</x:v>
      </x:c>
      <x:c r="Q205" s="633">
        <x:v>0</x:v>
      </x:c>
      <x:c r="R205" s="633">
        <x:v>0</x:v>
      </x:c>
    </x:row>
    <x:row r="206" spans="1:18" ht="12.75" customHeight="1" x14ac:dyDescent="0.2">
      <x:c r="C206" s="616" t="s">
        <x:v>72</x:v>
      </x:c>
      <x:c r="D206" s="618">
        <x:v>0</x:v>
      </x:c>
      <x:c r="E206" s="618">
        <x:v>0</x:v>
      </x:c>
      <x:c r="F206" s="618">
        <x:v>0</x:v>
      </x:c>
      <x:c r="G206" s="620">
        <x:v>0</x:v>
      </x:c>
      <x:c r="H206" s="618">
        <x:v>0</x:v>
      </x:c>
      <x:c r="I206" s="618">
        <x:v>0</x:v>
      </x:c>
      <x:c r="J206" s="618">
        <x:v>0</x:v>
      </x:c>
      <x:c r="K206" s="618">
        <x:v>0</x:v>
      </x:c>
      <x:c r="L206" s="618">
        <x:v>0</x:v>
      </x:c>
      <x:c r="M206" s="618">
        <x:v>0</x:v>
      </x:c>
      <x:c r="N206" s="618">
        <x:v>0</x:v>
      </x:c>
      <x:c r="O206" s="618">
        <x:v>0</x:v>
      </x:c>
      <x:c r="P206" s="618">
        <x:v>0</x:v>
      </x:c>
      <x:c r="Q206" s="618">
        <x:v>0</x:v>
      </x:c>
      <x:c r="R206" s="616">
        <x:v>0</x:v>
      </x:c>
    </x:row>
    <x:row r="207" spans="1:18" ht="12.6" customHeight="1" x14ac:dyDescent="0.2">
      <x:c r="C207" s="616" t="s">
        <x:v>81</x:v>
      </x:c>
      <x:c r="D207" s="618">
        <x:v>0</x:v>
      </x:c>
      <x:c r="E207" s="618">
        <x:v>0</x:v>
      </x:c>
      <x:c r="F207" s="618">
        <x:v>0</x:v>
      </x:c>
      <x:c r="G207" s="620">
        <x:v>0</x:v>
      </x:c>
      <x:c r="H207" s="618">
        <x:v>0</x:v>
      </x:c>
      <x:c r="I207" s="618">
        <x:v>0</x:v>
      </x:c>
      <x:c r="J207" s="618">
        <x:v>0</x:v>
      </x:c>
      <x:c r="K207" s="618">
        <x:v>0</x:v>
      </x:c>
      <x:c r="L207" s="618">
        <x:v>0</x:v>
      </x:c>
      <x:c r="M207" s="618">
        <x:v>0</x:v>
      </x:c>
      <x:c r="N207" s="618">
        <x:v>0</x:v>
      </x:c>
      <x:c r="O207" s="618">
        <x:v>0</x:v>
      </x:c>
      <x:c r="P207" s="618">
        <x:v>0</x:v>
      </x:c>
      <x:c r="Q207" s="618">
        <x:v>0</x:v>
      </x:c>
      <x:c r="R207" s="616">
        <x:v>0</x:v>
      </x:c>
    </x:row>
    <x:row r="208" spans="1:18" s="621" customFormat="1" ht="12.75" customHeight="1" x14ac:dyDescent="0.2">
      <x:c r="B208" s="622" t="s">
        <x:v>78</x:v>
      </x:c>
      <x:c r="C208" s="622" t="s">
        <x:v>70</x:v>
      </x:c>
      <x:c r="D208" s="622">
        <x:v>0</x:v>
      </x:c>
      <x:c r="E208" s="622">
        <x:v>0</x:v>
      </x:c>
      <x:c r="F208" s="622">
        <x:v>0</x:v>
      </x:c>
      <x:c r="G208" s="622">
        <x:v>0</x:v>
      </x:c>
      <x:c r="H208" s="622">
        <x:v>0</x:v>
      </x:c>
      <x:c r="I208" s="622">
        <x:v>0</x:v>
      </x:c>
      <x:c r="J208" s="622">
        <x:v>0</x:v>
      </x:c>
      <x:c r="K208" s="622">
        <x:v>0</x:v>
      </x:c>
      <x:c r="L208" s="622">
        <x:v>0</x:v>
      </x:c>
      <x:c r="M208" s="622">
        <x:v>0</x:v>
      </x:c>
      <x:c r="N208" s="622">
        <x:v>0</x:v>
      </x:c>
      <x:c r="O208" s="622">
        <x:v>0</x:v>
      </x:c>
      <x:c r="P208" s="621">
        <x:v>0</x:v>
      </x:c>
      <x:c r="Q208" s="622">
        <x:v>0</x:v>
      </x:c>
      <x:c r="R208" s="622">
        <x:v>0</x:v>
      </x:c>
    </x:row>
    <x:row r="209" spans="1:18" ht="12.75" customHeight="1" x14ac:dyDescent="0.2">
      <x:c r="C209" s="616" t="s">
        <x:v>73</x:v>
      </x:c>
      <x:c r="D209" s="618">
        <x:v>0</x:v>
      </x:c>
      <x:c r="E209" s="618">
        <x:v>0</x:v>
      </x:c>
      <x:c r="F209" s="618">
        <x:v>0</x:v>
      </x:c>
      <x:c r="G209" s="620">
        <x:v>0</x:v>
      </x:c>
      <x:c r="H209" s="618">
        <x:v>0</x:v>
      </x:c>
      <x:c r="I209" s="618">
        <x:v>0</x:v>
      </x:c>
      <x:c r="J209" s="618">
        <x:v>0</x:v>
      </x:c>
      <x:c r="K209" s="618">
        <x:v>0</x:v>
      </x:c>
      <x:c r="L209" s="618">
        <x:v>0</x:v>
      </x:c>
      <x:c r="M209" s="618">
        <x:v>0</x:v>
      </x:c>
      <x:c r="N209" s="618">
        <x:v>0</x:v>
      </x:c>
      <x:c r="O209" s="618">
        <x:v>0</x:v>
      </x:c>
      <x:c r="P209" s="618">
        <x:v>0</x:v>
      </x:c>
      <x:c r="Q209" s="618">
        <x:v>0</x:v>
      </x:c>
      <x:c r="R209" s="616">
        <x:v>0</x:v>
      </x:c>
    </x:row>
    <x:row r="210" spans="1:18" s="623" customFormat="1" ht="12.75" customHeight="1" x14ac:dyDescent="0.2">
      <x:c r="B210" s="624" t="s">
        <x:v>79</x:v>
      </x:c>
      <x:c r="C210" s="624" t="s">
        <x:v>70</x:v>
      </x:c>
      <x:c r="D210" s="624">
        <x:v>0</x:v>
      </x:c>
      <x:c r="E210" s="624">
        <x:v>0</x:v>
      </x:c>
      <x:c r="F210" s="624">
        <x:v>0</x:v>
      </x:c>
      <x:c r="G210" s="624">
        <x:v>0</x:v>
      </x:c>
      <x:c r="H210" s="624">
        <x:v>0</x:v>
      </x:c>
      <x:c r="I210" s="624">
        <x:v>0</x:v>
      </x:c>
      <x:c r="J210" s="624">
        <x:v>0</x:v>
      </x:c>
      <x:c r="K210" s="624">
        <x:v>0</x:v>
      </x:c>
      <x:c r="L210" s="624">
        <x:v>0</x:v>
      </x:c>
      <x:c r="M210" s="624">
        <x:v>0</x:v>
      </x:c>
      <x:c r="N210" s="624">
        <x:v>0</x:v>
      </x:c>
      <x:c r="O210" s="624">
        <x:v>0</x:v>
      </x:c>
      <x:c r="P210" s="623">
        <x:v>0</x:v>
      </x:c>
      <x:c r="Q210" s="624">
        <x:v>0</x:v>
      </x:c>
      <x:c r="R210" s="624">
        <x:v>0</x:v>
      </x:c>
    </x:row>
    <x:row r="211" spans="1:18" s="628" customFormat="1" ht="12.75" customHeight="1" x14ac:dyDescent="0.2">
      <x:c r="A211" s="628" t="s">
        <x:v>119</x:v>
      </x:c>
      <x:c r="B211" s="628" t="s">
        <x:v>70</x:v>
      </x:c>
      <x:c r="D211" s="628">
        <x:v>0</x:v>
      </x:c>
      <x:c r="E211" s="628">
        <x:v>0</x:v>
      </x:c>
      <x:c r="F211" s="628">
        <x:v>0</x:v>
      </x:c>
      <x:c r="G211" s="628">
        <x:v>0</x:v>
      </x:c>
      <x:c r="H211" s="628">
        <x:v>0</x:v>
      </x:c>
      <x:c r="I211" s="628">
        <x:v>0</x:v>
      </x:c>
      <x:c r="J211" s="628">
        <x:v>0</x:v>
      </x:c>
      <x:c r="K211" s="628">
        <x:v>0</x:v>
      </x:c>
      <x:c r="L211" s="628">
        <x:v>0</x:v>
      </x:c>
      <x:c r="M211" s="628">
        <x:v>0</x:v>
      </x:c>
      <x:c r="N211" s="628">
        <x:v>0</x:v>
      </x:c>
      <x:c r="O211" s="628">
        <x:v>0</x:v>
      </x:c>
      <x:c r="P211" s="628">
        <x:v>0</x:v>
      </x:c>
      <x:c r="Q211" s="628">
        <x:v>0</x:v>
      </x:c>
      <x:c r="R211" s="628">
        <x:v>0</x:v>
      </x:c>
    </x:row>
    <x:row r="212" spans="1:18" s="631" customFormat="1" ht="12.75" customHeight="1" x14ac:dyDescent="0.2">
      <x:c r="A212" s="630" t="s">
        <x:v>70</x:v>
      </x:c>
      <x:c r="D212" s="630" t="n">
        <x:v>-7715664</x:v>
      </x:c>
      <x:c r="E212" s="630" t="n">
        <x:v>-706055.65</x:v>
      </x:c>
      <x:c r="F212" s="630" t="n">
        <x:v>-397565.24</x:v>
      </x:c>
      <x:c r="G212" s="630" t="n">
        <x:v>-209527.97</x:v>
      </x:c>
      <x:c r="H212" s="630" t="n">
        <x:v>-1651792.27</x:v>
      </x:c>
      <x:c r="I212" s="630" t="n">
        <x:v>-51232.14</x:v>
      </x:c>
      <x:c r="J212" s="630" t="n">
        <x:v>-449407.64</x:v>
      </x:c>
      <x:c r="K212" s="630" t="n">
        <x:v>-438101.89</x:v>
      </x:c>
      <x:c r="L212" s="630" t="n">
        <x:v>-2065690.76</x:v>
      </x:c>
      <x:c r="M212" s="630" t="n">
        <x:v>-1662568.18</x:v>
      </x:c>
      <x:c r="N212" s="630" t="n">
        <x:v>-83589.84</x:v>
      </x:c>
      <x:c r="O212" s="630" t="n">
        <x:v>-132.42</x:v>
      </x:c>
      <x:c r="P212" s="631" t="n">
        <x:v>0</x:v>
      </x:c>
      <x:c r="Q212" s="631">
        <x:v>0</x:v>
      </x:c>
      <x:c r="R212" s="631">
        <x:v>0</x:v>
      </x:c>
    </x:row>
    <x:row r="213" spans="1:18" ht="12.75" customHeight="1" x14ac:dyDescent="0.2">
      <x:c r="A213" s="618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</x:row>
    <x:row r="214" spans="1:18" ht="12.75" customHeight="1" x14ac:dyDescent="0.2">
      <x:c r="A214" s="618"/>
      <x:c r="D214" s="618"/>
      <x:c r="E214" s="618"/>
      <x:c r="F214" s="618"/>
      <x:c r="G214" s="618"/>
      <x:c r="H214" s="618"/>
      <x:c r="I214" s="618"/>
      <x:c r="J214" s="618"/>
      <x:c r="K214" s="618"/>
      <x:c r="L214" s="618"/>
      <x:c r="M214" s="618"/>
      <x:c r="N214" s="618"/>
      <x:c r="O214" s="618"/>
    </x:row>
    <x:row r="215" spans="1:18" ht="12.75" customHeight="1" x14ac:dyDescent="0.2">
      <x:c r="A215" s="618"/>
      <x:c r="D215" s="618"/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</x:row>
    <x:row r="216" spans="1:18" ht="12.75" customHeight="1" x14ac:dyDescent="0.2">
      <x:c r="A216" s="618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</x:row>
    <x:row r="217" spans="1:18" ht="12.75" customHeight="1" x14ac:dyDescent="0.2">
      <x:c r="A217" s="782" t="s">
        <x:v>2</x:v>
      </x:c>
      <x:c r="B217" s="781" t="s">
        <x:v>132</x:v>
      </x:c>
      <x:c r="C217" s="766" t="s">
        <x:v>70</x:v>
      </x:c>
      <x:c r="D217" s="766">
        <x:f>D212-P212</x:f>
        <x:v>0</x:v>
      </x:c>
      <x:c r="E217" s="766">
        <x:f>E202+E208</x:f>
        <x:v>0</x:v>
      </x:c>
      <x:c r="F217" s="766">
        <x:f t="shared" ref="F217:R217" si="8">F202+F208</x:f>
        <x:v>0</x:v>
      </x:c>
      <x:c r="G217" s="766">
        <x:f t="shared" si="8"/>
        <x:v>0</x:v>
      </x:c>
      <x:c r="H217" s="766">
        <x:f t="shared" si="8"/>
        <x:v>0</x:v>
      </x:c>
      <x:c r="I217" s="766">
        <x:f t="shared" si="8"/>
        <x:v>0</x:v>
      </x:c>
      <x:c r="J217" s="766">
        <x:f t="shared" si="8"/>
        <x:v>0</x:v>
      </x:c>
      <x:c r="K217" s="766">
        <x:f t="shared" si="8"/>
        <x:v>0</x:v>
      </x:c>
      <x:c r="L217" s="766">
        <x:f t="shared" si="8"/>
        <x:v>0</x:v>
      </x:c>
      <x:c r="M217" s="766">
        <x:f t="shared" si="8"/>
        <x:v>0</x:v>
      </x:c>
      <x:c r="N217" s="766">
        <x:f t="shared" si="8"/>
        <x:v>0</x:v>
      </x:c>
      <x:c r="O217" s="766">
        <x:f t="shared" si="8"/>
        <x:v>0</x:v>
      </x:c>
      <x:c r="P217" s="766">
        <x:f t="shared" si="8"/>
        <x:v>0</x:v>
      </x:c>
      <x:c r="Q217" s="766">
        <x:f t="shared" si="8"/>
        <x:v>0</x:v>
      </x:c>
      <x:c r="R217" s="766">
        <x:f t="shared" si="8"/>
        <x:v>0</x:v>
      </x:c>
    </x:row>
    <x:row r="218" spans="1:18" ht="12.75" customHeight="1" x14ac:dyDescent="0.2">
      <x:c r="A218" s="782"/>
      <x:c r="B218" s="781"/>
      <x:c r="C218" s="766" t="s">
        <x:v>73</x:v>
      </x:c>
      <x:c r="D218" s="766">
        <x:f>D204+D210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">
      <x:c r="A219" s="617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">
      <x:c r="A220" s="782" t="s">
        <x:v>160</x:v>
      </x:c>
      <x:c r="B220" s="781" t="s">
        <x:v>132</x:v>
      </x:c>
      <x:c r="C220" s="632" t="s">
        <x:v>70</x:v>
      </x:c>
      <x:c r="D220" s="632">
        <x:v>0</x:v>
      </x:c>
      <x:c r="E220" s="632">
        <x:v>0</x:v>
      </x:c>
      <x:c r="F220" s="632">
        <x:v>0</x:v>
      </x:c>
      <x:c r="G220" s="632">
        <x:v>0</x:v>
      </x:c>
      <x:c r="H220" s="632">
        <x:v>0</x:v>
      </x:c>
      <x:c r="I220" s="632">
        <x:v>0</x:v>
      </x:c>
      <x:c r="J220" s="632">
        <x:v>0</x:v>
      </x:c>
      <x:c r="K220" s="632">
        <x:v>0</x:v>
      </x:c>
      <x:c r="L220" s="632">
        <x:v>0</x:v>
      </x:c>
      <x:c r="M220" s="632">
        <x:v>0</x:v>
      </x:c>
      <x:c r="N220" s="632">
        <x:v>0</x:v>
      </x:c>
      <x:c r="O220" s="632">
        <x:v>0</x:v>
      </x:c>
      <x:c r="P220" s="632">
        <x:v>0</x:v>
      </x:c>
      <x:c r="Q220" s="632">
        <x:v>0</x:v>
      </x:c>
      <x:c r="R220" s="632">
        <x:v>0</x:v>
      </x:c>
    </x:row>
    <x:row r="221" spans="1:18" ht="12.75" customHeight="1" x14ac:dyDescent="0.2">
      <x:c r="A221" s="782"/>
      <x:c r="B221" s="781"/>
      <x:c r="C221" s="632" t="s">
        <x:v>73</x:v>
      </x:c>
      <x:c r="D221" s="632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  <x:c r="R221" s="618"/>
    </x:row>
    <x:row r="222" spans="1:18" ht="12.75" customHeight="1" x14ac:dyDescent="0.2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">
      <x:c r="A223" s="782" t="s">
        <x:v>155</x:v>
      </x:c>
      <x:c r="B223" s="781" t="s">
        <x:v>132</x:v>
      </x:c>
      <x:c r="C223" s="633" t="s">
        <x:v>70</x:v>
      </x:c>
      <x:c r="D223" s="633">
        <x:f>D205-P205</x:f>
        <x:v>0</x:v>
      </x:c>
      <x:c r="E223" s="633">
        <x:f>E202</x:f>
        <x:v>0</x:v>
      </x:c>
      <x:c r="F223" s="633">
        <x:f t="shared" ref="F223:R223" si="9">F202</x:f>
        <x:v>0</x:v>
      </x:c>
      <x:c r="G223" s="633">
        <x:f t="shared" si="9"/>
        <x:v>0</x:v>
      </x:c>
      <x:c r="H223" s="633">
        <x:f t="shared" si="9"/>
        <x:v>0</x:v>
      </x:c>
      <x:c r="I223" s="633">
        <x:f t="shared" si="9"/>
        <x:v>0</x:v>
      </x:c>
      <x:c r="J223" s="633">
        <x:f t="shared" si="9"/>
        <x:v>0</x:v>
      </x:c>
      <x:c r="K223" s="633">
        <x:f t="shared" si="9"/>
        <x:v>0</x:v>
      </x:c>
      <x:c r="L223" s="633">
        <x:f t="shared" si="9"/>
        <x:v>0</x:v>
      </x:c>
      <x:c r="M223" s="633">
        <x:f t="shared" si="9"/>
        <x:v>0</x:v>
      </x:c>
      <x:c r="N223" s="633">
        <x:f t="shared" si="9"/>
        <x:v>0</x:v>
      </x:c>
      <x:c r="O223" s="633">
        <x:f t="shared" si="9"/>
        <x:v>0</x:v>
      </x:c>
      <x:c r="P223" s="633">
        <x:f t="shared" si="9"/>
        <x:v>0</x:v>
      </x:c>
      <x:c r="Q223" s="633">
        <x:f t="shared" si="9"/>
        <x:v>0</x:v>
      </x:c>
      <x:c r="R223" s="633">
        <x:f t="shared" si="9"/>
        <x:v>0</x:v>
      </x:c>
    </x:row>
    <x:row r="224" spans="1:18" ht="12.75" customHeight="1" x14ac:dyDescent="0.2">
      <x:c r="A224" s="782"/>
      <x:c r="B224" s="781"/>
      <x:c r="C224" s="633" t="s">
        <x:v>73</x:v>
      </x:c>
      <x:c r="D224" s="633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">
      <x:c r="A225" s="722"/>
      <x:c r="B225" s="721"/>
      <x:c r="C225" s="618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">
      <x:c r="A226" s="783" t="s">
        <x:v>326</x:v>
      </x:c>
      <x:c r="B226" s="781" t="s">
        <x:v>132</x:v>
      </x:c>
      <x:c r="C226" s="633" t="s">
        <x:v>70</x:v>
      </x:c>
      <x:c r="D226" s="720">
        <x:v>0</x:v>
      </x:c>
      <x:c r="E226" s="720">
        <x:v>0</x:v>
      </x:c>
      <x:c r="F226" s="720">
        <x:v>0</x:v>
      </x:c>
      <x:c r="G226" s="720">
        <x:v>0</x:v>
      </x:c>
      <x:c r="H226" s="720">
        <x:v>0</x:v>
      </x:c>
      <x:c r="I226" s="720">
        <x:v>0</x:v>
      </x:c>
      <x:c r="J226" s="720">
        <x:v>0</x:v>
      </x:c>
      <x:c r="K226" s="720">
        <x:v>0</x:v>
      </x:c>
      <x:c r="L226" s="720">
        <x:v>0</x:v>
      </x:c>
      <x:c r="M226" s="720">
        <x:v>0</x:v>
      </x:c>
      <x:c r="N226" s="720">
        <x:v>0</x:v>
      </x:c>
      <x:c r="O226" s="720">
        <x:v>0</x:v>
      </x:c>
      <x:c r="P226" s="720">
        <x:v>0</x:v>
      </x:c>
      <x:c r="Q226" s="720">
        <x:v>0</x:v>
      </x:c>
      <x:c r="R226" s="720">
        <x:v>0</x:v>
      </x:c>
    </x:row>
    <x:row r="227" spans="1:18" ht="12.75" customHeight="1" x14ac:dyDescent="0.2">
      <x:c r="A227" s="783"/>
      <x:c r="B227" s="781"/>
      <x:c r="C227" s="633" t="s">
        <x:v>73</x:v>
      </x:c>
      <x:c r="D227" s="720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ht="12.75" customHeight="1" x14ac:dyDescent="0.2">
      <x:c r="A228" s="617"/>
      <x:c r="D228" s="618"/>
      <x:c r="E228" s="618"/>
      <x:c r="F228" s="618"/>
      <x:c r="G228" s="618"/>
      <x:c r="H228" s="618"/>
      <x:c r="I228" s="618"/>
      <x:c r="J228" s="618"/>
      <x:c r="K228" s="618"/>
      <x:c r="L228" s="618"/>
      <x:c r="M228" s="618"/>
      <x:c r="N228" s="618"/>
      <x:c r="O228" s="618"/>
      <x:c r="P228" s="618"/>
      <x:c r="Q228" s="618"/>
      <x:c r="R228" s="618"/>
    </x:row>
    <x:row r="229" spans="1:18" ht="12.75" customHeight="1" x14ac:dyDescent="0.2">
      <x:c r="A229" s="782" t="s">
        <x:v>119</x:v>
      </x:c>
      <x:c r="B229" s="781" t="s">
        <x:v>132</x:v>
      </x:c>
      <x:c r="C229" s="628" t="s">
        <x:v>70</x:v>
      </x:c>
      <x:c r="D229" s="628">
        <x:f>D211-P211</x:f>
        <x:v>0</x:v>
      </x:c>
      <x:c r="E229" s="628">
        <x:f>E208</x:f>
        <x:v>0</x:v>
      </x:c>
      <x:c r="F229" s="628">
        <x:f t="shared" ref="F229:R229" si="10">F208</x:f>
        <x:v>0</x:v>
      </x:c>
      <x:c r="G229" s="628">
        <x:f t="shared" si="10"/>
        <x:v>0</x:v>
      </x:c>
      <x:c r="H229" s="628">
        <x:f t="shared" si="10"/>
        <x:v>0</x:v>
      </x:c>
      <x:c r="I229" s="628">
        <x:f t="shared" si="10"/>
        <x:v>0</x:v>
      </x:c>
      <x:c r="J229" s="628">
        <x:f t="shared" si="10"/>
        <x:v>0</x:v>
      </x:c>
      <x:c r="K229" s="628">
        <x:f t="shared" si="10"/>
        <x:v>0</x:v>
      </x:c>
      <x:c r="L229" s="628">
        <x:f t="shared" si="10"/>
        <x:v>0</x:v>
      </x:c>
      <x:c r="M229" s="628">
        <x:f t="shared" si="10"/>
        <x:v>0</x:v>
      </x:c>
      <x:c r="N229" s="628">
        <x:f t="shared" si="10"/>
        <x:v>0</x:v>
      </x:c>
      <x:c r="O229" s="628">
        <x:f t="shared" si="10"/>
        <x:v>0</x:v>
      </x:c>
      <x:c r="P229" s="628">
        <x:f t="shared" si="10"/>
        <x:v>0</x:v>
      </x:c>
      <x:c r="Q229" s="628">
        <x:f t="shared" si="10"/>
        <x:v>0</x:v>
      </x:c>
      <x:c r="R229" s="628">
        <x:f t="shared" si="10"/>
        <x:v>0</x:v>
      </x:c>
    </x:row>
    <x:row r="230" spans="1:18" ht="12.75" customHeight="1" x14ac:dyDescent="0.2">
      <x:c r="A230" s="782"/>
      <x:c r="B230" s="781"/>
      <x:c r="C230" s="628" t="s">
        <x:v>73</x:v>
      </x:c>
      <x:c r="D230" s="628">
        <x:f>D210</x:f>
        <x:v>0</x:v>
      </x:c>
      <x:c r="E230" s="618"/>
      <x:c r="F230" s="618"/>
      <x:c r="G230" s="618"/>
      <x:c r="H230" s="618"/>
      <x:c r="I230" s="618"/>
      <x:c r="J230" s="618"/>
      <x:c r="K230" s="618"/>
      <x:c r="L230" s="618"/>
      <x:c r="M230" s="618"/>
      <x:c r="N230" s="618"/>
      <x:c r="O230" s="618"/>
      <x:c r="P230" s="618"/>
      <x:c r="Q230" s="618"/>
      <x:c r="R230" s="618"/>
    </x:row>
    <x:row r="231" spans="1:18" ht="12.75" customHeight="1" x14ac:dyDescent="0.2">
      <x:c r="A231" s="617"/>
      <x:c r="D231" s="618"/>
      <x:c r="E231" s="618"/>
      <x:c r="F231" s="618"/>
      <x:c r="G231" s="618"/>
      <x:c r="H231" s="618"/>
      <x:c r="I231" s="618"/>
      <x:c r="J231" s="618"/>
      <x:c r="K231" s="618"/>
      <x:c r="L231" s="618"/>
      <x:c r="M231" s="618"/>
      <x:c r="N231" s="618"/>
      <x:c r="O231" s="618"/>
      <x:c r="P231" s="618"/>
      <x:c r="Q231" s="618"/>
      <x:c r="R231" s="618"/>
    </x:row>
    <x:row r="232" spans="1:18" ht="12.75" customHeight="1" x14ac:dyDescent="0.2">
      <x:c r="A232" s="780" t="s">
        <x:v>161</x:v>
      </x:c>
      <x:c r="B232" s="781" t="s">
        <x:v>132</x:v>
      </x:c>
      <x:c r="C232" s="634" t="s">
        <x:v>70</x:v>
      </x:c>
      <x:c r="D232" s="634">
        <x:v>0</x:v>
      </x:c>
      <x:c r="E232" s="634">
        <x:v>0</x:v>
      </x:c>
      <x:c r="F232" s="634">
        <x:v>0</x:v>
      </x:c>
      <x:c r="G232" s="634">
        <x:v>0</x:v>
      </x:c>
      <x:c r="H232" s="634">
        <x:v>0</x:v>
      </x:c>
      <x:c r="I232" s="634">
        <x:v>0</x:v>
      </x:c>
      <x:c r="J232" s="634">
        <x:v>0</x:v>
      </x:c>
      <x:c r="K232" s="634">
        <x:v>0</x:v>
      </x:c>
      <x:c r="L232" s="634">
        <x:v>0</x:v>
      </x:c>
      <x:c r="M232" s="634">
        <x:v>0</x:v>
      </x:c>
      <x:c r="N232" s="634">
        <x:v>0</x:v>
      </x:c>
      <x:c r="O232" s="634">
        <x:v>0</x:v>
      </x:c>
      <x:c r="P232" s="634">
        <x:v>0</x:v>
      </x:c>
      <x:c r="Q232" s="634">
        <x:v>0</x:v>
      </x:c>
      <x:c r="R232" s="634">
        <x:v>0</x:v>
      </x:c>
    </x:row>
    <x:row r="233" spans="1:18" ht="12.75" customHeight="1" x14ac:dyDescent="0.2">
      <x:c r="A233" s="780"/>
      <x:c r="B233" s="781"/>
      <x:c r="C233" s="634" t="s">
        <x:v>73</x:v>
      </x:c>
      <x:c r="D233" s="634">
        <x:v>0</x:v>
      </x:c>
      <x:c r="E233" s="618"/>
      <x:c r="F233" s="618"/>
      <x:c r="G233" s="618"/>
      <x:c r="H233" s="618"/>
      <x:c r="I233" s="618"/>
      <x:c r="J233" s="618"/>
      <x:c r="K233" s="618"/>
      <x:c r="L233" s="618"/>
      <x:c r="M233" s="618"/>
      <x:c r="N233" s="618"/>
      <x:c r="O233" s="618"/>
      <x:c r="P233" s="618"/>
      <x:c r="Q233" s="618"/>
    </x:row>
    <x:row r="234" spans="1:18" s="635" customFormat="1" x14ac:dyDescent="0.2"/>
    <x:row r="235" spans="1:18" x14ac:dyDescent="0.2">
      <x:c r="B235" s="617" t="s">
        <x:v>88</x:v>
      </x:c>
    </x:row>
    <x:row r="236" spans="1:18" ht="12.75" customHeight="1" x14ac:dyDescent="0.2">
      <x:c r="D236" s="618" t="s">
        <x:v>70</x:v>
      </x:c>
      <x:c r="E236" s="618" t="s">
        <x:v>64</x:v>
      </x:c>
      <x:c r="F236" s="618" t="s">
        <x:v>65</x:v>
      </x:c>
      <x:c r="G236" s="619" t="s">
        <x:v>164</x:v>
      </x:c>
      <x:c r="H236" s="618" t="s">
        <x:v>69</x:v>
      </x:c>
      <x:c r="I236" s="618" t="s">
        <x:v>68</x:v>
      </x:c>
      <x:c r="J236" s="618" t="s">
        <x:v>66</x:v>
      </x:c>
      <x:c r="K236" s="618" t="s">
        <x:v>63</x:v>
      </x:c>
      <x:c r="L236" s="618" t="s">
        <x:v>61</x:v>
      </x:c>
      <x:c r="M236" s="618" t="s">
        <x:v>62</x:v>
      </x:c>
      <x:c r="N236" s="618" t="s">
        <x:v>67</x:v>
      </x:c>
      <x:c r="O236" s="618" t="s">
        <x:v>77</x:v>
      </x:c>
      <x:c r="P236" s="618" t="s">
        <x:v>71</x:v>
      </x:c>
      <x:c r="Q236" s="618" t="s">
        <x:v>80</x:v>
      </x:c>
      <x:c r="R236" s="616" t="s">
        <x:v>168</x:v>
      </x:c>
    </x:row>
    <x:row r="237" spans="1:18" ht="12.75" customHeight="1" x14ac:dyDescent="0.2">
      <x:c r="C237" s="616" t="s">
        <x:v>72</x:v>
      </x:c>
      <x:c r="D237" s="620" t="n">
        <x:v>-157327453.84</x:v>
      </x:c>
      <x:c r="E237" s="618" t="n">
        <x:v>-9430397.4</x:v>
      </x:c>
      <x:c r="F237" s="618" t="n">
        <x:v>-5276977.15</x:v>
      </x:c>
      <x:c r="G237" s="620" t="n">
        <x:v>-2791564.24</x:v>
      </x:c>
      <x:c r="H237" s="618" t="n">
        <x:v>-34817384.3</x:v>
      </x:c>
      <x:c r="I237" s="618" t="n">
        <x:v>-1247425.25</x:v>
      </x:c>
      <x:c r="J237" s="618" t="n">
        <x:v>-10847623.04</x:v>
      </x:c>
      <x:c r="K237" s="618" t="n">
        <x:v>-10796410.56</x:v>
      </x:c>
      <x:c r="L237" s="618" t="n">
        <x:v>-54839371.48</x:v>
      </x:c>
      <x:c r="M237" s="618" t="n">
        <x:v>-25201521.27</x:v>
      </x:c>
      <x:c r="N237" s="618" t="n">
        <x:v>-2032323.21</x:v>
      </x:c>
      <x:c r="O237" s="618" t="n">
        <x:v>44.06</x:v>
      </x:c>
      <x:c r="P237" s="618" t="n">
        <x:v>-46500</x:v>
      </x:c>
      <x:c r="Q237" s="618">
        <x:v>0</x:v>
      </x:c>
      <x:c r="R237" s="616" t="n">
        <x:v>0</x:v>
      </x:c>
    </x:row>
    <x:row r="238" spans="1:18" ht="12.75" customHeight="1" x14ac:dyDescent="0.2">
      <x:c r="C238" s="616" t="s">
        <x:v>81</x:v>
      </x:c>
      <x:c r="D238" s="620" t="n">
        <x:v>-8144813.97</x:v>
      </x:c>
      <x:c r="E238" s="618" t="n">
        <x:v>-951923.77</x:v>
      </x:c>
      <x:c r="F238" s="618" t="n">
        <x:v>-375514.63</x:v>
      </x:c>
      <x:c r="G238" s="620" t="n">
        <x:v>-129613.08</x:v>
      </x:c>
      <x:c r="H238" s="618" t="n">
        <x:v>-1189171.04</x:v>
      </x:c>
      <x:c r="I238" s="618" t="n">
        <x:v>-52721.89</x:v>
      </x:c>
      <x:c r="J238" s="618" t="n">
        <x:v>-463859.24</x:v>
      </x:c>
      <x:c r="K238" s="618" t="n">
        <x:v>-525049.74</x:v>
      </x:c>
      <x:c r="L238" s="618" t="n">
        <x:v>-1738654.49</x:v>
      </x:c>
      <x:c r="M238" s="618" t="n">
        <x:v>-2632481.22</x:v>
      </x:c>
      <x:c r="N238" s="618" t="n">
        <x:v>-86041.09</x:v>
      </x:c>
      <x:c r="O238" s="618" t="n">
        <x:v>23.23</x:v>
      </x:c>
      <x:c r="P238" s="618" t="n">
        <x:v>0</x:v>
      </x:c>
      <x:c r="Q238" s="618">
        <x:v>0</x:v>
      </x:c>
      <x:c r="R238" s="616" t="n">
        <x:v>192.99</x:v>
      </x:c>
    </x:row>
    <x:row r="239" spans="1:18" s="621" customFormat="1" ht="12.75" customHeight="1" x14ac:dyDescent="0.2">
      <x:c r="B239" s="622" t="s">
        <x:v>78</x:v>
      </x:c>
      <x:c r="C239" s="622" t="s">
        <x:v>70</x:v>
      </x:c>
      <x:c r="D239" s="622" t="n">
        <x:v>-165472267.81</x:v>
      </x:c>
      <x:c r="E239" s="622" t="n">
        <x:v>-10382321.17</x:v>
      </x:c>
      <x:c r="F239" s="622" t="n">
        <x:v>-5652491.78</x:v>
      </x:c>
      <x:c r="G239" s="622" t="n">
        <x:v>-2921177.32</x:v>
      </x:c>
      <x:c r="H239" s="622" t="n">
        <x:v>-36006555.34</x:v>
      </x:c>
      <x:c r="I239" s="622" t="n">
        <x:v>-1300147.14</x:v>
      </x:c>
      <x:c r="J239" s="622" t="n">
        <x:v>-11311482.28</x:v>
      </x:c>
      <x:c r="K239" s="622" t="n">
        <x:v>-11321460.3</x:v>
      </x:c>
      <x:c r="L239" s="622" t="n">
        <x:v>-56578025.97</x:v>
      </x:c>
      <x:c r="M239" s="622" t="n">
        <x:v>-27834002.49</x:v>
      </x:c>
      <x:c r="N239" s="622" t="n">
        <x:v>-2118364.3</x:v>
      </x:c>
      <x:c r="O239" s="622" t="n">
        <x:v>67.29</x:v>
      </x:c>
      <x:c r="P239" s="621" t="n">
        <x:v>-46500</x:v>
      </x:c>
      <x:c r="Q239" s="622">
        <x:v>0</x:v>
      </x:c>
      <x:c r="R239" s="622" t="n">
        <x:v>192.99</x:v>
      </x:c>
    </x:row>
    <x:row r="240" spans="1:18" ht="12.75" customHeight="1" x14ac:dyDescent="0.2">
      <x:c r="C240" s="616" t="s">
        <x:v>73</x:v>
      </x:c>
      <x:c r="D240" s="620" t="n">
        <x:v>-2184344.85</x:v>
      </x:c>
      <x:c r="E240" s="618" t="n">
        <x:v>-1160936.63</x:v>
      </x:c>
      <x:c r="F240" s="618" t="n">
        <x:v>-658002.48</x:v>
      </x:c>
      <x:c r="G240" s="620" t="n">
        <x:v>-348496.64</x:v>
      </x:c>
      <x:c r="H240" s="618" t="n">
        <x:v>1038703.4</x:v>
      </x:c>
      <x:c r="I240" s="618" t="n">
        <x:v>30026.19</x:v>
      </x:c>
      <x:c r="J240" s="618" t="n">
        <x:v>266241.69</x:v>
      </x:c>
      <x:c r="K240" s="618" t="n">
        <x:v>289895.02</x:v>
      </x:c>
      <x:c r="L240" s="618" t="n">
        <x:v>1391094.3</x:v>
      </x:c>
      <x:c r="M240" s="618" t="n">
        <x:v>-3081846.4</x:v>
      </x:c>
      <x:c r="N240" s="618" t="n">
        <x:v>48976.7</x:v>
      </x:c>
      <x:c r="O240" s="618" t="n">
        <x:v>0</x:v>
      </x:c>
      <x:c r="P240" s="618" t="n">
        <x:v>0</x:v>
      </x:c>
      <x:c r="Q240" s="618">
        <x:v>0</x:v>
      </x:c>
      <x:c r="R240" s="616" t="n">
        <x:v>0</x:v>
      </x:c>
    </x:row>
    <x:row r="241" spans="1:18" s="623" customFormat="1" ht="12.75" customHeight="1" x14ac:dyDescent="0.2">
      <x:c r="B241" s="624" t="s">
        <x:v>79</x:v>
      </x:c>
      <x:c r="C241" s="624" t="s">
        <x:v>70</x:v>
      </x:c>
      <x:c r="D241" s="624" t="n">
        <x:v>-2184344.85</x:v>
      </x:c>
      <x:c r="E241" s="624" t="n">
        <x:v>-1160936.63</x:v>
      </x:c>
      <x:c r="F241" s="624" t="n">
        <x:v>-658002.48</x:v>
      </x:c>
      <x:c r="G241" s="624" t="n">
        <x:v>-348496.64</x:v>
      </x:c>
      <x:c r="H241" s="624" t="n">
        <x:v>1038703.4</x:v>
      </x:c>
      <x:c r="I241" s="624" t="n">
        <x:v>30026.19</x:v>
      </x:c>
      <x:c r="J241" s="624" t="n">
        <x:v>266241.69</x:v>
      </x:c>
      <x:c r="K241" s="624" t="n">
        <x:v>289895.02</x:v>
      </x:c>
      <x:c r="L241" s="624" t="n">
        <x:v>1391094.3</x:v>
      </x:c>
      <x:c r="M241" s="624" t="n">
        <x:v>-3081846.4</x:v>
      </x:c>
      <x:c r="N241" s="624" t="n">
        <x:v>48976.7</x:v>
      </x:c>
      <x:c r="O241" s="624" t="n">
        <x:v>0</x:v>
      </x:c>
      <x:c r="P241" s="623" t="n">
        <x:v>0</x:v>
      </x:c>
      <x:c r="Q241" s="624">
        <x:v>0</x:v>
      </x:c>
      <x:c r="R241" s="624" t="n">
        <x:v>0</x:v>
      </x:c>
    </x:row>
    <x:row r="242" spans="1:18" s="755" customFormat="1" ht="12.75" customHeight="1" x14ac:dyDescent="0.2">
      <x:c r="A242" s="755" t="s">
        <x:v>155</x:v>
      </x:c>
      <x:c r="B242" s="755" t="s">
        <x:v>70</x:v>
      </x:c>
      <x:c r="D242" s="756" t="n">
        <x:v>-167656612.66</x:v>
      </x:c>
      <x:c r="E242" s="757" t="n">
        <x:v>-11543257.8</x:v>
      </x:c>
      <x:c r="F242" s="757" t="n">
        <x:v>-6310494.26</x:v>
      </x:c>
      <x:c r="G242" s="756" t="n">
        <x:v>-3269673.96</x:v>
      </x:c>
      <x:c r="H242" s="757" t="n">
        <x:v>-34967851.94</x:v>
      </x:c>
      <x:c r="I242" s="757" t="n">
        <x:v>-1270120.95</x:v>
      </x:c>
      <x:c r="J242" s="757" t="n">
        <x:v>-11045240.59</x:v>
      </x:c>
      <x:c r="K242" s="757" t="n">
        <x:v>-11031565.28</x:v>
      </x:c>
      <x:c r="L242" s="757" t="n">
        <x:v>-55186931.67</x:v>
      </x:c>
      <x:c r="M242" s="757" t="n">
        <x:v>-30915848.89</x:v>
      </x:c>
      <x:c r="N242" s="757" t="n">
        <x:v>-2069387.6</x:v>
      </x:c>
      <x:c r="O242" s="757" t="n">
        <x:v>67.29</x:v>
      </x:c>
      <x:c r="P242" s="757" t="n">
        <x:v>-46500</x:v>
      </x:c>
      <x:c r="Q242" s="757">
        <x:v>0</x:v>
      </x:c>
      <x:c r="R242" s="755" t="n">
        <x:v>192.99</x:v>
      </x:c>
    </x:row>
    <x:row r="243" spans="1:18" ht="12.75" customHeight="1" x14ac:dyDescent="0.2">
      <x:c r="C243" s="616" t="s">
        <x:v>72</x:v>
      </x:c>
      <x:c r="D243" s="620" t="n">
        <x:v>-1724959.39</x:v>
      </x:c>
      <x:c r="E243" s="618" t="n">
        <x:v>-91259.53</x:v>
      </x:c>
      <x:c r="F243" s="618" t="n">
        <x:v>-48435.24</x:v>
      </x:c>
      <x:c r="G243" s="620" t="n">
        <x:v>-27909.76</x:v>
      </x:c>
      <x:c r="H243" s="618" t="n">
        <x:v>-408389.88</x:v>
      </x:c>
      <x:c r="I243" s="618" t="n">
        <x:v>-10429.99</x:v>
      </x:c>
      <x:c r="J243" s="618" t="n">
        <x:v>-91492.5</x:v>
      </x:c>
      <x:c r="K243" s="618" t="n">
        <x:v>-129303.36</x:v>
      </x:c>
      <x:c r="L243" s="618" t="n">
        <x:v>-657960.06</x:v>
      </x:c>
      <x:c r="M243" s="618" t="n">
        <x:v>-242752.42</x:v>
      </x:c>
      <x:c r="N243" s="618" t="n">
        <x:v>-17017.52</x:v>
      </x:c>
      <x:c r="O243" s="618" t="n">
        <x:v>-9.13</x:v>
      </x:c>
      <x:c r="P243" s="618" t="n">
        <x:v>0</x:v>
      </x:c>
      <x:c r="Q243" s="618">
        <x:v>0</x:v>
      </x:c>
      <x:c r="R243" s="616" t="n">
        <x:v>0</x:v>
      </x:c>
    </x:row>
    <x:row r="244" spans="1:18" ht="12.75" customHeight="1" x14ac:dyDescent="0.2">
      <x:c r="C244" s="616" t="s">
        <x:v>81</x:v>
      </x:c>
      <x:c r="D244" s="620" t="n">
        <x:v>-337.76</x:v>
      </x:c>
      <x:c r="E244" s="618" t="n">
        <x:v>-15.23</x:v>
      </x:c>
      <x:c r="F244" s="618" t="n">
        <x:v>-6.99</x:v>
      </x:c>
      <x:c r="G244" s="620" t="n">
        <x:v>-3.86</x:v>
      </x:c>
      <x:c r="H244" s="618" t="n">
        <x:v>-94.08</x:v>
      </x:c>
      <x:c r="I244" s="618" t="n">
        <x:v>-2.32</x:v>
      </x:c>
      <x:c r="J244" s="618" t="n">
        <x:v>-20.26</x:v>
      </x:c>
      <x:c r="K244" s="618" t="n">
        <x:v>-25.24</x:v>
      </x:c>
      <x:c r="L244" s="618" t="n">
        <x:v>-124.85</x:v>
      </x:c>
      <x:c r="M244" s="618" t="n">
        <x:v>-41.16</x:v>
      </x:c>
      <x:c r="N244" s="618" t="n">
        <x:v>-3.77</x:v>
      </x:c>
      <x:c r="O244" s="618" t="n">
        <x:v>0</x:v>
      </x:c>
      <x:c r="P244" s="618" t="n">
        <x:v>0</x:v>
      </x:c>
      <x:c r="Q244" s="618">
        <x:v>0</x:v>
      </x:c>
      <x:c r="R244" s="616" t="n">
        <x:v>0</x:v>
      </x:c>
    </x:row>
    <x:row r="245" spans="1:18" s="621" customFormat="1" ht="12.75" customHeight="1" x14ac:dyDescent="0.2">
      <x:c r="B245" s="622" t="s">
        <x:v>78</x:v>
      </x:c>
      <x:c r="C245" s="622" t="s">
        <x:v>70</x:v>
      </x:c>
      <x:c r="D245" s="622" t="n">
        <x:v>-1725297.15</x:v>
      </x:c>
      <x:c r="E245" s="622" t="n">
        <x:v>-91274.76</x:v>
      </x:c>
      <x:c r="F245" s="622" t="n">
        <x:v>-48442.23</x:v>
      </x:c>
      <x:c r="G245" s="622" t="n">
        <x:v>-27913.62</x:v>
      </x:c>
      <x:c r="H245" s="622" t="n">
        <x:v>-408483.96</x:v>
      </x:c>
      <x:c r="I245" s="622" t="n">
        <x:v>-10432.31</x:v>
      </x:c>
      <x:c r="J245" s="622" t="n">
        <x:v>-91512.76</x:v>
      </x:c>
      <x:c r="K245" s="622" t="n">
        <x:v>-129328.6</x:v>
      </x:c>
      <x:c r="L245" s="622" t="n">
        <x:v>-658084.91</x:v>
      </x:c>
      <x:c r="M245" s="622" t="n">
        <x:v>-242793.58</x:v>
      </x:c>
      <x:c r="N245" s="622" t="n">
        <x:v>-17021.29</x:v>
      </x:c>
      <x:c r="O245" s="622" t="n">
        <x:v>-9.13</x:v>
      </x:c>
      <x:c r="P245" s="621" t="n">
        <x:v>0</x:v>
      </x:c>
      <x:c r="Q245" s="622">
        <x:v>0</x:v>
      </x:c>
      <x:c r="R245" s="622" t="n">
        <x:v>0</x:v>
      </x:c>
    </x:row>
    <x:row r="246" spans="1:18" ht="12.75" customHeight="1" x14ac:dyDescent="0.2">
      <x:c r="C246" s="616" t="s">
        <x:v>73</x:v>
      </x:c>
      <x:c r="D246" s="620" t="n">
        <x:v>161137.15</x:v>
      </x:c>
      <x:c r="E246" s="618" t="n">
        <x:v>3670.4</x:v>
      </x:c>
      <x:c r="F246" s="618" t="n">
        <x:v>2105.69</x:v>
      </x:c>
      <x:c r="G246" s="620" t="n">
        <x:v>1208.53</x:v>
      </x:c>
      <x:c r="H246" s="618" t="n">
        <x:v>43532.95</x:v>
      </x:c>
      <x:c r="I246" s="618" t="n">
        <x:v>1149.26</x:v>
      </x:c>
      <x:c r="J246" s="618" t="n">
        <x:v>10081.39</x:v>
      </x:c>
      <x:c r="K246" s="618" t="n">
        <x:v>14348.69</x:v>
      </x:c>
      <x:c r="L246" s="618" t="n">
        <x:v>73395.61</x:v>
      </x:c>
      <x:c r="M246" s="618" t="n">
        <x:v>9769.58</x:v>
      </x:c>
      <x:c r="N246" s="618" t="n">
        <x:v>1875.05</x:v>
      </x:c>
      <x:c r="O246" s="618" t="n">
        <x:v>0</x:v>
      </x:c>
      <x:c r="P246" s="618" t="n">
        <x:v>0</x:v>
      </x:c>
      <x:c r="Q246" s="618">
        <x:v>0</x:v>
      </x:c>
      <x:c r="R246" s="616" t="n">
        <x:v>0</x:v>
      </x:c>
    </x:row>
    <x:row r="247" spans="1:18" s="623" customFormat="1" ht="12.75" customHeight="1" x14ac:dyDescent="0.2">
      <x:c r="B247" s="624" t="s">
        <x:v>79</x:v>
      </x:c>
      <x:c r="C247" s="624" t="s">
        <x:v>70</x:v>
      </x:c>
      <x:c r="D247" s="624" t="n">
        <x:v>161137.15</x:v>
      </x:c>
      <x:c r="E247" s="624" t="n">
        <x:v>3670.4</x:v>
      </x:c>
      <x:c r="F247" s="624" t="n">
        <x:v>2105.69</x:v>
      </x:c>
      <x:c r="G247" s="624" t="n">
        <x:v>1208.53</x:v>
      </x:c>
      <x:c r="H247" s="624" t="n">
        <x:v>43532.95</x:v>
      </x:c>
      <x:c r="I247" s="624" t="n">
        <x:v>1149.26</x:v>
      </x:c>
      <x:c r="J247" s="624" t="n">
        <x:v>10081.39</x:v>
      </x:c>
      <x:c r="K247" s="624" t="n">
        <x:v>14348.69</x:v>
      </x:c>
      <x:c r="L247" s="624" t="n">
        <x:v>73395.61</x:v>
      </x:c>
      <x:c r="M247" s="624" t="n">
        <x:v>9769.58</x:v>
      </x:c>
      <x:c r="N247" s="624" t="n">
        <x:v>1875.05</x:v>
      </x:c>
      <x:c r="O247" s="624" t="n">
        <x:v>0</x:v>
      </x:c>
      <x:c r="P247" s="623" t="n">
        <x:v>0</x:v>
      </x:c>
      <x:c r="Q247" s="624">
        <x:v>0</x:v>
      </x:c>
      <x:c r="R247" s="624" t="n">
        <x:v>0</x:v>
      </x:c>
    </x:row>
    <x:row r="248" spans="1:18" s="763" customFormat="1" ht="12.75" customHeight="1" x14ac:dyDescent="0.2">
      <x:c r="A248" s="763" t="s">
        <x:v>120</x:v>
      </x:c>
      <x:c r="B248" s="763" t="s">
        <x:v>70</x:v>
      </x:c>
      <x:c r="D248" s="765" t="n">
        <x:v>-1564160</x:v>
      </x:c>
      <x:c r="E248" s="764" t="n">
        <x:v>-87604.36</x:v>
      </x:c>
      <x:c r="F248" s="764" t="n">
        <x:v>-46336.54</x:v>
      </x:c>
      <x:c r="G248" s="765" t="n">
        <x:v>-26705.09</x:v>
      </x:c>
      <x:c r="H248" s="764" t="n">
        <x:v>-364951.01</x:v>
      </x:c>
      <x:c r="I248" s="764" t="n">
        <x:v>-9283.05</x:v>
      </x:c>
      <x:c r="J248" s="764" t="n">
        <x:v>-81431.37</x:v>
      </x:c>
      <x:c r="K248" s="764" t="n">
        <x:v>-114979.91</x:v>
      </x:c>
      <x:c r="L248" s="764" t="n">
        <x:v>-584689.3</x:v>
      </x:c>
      <x:c r="M248" s="764" t="n">
        <x:v>-233024</x:v>
      </x:c>
      <x:c r="N248" s="764" t="n">
        <x:v>-15146.24</x:v>
      </x:c>
      <x:c r="O248" s="764" t="n">
        <x:v>-9.13</x:v>
      </x:c>
      <x:c r="P248" s="764" t="n">
        <x:v>0</x:v>
      </x:c>
      <x:c r="Q248" s="764">
        <x:v>0</x:v>
      </x:c>
      <x:c r="R248" s="763" t="n">
        <x:v>0</x:v>
      </x:c>
    </x:row>
    <x:row r="249" spans="1:18" ht="12.75" customHeight="1" x14ac:dyDescent="0.2">
      <x:c r="C249" s="616" t="s">
        <x:v>72</x:v>
      </x:c>
      <x:c r="D249" s="620" t="n">
        <x:v>-10100249.84</x:v>
      </x:c>
      <x:c r="E249" s="618" t="n">
        <x:v>-607294.85</x:v>
      </x:c>
      <x:c r="F249" s="618" t="n">
        <x:v>-326671.62</x:v>
      </x:c>
      <x:c r="G249" s="620" t="n">
        <x:v>-172683.09</x:v>
      </x:c>
      <x:c r="H249" s="618" t="n">
        <x:v>-2111900.78</x:v>
      </x:c>
      <x:c r="I249" s="618" t="n">
        <x:v>-70330.78</x:v>
      </x:c>
      <x:c r="J249" s="618" t="n">
        <x:v>-637400.48</x:v>
      </x:c>
      <x:c r="K249" s="618" t="n">
        <x:v>-763863.09</x:v>
      </x:c>
      <x:c r="L249" s="618" t="n">
        <x:v>-3673670.2</x:v>
      </x:c>
      <x:c r="M249" s="618" t="n">
        <x:v>-1615156.58</x:v>
      </x:c>
      <x:c r="N249" s="618" t="n">
        <x:v>-117847.03</x:v>
      </x:c>
      <x:c r="O249" s="618" t="n">
        <x:v>-30.9</x:v>
      </x:c>
      <x:c r="P249" s="618" t="n">
        <x:v>-3400.44</x:v>
      </x:c>
      <x:c r="Q249" s="618">
        <x:v>0</x:v>
      </x:c>
      <x:c r="R249" s="616" t="n">
        <x:v>0</x:v>
      </x:c>
    </x:row>
    <x:row r="250" spans="1:18" ht="12.75" customHeight="1" x14ac:dyDescent="0.2">
      <x:c r="C250" s="616" t="s">
        <x:v>81</x:v>
      </x:c>
      <x:c r="D250" s="620" t="n">
        <x:v>-397350.61</x:v>
      </x:c>
      <x:c r="E250" s="618" t="n">
        <x:v>-33893.04</x:v>
      </x:c>
      <x:c r="F250" s="618" t="n">
        <x:v>-16136.18</x:v>
      </x:c>
      <x:c r="G250" s="620" t="n">
        <x:v>-6879.74</x:v>
      </x:c>
      <x:c r="H250" s="618" t="n">
        <x:v>-82482.34</x:v>
      </x:c>
      <x:c r="I250" s="618" t="n">
        <x:v>-2952.82</x:v>
      </x:c>
      <x:c r="J250" s="618" t="n">
        <x:v>-25776.6</x:v>
      </x:c>
      <x:c r="K250" s="618" t="n">
        <x:v>-32756.7</x:v>
      </x:c>
      <x:c r="L250" s="618" t="n">
        <x:v>-104055.6</x:v>
      </x:c>
      <x:c r="M250" s="618" t="n">
        <x:v>-87594.34</x:v>
      </x:c>
      <x:c r="N250" s="618" t="n">
        <x:v>-4823.72</x:v>
      </x:c>
      <x:c r="O250" s="618" t="n">
        <x:v>0.71</x:v>
      </x:c>
      <x:c r="P250" s="618" t="n">
        <x:v>0</x:v>
      </x:c>
      <x:c r="Q250" s="618">
        <x:v>0</x:v>
      </x:c>
      <x:c r="R250" s="616" t="n">
        <x:v>-0.24</x:v>
      </x:c>
    </x:row>
    <x:row r="251" spans="1:18" s="621" customFormat="1" ht="12.75" customHeight="1" x14ac:dyDescent="0.2">
      <x:c r="B251" s="622" t="s">
        <x:v>78</x:v>
      </x:c>
      <x:c r="C251" s="622" t="s">
        <x:v>70</x:v>
      </x:c>
      <x:c r="D251" s="622" t="n">
        <x:v>-10497600.45</x:v>
      </x:c>
      <x:c r="E251" s="622" t="n">
        <x:v>-641187.89</x:v>
      </x:c>
      <x:c r="F251" s="622" t="n">
        <x:v>-342807.8</x:v>
      </x:c>
      <x:c r="G251" s="622" t="n">
        <x:v>-179562.83</x:v>
      </x:c>
      <x:c r="H251" s="622" t="n">
        <x:v>-2194383.12</x:v>
      </x:c>
      <x:c r="I251" s="622" t="n">
        <x:v>-73283.6</x:v>
      </x:c>
      <x:c r="J251" s="622" t="n">
        <x:v>-663177.08</x:v>
      </x:c>
      <x:c r="K251" s="622" t="n">
        <x:v>-796619.79</x:v>
      </x:c>
      <x:c r="L251" s="622" t="n">
        <x:v>-3777725.8</x:v>
      </x:c>
      <x:c r="M251" s="622" t="n">
        <x:v>-1702750.92</x:v>
      </x:c>
      <x:c r="N251" s="622" t="n">
        <x:v>-122670.75</x:v>
      </x:c>
      <x:c r="O251" s="622" t="n">
        <x:v>-30.19</x:v>
      </x:c>
      <x:c r="P251" s="621" t="n">
        <x:v>-3400.44</x:v>
      </x:c>
      <x:c r="Q251" s="622">
        <x:v>0</x:v>
      </x:c>
      <x:c r="R251" s="622" t="n">
        <x:v>-0.24</x:v>
      </x:c>
    </x:row>
    <x:row r="252" spans="1:18" ht="12.75" customHeight="1" x14ac:dyDescent="0.2">
      <x:c r="C252" s="616" t="s">
        <x:v>73</x:v>
      </x:c>
      <x:c r="D252" s="618" t="n">
        <x:v>1098663.58</x:v>
      </x:c>
      <x:c r="E252" s="618" t="n">
        <x:v>30030.42</x:v>
      </x:c>
      <x:c r="F252" s="618" t="n">
        <x:v>18785.99</x:v>
      </x:c>
      <x:c r="G252" s="620" t="n">
        <x:v>9703.94</x:v>
      </x:c>
      <x:c r="H252" s="618" t="n">
        <x:v>301708.72</x:v>
      </x:c>
      <x:c r="I252" s="618" t="n">
        <x:v>10087.81</x:v>
      </x:c>
      <x:c r="J252" s="618" t="n">
        <x:v>88465.97</x:v>
      </x:c>
      <x:c r="K252" s="618" t="n">
        <x:v>90031.21</x:v>
      </x:c>
      <x:c r="L252" s="618" t="n">
        <x:v>452691.34</x:v>
      </x:c>
      <x:c r="M252" s="618" t="n">
        <x:v>80706.35</x:v>
      </x:c>
      <x:c r="N252" s="618" t="n">
        <x:v>16451.83</x:v>
      </x:c>
      <x:c r="O252" s="618" t="n">
        <x:v>0</x:v>
      </x:c>
      <x:c r="P252" s="618" t="n">
        <x:v>0</x:v>
      </x:c>
      <x:c r="Q252" s="618">
        <x:v>0</x:v>
      </x:c>
      <x:c r="R252" s="616" t="n">
        <x:v>0</x:v>
      </x:c>
    </x:row>
    <x:row r="253" spans="1:18" s="623" customFormat="1" ht="12.75" customHeight="1" x14ac:dyDescent="0.2">
      <x:c r="B253" s="624" t="s">
        <x:v>79</x:v>
      </x:c>
      <x:c r="C253" s="624" t="s">
        <x:v>70</x:v>
      </x:c>
      <x:c r="D253" s="624" t="n">
        <x:v>1098663.58</x:v>
      </x:c>
      <x:c r="E253" s="624" t="n">
        <x:v>30030.42</x:v>
      </x:c>
      <x:c r="F253" s="624" t="n">
        <x:v>18785.99</x:v>
      </x:c>
      <x:c r="G253" s="624" t="n">
        <x:v>9703.94</x:v>
      </x:c>
      <x:c r="H253" s="624" t="n">
        <x:v>301708.72</x:v>
      </x:c>
      <x:c r="I253" s="624" t="n">
        <x:v>10087.81</x:v>
      </x:c>
      <x:c r="J253" s="624" t="n">
        <x:v>88465.97</x:v>
      </x:c>
      <x:c r="K253" s="624" t="n">
        <x:v>90031.21</x:v>
      </x:c>
      <x:c r="L253" s="624" t="n">
        <x:v>452691.34</x:v>
      </x:c>
      <x:c r="M253" s="624" t="n">
        <x:v>80706.35</x:v>
      </x:c>
      <x:c r="N253" s="624" t="n">
        <x:v>16451.83</x:v>
      </x:c>
      <x:c r="O253" s="624" t="n">
        <x:v>0</x:v>
      </x:c>
      <x:c r="P253" s="623" t="n">
        <x:v>0</x:v>
      </x:c>
      <x:c r="Q253" s="624">
        <x:v>0</x:v>
      </x:c>
      <x:c r="R253" s="624" t="n">
        <x:v>0</x:v>
      </x:c>
    </x:row>
    <x:row r="254" spans="1:18" s="754" customFormat="1" ht="12.75" customHeight="1" x14ac:dyDescent="0.2">
      <x:c r="A254" s="754" t="s">
        <x:v>119</x:v>
      </x:c>
      <x:c r="B254" s="628" t="s">
        <x:v>70</x:v>
      </x:c>
      <x:c r="C254" s="628"/>
      <x:c r="D254" s="628" t="n">
        <x:v>-9398936.87</x:v>
      </x:c>
      <x:c r="E254" s="628" t="n">
        <x:v>-611157.47</x:v>
      </x:c>
      <x:c r="F254" s="628" t="n">
        <x:v>-324021.81</x:v>
      </x:c>
      <x:c r="G254" s="628" t="n">
        <x:v>-169858.89</x:v>
      </x:c>
      <x:c r="H254" s="628" t="n">
        <x:v>-1892674.4</x:v>
      </x:c>
      <x:c r="I254" s="628" t="n">
        <x:v>-63195.79</x:v>
      </x:c>
      <x:c r="J254" s="628" t="n">
        <x:v>-574711.11</x:v>
      </x:c>
      <x:c r="K254" s="628" t="n">
        <x:v>-706588.58</x:v>
      </x:c>
      <x:c r="L254" s="628" t="n">
        <x:v>-3325034.46</x:v>
      </x:c>
      <x:c r="M254" s="628" t="n">
        <x:v>-1622044.57</x:v>
      </x:c>
      <x:c r="N254" s="628" t="n">
        <x:v>-106218.92</x:v>
      </x:c>
      <x:c r="O254" s="628" t="n">
        <x:v>-30.19</x:v>
      </x:c>
      <x:c r="P254" s="754" t="n">
        <x:v>-3400.44</x:v>
      </x:c>
      <x:c r="Q254" s="628">
        <x:v>0</x:v>
      </x:c>
      <x:c r="R254" s="628" t="n">
        <x:v>-0.24</x:v>
      </x:c>
    </x:row>
    <x:row r="255" spans="1:18" s="631" customFormat="1" ht="12.75" customHeight="1" x14ac:dyDescent="0.2">
      <x:c r="A255" s="630" t="s">
        <x:v>70</x:v>
      </x:c>
      <x:c r="D255" s="630" t="n">
        <x:v>-178619709.53</x:v>
      </x:c>
      <x:c r="E255" s="630" t="n">
        <x:v>-12242019.63</x:v>
      </x:c>
      <x:c r="F255" s="630" t="n">
        <x:v>-6680852.61</x:v>
      </x:c>
      <x:c r="G255" s="630" t="n">
        <x:v>-3466237.94</x:v>
      </x:c>
      <x:c r="H255" s="630" t="n">
        <x:v>-37225477.35</x:v>
      </x:c>
      <x:c r="I255" s="630" t="n">
        <x:v>-1342599.79</x:v>
      </x:c>
      <x:c r="J255" s="630" t="n">
        <x:v>-11701383.07</x:v>
      </x:c>
      <x:c r="K255" s="630" t="n">
        <x:v>-11853133.77</x:v>
      </x:c>
      <x:c r="L255" s="630" t="n">
        <x:v>-59096655.43</x:v>
      </x:c>
      <x:c r="M255" s="630" t="n">
        <x:v>-32770917.46</x:v>
      </x:c>
      <x:c r="N255" s="630" t="n">
        <x:v>-2190752.76</x:v>
      </x:c>
      <x:c r="O255" s="630" t="n">
        <x:v>27.97</x:v>
      </x:c>
      <x:c r="P255" s="631" t="n">
        <x:v>-49900.44</x:v>
      </x:c>
      <x:c r="Q255" s="631">
        <x:v>0</x:v>
      </x:c>
      <x:c r="R255" s="631" t="n">
        <x:v>192.75</x:v>
      </x:c>
    </x:row>
    <x:row r="256" spans="1:18" ht="12.75" customHeight="1" x14ac:dyDescent="0.2">
      <x:c r="A256" s="618"/>
      <x:c r="B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1:15" ht="12.75" customHeight="1" x14ac:dyDescent="0.2">
      <x:c r="A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1:15" ht="12.75" customHeight="1" x14ac:dyDescent="0.2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1:15" ht="12.75" hidden="1" customHeight="1" x14ac:dyDescent="0.2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1:15" ht="12.75" hidden="1" customHeight="1" x14ac:dyDescent="0.2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1:15" ht="12.75" hidden="1" customHeight="1" x14ac:dyDescent="0.2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1:15" ht="12.75" hidden="1" customHeight="1" x14ac:dyDescent="0.2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1:15" ht="12.75" hidden="1" customHeight="1" x14ac:dyDescent="0.2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1:15" ht="12.75" hidden="1" customHeight="1" x14ac:dyDescent="0.2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1:15" ht="12.75" hidden="1" customHeight="1" x14ac:dyDescent="0.2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1:15" ht="12.75" hidden="1" customHeight="1" x14ac:dyDescent="0.2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1:15" ht="12.75" hidden="1" customHeight="1" x14ac:dyDescent="0.2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1:15" ht="12.75" hidden="1" customHeight="1" x14ac:dyDescent="0.2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1:15" ht="12.75" hidden="1" customHeight="1" x14ac:dyDescent="0.2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1:15" ht="12.75" hidden="1" customHeight="1" x14ac:dyDescent="0.2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1:15" ht="12.75" hidden="1" customHeight="1" x14ac:dyDescent="0.2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1:15" ht="12.75" hidden="1" customHeight="1" x14ac:dyDescent="0.2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hidden="1" customHeight="1" x14ac:dyDescent="0.2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hidden="1" customHeight="1" x14ac:dyDescent="0.2">
      <x:c r="B326" s="618"/>
      <x:c r="C326" s="618"/>
      <x:c r="D326" s="618"/>
      <x:c r="E326" s="618"/>
      <x:c r="F326" s="618"/>
      <x:c r="G326" s="618"/>
      <x:c r="H326" s="618"/>
      <x:c r="I326" s="618"/>
      <x:c r="J326" s="618"/>
      <x:c r="K326" s="618"/>
      <x:c r="L326" s="618"/>
      <x:c r="M326" s="618"/>
      <x:c r="N326" s="618"/>
      <x:c r="O326" s="618"/>
    </x:row>
    <x:row r="327" spans="1:18" ht="12.75" hidden="1" customHeight="1" x14ac:dyDescent="0.2">
      <x:c r="B327" s="618"/>
      <x:c r="C327" s="618"/>
      <x:c r="D327" s="618"/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</x:row>
    <x:row r="328" spans="1:18" ht="12.75" hidden="1" customHeight="1" x14ac:dyDescent="0.2">
      <x:c r="B328" s="618"/>
      <x:c r="C328" s="618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</x:row>
    <x:row r="329" spans="1:18" ht="12.75" hidden="1" customHeight="1" x14ac:dyDescent="0.2">
      <x:c r="B329" s="618"/>
      <x:c r="C329" s="618"/>
      <x:c r="D329" s="618"/>
      <x:c r="E329" s="618"/>
      <x:c r="F329" s="618"/>
      <x:c r="G329" s="618"/>
      <x:c r="H329" s="618"/>
      <x:c r="I329" s="618"/>
      <x:c r="J329" s="618"/>
      <x:c r="K329" s="618"/>
      <x:c r="L329" s="618"/>
      <x:c r="M329" s="618"/>
      <x:c r="N329" s="618"/>
      <x:c r="O329" s="618"/>
    </x:row>
    <x:row r="330" spans="1:18" ht="12.75" hidden="1" customHeight="1" x14ac:dyDescent="0.2">
      <x:c r="B330" s="618"/>
      <x:c r="C330" s="618"/>
      <x:c r="D330" s="618"/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</x:row>
    <x:row r="331" spans="1:18" ht="12.75" customHeight="1" x14ac:dyDescent="0.2">
      <x:c r="B331" s="618"/>
      <x:c r="C331" s="618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</x:row>
    <x:row r="332" spans="1:18" ht="12.75" customHeight="1" x14ac:dyDescent="0.2">
      <x:c r="A332" s="782" t="s">
        <x:v>2</x:v>
      </x:c>
      <x:c r="B332" s="781" t="s">
        <x:v>132</x:v>
      </x:c>
      <x:c r="C332" s="766" t="s">
        <x:v>70</x:v>
      </x:c>
      <x:c r="D332" s="766">
        <x:f>D255-P255</x:f>
        <x:v>0</x:v>
      </x:c>
      <x:c r="E332" s="766">
        <x:f>E251+E245+E239</x:f>
        <x:v>0</x:v>
      </x:c>
      <x:c r="F332" s="766">
        <x:f t="shared" ref="F332:R332" si="11">F251+F245+F239</x:f>
        <x:v>0</x:v>
      </x:c>
      <x:c r="G332" s="766">
        <x:f t="shared" si="11"/>
        <x:v>0</x:v>
      </x:c>
      <x:c r="H332" s="766">
        <x:f t="shared" si="11"/>
        <x:v>0</x:v>
      </x:c>
      <x:c r="I332" s="766">
        <x:f t="shared" si="11"/>
        <x:v>0</x:v>
      </x:c>
      <x:c r="J332" s="766">
        <x:f t="shared" si="11"/>
        <x:v>0</x:v>
      </x:c>
      <x:c r="K332" s="766">
        <x:f t="shared" si="11"/>
        <x:v>0</x:v>
      </x:c>
      <x:c r="L332" s="766">
        <x:f t="shared" si="11"/>
        <x:v>0</x:v>
      </x:c>
      <x:c r="M332" s="766">
        <x:f t="shared" si="11"/>
        <x:v>0</x:v>
      </x:c>
      <x:c r="N332" s="766">
        <x:f t="shared" si="11"/>
        <x:v>0</x:v>
      </x:c>
      <x:c r="O332" s="766">
        <x:f t="shared" si="11"/>
        <x:v>0</x:v>
      </x:c>
      <x:c r="P332" s="766">
        <x:f t="shared" si="11"/>
        <x:v>0</x:v>
      </x:c>
      <x:c r="Q332" s="766">
        <x:f t="shared" si="11"/>
        <x:v>0</x:v>
      </x:c>
      <x:c r="R332" s="766">
        <x:f t="shared" si="11"/>
        <x:v>0</x:v>
      </x:c>
    </x:row>
    <x:row r="333" spans="1:18" ht="12.75" customHeight="1" x14ac:dyDescent="0.2">
      <x:c r="A333" s="782"/>
      <x:c r="B333" s="781"/>
      <x:c r="C333" s="766" t="s">
        <x:v>73</x:v>
      </x:c>
      <x:c r="D333" s="766">
        <x:f>D253+D247+D241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">
      <x:c r="A334" s="617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">
      <x:c r="A335" s="782" t="s">
        <x:v>160</x:v>
      </x:c>
      <x:c r="B335" s="781" t="s">
        <x:v>132</x:v>
      </x:c>
      <x:c r="C335" s="632" t="s">
        <x:v>70</x:v>
      </x:c>
      <x:c r="D335" s="632">
        <x:f>D248-P248</x:f>
        <x:v>0</x:v>
      </x:c>
      <x:c r="E335" s="632">
        <x:f>E245</x:f>
        <x:v>0</x:v>
      </x:c>
      <x:c r="F335" s="632">
        <x:f t="shared" ref="F335:R335" si="12">F245</x:f>
        <x:v>0</x:v>
      </x:c>
      <x:c r="G335" s="632">
        <x:f t="shared" si="12"/>
        <x:v>0</x:v>
      </x:c>
      <x:c r="H335" s="632">
        <x:f t="shared" si="12"/>
        <x:v>0</x:v>
      </x:c>
      <x:c r="I335" s="632">
        <x:f t="shared" si="12"/>
        <x:v>0</x:v>
      </x:c>
      <x:c r="J335" s="632">
        <x:f t="shared" si="12"/>
        <x:v>0</x:v>
      </x:c>
      <x:c r="K335" s="632">
        <x:f t="shared" si="12"/>
        <x:v>0</x:v>
      </x:c>
      <x:c r="L335" s="632">
        <x:f t="shared" si="12"/>
        <x:v>0</x:v>
      </x:c>
      <x:c r="M335" s="632">
        <x:f t="shared" si="12"/>
        <x:v>0</x:v>
      </x:c>
      <x:c r="N335" s="632">
        <x:f t="shared" si="12"/>
        <x:v>0</x:v>
      </x:c>
      <x:c r="O335" s="632">
        <x:f t="shared" si="12"/>
        <x:v>0</x:v>
      </x:c>
      <x:c r="P335" s="632">
        <x:f t="shared" si="12"/>
        <x:v>0</x:v>
      </x:c>
      <x:c r="Q335" s="632">
        <x:f t="shared" si="12"/>
        <x:v>0</x:v>
      </x:c>
      <x:c r="R335" s="632">
        <x:f t="shared" si="12"/>
        <x:v>0</x:v>
      </x:c>
    </x:row>
    <x:row r="336" spans="1:18" ht="12.75" customHeight="1" x14ac:dyDescent="0.2">
      <x:c r="A336" s="782"/>
      <x:c r="B336" s="781"/>
      <x:c r="C336" s="632" t="s">
        <x:v>73</x:v>
      </x:c>
      <x:c r="D336" s="714">
        <x:f>D247</x:f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  <x:c r="R336" s="618"/>
    </x:row>
    <x:row r="337" spans="1:18" ht="12.75" customHeight="1" x14ac:dyDescent="0.2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">
      <x:c r="A338" s="782" t="s">
        <x:v>155</x:v>
      </x:c>
      <x:c r="B338" s="781" t="s">
        <x:v>132</x:v>
      </x:c>
      <x:c r="C338" s="633" t="s">
        <x:v>70</x:v>
      </x:c>
      <x:c r="D338" s="633">
        <x:f>D242-P242</x:f>
        <x:v>0</x:v>
      </x:c>
      <x:c r="E338" s="633">
        <x:f>E239</x:f>
        <x:v>0</x:v>
      </x:c>
      <x:c r="F338" s="633">
        <x:f t="shared" ref="F338:R338" si="13">F239</x:f>
        <x:v>0</x:v>
      </x:c>
      <x:c r="G338" s="633">
        <x:f t="shared" si="13"/>
        <x:v>0</x:v>
      </x:c>
      <x:c r="H338" s="633">
        <x:f t="shared" si="13"/>
        <x:v>0</x:v>
      </x:c>
      <x:c r="I338" s="633">
        <x:f t="shared" si="13"/>
        <x:v>0</x:v>
      </x:c>
      <x:c r="J338" s="633">
        <x:f t="shared" si="13"/>
        <x:v>0</x:v>
      </x:c>
      <x:c r="K338" s="633">
        <x:f t="shared" si="13"/>
        <x:v>0</x:v>
      </x:c>
      <x:c r="L338" s="633">
        <x:f t="shared" si="13"/>
        <x:v>0</x:v>
      </x:c>
      <x:c r="M338" s="633">
        <x:f t="shared" si="13"/>
        <x:v>0</x:v>
      </x:c>
      <x:c r="N338" s="633">
        <x:f t="shared" si="13"/>
        <x:v>0</x:v>
      </x:c>
      <x:c r="O338" s="633">
        <x:f t="shared" si="13"/>
        <x:v>0</x:v>
      </x:c>
      <x:c r="P338" s="633">
        <x:f t="shared" si="13"/>
        <x:v>0</x:v>
      </x:c>
      <x:c r="Q338" s="633">
        <x:f t="shared" si="13"/>
        <x:v>0</x:v>
      </x:c>
      <x:c r="R338" s="633">
        <x:f t="shared" si="13"/>
        <x:v>0</x:v>
      </x:c>
    </x:row>
    <x:row r="339" spans="1:18" ht="12.75" customHeight="1" x14ac:dyDescent="0.2">
      <x:c r="A339" s="782"/>
      <x:c r="B339" s="781"/>
      <x:c r="C339" s="633" t="s">
        <x:v>73</x:v>
      </x:c>
      <x:c r="D339" s="633">
        <x:f>D241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">
      <x:c r="A340" s="722"/>
      <x:c r="B340" s="721"/>
      <x:c r="C340" s="618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">
      <x:c r="A341" s="783" t="s">
        <x:v>326</x:v>
      </x:c>
      <x:c r="B341" s="781" t="s">
        <x:v>132</x:v>
      </x:c>
      <x:c r="C341" s="633" t="s">
        <x:v>70</x:v>
      </x:c>
      <x:c r="D341" s="720">
        <x:v>0</x:v>
      </x:c>
      <x:c r="E341" s="720">
        <x:v>0</x:v>
      </x:c>
      <x:c r="F341" s="720">
        <x:v>0</x:v>
      </x:c>
      <x:c r="G341" s="720">
        <x:v>0</x:v>
      </x:c>
      <x:c r="H341" s="720">
        <x:v>0</x:v>
      </x:c>
      <x:c r="I341" s="720">
        <x:v>0</x:v>
      </x:c>
      <x:c r="J341" s="720">
        <x:v>0</x:v>
      </x:c>
      <x:c r="K341" s="720">
        <x:v>0</x:v>
      </x:c>
      <x:c r="L341" s="720">
        <x:v>0</x:v>
      </x:c>
      <x:c r="M341" s="720">
        <x:v>0</x:v>
      </x:c>
      <x:c r="N341" s="720">
        <x:v>0</x:v>
      </x:c>
      <x:c r="O341" s="720">
        <x:v>0</x:v>
      </x:c>
      <x:c r="P341" s="720">
        <x:v>0</x:v>
      </x:c>
      <x:c r="Q341" s="720">
        <x:v>0</x:v>
      </x:c>
      <x:c r="R341" s="720">
        <x:v>0</x:v>
      </x:c>
    </x:row>
    <x:row r="342" spans="1:18" ht="12.75" customHeight="1" x14ac:dyDescent="0.2">
      <x:c r="A342" s="783"/>
      <x:c r="B342" s="781"/>
      <x:c r="C342" s="633" t="s">
        <x:v>73</x:v>
      </x:c>
      <x:c r="D342" s="720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ht="12.75" customHeight="1" x14ac:dyDescent="0.2">
      <x:c r="A343" s="617"/>
      <x:c r="D343" s="618"/>
      <x:c r="E343" s="618"/>
      <x:c r="F343" s="618"/>
      <x:c r="G343" s="618"/>
      <x:c r="H343" s="618"/>
      <x:c r="I343" s="618"/>
      <x:c r="J343" s="618"/>
      <x:c r="K343" s="618"/>
      <x:c r="L343" s="618"/>
      <x:c r="M343" s="618"/>
      <x:c r="N343" s="618"/>
      <x:c r="O343" s="618"/>
      <x:c r="P343" s="618"/>
      <x:c r="Q343" s="618"/>
      <x:c r="R343" s="618"/>
    </x:row>
    <x:row r="344" spans="1:18" ht="12.75" customHeight="1" x14ac:dyDescent="0.2">
      <x:c r="A344" s="782" t="s">
        <x:v>119</x:v>
      </x:c>
      <x:c r="B344" s="781" t="s">
        <x:v>132</x:v>
      </x:c>
      <x:c r="C344" s="628" t="s">
        <x:v>70</x:v>
      </x:c>
      <x:c r="D344" s="628">
        <x:f>D254-P254</x:f>
        <x:v>0</x:v>
      </x:c>
      <x:c r="E344" s="628">
        <x:f>E251</x:f>
        <x:v>0</x:v>
      </x:c>
      <x:c r="F344" s="628">
        <x:f t="shared" ref="F344:R344" si="14">F251</x:f>
        <x:v>0</x:v>
      </x:c>
      <x:c r="G344" s="628">
        <x:f t="shared" si="14"/>
        <x:v>0</x:v>
      </x:c>
      <x:c r="H344" s="628">
        <x:f t="shared" si="14"/>
        <x:v>0</x:v>
      </x:c>
      <x:c r="I344" s="628">
        <x:f t="shared" si="14"/>
        <x:v>0</x:v>
      </x:c>
      <x:c r="J344" s="628">
        <x:f t="shared" si="14"/>
        <x:v>0</x:v>
      </x:c>
      <x:c r="K344" s="628">
        <x:f t="shared" si="14"/>
        <x:v>0</x:v>
      </x:c>
      <x:c r="L344" s="628">
        <x:f t="shared" si="14"/>
        <x:v>0</x:v>
      </x:c>
      <x:c r="M344" s="628">
        <x:f t="shared" si="14"/>
        <x:v>0</x:v>
      </x:c>
      <x:c r="N344" s="628">
        <x:f t="shared" si="14"/>
        <x:v>0</x:v>
      </x:c>
      <x:c r="O344" s="628">
        <x:f t="shared" si="14"/>
        <x:v>0</x:v>
      </x:c>
      <x:c r="P344" s="628">
        <x:f t="shared" si="14"/>
        <x:v>0</x:v>
      </x:c>
      <x:c r="Q344" s="628">
        <x:f t="shared" si="14"/>
        <x:v>0</x:v>
      </x:c>
      <x:c r="R344" s="628">
        <x:f t="shared" si="14"/>
        <x:v>0</x:v>
      </x:c>
    </x:row>
    <x:row r="345" spans="1:18" ht="12.75" customHeight="1" x14ac:dyDescent="0.2">
      <x:c r="A345" s="782"/>
      <x:c r="B345" s="781"/>
      <x:c r="C345" s="628" t="s">
        <x:v>73</x:v>
      </x:c>
      <x:c r="D345" s="628">
        <x:f>D253</x:f>
        <x:v>0</x:v>
      </x:c>
      <x:c r="E345" s="618"/>
      <x:c r="F345" s="618"/>
      <x:c r="G345" s="618"/>
      <x:c r="H345" s="618"/>
      <x:c r="I345" s="618"/>
      <x:c r="J345" s="618"/>
      <x:c r="K345" s="618"/>
      <x:c r="L345" s="618"/>
      <x:c r="M345" s="618"/>
      <x:c r="N345" s="618"/>
      <x:c r="O345" s="618"/>
      <x:c r="P345" s="618"/>
      <x:c r="Q345" s="618"/>
      <x:c r="R345" s="618"/>
    </x:row>
    <x:row r="346" spans="1:18" ht="12.75" customHeight="1" x14ac:dyDescent="0.2">
      <x:c r="A346" s="617"/>
      <x:c r="D346" s="618"/>
      <x:c r="E346" s="618"/>
      <x:c r="F346" s="618"/>
      <x:c r="G346" s="618"/>
      <x:c r="H346" s="618"/>
      <x:c r="I346" s="618"/>
      <x:c r="J346" s="618"/>
      <x:c r="K346" s="618"/>
      <x:c r="L346" s="618"/>
      <x:c r="M346" s="618"/>
      <x:c r="N346" s="618"/>
      <x:c r="O346" s="618"/>
      <x:c r="P346" s="618"/>
      <x:c r="Q346" s="618"/>
      <x:c r="R346" s="618"/>
    </x:row>
    <x:row r="347" spans="1:18" ht="12.75" customHeight="1" x14ac:dyDescent="0.2">
      <x:c r="A347" s="780" t="s">
        <x:v>161</x:v>
      </x:c>
      <x:c r="B347" s="781" t="s">
        <x:v>132</x:v>
      </x:c>
      <x:c r="C347" s="634" t="s">
        <x:v>70</x:v>
      </x:c>
      <x:c r="D347" s="634">
        <x:v>0</x:v>
      </x:c>
      <x:c r="E347" s="634">
        <x:v>0</x:v>
      </x:c>
      <x:c r="F347" s="634">
        <x:v>0</x:v>
      </x:c>
      <x:c r="G347" s="634">
        <x:v>0</x:v>
      </x:c>
      <x:c r="H347" s="634">
        <x:v>0</x:v>
      </x:c>
      <x:c r="I347" s="634">
        <x:v>0</x:v>
      </x:c>
      <x:c r="J347" s="634">
        <x:v>0</x:v>
      </x:c>
      <x:c r="K347" s="634">
        <x:v>0</x:v>
      </x:c>
      <x:c r="L347" s="634">
        <x:v>0</x:v>
      </x:c>
      <x:c r="M347" s="634">
        <x:v>0</x:v>
      </x:c>
      <x:c r="N347" s="634">
        <x:v>0</x:v>
      </x:c>
      <x:c r="O347" s="634">
        <x:v>0</x:v>
      </x:c>
      <x:c r="P347" s="634">
        <x:v>0</x:v>
      </x:c>
      <x:c r="Q347" s="634">
        <x:v>0</x:v>
      </x:c>
      <x:c r="R347" s="634">
        <x:v>0</x:v>
      </x:c>
    </x:row>
    <x:row r="348" spans="1:18" ht="12.75" customHeight="1" x14ac:dyDescent="0.2">
      <x:c r="A348" s="780"/>
      <x:c r="B348" s="781"/>
      <x:c r="C348" s="634" t="s">
        <x:v>73</x:v>
      </x:c>
      <x:c r="D348" s="634">
        <x:v>0</x:v>
      </x:c>
      <x:c r="E348" s="618"/>
      <x:c r="F348" s="618"/>
      <x:c r="G348" s="618"/>
      <x:c r="H348" s="618"/>
      <x:c r="I348" s="618"/>
      <x:c r="J348" s="618"/>
      <x:c r="K348" s="618"/>
      <x:c r="L348" s="618"/>
      <x:c r="M348" s="618"/>
      <x:c r="N348" s="618"/>
      <x:c r="O348" s="618"/>
      <x:c r="P348" s="618"/>
      <x:c r="Q348" s="618"/>
    </x:row>
    <x:row r="349" spans="1:18" s="635" customFormat="1" x14ac:dyDescent="0.2"/>
    <x:row r="350" spans="1:18" x14ac:dyDescent="0.2">
      <x:c r="B350" s="617" t="s">
        <x:v>93</x:v>
      </x:c>
    </x:row>
    <x:row r="351" spans="1:18" ht="12.75" customHeight="1" x14ac:dyDescent="0.2">
      <x:c r="D351" s="618" t="s">
        <x:v>70</x:v>
      </x:c>
      <x:c r="E351" s="618" t="s">
        <x:v>64</x:v>
      </x:c>
      <x:c r="F351" s="618" t="s">
        <x:v>65</x:v>
      </x:c>
      <x:c r="G351" s="619" t="s">
        <x:v>164</x:v>
      </x:c>
      <x:c r="H351" s="618" t="s">
        <x:v>69</x:v>
      </x:c>
      <x:c r="I351" s="618" t="s">
        <x:v>68</x:v>
      </x:c>
      <x:c r="J351" s="618" t="s">
        <x:v>66</x:v>
      </x:c>
      <x:c r="K351" s="618" t="s">
        <x:v>63</x:v>
      </x:c>
      <x:c r="L351" s="618" t="s">
        <x:v>61</x:v>
      </x:c>
      <x:c r="M351" s="618" t="s">
        <x:v>62</x:v>
      </x:c>
      <x:c r="N351" s="618" t="s">
        <x:v>67</x:v>
      </x:c>
      <x:c r="O351" s="618" t="s">
        <x:v>77</x:v>
      </x:c>
      <x:c r="P351" s="616" t="s">
        <x:v>71</x:v>
      </x:c>
      <x:c r="Q351" s="618" t="s">
        <x:v>80</x:v>
      </x:c>
      <x:c r="R351" s="616" t="s">
        <x:v>168</x:v>
      </x:c>
    </x:row>
    <x:row r="352" spans="1:18" ht="12" customHeight="1" x14ac:dyDescent="0.2">
      <x:c r="C352" s="618" t="s">
        <x:v>72</x:v>
      </x:c>
      <x:c r="D352" s="618" t="n">
        <x:v>-5821417.87</x:v>
      </x:c>
      <x:c r="E352" s="618" t="n">
        <x:v>-283408.15</x:v>
      </x:c>
      <x:c r="F352" s="618" t="n">
        <x:v>-156558.59</x:v>
      </x:c>
      <x:c r="G352" s="618" t="n">
        <x:v>-80193.19</x:v>
      </x:c>
      <x:c r="H352" s="618" t="n">
        <x:v>-1154159.82</x:v>
      </x:c>
      <x:c r="I352" s="618" t="n">
        <x:v>-55541.57</x:v>
      </x:c>
      <x:c r="J352" s="618" t="n">
        <x:v>-486140.97</x:v>
      </x:c>
      <x:c r="K352" s="618" t="n">
        <x:v>-456254.38</x:v>
      </x:c>
      <x:c r="L352" s="618" t="n">
        <x:v>-2215440.17</x:v>
      </x:c>
      <x:c r="M352" s="618" t="n">
        <x:v>-843140.93</x:v>
      </x:c>
      <x:c r="N352" s="618" t="n">
        <x:v>-90620.4</x:v>
      </x:c>
      <x:c r="O352" s="618" t="n">
        <x:v>40.3</x:v>
      </x:c>
      <x:c r="P352" s="616">
        <x:v>0</x:v>
      </x:c>
      <x:c r="Q352" s="618" t="n">
        <x:v>0</x:v>
      </x:c>
      <x:c r="R352" s="616">
        <x:v>0</x:v>
      </x:c>
    </x:row>
    <x:row r="353" spans="1:18" ht="12" customHeight="1" x14ac:dyDescent="0.2">
      <x:c r="C353" s="618" t="s">
        <x:v>81</x:v>
      </x:c>
      <x:c r="D353" s="618" t="n">
        <x:v>-103419.8</x:v>
      </x:c>
      <x:c r="E353" s="618" t="n">
        <x:v>-5464.32</x:v>
      </x:c>
      <x:c r="F353" s="618" t="n">
        <x:v>-2789.76</x:v>
      </x:c>
      <x:c r="G353" s="618" t="n">
        <x:v>-1167.02</x:v>
      </x:c>
      <x:c r="H353" s="618" t="n">
        <x:v>-12606.49</x:v>
      </x:c>
      <x:c r="I353" s="618" t="n">
        <x:v>-1424.01</x:v>
      </x:c>
      <x:c r="J353" s="618" t="n">
        <x:v>-12260.45</x:v>
      </x:c>
      <x:c r="K353" s="618" t="n">
        <x:v>-10533.73</x:v>
      </x:c>
      <x:c r="L353" s="618" t="n">
        <x:v>-39354.89</x:v>
      </x:c>
      <x:c r="M353" s="618" t="n">
        <x:v>-15499.33</x:v>
      </x:c>
      <x:c r="N353" s="618" t="n">
        <x:v>-2321.38</x:v>
      </x:c>
      <x:c r="O353" s="618" t="n">
        <x:v>1.67</x:v>
      </x:c>
      <x:c r="P353" s="616">
        <x:v>0</x:v>
      </x:c>
      <x:c r="Q353" s="618" t="n">
        <x:v>-0.09</x:v>
      </x:c>
      <x:c r="R353" s="616">
        <x:v>0</x:v>
      </x:c>
    </x:row>
    <x:row r="354" spans="1:18" s="621" customFormat="1" ht="12.75" customHeight="1" x14ac:dyDescent="0.2">
      <x:c r="A354" s="622"/>
      <x:c r="B354" s="621" t="s">
        <x:v>78</x:v>
      </x:c>
      <x:c r="C354" s="621" t="s">
        <x:v>70</x:v>
      </x:c>
      <x:c r="D354" s="622" t="n">
        <x:v>-5924837.67</x:v>
      </x:c>
      <x:c r="E354" s="622" t="n">
        <x:v>-288872.47</x:v>
      </x:c>
      <x:c r="F354" s="622" t="n">
        <x:v>-159348.35</x:v>
      </x:c>
      <x:c r="G354" s="622" t="n">
        <x:v>-81360.21</x:v>
      </x:c>
      <x:c r="H354" s="622" t="n">
        <x:v>-1166766.31</x:v>
      </x:c>
      <x:c r="I354" s="622" t="n">
        <x:v>-56965.58</x:v>
      </x:c>
      <x:c r="J354" s="622" t="n">
        <x:v>-498401.42</x:v>
      </x:c>
      <x:c r="K354" s="622" t="n">
        <x:v>-466788.11</x:v>
      </x:c>
      <x:c r="L354" s="622" t="n">
        <x:v>-2254795.06</x:v>
      </x:c>
      <x:c r="M354" s="622" t="n">
        <x:v>-858640.26</x:v>
      </x:c>
      <x:c r="N354" s="622" t="n">
        <x:v>-92941.78</x:v>
      </x:c>
      <x:c r="O354" s="622" t="n">
        <x:v>41.97</x:v>
      </x:c>
      <x:c r="P354" s="621">
        <x:v>0</x:v>
      </x:c>
      <x:c r="Q354" s="621" t="n">
        <x:v>-0.09</x:v>
      </x:c>
      <x:c r="R354" s="621">
        <x:v>0</x:v>
      </x:c>
    </x:row>
    <x:row r="355" spans="1:18" ht="12" customHeight="1" x14ac:dyDescent="0.2">
      <x:c r="C355" s="618" t="s">
        <x:v>73</x:v>
      </x:c>
      <x:c r="D355" s="618" t="n">
        <x:v>1134738.67</x:v>
      </x:c>
      <x:c r="E355" s="618" t="n">
        <x:v>42261.53</x:v>
      </x:c>
      <x:c r="F355" s="618" t="n">
        <x:v>22706.91</x:v>
      </x:c>
      <x:c r="G355" s="618" t="n">
        <x:v>11109.21</x:v>
      </x:c>
      <x:c r="H355" s="618" t="n">
        <x:v>207333.25</x:v>
      </x:c>
      <x:c r="I355" s="618" t="n">
        <x:v>12860.76</x:v>
      </x:c>
      <x:c r="J355" s="618" t="n">
        <x:v>112811.62</x:v>
      </x:c>
      <x:c r="K355" s="618" t="n">
        <x:v>103024.59</x:v>
      </x:c>
      <x:c r="L355" s="618" t="n">
        <x:v>477644.69</x:v>
      </x:c>
      <x:c r="M355" s="618" t="n">
        <x:v>124003.15</x:v>
      </x:c>
      <x:c r="N355" s="618" t="n">
        <x:v>20982.96</x:v>
      </x:c>
      <x:c r="O355" s="618" t="n">
        <x:v>0</x:v>
      </x:c>
      <x:c r="P355" s="616">
        <x:v>0</x:v>
      </x:c>
      <x:c r="Q355" s="618" t="n">
        <x:v>0</x:v>
      </x:c>
      <x:c r="R355" s="616">
        <x:v>0</x:v>
      </x:c>
    </x:row>
    <x:row r="356" spans="1:18" s="623" customFormat="1" ht="12.75" customHeight="1" x14ac:dyDescent="0.2">
      <x:c r="A356" s="624"/>
      <x:c r="B356" s="624" t="s">
        <x:v>79</x:v>
      </x:c>
      <x:c r="C356" s="623" t="s">
        <x:v>70</x:v>
      </x:c>
      <x:c r="D356" s="624" t="n">
        <x:v>1134738.67</x:v>
      </x:c>
      <x:c r="E356" s="624" t="n">
        <x:v>42261.53</x:v>
      </x:c>
      <x:c r="F356" s="624" t="n">
        <x:v>22706.91</x:v>
      </x:c>
      <x:c r="G356" s="624" t="n">
        <x:v>11109.21</x:v>
      </x:c>
      <x:c r="H356" s="624" t="n">
        <x:v>207333.25</x:v>
      </x:c>
      <x:c r="I356" s="624" t="n">
        <x:v>12860.76</x:v>
      </x:c>
      <x:c r="J356" s="624" t="n">
        <x:v>112811.62</x:v>
      </x:c>
      <x:c r="K356" s="624" t="n">
        <x:v>103024.59</x:v>
      </x:c>
      <x:c r="L356" s="624" t="n">
        <x:v>477644.69</x:v>
      </x:c>
      <x:c r="M356" s="624" t="n">
        <x:v>124003.15</x:v>
      </x:c>
      <x:c r="N356" s="624" t="n">
        <x:v>20982.96</x:v>
      </x:c>
      <x:c r="O356" s="624" t="n">
        <x:v>0</x:v>
      </x:c>
      <x:c r="P356" s="623">
        <x:v>0</x:v>
      </x:c>
      <x:c r="Q356" s="623" t="n">
        <x:v>0</x:v>
      </x:c>
      <x:c r="R356" s="623">
        <x:v>0</x:v>
      </x:c>
    </x:row>
    <x:row r="357" spans="1:18" s="625" customFormat="1" ht="12.75" customHeight="1" x14ac:dyDescent="0.2">
      <x:c r="A357" s="625" t="s">
        <x:v>155</x:v>
      </x:c>
      <x:c r="B357" s="625" t="s">
        <x:v>70</x:v>
      </x:c>
      <x:c r="D357" s="626" t="n">
        <x:v>-4790099</x:v>
      </x:c>
      <x:c r="E357" s="626" t="n">
        <x:v>-246610.94</x:v>
      </x:c>
      <x:c r="F357" s="626" t="n">
        <x:v>-136641.44</x:v>
      </x:c>
      <x:c r="G357" s="627" t="n">
        <x:v>-70251</x:v>
      </x:c>
      <x:c r="H357" s="626" t="n">
        <x:v>-959433.06</x:v>
      </x:c>
      <x:c r="I357" s="626" t="n">
        <x:v>-44104.82</x:v>
      </x:c>
      <x:c r="J357" s="626" t="n">
        <x:v>-385589.8</x:v>
      </x:c>
      <x:c r="K357" s="626" t="n">
        <x:v>-363763.52</x:v>
      </x:c>
      <x:c r="L357" s="626" t="n">
        <x:v>-1777150.37</x:v>
      </x:c>
      <x:c r="M357" s="626" t="n">
        <x:v>-734637.11</x:v>
      </x:c>
      <x:c r="N357" s="626" t="n">
        <x:v>-71958.82</x:v>
      </x:c>
      <x:c r="O357" s="626" t="n">
        <x:v>41.97</x:v>
      </x:c>
      <x:c r="P357" s="626" t="n">
        <x:v>0</x:v>
      </x:c>
      <x:c r="Q357" s="626" t="n">
        <x:v>-0.09</x:v>
      </x:c>
      <x:c r="R357" s="625">
        <x:v>0</x:v>
      </x:c>
    </x:row>
    <x:row r="358" spans="1:18" ht="12.75" customHeight="1" x14ac:dyDescent="0.2">
      <x:c r="C358" s="616" t="s">
        <x:v>72</x:v>
      </x:c>
      <x:c r="D358" s="618">
        <x:v>0</x:v>
      </x:c>
      <x:c r="E358" s="618">
        <x:v>0</x:v>
      </x:c>
      <x:c r="F358" s="618">
        <x:v>0</x:v>
      </x:c>
      <x:c r="G358" s="620">
        <x:v>0</x:v>
      </x:c>
      <x:c r="H358" s="618">
        <x:v>0</x:v>
      </x:c>
      <x:c r="I358" s="618">
        <x:v>0</x:v>
      </x:c>
      <x:c r="J358" s="618">
        <x:v>0</x:v>
      </x:c>
      <x:c r="K358" s="618">
        <x:v>0</x:v>
      </x:c>
      <x:c r="L358" s="618">
        <x:v>0</x:v>
      </x:c>
      <x:c r="M358" s="618">
        <x:v>0</x:v>
      </x:c>
      <x:c r="N358" s="618">
        <x:v>0</x:v>
      </x:c>
      <x:c r="O358" s="618">
        <x:v>0</x:v>
      </x:c>
      <x:c r="P358" s="618">
        <x:v>0</x:v>
      </x:c>
      <x:c r="Q358" s="618">
        <x:v>0</x:v>
      </x:c>
      <x:c r="R358" s="616">
        <x:v>0</x:v>
      </x:c>
    </x:row>
    <x:row r="359" spans="1:18" ht="12.6" customHeight="1" x14ac:dyDescent="0.2">
      <x:c r="C359" s="616" t="s">
        <x:v>81</x:v>
      </x:c>
      <x:c r="D359" s="618">
        <x:v>0</x:v>
      </x:c>
      <x:c r="E359" s="618">
        <x:v>0</x:v>
      </x:c>
      <x:c r="F359" s="618">
        <x:v>0</x:v>
      </x:c>
      <x:c r="G359" s="620">
        <x:v>0</x:v>
      </x:c>
      <x:c r="H359" s="618">
        <x:v>0</x:v>
      </x:c>
      <x:c r="I359" s="618">
        <x:v>0</x:v>
      </x:c>
      <x:c r="J359" s="618">
        <x:v>0</x:v>
      </x:c>
      <x:c r="K359" s="618">
        <x:v>0</x:v>
      </x:c>
      <x:c r="L359" s="618">
        <x:v>0</x:v>
      </x:c>
      <x:c r="M359" s="618">
        <x:v>0</x:v>
      </x:c>
      <x:c r="N359" s="618">
        <x:v>0</x:v>
      </x:c>
      <x:c r="O359" s="618">
        <x:v>0</x:v>
      </x:c>
      <x:c r="P359" s="618">
        <x:v>0</x:v>
      </x:c>
      <x:c r="Q359" s="618">
        <x:v>0</x:v>
      </x:c>
      <x:c r="R359" s="616">
        <x:v>0</x:v>
      </x:c>
    </x:row>
    <x:row r="360" spans="1:18" s="621" customFormat="1" ht="12.75" customHeight="1" x14ac:dyDescent="0.2">
      <x:c r="B360" s="622" t="s">
        <x:v>78</x:v>
      </x:c>
      <x:c r="C360" s="622" t="s">
        <x:v>70</x:v>
      </x:c>
      <x:c r="D360" s="622">
        <x:v>0</x:v>
      </x:c>
      <x:c r="E360" s="622">
        <x:v>0</x:v>
      </x:c>
      <x:c r="F360" s="622">
        <x:v>0</x:v>
      </x:c>
      <x:c r="G360" s="622">
        <x:v>0</x:v>
      </x:c>
      <x:c r="H360" s="622">
        <x:v>0</x:v>
      </x:c>
      <x:c r="I360" s="622">
        <x:v>0</x:v>
      </x:c>
      <x:c r="J360" s="622">
        <x:v>0</x:v>
      </x:c>
      <x:c r="K360" s="622">
        <x:v>0</x:v>
      </x:c>
      <x:c r="L360" s="622">
        <x:v>0</x:v>
      </x:c>
      <x:c r="M360" s="622">
        <x:v>0</x:v>
      </x:c>
      <x:c r="N360" s="622">
        <x:v>0</x:v>
      </x:c>
      <x:c r="O360" s="622">
        <x:v>0</x:v>
      </x:c>
      <x:c r="P360" s="621">
        <x:v>0</x:v>
      </x:c>
      <x:c r="Q360" s="622">
        <x:v>0</x:v>
      </x:c>
      <x:c r="R360" s="622">
        <x:v>0</x:v>
      </x:c>
    </x:row>
    <x:row r="361" spans="1:18" ht="12.75" customHeight="1" x14ac:dyDescent="0.2">
      <x:c r="C361" s="616" t="s">
        <x:v>73</x:v>
      </x:c>
      <x:c r="D361" s="618">
        <x:v>0</x:v>
      </x:c>
      <x:c r="E361" s="618">
        <x:v>0</x:v>
      </x:c>
      <x:c r="F361" s="618">
        <x:v>0</x:v>
      </x:c>
      <x:c r="G361" s="620">
        <x:v>0</x:v>
      </x:c>
      <x:c r="H361" s="618">
        <x:v>0</x:v>
      </x:c>
      <x:c r="I361" s="618">
        <x:v>0</x:v>
      </x:c>
      <x:c r="J361" s="618">
        <x:v>0</x:v>
      </x:c>
      <x:c r="K361" s="618">
        <x:v>0</x:v>
      </x:c>
      <x:c r="L361" s="618">
        <x:v>0</x:v>
      </x:c>
      <x:c r="M361" s="618">
        <x:v>0</x:v>
      </x:c>
      <x:c r="N361" s="618">
        <x:v>0</x:v>
      </x:c>
      <x:c r="O361" s="618">
        <x:v>0</x:v>
      </x:c>
      <x:c r="P361" s="618">
        <x:v>0</x:v>
      </x:c>
      <x:c r="Q361" s="618">
        <x:v>0</x:v>
      </x:c>
      <x:c r="R361" s="616">
        <x:v>0</x:v>
      </x:c>
    </x:row>
    <x:row r="362" spans="1:18" s="623" customFormat="1" ht="12.75" customHeight="1" x14ac:dyDescent="0.2">
      <x:c r="B362" s="624" t="s">
        <x:v>79</x:v>
      </x:c>
      <x:c r="C362" s="624" t="s">
        <x:v>70</x:v>
      </x:c>
      <x:c r="D362" s="624">
        <x:v>0</x:v>
      </x:c>
      <x:c r="E362" s="624">
        <x:v>0</x:v>
      </x:c>
      <x:c r="F362" s="624">
        <x:v>0</x:v>
      </x:c>
      <x:c r="G362" s="624">
        <x:v>0</x:v>
      </x:c>
      <x:c r="H362" s="624">
        <x:v>0</x:v>
      </x:c>
      <x:c r="I362" s="624">
        <x:v>0</x:v>
      </x:c>
      <x:c r="J362" s="624">
        <x:v>0</x:v>
      </x:c>
      <x:c r="K362" s="624">
        <x:v>0</x:v>
      </x:c>
      <x:c r="L362" s="624">
        <x:v>0</x:v>
      </x:c>
      <x:c r="M362" s="624">
        <x:v>0</x:v>
      </x:c>
      <x:c r="N362" s="624">
        <x:v>0</x:v>
      </x:c>
      <x:c r="O362" s="624">
        <x:v>0</x:v>
      </x:c>
      <x:c r="P362" s="623">
        <x:v>0</x:v>
      </x:c>
      <x:c r="Q362" s="624">
        <x:v>0</x:v>
      </x:c>
      <x:c r="R362" s="624">
        <x:v>0</x:v>
      </x:c>
    </x:row>
    <x:row r="363" spans="1:18" s="739" customFormat="1" ht="12.75" customHeight="1" x14ac:dyDescent="0.2">
      <x:c r="A363" s="739" t="s">
        <x:v>326</x:v>
      </x:c>
      <x:c r="B363" s="739" t="s">
        <x:v>70</x:v>
      </x:c>
      <x:c r="D363" s="739">
        <x:v>0</x:v>
      </x:c>
      <x:c r="E363" s="739">
        <x:v>0</x:v>
      </x:c>
      <x:c r="F363" s="739">
        <x:v>0</x:v>
      </x:c>
      <x:c r="G363" s="739">
        <x:v>0</x:v>
      </x:c>
      <x:c r="H363" s="739">
        <x:v>0</x:v>
      </x:c>
      <x:c r="I363" s="739">
        <x:v>0</x:v>
      </x:c>
      <x:c r="J363" s="739">
        <x:v>0</x:v>
      </x:c>
      <x:c r="K363" s="739">
        <x:v>0</x:v>
      </x:c>
      <x:c r="L363" s="739">
        <x:v>0</x:v>
      </x:c>
      <x:c r="M363" s="739">
        <x:v>0</x:v>
      </x:c>
      <x:c r="N363" s="739">
        <x:v>0</x:v>
      </x:c>
      <x:c r="O363" s="739">
        <x:v>0</x:v>
      </x:c>
      <x:c r="P363" s="739">
        <x:v>0</x:v>
      </x:c>
      <x:c r="Q363" s="739">
        <x:v>0</x:v>
      </x:c>
      <x:c r="R363" s="739">
        <x:v>0</x:v>
      </x:c>
    </x:row>
    <x:row r="364" spans="1:18" ht="12.75" customHeight="1" x14ac:dyDescent="0.2">
      <x:c r="C364" s="616" t="s">
        <x:v>72</x:v>
      </x:c>
      <x:c r="D364" s="618">
        <x:v>0</x:v>
      </x:c>
      <x:c r="E364" s="618">
        <x:v>0</x:v>
      </x:c>
      <x:c r="F364" s="618">
        <x:v>0</x:v>
      </x:c>
      <x:c r="G364" s="620">
        <x:v>0</x:v>
      </x:c>
      <x:c r="H364" s="618">
        <x:v>0</x:v>
      </x:c>
      <x:c r="I364" s="618">
        <x:v>0</x:v>
      </x:c>
      <x:c r="J364" s="618">
        <x:v>0</x:v>
      </x:c>
      <x:c r="K364" s="618">
        <x:v>0</x:v>
      </x:c>
      <x:c r="L364" s="618">
        <x:v>0</x:v>
      </x:c>
      <x:c r="M364" s="618">
        <x:v>0</x:v>
      </x:c>
      <x:c r="N364" s="618">
        <x:v>0</x:v>
      </x:c>
      <x:c r="O364" s="618">
        <x:v>0</x:v>
      </x:c>
      <x:c r="P364" s="618">
        <x:v>0</x:v>
      </x:c>
      <x:c r="Q364" s="618">
        <x:v>0</x:v>
      </x:c>
      <x:c r="R364" s="616">
        <x:v>0</x:v>
      </x:c>
    </x:row>
    <x:row r="365" spans="1:18" ht="12.6" customHeight="1" x14ac:dyDescent="0.2">
      <x:c r="C365" s="616" t="s">
        <x:v>81</x:v>
      </x:c>
      <x:c r="D365" s="618">
        <x:v>0</x:v>
      </x:c>
      <x:c r="E365" s="618">
        <x:v>0</x:v>
      </x:c>
      <x:c r="F365" s="618">
        <x:v>0</x:v>
      </x:c>
      <x:c r="G365" s="620">
        <x:v>0</x:v>
      </x:c>
      <x:c r="H365" s="618">
        <x:v>0</x:v>
      </x:c>
      <x:c r="I365" s="618">
        <x:v>0</x:v>
      </x:c>
      <x:c r="J365" s="618">
        <x:v>0</x:v>
      </x:c>
      <x:c r="K365" s="618">
        <x:v>0</x:v>
      </x:c>
      <x:c r="L365" s="618">
        <x:v>0</x:v>
      </x:c>
      <x:c r="M365" s="618">
        <x:v>0</x:v>
      </x:c>
      <x:c r="N365" s="618">
        <x:v>0</x:v>
      </x:c>
      <x:c r="O365" s="618">
        <x:v>0</x:v>
      </x:c>
      <x:c r="P365" s="618">
        <x:v>0</x:v>
      </x:c>
      <x:c r="Q365" s="618">
        <x:v>0</x:v>
      </x:c>
      <x:c r="R365" s="616">
        <x:v>0</x:v>
      </x:c>
    </x:row>
    <x:row r="366" spans="1:18" s="621" customFormat="1" ht="12.75" customHeight="1" x14ac:dyDescent="0.2">
      <x:c r="B366" s="622" t="s">
        <x:v>78</x:v>
      </x:c>
      <x:c r="C366" s="622" t="s">
        <x:v>70</x:v>
      </x:c>
      <x:c r="D366" s="622">
        <x:v>0</x:v>
      </x:c>
      <x:c r="E366" s="622">
        <x:v>0</x:v>
      </x:c>
      <x:c r="F366" s="622">
        <x:v>0</x:v>
      </x:c>
      <x:c r="G366" s="622">
        <x:v>0</x:v>
      </x:c>
      <x:c r="H366" s="622">
        <x:v>0</x:v>
      </x:c>
      <x:c r="I366" s="622">
        <x:v>0</x:v>
      </x:c>
      <x:c r="J366" s="622">
        <x:v>0</x:v>
      </x:c>
      <x:c r="K366" s="622">
        <x:v>0</x:v>
      </x:c>
      <x:c r="L366" s="622">
        <x:v>0</x:v>
      </x:c>
      <x:c r="M366" s="622">
        <x:v>0</x:v>
      </x:c>
      <x:c r="N366" s="622">
        <x:v>0</x:v>
      </x:c>
      <x:c r="O366" s="622">
        <x:v>0</x:v>
      </x:c>
      <x:c r="P366" s="621">
        <x:v>0</x:v>
      </x:c>
      <x:c r="Q366" s="622">
        <x:v>0</x:v>
      </x:c>
      <x:c r="R366" s="622">
        <x:v>0</x:v>
      </x:c>
    </x:row>
    <x:row r="367" spans="1:18" ht="12.75" customHeight="1" x14ac:dyDescent="0.2">
      <x:c r="C367" s="616" t="s">
        <x:v>73</x:v>
      </x:c>
      <x:c r="D367" s="618">
        <x:v>0</x:v>
      </x:c>
      <x:c r="E367" s="618">
        <x:v>0</x:v>
      </x:c>
      <x:c r="F367" s="618">
        <x:v>0</x:v>
      </x:c>
      <x:c r="G367" s="620">
        <x:v>0</x:v>
      </x:c>
      <x:c r="H367" s="618">
        <x:v>0</x:v>
      </x:c>
      <x:c r="I367" s="618">
        <x:v>0</x:v>
      </x:c>
      <x:c r="J367" s="618">
        <x:v>0</x:v>
      </x:c>
      <x:c r="K367" s="618">
        <x:v>0</x:v>
      </x:c>
      <x:c r="L367" s="618">
        <x:v>0</x:v>
      </x:c>
      <x:c r="M367" s="618">
        <x:v>0</x:v>
      </x:c>
      <x:c r="N367" s="618">
        <x:v>0</x:v>
      </x:c>
      <x:c r="O367" s="618">
        <x:v>0</x:v>
      </x:c>
      <x:c r="P367" s="618">
        <x:v>0</x:v>
      </x:c>
      <x:c r="Q367" s="618">
        <x:v>0</x:v>
      </x:c>
      <x:c r="R367" s="616">
        <x:v>0</x:v>
      </x:c>
    </x:row>
    <x:row r="368" spans="1:18" s="623" customFormat="1" ht="12.75" customHeight="1" x14ac:dyDescent="0.2">
      <x:c r="B368" s="624" t="s">
        <x:v>79</x:v>
      </x:c>
      <x:c r="C368" s="624" t="s">
        <x:v>70</x:v>
      </x:c>
      <x:c r="D368" s="624">
        <x:v>0</x:v>
      </x:c>
      <x:c r="E368" s="624">
        <x:v>0</x:v>
      </x:c>
      <x:c r="F368" s="624">
        <x:v>0</x:v>
      </x:c>
      <x:c r="G368" s="624">
        <x:v>0</x:v>
      </x:c>
      <x:c r="H368" s="624">
        <x:v>0</x:v>
      </x:c>
      <x:c r="I368" s="624">
        <x:v>0</x:v>
      </x:c>
      <x:c r="J368" s="624">
        <x:v>0</x:v>
      </x:c>
      <x:c r="K368" s="624">
        <x:v>0</x:v>
      </x:c>
      <x:c r="L368" s="624">
        <x:v>0</x:v>
      </x:c>
      <x:c r="M368" s="624">
        <x:v>0</x:v>
      </x:c>
      <x:c r="N368" s="624">
        <x:v>0</x:v>
      </x:c>
      <x:c r="O368" s="624">
        <x:v>0</x:v>
      </x:c>
      <x:c r="P368" s="623">
        <x:v>0</x:v>
      </x:c>
      <x:c r="Q368" s="624">
        <x:v>0</x:v>
      </x:c>
      <x:c r="R368" s="624">
        <x:v>0</x:v>
      </x:c>
    </x:row>
    <x:row r="369" spans="1:18" s="628" customFormat="1" ht="12.75" customHeight="1" x14ac:dyDescent="0.2">
      <x:c r="A369" s="628" t="s">
        <x:v>119</x:v>
      </x:c>
      <x:c r="B369" s="628" t="s">
        <x:v>70</x:v>
      </x:c>
      <x:c r="D369" s="628">
        <x:v>0</x:v>
      </x:c>
      <x:c r="E369" s="628">
        <x:v>0</x:v>
      </x:c>
      <x:c r="F369" s="628">
        <x:v>0</x:v>
      </x:c>
      <x:c r="G369" s="628">
        <x:v>0</x:v>
      </x:c>
      <x:c r="H369" s="628">
        <x:v>0</x:v>
      </x:c>
      <x:c r="I369" s="628">
        <x:v>0</x:v>
      </x:c>
      <x:c r="J369" s="628">
        <x:v>0</x:v>
      </x:c>
      <x:c r="K369" s="628">
        <x:v>0</x:v>
      </x:c>
      <x:c r="L369" s="628">
        <x:v>0</x:v>
      </x:c>
      <x:c r="M369" s="628">
        <x:v>0</x:v>
      </x:c>
      <x:c r="N369" s="628">
        <x:v>0</x:v>
      </x:c>
      <x:c r="O369" s="628">
        <x:v>0</x:v>
      </x:c>
      <x:c r="P369" s="628">
        <x:v>0</x:v>
      </x:c>
      <x:c r="Q369" s="628">
        <x:v>0</x:v>
      </x:c>
      <x:c r="R369" s="628">
        <x:v>0</x:v>
      </x:c>
    </x:row>
    <x:row r="370" spans="1:18" s="631" customFormat="1" ht="12.75" customHeight="1" x14ac:dyDescent="0.2">
      <x:c r="A370" s="630" t="s">
        <x:v>70</x:v>
      </x:c>
      <x:c r="D370" s="630" t="n">
        <x:v>-4790099</x:v>
      </x:c>
      <x:c r="E370" s="630" t="n">
        <x:v>-246610.94</x:v>
      </x:c>
      <x:c r="F370" s="630" t="n">
        <x:v>-136641.44</x:v>
      </x:c>
      <x:c r="G370" s="630" t="n">
        <x:v>-70251</x:v>
      </x:c>
      <x:c r="H370" s="630" t="n">
        <x:v>-959433.06</x:v>
      </x:c>
      <x:c r="I370" s="630" t="n">
        <x:v>-44104.82</x:v>
      </x:c>
      <x:c r="J370" s="630" t="n">
        <x:v>-385589.8</x:v>
      </x:c>
      <x:c r="K370" s="630" t="n">
        <x:v>-363763.52</x:v>
      </x:c>
      <x:c r="L370" s="630" t="n">
        <x:v>-1777150.37</x:v>
      </x:c>
      <x:c r="M370" s="630" t="n">
        <x:v>-734637.11</x:v>
      </x:c>
      <x:c r="N370" s="630" t="n">
        <x:v>-71958.82</x:v>
      </x:c>
      <x:c r="O370" s="630" t="n">
        <x:v>41.97</x:v>
      </x:c>
      <x:c r="P370" s="631" t="n">
        <x:v>0</x:v>
      </x:c>
      <x:c r="Q370" s="631" t="n">
        <x:v>-0.09</x:v>
      </x:c>
      <x:c r="R370" s="631">
        <x:v>0</x:v>
      </x:c>
    </x:row>
    <x:row r="371" spans="1:18" ht="12.75" customHeight="1" x14ac:dyDescent="0.2">
      <x:c r="C371" s="618"/>
      <x:c r="D371" s="618"/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Q371" s="618"/>
    </x:row>
    <x:row r="372" spans="1:18" ht="12.75" customHeight="1" x14ac:dyDescent="0.2">
      <x:c r="C372" s="618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Q372" s="618"/>
    </x:row>
    <x:row r="373" spans="1:18" ht="12.75" customHeight="1" x14ac:dyDescent="0.2">
      <x:c r="A373" s="782" t="s">
        <x:v>2</x:v>
      </x:c>
      <x:c r="B373" s="781" t="s">
        <x:v>132</x:v>
      </x:c>
      <x:c r="C373" s="766" t="s">
        <x:v>70</x:v>
      </x:c>
      <x:c r="D373" s="766">
        <x:f>D370-P370</x:f>
        <x:v>0</x:v>
      </x:c>
      <x:c r="E373" s="766">
        <x:f>E354+E366</x:f>
        <x:v>0</x:v>
      </x:c>
      <x:c r="F373" s="766">
        <x:f t="shared" ref="F373:R373" si="15">F354+F366</x:f>
        <x:v>0</x:v>
      </x:c>
      <x:c r="G373" s="766">
        <x:f t="shared" si="15"/>
        <x:v>0</x:v>
      </x:c>
      <x:c r="H373" s="766">
        <x:f t="shared" si="15"/>
        <x:v>0</x:v>
      </x:c>
      <x:c r="I373" s="766">
        <x:f t="shared" si="15"/>
        <x:v>0</x:v>
      </x:c>
      <x:c r="J373" s="766">
        <x:f t="shared" si="15"/>
        <x:v>0</x:v>
      </x:c>
      <x:c r="K373" s="766">
        <x:f t="shared" si="15"/>
        <x:v>0</x:v>
      </x:c>
      <x:c r="L373" s="766">
        <x:f t="shared" si="15"/>
        <x:v>0</x:v>
      </x:c>
      <x:c r="M373" s="766">
        <x:f t="shared" si="15"/>
        <x:v>0</x:v>
      </x:c>
      <x:c r="N373" s="766">
        <x:f t="shared" si="15"/>
        <x:v>0</x:v>
      </x:c>
      <x:c r="O373" s="766">
        <x:f t="shared" si="15"/>
        <x:v>0</x:v>
      </x:c>
      <x:c r="P373" s="766">
        <x:f t="shared" si="15"/>
        <x:v>0</x:v>
      </x:c>
      <x:c r="Q373" s="766">
        <x:f t="shared" si="15"/>
        <x:v>0</x:v>
      </x:c>
      <x:c r="R373" s="766">
        <x:f t="shared" si="15"/>
        <x:v>0</x:v>
      </x:c>
    </x:row>
    <x:row r="374" spans="1:18" ht="12.75" customHeight="1" x14ac:dyDescent="0.2">
      <x:c r="A374" s="782"/>
      <x:c r="B374" s="781"/>
      <x:c r="C374" s="766" t="s">
        <x:v>73</x:v>
      </x:c>
      <x:c r="D374" s="767">
        <x:f>D356+D368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  <x:c r="R374" s="618"/>
    </x:row>
    <x:row r="375" spans="1:18" ht="12.75" customHeight="1" x14ac:dyDescent="0.2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  <x:c r="R375" s="618"/>
    </x:row>
    <x:row r="376" spans="1:18" ht="12.75" customHeight="1" x14ac:dyDescent="0.2">
      <x:c r="A376" s="782" t="s">
        <x:v>160</x:v>
      </x:c>
      <x:c r="B376" s="781" t="s">
        <x:v>132</x:v>
      </x:c>
      <x:c r="C376" s="632" t="s">
        <x:v>70</x:v>
      </x:c>
      <x:c r="D376" s="632">
        <x:v>0</x:v>
      </x:c>
      <x:c r="E376" s="632">
        <x:v>0</x:v>
      </x:c>
      <x:c r="F376" s="632">
        <x:v>0</x:v>
      </x:c>
      <x:c r="G376" s="632">
        <x:v>0</x:v>
      </x:c>
      <x:c r="H376" s="632">
        <x:v>0</x:v>
      </x:c>
      <x:c r="I376" s="632">
        <x:v>0</x:v>
      </x:c>
      <x:c r="J376" s="632">
        <x:v>0</x:v>
      </x:c>
      <x:c r="K376" s="632">
        <x:v>0</x:v>
      </x:c>
      <x:c r="L376" s="632">
        <x:v>0</x:v>
      </x:c>
      <x:c r="M376" s="632">
        <x:v>0</x:v>
      </x:c>
      <x:c r="N376" s="632">
        <x:v>0</x:v>
      </x:c>
      <x:c r="O376" s="632">
        <x:v>0</x:v>
      </x:c>
      <x:c r="P376" s="632">
        <x:v>0</x:v>
      </x:c>
      <x:c r="Q376" s="632">
        <x:v>0</x:v>
      </x:c>
      <x:c r="R376" s="632">
        <x:v>0</x:v>
      </x:c>
    </x:row>
    <x:row r="377" spans="1:18" ht="12.75" customHeight="1" x14ac:dyDescent="0.2">
      <x:c r="A377" s="782"/>
      <x:c r="B377" s="781"/>
      <x:c r="C377" s="632" t="s">
        <x:v>73</x:v>
      </x:c>
      <x:c r="D377" s="632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  <x:c r="R377" s="618"/>
    </x:row>
    <x:row r="378" spans="1:18" ht="12.75" customHeight="1" x14ac:dyDescent="0.2">
      <x:c r="A378" s="617"/>
      <x:c r="D378" s="618"/>
      <x:c r="E378" s="618"/>
      <x:c r="F378" s="618"/>
      <x:c r="G378" s="618"/>
      <x:c r="H378" s="618"/>
      <x:c r="I378" s="618"/>
      <x:c r="J378" s="618"/>
      <x:c r="K378" s="618"/>
      <x:c r="L378" s="618"/>
      <x:c r="M378" s="618"/>
      <x:c r="N378" s="618"/>
      <x:c r="O378" s="618"/>
      <x:c r="P378" s="618"/>
      <x:c r="Q378" s="618"/>
      <x:c r="R378" s="618"/>
    </x:row>
    <x:row r="379" spans="1:18" ht="12.75" customHeight="1" x14ac:dyDescent="0.2">
      <x:c r="A379" s="782" t="s">
        <x:v>155</x:v>
      </x:c>
      <x:c r="B379" s="781" t="s">
        <x:v>132</x:v>
      </x:c>
      <x:c r="C379" s="633" t="s">
        <x:v>70</x:v>
      </x:c>
      <x:c r="D379" s="633">
        <x:f>D357-P357</x:f>
        <x:v>0</x:v>
      </x:c>
      <x:c r="E379" s="633">
        <x:f>E354</x:f>
        <x:v>0</x:v>
      </x:c>
      <x:c r="F379" s="633">
        <x:f t="shared" ref="F379:R379" si="16">F354</x:f>
        <x:v>0</x:v>
      </x:c>
      <x:c r="G379" s="633">
        <x:f t="shared" si="16"/>
        <x:v>0</x:v>
      </x:c>
      <x:c r="H379" s="633">
        <x:f t="shared" si="16"/>
        <x:v>0</x:v>
      </x:c>
      <x:c r="I379" s="633">
        <x:f t="shared" si="16"/>
        <x:v>0</x:v>
      </x:c>
      <x:c r="J379" s="633">
        <x:f t="shared" si="16"/>
        <x:v>0</x:v>
      </x:c>
      <x:c r="K379" s="633">
        <x:f t="shared" si="16"/>
        <x:v>0</x:v>
      </x:c>
      <x:c r="L379" s="633">
        <x:f t="shared" si="16"/>
        <x:v>0</x:v>
      </x:c>
      <x:c r="M379" s="633">
        <x:f t="shared" si="16"/>
        <x:v>0</x:v>
      </x:c>
      <x:c r="N379" s="633">
        <x:f t="shared" si="16"/>
        <x:v>0</x:v>
      </x:c>
      <x:c r="O379" s="633">
        <x:f t="shared" si="16"/>
        <x:v>0</x:v>
      </x:c>
      <x:c r="P379" s="633">
        <x:f t="shared" si="16"/>
        <x:v>0</x:v>
      </x:c>
      <x:c r="Q379" s="633">
        <x:f t="shared" si="16"/>
        <x:v>0</x:v>
      </x:c>
      <x:c r="R379" s="633">
        <x:f t="shared" si="16"/>
        <x:v>0</x:v>
      </x:c>
    </x:row>
    <x:row r="380" spans="1:18" ht="12.75" customHeight="1" x14ac:dyDescent="0.2">
      <x:c r="A380" s="782"/>
      <x:c r="B380" s="781"/>
      <x:c r="C380" s="633" t="s">
        <x:v>73</x:v>
      </x:c>
      <x:c r="D380" s="633">
        <x:f>D356</x:f>
        <x:v>0</x:v>
      </x:c>
      <x:c r="E380" s="618"/>
      <x:c r="F380" s="618"/>
      <x:c r="G380" s="618"/>
      <x:c r="H380" s="618"/>
      <x:c r="I380" s="618"/>
      <x:c r="J380" s="618"/>
      <x:c r="K380" s="618"/>
      <x:c r="L380" s="618"/>
      <x:c r="M380" s="618"/>
      <x:c r="N380" s="618"/>
      <x:c r="O380" s="618"/>
      <x:c r="P380" s="618"/>
      <x:c r="Q380" s="618"/>
    </x:row>
    <x:row r="381" spans="1:18" ht="12.75" customHeight="1" x14ac:dyDescent="0.2">
      <x:c r="A381" s="617"/>
      <x:c r="D381" s="618"/>
      <x:c r="E381" s="618"/>
      <x:c r="F381" s="618"/>
      <x:c r="G381" s="618"/>
      <x:c r="H381" s="618"/>
      <x:c r="I381" s="618"/>
      <x:c r="J381" s="618"/>
      <x:c r="K381" s="618"/>
      <x:c r="L381" s="618"/>
      <x:c r="M381" s="618"/>
      <x:c r="N381" s="618"/>
      <x:c r="O381" s="618"/>
      <x:c r="P381" s="618"/>
      <x:c r="Q381" s="618"/>
    </x:row>
    <x:row r="382" spans="1:18" ht="12.75" customHeight="1" x14ac:dyDescent="0.2">
      <x:c r="A382" s="783" t="s">
        <x:v>326</x:v>
      </x:c>
      <x:c r="B382" s="781" t="s">
        <x:v>132</x:v>
      </x:c>
      <x:c r="C382" s="633" t="s">
        <x:v>70</x:v>
      </x:c>
      <x:c r="D382" s="720">
        <x:f>D363-P363</x:f>
        <x:v>0</x:v>
      </x:c>
      <x:c r="E382" s="720">
        <x:f>E360</x:f>
        <x:v>0</x:v>
      </x:c>
      <x:c r="F382" s="720">
        <x:f t="shared" ref="F382:R382" si="17">F360</x:f>
        <x:v>0</x:v>
      </x:c>
      <x:c r="G382" s="720">
        <x:f t="shared" si="17"/>
        <x:v>0</x:v>
      </x:c>
      <x:c r="H382" s="720">
        <x:f t="shared" si="17"/>
        <x:v>0</x:v>
      </x:c>
      <x:c r="I382" s="720">
        <x:f t="shared" si="17"/>
        <x:v>0</x:v>
      </x:c>
      <x:c r="J382" s="720">
        <x:f t="shared" si="17"/>
        <x:v>0</x:v>
      </x:c>
      <x:c r="K382" s="720">
        <x:f t="shared" si="17"/>
        <x:v>0</x:v>
      </x:c>
      <x:c r="L382" s="720">
        <x:f t="shared" si="17"/>
        <x:v>0</x:v>
      </x:c>
      <x:c r="M382" s="720">
        <x:f t="shared" si="17"/>
        <x:v>0</x:v>
      </x:c>
      <x:c r="N382" s="720">
        <x:f t="shared" si="17"/>
        <x:v>0</x:v>
      </x:c>
      <x:c r="O382" s="720">
        <x:f t="shared" si="17"/>
        <x:v>0</x:v>
      </x:c>
      <x:c r="P382" s="720">
        <x:f t="shared" si="17"/>
        <x:v>0</x:v>
      </x:c>
      <x:c r="Q382" s="720">
        <x:f t="shared" si="17"/>
        <x:v>0</x:v>
      </x:c>
      <x:c r="R382" s="720">
        <x:f t="shared" si="17"/>
        <x:v>0</x:v>
      </x:c>
    </x:row>
    <x:row r="383" spans="1:18" ht="12.75" customHeight="1" x14ac:dyDescent="0.2">
      <x:c r="A383" s="783"/>
      <x:c r="B383" s="781"/>
      <x:c r="C383" s="633" t="s">
        <x:v>73</x:v>
      </x:c>
      <x:c r="D383" s="720">
        <x:f>D362</x:f>
        <x:v>0</x:v>
      </x:c>
      <x:c r="E383" s="618"/>
      <x:c r="F383" s="618"/>
      <x:c r="G383" s="618"/>
      <x:c r="H383" s="618"/>
      <x:c r="I383" s="618"/>
      <x:c r="J383" s="618"/>
      <x:c r="K383" s="618"/>
      <x:c r="L383" s="618"/>
      <x:c r="M383" s="618"/>
      <x:c r="N383" s="618"/>
      <x:c r="O383" s="618"/>
      <x:c r="P383" s="618"/>
      <x:c r="Q383" s="618"/>
    </x:row>
    <x:row r="384" spans="1:18" ht="12.75" customHeight="1" x14ac:dyDescent="0.2">
      <x:c r="A384" s="617"/>
      <x:c r="D384" s="618"/>
      <x:c r="E384" s="618"/>
      <x:c r="F384" s="618"/>
      <x:c r="G384" s="618"/>
      <x:c r="H384" s="618"/>
      <x:c r="I384" s="618"/>
      <x:c r="J384" s="618"/>
      <x:c r="K384" s="618"/>
      <x:c r="L384" s="618"/>
      <x:c r="M384" s="618"/>
      <x:c r="N384" s="618"/>
      <x:c r="O384" s="618"/>
      <x:c r="P384" s="618"/>
      <x:c r="Q384" s="618"/>
    </x:row>
    <x:row r="385" spans="1:18" ht="12.75" customHeight="1" x14ac:dyDescent="0.2">
      <x:c r="A385" s="782" t="s">
        <x:v>119</x:v>
      </x:c>
      <x:c r="B385" s="781" t="s">
        <x:v>132</x:v>
      </x:c>
      <x:c r="C385" s="628" t="s">
        <x:v>70</x:v>
      </x:c>
      <x:c r="D385" s="628">
        <x:f>D369-P369</x:f>
        <x:v>0</x:v>
      </x:c>
      <x:c r="E385" s="628">
        <x:f>E366</x:f>
        <x:v>0</x:v>
      </x:c>
      <x:c r="F385" s="628">
        <x:f t="shared" ref="F385:R385" si="18">F366</x:f>
        <x:v>0</x:v>
      </x:c>
      <x:c r="G385" s="628">
        <x:f t="shared" si="18"/>
        <x:v>0</x:v>
      </x:c>
      <x:c r="H385" s="628">
        <x:f t="shared" si="18"/>
        <x:v>0</x:v>
      </x:c>
      <x:c r="I385" s="628">
        <x:f t="shared" si="18"/>
        <x:v>0</x:v>
      </x:c>
      <x:c r="J385" s="628">
        <x:f t="shared" si="18"/>
        <x:v>0</x:v>
      </x:c>
      <x:c r="K385" s="628">
        <x:f t="shared" si="18"/>
        <x:v>0</x:v>
      </x:c>
      <x:c r="L385" s="628">
        <x:f t="shared" si="18"/>
        <x:v>0</x:v>
      </x:c>
      <x:c r="M385" s="628">
        <x:f t="shared" si="18"/>
        <x:v>0</x:v>
      </x:c>
      <x:c r="N385" s="628">
        <x:f t="shared" si="18"/>
        <x:v>0</x:v>
      </x:c>
      <x:c r="O385" s="628">
        <x:f t="shared" si="18"/>
        <x:v>0</x:v>
      </x:c>
      <x:c r="P385" s="628">
        <x:f t="shared" si="18"/>
        <x:v>0</x:v>
      </x:c>
      <x:c r="Q385" s="628">
        <x:f t="shared" si="18"/>
        <x:v>0</x:v>
      </x:c>
      <x:c r="R385" s="628">
        <x:f t="shared" si="18"/>
        <x:v>0</x:v>
      </x:c>
    </x:row>
    <x:row r="386" spans="1:18" ht="12.75" customHeight="1" x14ac:dyDescent="0.2">
      <x:c r="A386" s="782"/>
      <x:c r="B386" s="781"/>
      <x:c r="C386" s="628" t="s">
        <x:v>73</x:v>
      </x:c>
      <x:c r="D386" s="629">
        <x:f>D368</x:f>
        <x:v>0</x:v>
      </x:c>
      <x:c r="E386" s="618"/>
      <x:c r="F386" s="618"/>
      <x:c r="G386" s="618"/>
      <x:c r="H386" s="618"/>
      <x:c r="I386" s="618"/>
      <x:c r="J386" s="618"/>
      <x:c r="K386" s="618"/>
      <x:c r="L386" s="618"/>
      <x:c r="M386" s="618"/>
      <x:c r="N386" s="618"/>
      <x:c r="O386" s="618"/>
      <x:c r="P386" s="618"/>
      <x:c r="Q386" s="618"/>
    </x:row>
    <x:row r="387" spans="1:18" ht="12.75" customHeight="1" x14ac:dyDescent="0.2">
      <x:c r="A387" s="617"/>
      <x:c r="D387" s="618"/>
      <x:c r="E387" s="618"/>
      <x:c r="F387" s="618"/>
      <x:c r="G387" s="618"/>
      <x:c r="H387" s="618"/>
      <x:c r="I387" s="618"/>
      <x:c r="J387" s="618"/>
      <x:c r="K387" s="618"/>
      <x:c r="L387" s="618"/>
      <x:c r="M387" s="618"/>
      <x:c r="N387" s="618"/>
      <x:c r="O387" s="618"/>
      <x:c r="P387" s="618"/>
      <x:c r="Q387" s="618"/>
    </x:row>
    <x:row r="388" spans="1:18" x14ac:dyDescent="0.2">
      <x:c r="A388" s="780" t="s">
        <x:v>161</x:v>
      </x:c>
      <x:c r="B388" s="781" t="s">
        <x:v>132</x:v>
      </x:c>
      <x:c r="C388" s="634" t="s">
        <x:v>70</x:v>
      </x:c>
      <x:c r="D388" s="634">
        <x:v>0</x:v>
      </x:c>
      <x:c r="E388" s="634">
        <x:v>0</x:v>
      </x:c>
      <x:c r="F388" s="634">
        <x:v>0</x:v>
      </x:c>
      <x:c r="G388" s="634">
        <x:v>0</x:v>
      </x:c>
      <x:c r="H388" s="634">
        <x:v>0</x:v>
      </x:c>
      <x:c r="I388" s="634">
        <x:v>0</x:v>
      </x:c>
      <x:c r="J388" s="634">
        <x:v>0</x:v>
      </x:c>
      <x:c r="K388" s="634">
        <x:v>0</x:v>
      </x:c>
      <x:c r="L388" s="634">
        <x:v>0</x:v>
      </x:c>
      <x:c r="M388" s="634">
        <x:v>0</x:v>
      </x:c>
      <x:c r="N388" s="634">
        <x:v>0</x:v>
      </x:c>
      <x:c r="O388" s="634">
        <x:v>0</x:v>
      </x:c>
      <x:c r="P388" s="634">
        <x:v>0</x:v>
      </x:c>
      <x:c r="Q388" s="634">
        <x:v>0</x:v>
      </x:c>
      <x:c r="R388" s="634">
        <x:v>0</x:v>
      </x:c>
    </x:row>
    <x:row r="389" spans="1:18" x14ac:dyDescent="0.2">
      <x:c r="A389" s="780"/>
      <x:c r="B389" s="781"/>
      <x:c r="C389" s="634" t="s">
        <x:v>73</x:v>
      </x:c>
      <x:c r="D389" s="634">
        <x:v>0</x:v>
      </x:c>
      <x:c r="E389" s="618"/>
      <x:c r="F389" s="618"/>
      <x:c r="G389" s="618"/>
      <x:c r="H389" s="618"/>
      <x:c r="I389" s="618"/>
      <x:c r="J389" s="618"/>
      <x:c r="K389" s="618"/>
      <x:c r="L389" s="618"/>
      <x:c r="M389" s="618"/>
      <x:c r="N389" s="618"/>
      <x:c r="O389" s="618"/>
      <x:c r="P389" s="618"/>
      <x:c r="Q389" s="618"/>
    </x:row>
    <x:row r="390" spans="1:18" s="635" customFormat="1" x14ac:dyDescent="0.2"/>
    <x:row r="393" spans="1:18" x14ac:dyDescent="0.2">
      <x:c r="D393" s="616">
        <x:f t="shared" ref="D393:R393" si="19">D79+D180+D217+D332+D373</x:f>
        <x:v>0</x:v>
      </x:c>
      <x:c r="E393" s="616">
        <x:f t="shared" si="19"/>
        <x:v>0</x:v>
      </x:c>
      <x:c r="F393" s="616">
        <x:f t="shared" si="19"/>
        <x:v>0</x:v>
      </x:c>
      <x:c r="G393" s="616">
        <x:f t="shared" si="19"/>
        <x:v>0</x:v>
      </x:c>
      <x:c r="H393" s="616">
        <x:f t="shared" si="19"/>
        <x:v>0</x:v>
      </x:c>
      <x:c r="I393" s="616">
        <x:f t="shared" si="19"/>
        <x:v>0</x:v>
      </x:c>
      <x:c r="J393" s="616">
        <x:f t="shared" si="19"/>
        <x:v>0</x:v>
      </x:c>
      <x:c r="K393" s="616">
        <x:f t="shared" si="19"/>
        <x:v>0</x:v>
      </x:c>
      <x:c r="L393" s="616">
        <x:f t="shared" si="19"/>
        <x:v>0</x:v>
      </x:c>
      <x:c r="M393" s="616">
        <x:f t="shared" si="19"/>
        <x:v>0</x:v>
      </x:c>
      <x:c r="N393" s="616">
        <x:f t="shared" si="19"/>
        <x:v>0</x:v>
      </x:c>
      <x:c r="O393" s="616">
        <x:f t="shared" si="19"/>
        <x:v>0</x:v>
      </x:c>
      <x:c r="P393" s="616">
        <x:f t="shared" si="19"/>
        <x:v>0</x:v>
      </x:c>
      <x:c r="Q393" s="616">
        <x:f t="shared" si="19"/>
        <x:v>0</x:v>
      </x:c>
      <x:c r="R393" s="616">
        <x:f t="shared" si="19"/>
        <x:v>0</x:v>
      </x:c>
    </x:row>
    <x:row r="394" spans="1:18" x14ac:dyDescent="0.2">
      <x:c r="D394" s="616">
        <x:f>D80+D181+D218+D333+D374</x:f>
        <x:v>0</x:v>
      </x:c>
    </x:row>
  </x:sheetData>
  <x:mergeCells count="60">
    <x:mergeCell ref="A88:A89"/>
    <x:mergeCell ref="B88:B89"/>
    <x:mergeCell ref="A189:A190"/>
    <x:mergeCell ref="B189:B190"/>
    <x:mergeCell ref="A226:A227"/>
    <x:mergeCell ref="B226:B227"/>
    <x:mergeCell ref="A91:A92"/>
    <x:mergeCell ref="B91:B92"/>
    <x:mergeCell ref="A94:A95"/>
    <x:mergeCell ref="B94:B95"/>
    <x:mergeCell ref="A180:A181"/>
    <x:mergeCell ref="B180:B181"/>
    <x:mergeCell ref="A183:A184"/>
    <x:mergeCell ref="B183:B184"/>
    <x:mergeCell ref="A186:A187"/>
    <x:mergeCell ref="B186:B187"/>
    <x:mergeCell ref="A79:A80"/>
    <x:mergeCell ref="B79:B80"/>
    <x:mergeCell ref="A82:A83"/>
    <x:mergeCell ref="B82:B83"/>
    <x:mergeCell ref="A85:A86"/>
    <x:mergeCell ref="B85:B86"/>
    <x:mergeCell ref="A192:A193"/>
    <x:mergeCell ref="B192:B193"/>
    <x:mergeCell ref="A195:A196"/>
    <x:mergeCell ref="B195:B196"/>
    <x:mergeCell ref="A217:A218"/>
    <x:mergeCell ref="B217:B218"/>
    <x:mergeCell ref="A220:A221"/>
    <x:mergeCell ref="B220:B221"/>
    <x:mergeCell ref="A223:A224"/>
    <x:mergeCell ref="B223:B224"/>
    <x:mergeCell ref="A229:A230"/>
    <x:mergeCell ref="B229:B230"/>
    <x:mergeCell ref="A232:A233"/>
    <x:mergeCell ref="B232:B233"/>
    <x:mergeCell ref="A332:A333"/>
    <x:mergeCell ref="B332:B333"/>
    <x:mergeCell ref="A335:A336"/>
    <x:mergeCell ref="B335:B336"/>
    <x:mergeCell ref="A338:A339"/>
    <x:mergeCell ref="B338:B339"/>
    <x:mergeCell ref="A344:A345"/>
    <x:mergeCell ref="B344:B345"/>
    <x:mergeCell ref="A341:A342"/>
    <x:mergeCell ref="B341:B342"/>
    <x:mergeCell ref="A347:A348"/>
    <x:mergeCell ref="B347:B348"/>
    <x:mergeCell ref="A373:A374"/>
    <x:mergeCell ref="B373:B374"/>
    <x:mergeCell ref="A388:A389"/>
    <x:mergeCell ref="B388:B389"/>
    <x:mergeCell ref="A376:A377"/>
    <x:mergeCell ref="B376:B377"/>
    <x:mergeCell ref="A379:A380"/>
    <x:mergeCell ref="B379:B380"/>
    <x:mergeCell ref="A385:A386"/>
    <x:mergeCell ref="B385:B386"/>
    <x:mergeCell ref="A382:A383"/>
    <x:mergeCell ref="B382:B383"/>
  </x:mergeCells>
  <x:conditionalFormatting sqref="D81:D95 D180:D196 D217:D233 D332:D348 D373:D389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75" x14ac:dyDescent="0.2"/>
  <x:cols>
    <x:col min="2" max="2" width="24.42578125" bestFit="1" customWidth="1"/>
    <x:col min="3" max="3" width="17" style="144" bestFit="1" customWidth="1"/>
    <x:col min="4" max="4" width="23.140625" bestFit="1" customWidth="1"/>
    <x:col min="5" max="5" width="15.85546875" bestFit="1" customWidth="1"/>
    <x:col min="6" max="6" width="16.140625" customWidth="1"/>
    <x:col min="7" max="7" width="15.42578125" bestFit="1" customWidth="1"/>
    <x:col min="8" max="8" width="15" bestFit="1" customWidth="1"/>
    <x:col min="9" max="9" width="15.140625" bestFit="1" customWidth="1"/>
    <x:col min="10" max="10" width="17" bestFit="1" customWidth="1"/>
    <x:col min="11" max="12" width="15.5703125" bestFit="1" customWidth="1"/>
    <x:col min="13" max="13" width="15.140625" bestFit="1" customWidth="1"/>
    <x:col min="14" max="14" width="17.85546875" bestFit="1" customWidth="1"/>
    <x:col min="15" max="15" width="15.5703125" customWidth="1"/>
    <x:col min="16" max="16" width="20.42578125" bestFit="1" customWidth="1"/>
  </x:cols>
  <x:sheetData>
    <x:row r="1" spans="1:16" x14ac:dyDescent="0.2">
      <x:c r="B1" s="97" t="s">
        <x:v>74</x:v>
      </x:c>
    </x:row>
    <x:row r="2" spans="1:16" ht="12.75" customHeight="1" x14ac:dyDescent="0.2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">
      <x:c r="B3" s="89" t="s">
        <x:v>72</x:v>
      </x:c>
      <x:c r="C3" s="90" t="n">
        <x:v>610474.63</x:v>
      </x:c>
      <x:c r="D3" s="90" t="n">
        <x:v>31457.17</x:v>
      </x:c>
      <x:c r="E3" s="90" t="n">
        <x:v>17527.74</x:v>
      </x:c>
      <x:c r="F3" s="90" t="n">
        <x:v>8747.16</x:v>
      </x:c>
      <x:c r="G3" s="90" t="n">
        <x:v>161245.56</x:v>
      </x:c>
      <x:c r="H3" s="90" t="n">
        <x:v>5296.18</x:v>
      </x:c>
      <x:c r="I3" s="90" t="n">
        <x:v>0</x:v>
      </x:c>
      <x:c r="J3" s="90" t="n">
        <x:v>49817.24</x:v>
      </x:c>
      <x:c r="K3" s="90" t="n">
        <x:v>43798.38</x:v>
      </x:c>
      <x:c r="L3" s="90" t="n">
        <x:v>198669.66</x:v>
      </x:c>
      <x:c r="M3" s="90" t="n">
        <x:v>85917.24</x:v>
      </x:c>
      <x:c r="N3" s="90" t="n">
        <x:v>7999.99</x:v>
      </x:c>
      <x:c r="O3" s="90" t="n">
        <x:v>-1.69</x:v>
      </x:c>
    </x:row>
    <x:row r="4" spans="1:16" ht="12.75" customHeight="1" x14ac:dyDescent="0.2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">
      <x:c r="A5" s="376" t="s">
        <x:v>78</x:v>
      </x:c>
      <x:c r="B5" s="376" t="s">
        <x:v>70</x:v>
      </x:c>
      <x:c r="C5" s="377" t="n">
        <x:v>610474.63</x:v>
      </x:c>
      <x:c r="D5" s="377" t="n">
        <x:v>31457.17</x:v>
      </x:c>
      <x:c r="E5" s="377" t="n">
        <x:v>17527.74</x:v>
      </x:c>
      <x:c r="F5" s="377" t="n">
        <x:v>8747.16</x:v>
      </x:c>
      <x:c r="G5" s="377" t="n">
        <x:v>161245.56</x:v>
      </x:c>
      <x:c r="H5" s="377" t="n">
        <x:v>5296.18</x:v>
      </x:c>
      <x:c r="I5" s="377" t="n">
        <x:v>0</x:v>
      </x:c>
      <x:c r="J5" s="377" t="n">
        <x:v>49817.24</x:v>
      </x:c>
      <x:c r="K5" s="377" t="n">
        <x:v>43798.38</x:v>
      </x:c>
      <x:c r="L5" s="377" t="n">
        <x:v>198669.66</x:v>
      </x:c>
      <x:c r="M5" s="377" t="n">
        <x:v>85917.24</x:v>
      </x:c>
      <x:c r="N5" s="377" t="n">
        <x:v>7999.99</x:v>
      </x:c>
      <x:c r="O5" s="377" t="n">
        <x:v>-1.69</x:v>
      </x:c>
      <x:c r="P5" s="378"/>
    </x:row>
    <x:row r="6" spans="1:16" ht="12.75" customHeight="1" x14ac:dyDescent="0.2">
      <x:c r="B6" s="89" t="s">
        <x:v>73</x:v>
      </x:c>
      <x:c r="C6" s="90" t="n">
        <x:v>-21467.71</x:v>
      </x:c>
      <x:c r="D6" s="90" t="n">
        <x:v>1021.25</x:v>
      </x:c>
      <x:c r="E6" s="90" t="n">
        <x:v>569.02</x:v>
      </x:c>
      <x:c r="F6" s="90" t="n">
        <x:v>302.68</x:v>
      </x:c>
      <x:c r="G6" s="90" t="n">
        <x:v>-11805.23</x:v>
      </x:c>
      <x:c r="H6" s="90" t="n">
        <x:v>-273.34</x:v>
      </x:c>
      <x:c r="I6" s="90" t="n">
        <x:v>0</x:v>
      </x:c>
      <x:c r="J6" s="90" t="n">
        <x:v>-3741.84</x:v>
      </x:c>
      <x:c r="K6" s="90" t="n">
        <x:v>-1666.65</x:v>
      </x:c>
      <x:c r="L6" s="90" t="n">
        <x:v>-8216.89</x:v>
      </x:c>
      <x:c r="M6" s="90" t="n">
        <x:v>2789.29</x:v>
      </x:c>
      <x:c r="N6" s="90" t="n">
        <x:v>-446</x:v>
      </x:c>
      <x:c r="O6" s="90" t="n">
        <x:v>0</x:v>
      </x:c>
    </x:row>
    <x:row r="7" spans="1:16" ht="12.75" customHeight="1" x14ac:dyDescent="0.2">
      <x:c r="A7" s="373" t="s">
        <x:v>79</x:v>
      </x:c>
      <x:c r="B7" s="373" t="s">
        <x:v>70</x:v>
      </x:c>
      <x:c r="C7" s="374" t="n">
        <x:v>-21467.71</x:v>
      </x:c>
      <x:c r="D7" s="374" t="n">
        <x:v>1021.25</x:v>
      </x:c>
      <x:c r="E7" s="374" t="n">
        <x:v>569.02</x:v>
      </x:c>
      <x:c r="F7" s="374" t="n">
        <x:v>302.68</x:v>
      </x:c>
      <x:c r="G7" s="374" t="n">
        <x:v>-11805.23</x:v>
      </x:c>
      <x:c r="H7" s="374" t="n">
        <x:v>-273.34</x:v>
      </x:c>
      <x:c r="I7" s="374" t="n">
        <x:v>0</x:v>
      </x:c>
      <x:c r="J7" s="374" t="n">
        <x:v>-3741.84</x:v>
      </x:c>
      <x:c r="K7" s="374" t="n">
        <x:v>-1666.65</x:v>
      </x:c>
      <x:c r="L7" s="374" t="n">
        <x:v>-8216.89</x:v>
      </x:c>
      <x:c r="M7" s="374" t="n">
        <x:v>2789.29</x:v>
      </x:c>
      <x:c r="N7" s="374" t="n">
        <x:v>-446</x:v>
      </x:c>
      <x:c r="O7" s="374" t="n">
        <x:v>0</x:v>
      </x:c>
      <x:c r="P7" s="372"/>
    </x:row>
    <x:row r="8" spans="1:16" ht="12.75" customHeight="1" x14ac:dyDescent="0.2">
      <x:c r="A8" s="89" t="s">
        <x:v>70</x:v>
      </x:c>
      <x:c r="C8" s="90" t="n">
        <x:v>589006.92</x:v>
      </x:c>
      <x:c r="D8" s="90" t="n">
        <x:v>32478.42</x:v>
      </x:c>
      <x:c r="E8" s="90" t="n">
        <x:v>18096.76</x:v>
      </x:c>
      <x:c r="F8" s="90" t="n">
        <x:v>9049.84</x:v>
      </x:c>
      <x:c r="G8" s="90" t="n">
        <x:v>149440.33</x:v>
      </x:c>
      <x:c r="H8" s="90" t="n">
        <x:v>5022.84</x:v>
      </x:c>
      <x:c r="I8" s="90" t="n">
        <x:v>0</x:v>
      </x:c>
      <x:c r="J8" s="90" t="n">
        <x:v>46075.4</x:v>
      </x:c>
      <x:c r="K8" s="90" t="n">
        <x:v>42131.73</x:v>
      </x:c>
      <x:c r="L8" s="90" t="n">
        <x:v>190452.77</x:v>
      </x:c>
      <x:c r="M8" s="90" t="n">
        <x:v>88706.53</x:v>
      </x:c>
      <x:c r="N8" s="90" t="n">
        <x:v>7553.99</x:v>
      </x:c>
      <x:c r="O8" s="90" t="n">
        <x:v>-1.69</x:v>
      </x:c>
    </x:row>
    <x:row r="9" spans="1:16" ht="12.75" customHeight="1" x14ac:dyDescent="0.2"/>
    <x:row r="10" spans="1:16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">
      <x:c r="B11" s="145" t="s">
        <x:v>73</x:v>
      </x:c>
      <x:c r="C11" s="99">
        <x:f>C7</x:f>
        <x:v>0</x:v>
      </x:c>
      <x:c r="D11" s="150"/>
    </x:row>
    <x:row r="12" spans="1:16" x14ac:dyDescent="0.2">
      <x:c r="D12" s="150"/>
    </x:row>
    <x:row r="13" spans="1:16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">
      <x:c r="B14" s="97" t="s">
        <x:v>75</x:v>
      </x:c>
    </x:row>
    <x:row r="15" spans="1:16" ht="12.75" customHeight="1" x14ac:dyDescent="0.2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">
      <x:c r="B16" t="s">
        <x:v>72</x:v>
      </x:c>
      <x:c r="C16" s="89" t="n">
        <x:v>1892491.93</x:v>
      </x:c>
      <x:c r="D16" s="89" t="n">
        <x:v>163064.18</x:v>
      </x:c>
      <x:c r="E16" s="89" t="n">
        <x:v>104049.98</x:v>
      </x:c>
      <x:c r="F16" s="384" t="n">
        <x:v>29276.94</x:v>
      </x:c>
      <x:c r="G16" s="89" t="n">
        <x:v>518383.42</x:v>
      </x:c>
      <x:c r="H16" s="89" t="n">
        <x:v>16747.23</x:v>
      </x:c>
      <x:c r="I16" s="89" t="n">
        <x:v>0</x:v>
      </x:c>
      <x:c r="J16" s="89" t="n">
        <x:v>129955.32</x:v>
      </x:c>
      <x:c r="K16" s="89" t="n">
        <x:v>129030.3</x:v>
      </x:c>
      <x:c r="L16" s="89" t="n">
        <x:v>466888.64</x:v>
      </x:c>
      <x:c r="M16" s="89" t="n">
        <x:v>319038.69</x:v>
      </x:c>
      <x:c r="N16" s="89" t="n">
        <x:v>16066.11</x:v>
      </x:c>
      <x:c r="O16" s="89" t="n">
        <x:v>-8.88</x:v>
      </x:c>
    </x:row>
    <x:row r="17" spans="1:16" ht="12.75" customHeight="1" x14ac:dyDescent="0.2">
      <x:c r="B17" t="s">
        <x:v>81</x:v>
      </x:c>
      <x:c r="C17" s="89" t="n">
        <x:v>3621.15</x:v>
      </x:c>
      <x:c r="D17" s="89" t="n">
        <x:v>345.13</x:v>
      </x:c>
      <x:c r="E17" s="89" t="n">
        <x:v>194.86</x:v>
      </x:c>
      <x:c r="F17" s="384" t="n">
        <x:v>102.27</x:v>
      </x:c>
      <x:c r="G17" s="89" t="n">
        <x:v>783.49</x:v>
      </x:c>
      <x:c r="H17" s="89" t="n">
        <x:v>25.09</x:v>
      </x:c>
      <x:c r="I17" s="89" t="n">
        <x:v>0</x:v>
      </x:c>
      <x:c r="J17" s="89" t="n">
        <x:v>220.11</x:v>
      </x:c>
      <x:c r="K17" s="89" t="n">
        <x:v>213.42</x:v>
      </x:c>
      <x:c r="L17" s="89" t="n">
        <x:v>1010.61</x:v>
      </x:c>
      <x:c r="M17" s="89" t="n">
        <x:v>685.23</x:v>
      </x:c>
      <x:c r="N17" s="89" t="n">
        <x:v>40.94</x:v>
      </x:c>
      <x:c r="O17" s="89" t="n">
        <x:v>0</x:v>
      </x:c>
    </x:row>
    <x:row r="18" spans="1:16" ht="12.75" customHeight="1" x14ac:dyDescent="0.2">
      <x:c r="A18" s="376" t="s">
        <x:v>78</x:v>
      </x:c>
      <x:c r="B18" s="376" t="s">
        <x:v>70</x:v>
      </x:c>
      <x:c r="C18" s="377" t="n">
        <x:v>1896113.08</x:v>
      </x:c>
      <x:c r="D18" s="377" t="n">
        <x:v>163409.31</x:v>
      </x:c>
      <x:c r="E18" s="377" t="n">
        <x:v>104244.84</x:v>
      </x:c>
      <x:c r="F18" s="377" t="n">
        <x:v>29379.21</x:v>
      </x:c>
      <x:c r="G18" s="377" t="n">
        <x:v>519166.91</x:v>
      </x:c>
      <x:c r="H18" s="377" t="n">
        <x:v>16772.32</x:v>
      </x:c>
      <x:c r="I18" s="377" t="n">
        <x:v>0</x:v>
      </x:c>
      <x:c r="J18" s="377" t="n">
        <x:v>130175.43</x:v>
      </x:c>
      <x:c r="K18" s="377" t="n">
        <x:v>129243.72</x:v>
      </x:c>
      <x:c r="L18" s="377" t="n">
        <x:v>467899.25</x:v>
      </x:c>
      <x:c r="M18" s="377" t="n">
        <x:v>319723.92</x:v>
      </x:c>
      <x:c r="N18" s="377" t="n">
        <x:v>16107.05</x:v>
      </x:c>
      <x:c r="O18" s="377" t="n">
        <x:v>-8.88</x:v>
      </x:c>
      <x:c r="P18" s="378"/>
    </x:row>
    <x:row r="19" spans="1:16" ht="12.75" customHeight="1" x14ac:dyDescent="0.2">
      <x:c r="B19" s="89" t="s">
        <x:v>73</x:v>
      </x:c>
      <x:c r="C19" s="90" t="n">
        <x:v>-640396.29</x:v>
      </x:c>
      <x:c r="D19" s="90" t="n">
        <x:v>-32142.69</x:v>
      </x:c>
      <x:c r="E19" s="90" t="n">
        <x:v>-15328.96</x:v>
      </x:c>
      <x:c r="F19" s="90" t="n">
        <x:v>-9507.47</x:v>
      </x:c>
      <x:c r="G19" s="90" t="n">
        <x:v>-164746.93</x:v>
      </x:c>
      <x:c r="H19" s="90" t="n">
        <x:v>-5636</x:v>
      </x:c>
      <x:c r="I19" s="90" t="n">
        <x:v>0</x:v>
      </x:c>
      <x:c r="J19" s="90" t="n">
        <x:v>-68052.5</x:v>
      </x:c>
      <x:c r="K19" s="90" t="n">
        <x:v>-49800.77</x:v>
      </x:c>
      <x:c r="L19" s="90" t="n">
        <x:v>-222045.88</x:v>
      </x:c>
      <x:c r="M19" s="90" t="n">
        <x:v>-64569.3</x:v>
      </x:c>
      <x:c r="N19" s="90" t="n">
        <x:v>-8565.79</x:v>
      </x:c>
      <x:c r="O19" s="90" t="n">
        <x:v>0</x:v>
      </x:c>
    </x:row>
    <x:row r="20" spans="1:16" ht="12.75" customHeight="1" x14ac:dyDescent="0.2">
      <x:c r="A20" s="373" t="s">
        <x:v>79</x:v>
      </x:c>
      <x:c r="B20" s="373" t="s">
        <x:v>70</x:v>
      </x:c>
      <x:c r="C20" s="374" t="n">
        <x:v>-640396.29</x:v>
      </x:c>
      <x:c r="D20" s="374" t="n">
        <x:v>-32142.69</x:v>
      </x:c>
      <x:c r="E20" s="374" t="n">
        <x:v>-15328.96</x:v>
      </x:c>
      <x:c r="F20" s="374" t="n">
        <x:v>-9507.47</x:v>
      </x:c>
      <x:c r="G20" s="374" t="n">
        <x:v>-164746.93</x:v>
      </x:c>
      <x:c r="H20" s="374" t="n">
        <x:v>-5636</x:v>
      </x:c>
      <x:c r="I20" s="374" t="n">
        <x:v>0</x:v>
      </x:c>
      <x:c r="J20" s="374" t="n">
        <x:v>-68052.5</x:v>
      </x:c>
      <x:c r="K20" s="374" t="n">
        <x:v>-49800.77</x:v>
      </x:c>
      <x:c r="L20" s="374" t="n">
        <x:v>-222045.88</x:v>
      </x:c>
      <x:c r="M20" s="374" t="n">
        <x:v>-64569.3</x:v>
      </x:c>
      <x:c r="N20" s="374" t="n">
        <x:v>-8565.79</x:v>
      </x:c>
      <x:c r="O20" s="374" t="n">
        <x:v>0</x:v>
      </x:c>
      <x:c r="P20" s="372"/>
    </x:row>
    <x:row r="21" spans="1:16" ht="12.75" customHeight="1" x14ac:dyDescent="0.2">
      <x:c r="A21" s="89" t="s">
        <x:v>70</x:v>
      </x:c>
      <x:c r="C21" s="90" t="n">
        <x:v>1255716.79</x:v>
      </x:c>
      <x:c r="D21" s="90" t="n">
        <x:v>131266.62</x:v>
      </x:c>
      <x:c r="E21" s="90" t="n">
        <x:v>88915.88</x:v>
      </x:c>
      <x:c r="F21" s="90" t="n">
        <x:v>19871.74</x:v>
      </x:c>
      <x:c r="G21" s="90" t="n">
        <x:v>354419.98</x:v>
      </x:c>
      <x:c r="H21" s="90" t="n">
        <x:v>11136.32</x:v>
      </x:c>
      <x:c r="I21" s="90" t="n">
        <x:v>0</x:v>
      </x:c>
      <x:c r="J21" s="90" t="n">
        <x:v>62122.93</x:v>
      </x:c>
      <x:c r="K21" s="90" t="n">
        <x:v>79442.95</x:v>
      </x:c>
      <x:c r="L21" s="90" t="n">
        <x:v>245853.37</x:v>
      </x:c>
      <x:c r="M21" s="90" t="n">
        <x:v>255154.62</x:v>
      </x:c>
      <x:c r="N21" s="90" t="n">
        <x:v>7541.26</x:v>
      </x:c>
      <x:c r="O21" s="90" t="n">
        <x:v>-8.88</x:v>
      </x:c>
    </x:row>
    <x:row r="22" spans="1:16" ht="12.75" customHeight="1" x14ac:dyDescent="0.2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">
      <x:c r="B24" s="145" t="s">
        <x:v>73</x:v>
      </x:c>
      <x:c r="C24" s="99">
        <x:f>C20</x:f>
        <x:v>0</x:v>
      </x:c>
    </x:row>
    <x:row r="26" spans="1:16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">
      <x:c r="B27" s="97" t="s">
        <x:v>76</x:v>
      </x:c>
    </x:row>
    <x:row r="28" spans="1:16" ht="12.75" customHeight="1" x14ac:dyDescent="0.2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">
      <x:c r="B29" s="89" t="s">
        <x:v>72</x:v>
      </x:c>
      <x:c r="C29" s="90" t="n">
        <x:v>92308.17</x:v>
      </x:c>
      <x:c r="D29" s="90" t="n">
        <x:v>6267.13</x:v>
      </x:c>
      <x:c r="E29" s="90" t="n">
        <x:v>3492.01</x:v>
      </x:c>
      <x:c r="F29" s="90" t="n">
        <x:v>1857.22</x:v>
      </x:c>
      <x:c r="G29" s="90" t="n">
        <x:v>21047.14</x:v>
      </x:c>
      <x:c r="H29" s="90" t="n">
        <x:v>743.08</x:v>
      </x:c>
      <x:c r="I29" s="90" t="n">
        <x:v>0</x:v>
      </x:c>
      <x:c r="J29" s="90" t="n">
        <x:v>6518.28</x:v>
      </x:c>
      <x:c r="K29" s="90" t="n">
        <x:v>6377.76</x:v>
      </x:c>
      <x:c r="L29" s="90" t="n">
        <x:v>29933.14</x:v>
      </x:c>
      <x:c r="M29" s="90" t="n">
        <x:v>14860.01</x:v>
      </x:c>
      <x:c r="N29" s="90" t="n">
        <x:v>1212.4</x:v>
      </x:c>
      <x:c r="O29" s="90">
        <x:v>0</x:v>
      </x:c>
    </x:row>
    <x:row r="30" spans="1:16" ht="12.75" customHeight="1" x14ac:dyDescent="0.2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">
      <x:c r="A31" s="376" t="s">
        <x:v>78</x:v>
      </x:c>
      <x:c r="B31" s="376" t="s">
        <x:v>70</x:v>
      </x:c>
      <x:c r="C31" s="377" t="n">
        <x:v>92308.17</x:v>
      </x:c>
      <x:c r="D31" s="377" t="n">
        <x:v>6267.13</x:v>
      </x:c>
      <x:c r="E31" s="377" t="n">
        <x:v>3492.01</x:v>
      </x:c>
      <x:c r="F31" s="377" t="n">
        <x:v>1857.22</x:v>
      </x:c>
      <x:c r="G31" s="377" t="n">
        <x:v>21047.14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6377.76</x:v>
      </x:c>
      <x:c r="L31" s="377" t="n">
        <x:v>29933.14</x:v>
      </x:c>
      <x:c r="M31" s="377" t="n">
        <x:v>14860.01</x:v>
      </x:c>
      <x:c r="N31" s="377" t="n">
        <x:v>1212.4</x:v>
      </x:c>
      <x:c r="O31" s="377">
        <x:v>0</x:v>
      </x:c>
      <x:c r="P31" s="378"/>
    </x:row>
    <x:row r="32" spans="1:16" ht="12.75" customHeight="1" x14ac:dyDescent="0.2">
      <x:c r="B32" s="89" t="s">
        <x:v>73</x:v>
      </x:c>
      <x:c r="C32" s="90" t="n">
        <x:v>10027.54</x:v>
      </x:c>
      <x:c r="D32" s="90" t="n">
        <x:v>1594.44</x:v>
      </x:c>
      <x:c r="E32" s="90" t="n">
        <x:v>888.42</x:v>
      </x:c>
      <x:c r="F32" s="90" t="n">
        <x:v>472.5</x:v>
      </x:c>
      <x:c r="G32" s="90" t="n">
        <x:v>1052.36</x:v>
      </x:c>
      <x:c r="H32" s="90" t="n">
        <x:v>37.15</x:v>
      </x:c>
      <x:c r="I32" s="90" t="n">
        <x:v>0</x:v>
      </x:c>
      <x:c r="J32" s="90" t="n">
        <x:v>325.91</x:v>
      </x:c>
      <x:c r="K32" s="90" t="n">
        <x:v>318.89</x:v>
      </x:c>
      <x:c r="L32" s="90" t="n">
        <x:v>1496.66</x:v>
      </x:c>
      <x:c r="M32" s="90" t="n">
        <x:v>3780.59</x:v>
      </x:c>
      <x:c r="N32" s="90" t="n">
        <x:v>60.62</x:v>
      </x:c>
      <x:c r="O32" s="90">
        <x:v>0</x:v>
      </x:c>
    </x:row>
    <x:row r="33" spans="1:16" ht="12.75" customHeight="1" x14ac:dyDescent="0.2">
      <x:c r="A33" s="373" t="s">
        <x:v>79</x:v>
      </x:c>
      <x:c r="B33" s="373" t="s">
        <x:v>70</x:v>
      </x:c>
      <x:c r="C33" s="374" t="n">
        <x:v>10027.54</x:v>
      </x:c>
      <x:c r="D33" s="374" t="n">
        <x:v>1594.44</x:v>
      </x:c>
      <x:c r="E33" s="374" t="n">
        <x:v>888.42</x:v>
      </x:c>
      <x:c r="F33" s="374" t="n">
        <x:v>472.5</x:v>
      </x:c>
      <x:c r="G33" s="374" t="n">
        <x:v>1052.36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318.89</x:v>
      </x:c>
      <x:c r="L33" s="374" t="n">
        <x:v>1496.66</x:v>
      </x:c>
      <x:c r="M33" s="374" t="n">
        <x:v>3780.59</x:v>
      </x:c>
      <x:c r="N33" s="374" t="n">
        <x:v>60.62</x:v>
      </x:c>
      <x:c r="O33" s="374">
        <x:v>0</x:v>
      </x:c>
      <x:c r="P33" s="372"/>
    </x:row>
    <x:row r="34" spans="1:16" ht="12.75" customHeight="1" x14ac:dyDescent="0.2">
      <x:c r="A34" s="89" t="s">
        <x:v>70</x:v>
      </x:c>
      <x:c r="C34" s="90" t="n">
        <x:v>102335.71</x:v>
      </x:c>
      <x:c r="D34" s="90" t="n">
        <x:v>7861.57</x:v>
      </x:c>
      <x:c r="E34" s="90" t="n">
        <x:v>4380.43</x:v>
      </x:c>
      <x:c r="F34" s="90" t="n">
        <x:v>2329.72</x:v>
      </x:c>
      <x:c r="G34" s="90" t="n">
        <x:v>22099.5</x:v>
      </x:c>
      <x:c r="H34" s="90" t="n">
        <x:v>780.23</x:v>
      </x:c>
      <x:c r="I34" s="90" t="n">
        <x:v>0</x:v>
      </x:c>
      <x:c r="J34" s="90" t="n">
        <x:v>6844.19</x:v>
      </x:c>
      <x:c r="K34" s="90" t="n">
        <x:v>6696.65</x:v>
      </x:c>
      <x:c r="L34" s="90" t="n">
        <x:v>31429.8</x:v>
      </x:c>
      <x:c r="M34" s="90" t="n">
        <x:v>18640.6</x:v>
      </x:c>
      <x:c r="N34" s="90" t="n">
        <x:v>1273.02</x:v>
      </x:c>
      <x:c r="O34" s="90">
        <x:v>0</x:v>
      </x:c>
    </x:row>
    <x:row r="35" spans="1:16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">
      <x:c r="B37" s="145" t="s">
        <x:v>73</x:v>
      </x:c>
      <x:c r="C37" s="99">
        <x:f>C33</x:f>
        <x:v>0</x:v>
      </x:c>
    </x:row>
    <x:row r="39" spans="1:16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">
      <x:c r="B40" s="97" t="s">
        <x:v>88</x:v>
      </x:c>
    </x:row>
    <x:row r="41" spans="1:16" ht="12.75" customHeight="1" x14ac:dyDescent="0.2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">
      <x:c r="B42" t="s">
        <x:v>72</x:v>
      </x:c>
      <x:c r="C42" s="89" t="n">
        <x:v>384704.1</x:v>
      </x:c>
      <x:c r="D42" s="89" t="n">
        <x:v>35792.41</x:v>
      </x:c>
      <x:c r="E42" s="89" t="n">
        <x:v>20194.46</x:v>
      </x:c>
      <x:c r="F42" s="384" t="n">
        <x:v>2067.44</x:v>
      </x:c>
      <x:c r="G42" s="89" t="n">
        <x:v>112556.14</x:v>
      </x:c>
      <x:c r="H42" s="89" t="n">
        <x:v>2826.23</x:v>
      </x:c>
      <x:c r="I42" s="89" t="n">
        <x:v>0</x:v>
      </x:c>
      <x:c r="J42" s="89" t="n">
        <x:v>27571.69</x:v>
      </x:c>
      <x:c r="K42" s="89" t="n">
        <x:v>34487.27</x:v>
      </x:c>
      <x:c r="L42" s="89" t="n">
        <x:v>48317.47</x:v>
      </x:c>
      <x:c r="M42" s="89" t="n">
        <x:v>96285.04</x:v>
      </x:c>
      <x:c r="N42" s="89" t="n">
        <x:v>4611.27</x:v>
      </x:c>
      <x:c r="O42" s="89" t="n">
        <x:v>-5.32</x:v>
      </x:c>
    </x:row>
    <x:row r="43" spans="1:16" ht="12.75" customHeight="1" x14ac:dyDescent="0.2">
      <x:c r="B43" s="89" t="s">
        <x:v>81</x:v>
      </x:c>
      <x:c r="C43" s="90" t="n">
        <x:v>-1393.04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-1393.07</x:v>
      </x:c>
      <x:c r="M43" s="90" t="n">
        <x:v>0</x:v>
      </x:c>
      <x:c r="N43" s="90" t="n">
        <x:v>0</x:v>
      </x:c>
      <x:c r="O43" s="90" t="n">
        <x:v>0.03</x:v>
      </x:c>
    </x:row>
    <x:row r="44" spans="1:16" ht="12.75" customHeight="1" x14ac:dyDescent="0.2">
      <x:c r="A44" s="376" t="s">
        <x:v>78</x:v>
      </x:c>
      <x:c r="B44" s="376" t="s">
        <x:v>70</x:v>
      </x:c>
      <x:c r="C44" s="377" t="n">
        <x:v>383311.06</x:v>
      </x:c>
      <x:c r="D44" s="377" t="n">
        <x:v>35792.41</x:v>
      </x:c>
      <x:c r="E44" s="377" t="n">
        <x:v>20194.46</x:v>
      </x:c>
      <x:c r="F44" s="377" t="n">
        <x:v>2067.44</x:v>
      </x:c>
      <x:c r="G44" s="377" t="n">
        <x:v>112556.14</x:v>
      </x:c>
      <x:c r="H44" s="377" t="n">
        <x:v>2826.23</x:v>
      </x:c>
      <x:c r="I44" s="377" t="n">
        <x:v>0</x:v>
      </x:c>
      <x:c r="J44" s="377" t="n">
        <x:v>27571.69</x:v>
      </x:c>
      <x:c r="K44" s="377" t="n">
        <x:v>34487.27</x:v>
      </x:c>
      <x:c r="L44" s="377" t="n">
        <x:v>46924.4</x:v>
      </x:c>
      <x:c r="M44" s="377" t="n">
        <x:v>96285.04</x:v>
      </x:c>
      <x:c r="N44" s="377" t="n">
        <x:v>4611.27</x:v>
      </x:c>
      <x:c r="O44" s="377" t="n">
        <x:v>-5.29</x:v>
      </x:c>
      <x:c r="P44" s="378"/>
    </x:row>
    <x:row r="45" spans="1:16" ht="12.75" customHeight="1" x14ac:dyDescent="0.2">
      <x:c r="B45" s="89" t="s">
        <x:v>73</x:v>
      </x:c>
      <x:c r="C45" s="90" t="n">
        <x:v>-43651.25</x:v>
      </x:c>
      <x:c r="D45" s="90" t="n">
        <x:v>-2153.83</x:v>
      </x:c>
      <x:c r="E45" s="90" t="n">
        <x:v>-1213.99</x:v>
      </x:c>
      <x:c r="F45" s="90" t="n">
        <x:v>-638.29</x:v>
      </x:c>
      <x:c r="G45" s="90" t="n">
        <x:v>-10771.77</x:v>
      </x:c>
      <x:c r="H45" s="90" t="n">
        <x:v>-277.32</x:v>
      </x:c>
      <x:c r="I45" s="90" t="n">
        <x:v>0</x:v>
      </x:c>
      <x:c r="J45" s="90" t="n">
        <x:v>-2432.76</x:v>
      </x:c>
      <x:c r="K45" s="90" t="n">
        <x:v>-3291.62</x:v>
      </x:c>
      <x:c r="L45" s="90" t="n">
        <x:v>-16717.82</x:v>
      </x:c>
      <x:c r="M45" s="90" t="n">
        <x:v>-5701.37</x:v>
      </x:c>
      <x:c r="N45" s="90" t="n">
        <x:v>-452.48</x:v>
      </x:c>
      <x:c r="O45" s="90" t="n">
        <x:v>0</x:v>
      </x:c>
    </x:row>
    <x:row r="46" spans="1:16" ht="12.75" customHeight="1" x14ac:dyDescent="0.2">
      <x:c r="A46" s="373" t="s">
        <x:v>79</x:v>
      </x:c>
      <x:c r="B46" s="373" t="s">
        <x:v>70</x:v>
      </x:c>
      <x:c r="C46" s="374" t="n">
        <x:v>-43651.25</x:v>
      </x:c>
      <x:c r="D46" s="374" t="n">
        <x:v>-2153.83</x:v>
      </x:c>
      <x:c r="E46" s="374" t="n">
        <x:v>-1213.99</x:v>
      </x:c>
      <x:c r="F46" s="374" t="n">
        <x:v>-638.29</x:v>
      </x:c>
      <x:c r="G46" s="374" t="n">
        <x:v>-10771.77</x:v>
      </x:c>
      <x:c r="H46" s="374" t="n">
        <x:v>-277.32</x:v>
      </x:c>
      <x:c r="I46" s="374" t="n">
        <x:v>0</x:v>
      </x:c>
      <x:c r="J46" s="374" t="n">
        <x:v>-2432.76</x:v>
      </x:c>
      <x:c r="K46" s="374" t="n">
        <x:v>-3291.62</x:v>
      </x:c>
      <x:c r="L46" s="374" t="n">
        <x:v>-16717.82</x:v>
      </x:c>
      <x:c r="M46" s="374" t="n">
        <x:v>-5701.37</x:v>
      </x:c>
      <x:c r="N46" s="374" t="n">
        <x:v>-452.48</x:v>
      </x:c>
      <x:c r="O46" s="374" t="n">
        <x:v>0</x:v>
      </x:c>
      <x:c r="P46" s="372"/>
    </x:row>
    <x:row r="47" spans="1:16" ht="12.75" customHeight="1" x14ac:dyDescent="0.2">
      <x:c r="A47" s="89" t="s">
        <x:v>70</x:v>
      </x:c>
      <x:c r="C47" s="90" t="n">
        <x:v>339659.81</x:v>
      </x:c>
      <x:c r="D47" s="90" t="n">
        <x:v>33638.58</x:v>
      </x:c>
      <x:c r="E47" s="90" t="n">
        <x:v>18980.47</x:v>
      </x:c>
      <x:c r="F47" s="90" t="n">
        <x:v>1429.15</x:v>
      </x:c>
      <x:c r="G47" s="90" t="n">
        <x:v>101784.37</x:v>
      </x:c>
      <x:c r="H47" s="90" t="n">
        <x:v>2548.91</x:v>
      </x:c>
      <x:c r="I47" s="90" t="n">
        <x:v>0</x:v>
      </x:c>
      <x:c r="J47" s="90" t="n">
        <x:v>25138.93</x:v>
      </x:c>
      <x:c r="K47" s="90" t="n">
        <x:v>31195.65</x:v>
      </x:c>
      <x:c r="L47" s="90" t="n">
        <x:v>30206.58</x:v>
      </x:c>
      <x:c r="M47" s="90" t="n">
        <x:v>90583.67</x:v>
      </x:c>
      <x:c r="N47" s="90" t="n">
        <x:v>4158.79</x:v>
      </x:c>
      <x:c r="O47" s="90" t="n">
        <x:v>-5.29</x:v>
      </x:c>
    </x:row>
    <x:row r="48" spans="1:16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">
      <x:c r="B50" s="145" t="s">
        <x:v>73</x:v>
      </x:c>
      <x:c r="C50" s="99">
        <x:f>C46</x:f>
        <x:v>0</x:v>
      </x:c>
    </x:row>
    <x:row r="52" spans="1:16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">
      <x:c r="B53" s="97" t="s">
        <x:v>93</x:v>
      </x:c>
    </x:row>
    <x:row r="54" spans="1:16" ht="12.75" customHeight="1" x14ac:dyDescent="0.2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75" x14ac:dyDescent="0.2"/>
  <x:cols>
    <x:col min="2" max="2" width="24.42578125" bestFit="1" customWidth="1"/>
    <x:col min="3" max="3" width="15.140625" style="144" bestFit="1" customWidth="1"/>
    <x:col min="4" max="4" width="23.140625" bestFit="1" customWidth="1"/>
    <x:col min="5" max="5" width="15.85546875" bestFit="1" customWidth="1"/>
    <x:col min="6" max="6" width="16.5703125" customWidth="1"/>
    <x:col min="7" max="7" width="15.42578125" bestFit="1" customWidth="1"/>
    <x:col min="8" max="8" width="15" bestFit="1" customWidth="1"/>
    <x:col min="9" max="10" width="15" customWidth="1"/>
    <x:col min="11" max="11" width="15.140625" bestFit="1" customWidth="1"/>
    <x:col min="12" max="12" width="17" bestFit="1" customWidth="1"/>
    <x:col min="13" max="14" width="15.5703125" bestFit="1" customWidth="1"/>
    <x:col min="15" max="15" width="15.140625" bestFit="1" customWidth="1"/>
  </x:cols>
  <x:sheetData>
    <x:row r="1" spans="1:15" x14ac:dyDescent="0.2">
      <x:c r="B1" s="97" t="s">
        <x:v>74</x:v>
      </x:c>
    </x:row>
    <x:row r="2" spans="1:15" ht="12.75" customHeight="1" x14ac:dyDescent="0.2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">
      <x:c r="B11" s="145" t="s">
        <x:v>73</x:v>
      </x:c>
      <x:c r="C11" s="99">
        <x:f>C7</x:f>
        <x:v>0</x:v>
      </x:c>
    </x:row>
    <x:row r="13" spans="1:15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">
      <x:c r="B14" s="97" t="s">
        <x:v>75</x:v>
      </x:c>
    </x:row>
    <x:row r="15" spans="1:15" ht="12.75" customHeight="1" x14ac:dyDescent="0.2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">
      <x:c r="B24" s="145" t="s">
        <x:v>73</x:v>
      </x:c>
      <x:c r="C24" s="99">
        <x:f>C20</x:f>
        <x:v>0</x:v>
      </x:c>
    </x:row>
    <x:row r="26" spans="1:15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">
      <x:c r="B27" s="97" t="s">
        <x:v>76</x:v>
      </x:c>
    </x:row>
    <x:row r="28" spans="1:15" ht="12.75" customHeight="1" x14ac:dyDescent="0.2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">
      <x:c r="B37" s="145" t="s">
        <x:v>73</x:v>
      </x:c>
      <x:c r="C37" s="99">
        <x:f>C33</x:f>
        <x:v>0</x:v>
      </x:c>
    </x:row>
    <x:row r="39" spans="1:15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">
      <x:c r="B40" s="97" t="s">
        <x:v>88</x:v>
      </x:c>
    </x:row>
    <x:row r="41" spans="1:15" ht="12.75" customHeight="1" x14ac:dyDescent="0.2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">
      <x:c r="B50" s="145" t="s">
        <x:v>73</x:v>
      </x:c>
      <x:c r="C50" s="99">
        <x:f>C46</x:f>
        <x:v>0</x:v>
      </x:c>
    </x:row>
    <x:row r="52" spans="1:15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">
      <x:c r="B53" s="97" t="s">
        <x:v>93</x:v>
      </x:c>
    </x:row>
    <x:row r="54" spans="1:15" ht="12.75" customHeight="1" x14ac:dyDescent="0.2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9.140625" style="1" bestFit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8" width="16.85546875" style="1" customWidth="1"/>
    <x:col min="29" max="30" width="15.85546875" style="1" bestFit="1" customWidth="1"/>
    <x:col min="31" max="31" width="16.140625" style="1" customWidth="1"/>
    <x:col min="32" max="32" width="18.140625" style="1" customWidth="1"/>
    <x:col min="33" max="33" width="13.85546875" style="1" customWidth="1"/>
    <x:col min="34" max="34" width="3.42578125" style="1" customWidth="1"/>
    <x:col min="35" max="35" width="13.855468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2026092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2026092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2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2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2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2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75" thickBot="1" x14ac:dyDescent="0.2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2026092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75" x14ac:dyDescent="0.2"/>
  <x:cols>
    <x:col min="1" max="1" width="2.85546875" customWidth="1"/>
    <x:col min="2" max="2" width="17.42578125" bestFit="1" customWidth="1"/>
    <x:col min="3" max="3" width="4.85546875" style="151" bestFit="1" customWidth="1"/>
    <x:col min="4" max="4" width="42.85546875" style="151" bestFit="1" customWidth="1"/>
    <x:col min="5" max="5" width="9" customWidth="1"/>
    <x:col min="6" max="6" width="15.85546875" customWidth="1"/>
    <x:col min="7" max="7" width="17.42578125" bestFit="1" customWidth="1"/>
    <x:col min="8" max="8" width="14.140625" customWidth="1"/>
    <x:col min="9" max="9" width="16.140625" bestFit="1" customWidth="1"/>
    <x:col min="10" max="10" width="16.85546875" customWidth="1"/>
    <x:col min="11" max="11" width="17.5703125" customWidth="1"/>
    <x:col min="12" max="12" width="15.5703125" bestFit="1" customWidth="1"/>
    <x:col min="13" max="13" width="15.85546875" bestFit="1" customWidth="1"/>
    <x:col min="14" max="14" width="17" customWidth="1"/>
    <x:col min="15" max="15" width="17.85546875" customWidth="1"/>
    <x:col min="16" max="16" width="16.85546875" customWidth="1"/>
    <x:col min="17" max="17" width="18" customWidth="1"/>
    <x:col min="18" max="18" width="14.140625" bestFit="1" customWidth="1"/>
    <x:col min="19" max="19" width="15.85546875" bestFit="1" customWidth="1"/>
    <x:col min="20" max="20" width="14.140625" bestFit="1" customWidth="1"/>
  </x:cols>
  <x:sheetData>
    <x:row r="1" spans="2:19" ht="13.5" thickBot="1" x14ac:dyDescent="0.25"/>
    <x:row r="2" spans="2:19" s="151" customFormat="1" ht="13.5" thickBot="1" x14ac:dyDescent="0.2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25" thickBot="1" x14ac:dyDescent="0.2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2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2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2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2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5" thickBot="1" x14ac:dyDescent="0.2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5" thickBot="1" x14ac:dyDescent="0.2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25">
      <x:c r="B10" s="665"/>
      <x:c r="F10" s="784">
        <x:f>SUM(F9:G9)</x:f>
        <x:v>1719872614</x:v>
      </x:c>
      <x:c r="G10" s="785"/>
      <x:c r="H10" s="784">
        <x:f>SUM(H9:I9)</x:f>
        <x:v>1719872614</x:v>
      </x:c>
      <x:c r="I10" s="785"/>
      <x:c r="J10" s="784">
        <x:f>SUM(J9:K9)</x:f>
        <x:v>1719872614</x:v>
      </x:c>
      <x:c r="K10" s="785"/>
      <x:c r="L10" s="784">
        <x:f>SUM(L9:M9)</x:f>
        <x:v>1719872614</x:v>
      </x:c>
      <x:c r="M10" s="785"/>
      <x:c r="N10" s="784">
        <x:f>SUM(N9:O9)</x:f>
        <x:v>1719872614</x:v>
      </x:c>
      <x:c r="O10" s="785"/>
      <x:c r="P10" s="784">
        <x:f>SUM(P9:Q9)</x:f>
        <x:v>1719872614</x:v>
      </x:c>
      <x:c r="Q10" s="785"/>
    </x:row>
    <x:row r="12" spans="2:19" ht="13.5" thickBot="1" x14ac:dyDescent="0.25"/>
    <x:row r="13" spans="2:19" s="151" customFormat="1" ht="13.5" thickBot="1" x14ac:dyDescent="0.2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25" thickBot="1" x14ac:dyDescent="0.2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2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2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2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2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5" thickBot="1" x14ac:dyDescent="0.2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5" thickBot="1" x14ac:dyDescent="0.2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5" thickBot="1" x14ac:dyDescent="0.25">
      <x:c r="B21" s="665"/>
      <x:c r="F21" s="784">
        <x:f>SUM(F20:G20)</x:f>
        <x:v>1719872614</x:v>
      </x:c>
      <x:c r="G21" s="785">
        <x:v>1191383498</x:v>
      </x:c>
      <x:c r="H21" s="784">
        <x:f>SUM(H20:I20)</x:f>
        <x:v>1719872614</x:v>
      </x:c>
      <x:c r="I21" s="785">
        <x:v>1191383498</x:v>
      </x:c>
      <x:c r="J21" s="784">
        <x:f>SUM(J20:K20)</x:f>
        <x:v>1719872614</x:v>
      </x:c>
      <x:c r="K21" s="785">
        <x:v>1191383498</x:v>
      </x:c>
      <x:c r="L21" s="784">
        <x:f>SUM(L20:M20)</x:f>
        <x:v>1719872614</x:v>
      </x:c>
      <x:c r="M21" s="785">
        <x:v>1191383498</x:v>
      </x:c>
      <x:c r="N21" s="784">
        <x:f>SUM(N20:O20)</x:f>
        <x:v>1719872614</x:v>
      </x:c>
      <x:c r="O21" s="785">
        <x:v>1191383498</x:v>
      </x:c>
      <x:c r="P21" s="784">
        <x:f>SUM(P20:Q20)</x:f>
        <x:v>1719872614</x:v>
      </x:c>
      <x:c r="Q21" s="785">
        <x:v>1191383498</x:v>
      </x:c>
    </x:row>
    <x:row r="24" spans="2:19" ht="13.5" thickBot="1" x14ac:dyDescent="0.2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2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2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2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2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2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5" thickBot="1" x14ac:dyDescent="0.2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5" thickBot="1" x14ac:dyDescent="0.2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2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2">
      <x:c r="G33" s="601"/>
      <x:c r="H33" s="167"/>
      <x:c r="J33" s="270"/>
      <x:c r="K33" s="270"/>
      <x:c r="Q33" s="212"/>
    </x:row>
    <x:row r="34" spans="7:17" x14ac:dyDescent="0.2">
      <x:c r="G34" s="601"/>
      <x:c r="H34" s="167"/>
      <x:c r="Q34" s="212"/>
    </x:row>
    <x:row r="35" spans="7:17" x14ac:dyDescent="0.2">
      <x:c r="H35" s="167"/>
      <x:c r="K35" s="695"/>
      <x:c r="Q35" s="212"/>
    </x:row>
    <x:row r="36" spans="7:17" x14ac:dyDescent="0.2">
      <x:c r="H36" s="167"/>
      <x:c r="K36" s="695"/>
      <x:c r="Q36" s="212"/>
    </x:row>
    <x:row r="37" spans="7:17" x14ac:dyDescent="0.2">
      <x:c r="H37" s="167"/>
      <x:c r="K37" s="695"/>
      <x:c r="Q37" s="212"/>
    </x:row>
    <x:row r="38" spans="7:17" x14ac:dyDescent="0.2">
      <x:c r="H38" s="167"/>
      <x:c r="K38" s="695"/>
      <x:c r="Q38" s="212"/>
    </x:row>
    <x:row r="39" spans="7:17" x14ac:dyDescent="0.2">
      <x:c r="H39" s="167"/>
      <x:c r="K39" s="695"/>
    </x:row>
    <x:row r="40" spans="7:17" x14ac:dyDescent="0.2">
      <x:c r="H40" s="167"/>
      <x:c r="K40" s="695"/>
    </x:row>
    <x:row r="41" spans="7:17" x14ac:dyDescent="0.2">
      <x:c r="H41" s="167"/>
    </x:row>
    <x:row r="42" spans="7:17" x14ac:dyDescent="0.2">
      <x:c r="H42" s="167"/>
    </x:row>
    <x:row r="43" spans="7:17" x14ac:dyDescent="0.2">
      <x:c r="H43" s="167"/>
    </x:row>
    <x:row r="44" spans="7:17" x14ac:dyDescent="0.2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2578125" defaultRowHeight="12" x14ac:dyDescent="0.2"/>
  <x:cols>
    <x:col min="1" max="1" width="3" style="389" customWidth="1"/>
    <x:col min="2" max="2" width="4.42578125" style="389" bestFit="1" customWidth="1"/>
    <x:col min="3" max="3" width="38.140625" style="389" customWidth="1"/>
    <x:col min="4" max="4" width="15.140625" style="389" customWidth="1"/>
    <x:col min="5" max="5" width="16" style="389" customWidth="1"/>
    <x:col min="6" max="7" width="14.85546875" style="389" customWidth="1"/>
    <x:col min="8" max="9" width="16" style="389" customWidth="1"/>
    <x:col min="10" max="10" width="17.5703125" style="389" customWidth="1"/>
    <x:col min="11" max="11" width="3.85546875" style="389" customWidth="1"/>
    <x:col min="12" max="12" width="2.85546875" style="389" customWidth="1"/>
    <x:col min="13" max="13" width="4.5703125" style="389" customWidth="1"/>
    <x:col min="14" max="14" width="11.140625" style="389" customWidth="1"/>
    <x:col min="15" max="15" width="37.5703125" style="389" bestFit="1" customWidth="1"/>
    <x:col min="16" max="16" width="19.140625" style="389" customWidth="1"/>
    <x:col min="17" max="17" width="17.85546875" style="389" customWidth="1"/>
    <x:col min="18" max="18" width="16.42578125" style="389" customWidth="1"/>
    <x:col min="19" max="19" width="17.140625" style="389" customWidth="1"/>
    <x:col min="20" max="20" width="15.85546875" style="389" customWidth="1"/>
    <x:col min="21" max="21" width="16.140625" style="389" customWidth="1"/>
    <x:col min="22" max="22" width="13.140625" style="391" customWidth="1"/>
    <x:col min="23" max="23" width="13.85546875" style="389" customWidth="1"/>
    <x:col min="24" max="24" width="3.42578125" style="389" customWidth="1"/>
    <x:col min="25" max="25" width="13.85546875" style="389" bestFit="1" customWidth="1"/>
    <x:col min="26" max="27" width="11.42578125" style="389"/>
    <x:col min="28" max="28" width="15.85546875" style="389" bestFit="1" customWidth="1"/>
    <x:col min="29" max="16384" width="11.425781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.75" thickBot="1" x14ac:dyDescent="0.25">
      <x:c r="L3" s="390"/>
      <x:c r="X3" s="390"/>
    </x:row>
    <x:row r="4" spans="2:28" x14ac:dyDescent="0.2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75" x14ac:dyDescent="0.25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75" x14ac:dyDescent="0.25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75" x14ac:dyDescent="0.25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75" x14ac:dyDescent="0.25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75" x14ac:dyDescent="0.25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" thickBot="1" x14ac:dyDescent="0.3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75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2">
      <x:c r="B12" s="422">
        <x:v>1</x:v>
      </x:c>
      <x:c r="C12" s="423" t="s">
        <x:v>10</x:v>
      </x:c>
      <x:c r="D12" s="424">
        <x:f>'Reporte Componentes R1'!F119*$D$24</x:f>
        <x:v>0</x:v>
      </x:c>
      <x:c r="E12" s="424">
        <x:f>'Reporte Componentes R1'!G119*$D$24</x:f>
        <x:v>0</x:v>
      </x:c>
      <x:c r="F12" s="425">
        <x:f>'Reporte Componentes R1'!H119*$D$24</x:f>
        <x:v>0</x:v>
      </x:c>
      <x:c r="G12" s="425">
        <x:f>'Reporte Componentes R1'!I119*$D$24</x:f>
        <x:v>0</x:v>
      </x:c>
      <x:c r="H12" s="425">
        <x:f>'Reporte Componentes R1'!J119*$D$24</x:f>
        <x:v>0</x:v>
      </x:c>
      <x:c r="I12" s="425">
        <x:f>'Reporte Componentes R1'!K119*$D$24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R1'!M119*$P$24</x:f>
        <x:v>0</x:v>
      </x:c>
      <x:c r="Q12" s="430">
        <x:f>'Reporte Componentes R1'!N119*$P$24</x:f>
        <x:v>0</x:v>
      </x:c>
      <x:c r="R12" s="430">
        <x:f>'Reporte Componentes R1'!O119*$P$24</x:f>
        <x:v>0</x:v>
      </x:c>
      <x:c r="S12" s="430">
        <x:f>'Reporte Componentes R1'!P119*$P$24</x:f>
        <x:v>0</x:v>
      </x:c>
      <x:c r="T12" s="430">
        <x:f>'Reporte Componentes R1'!Q119*$P$24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2">
      <x:c r="B13" s="432">
        <x:v>2</x:v>
      </x:c>
      <x:c r="C13" s="433" t="s">
        <x:v>11</x:v>
      </x:c>
      <x:c r="D13" s="424">
        <x:f>'Reporte Componentes R1'!F353*$D$24</x:f>
        <x:v>0</x:v>
      </x:c>
      <x:c r="E13" s="425">
        <x:f>'Reporte Componentes R1'!G353*$D$24</x:f>
        <x:v>0</x:v>
      </x:c>
      <x:c r="F13" s="425">
        <x:f>'Reporte Componentes R1'!H353*$D$24</x:f>
        <x:v>0</x:v>
      </x:c>
      <x:c r="G13" s="425">
        <x:f>'Reporte Componentes R1'!I353*$D$24</x:f>
        <x:v>0</x:v>
      </x:c>
      <x:c r="H13" s="425">
        <x:f>'Reporte Componentes R1'!J353*$D$24</x:f>
        <x:v>0</x:v>
      </x:c>
      <x:c r="I13" s="425">
        <x:f>'Reporte Componentes R1'!K353*$D$24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R1'!M353*$P$24</x:f>
        <x:v>0</x:v>
      </x:c>
      <x:c r="Q13" s="435">
        <x:f>'Reporte Componentes R1'!N353*$P$24</x:f>
        <x:v>0</x:v>
      </x:c>
      <x:c r="R13" s="435">
        <x:f>'Reporte Componentes R1'!O353*$P$24</x:f>
        <x:v>0</x:v>
      </x:c>
      <x:c r="S13" s="435">
        <x:f>'Reporte Componentes R1'!P353*$P$24</x:f>
        <x:v>0</x:v>
      </x:c>
      <x:c r="T13" s="435">
        <x:f>'Reporte Componentes R1'!Q353*$P$24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2">
      <x:c r="B14" s="432">
        <x:v>3</x:v>
      </x:c>
      <x:c r="C14" s="433" t="s">
        <x:v>12</x:v>
      </x:c>
      <x:c r="D14" s="424">
        <x:f>'Reporte Componentes R1'!F514*$D$24</x:f>
        <x:v>0</x:v>
      </x:c>
      <x:c r="E14" s="424">
        <x:f>'Reporte Componentes R1'!G514*$D$24</x:f>
        <x:v>0</x:v>
      </x:c>
      <x:c r="F14" s="424">
        <x:f>'Reporte Componentes R1'!H514*$D$24</x:f>
        <x:v>0</x:v>
      </x:c>
      <x:c r="G14" s="424">
        <x:f>'Reporte Componentes R1'!I514*$D$24</x:f>
        <x:v>0</x:v>
      </x:c>
      <x:c r="H14" s="424">
        <x:f>'Reporte Componentes R1'!J514*$D$24</x:f>
        <x:v>0</x:v>
      </x:c>
      <x:c r="I14" s="424">
        <x:f>'Reporte Componentes R1'!K514*$D$24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R1'!M514*$P$24</x:f>
        <x:v>0</x:v>
      </x:c>
      <x:c r="Q14" s="435">
        <x:f>'Reporte Componentes R1'!N514*$P$24</x:f>
        <x:v>0</x:v>
      </x:c>
      <x:c r="R14" s="435">
        <x:f>'Reporte Componentes R1'!O514*$P$24</x:f>
        <x:v>0</x:v>
      </x:c>
      <x:c r="S14" s="435">
        <x:f>'Reporte Componentes R1'!P514*$P$24</x:f>
        <x:v>0</x:v>
      </x:c>
      <x:c r="T14" s="435">
        <x:f>'Reporte Componentes R1'!Q514*$P$24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2">
      <x:c r="B15" s="432">
        <x:v>4</x:v>
      </x:c>
      <x:c r="C15" s="433" t="s">
        <x:v>13</x:v>
      </x:c>
      <x:c r="D15" s="424">
        <x:f>'Reporte Componentes R1'!F722*$D$24</x:f>
        <x:v>0</x:v>
      </x:c>
      <x:c r="E15" s="425">
        <x:f>'Reporte Componentes R1'!G722*$D$24</x:f>
        <x:v>0</x:v>
      </x:c>
      <x:c r="F15" s="425">
        <x:f>'Reporte Componentes R1'!H722*$D$24</x:f>
        <x:v>0</x:v>
      </x:c>
      <x:c r="G15" s="425">
        <x:f>'Reporte Componentes R1'!I722*$D$24</x:f>
        <x:v>0</x:v>
      </x:c>
      <x:c r="H15" s="425">
        <x:f>'Reporte Componentes R1'!J722*$D$24</x:f>
        <x:v>0</x:v>
      </x:c>
      <x:c r="I15" s="425">
        <x:f>'Reporte Componentes R1'!K722*$D$24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R1'!M722*$P$24</x:f>
        <x:v>0</x:v>
      </x:c>
      <x:c r="Q15" s="435">
        <x:f>'Reporte Componentes R1'!N722*$P$24</x:f>
        <x:v>0</x:v>
      </x:c>
      <x:c r="R15" s="435">
        <x:f>'Reporte Componentes R1'!O722*$P$24</x:f>
        <x:v>0</x:v>
      </x:c>
      <x:c r="S15" s="435">
        <x:f>'Reporte Componentes R1'!P722*$P$24</x:f>
        <x:v>0</x:v>
      </x:c>
      <x:c r="T15" s="435">
        <x:f>'Reporte Componentes R1'!Q722*$P$24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75" thickBot="1" x14ac:dyDescent="0.25">
      <x:c r="B16" s="436">
        <x:v>5</x:v>
      </x:c>
      <x:c r="C16" s="437" t="s">
        <x:v>14</x:v>
      </x:c>
      <x:c r="D16" s="438">
        <x:f>'Reporte Componentes R1'!F841*$D$24</x:f>
        <x:v>0</x:v>
      </x:c>
      <x:c r="E16" s="439">
        <x:f>'Reporte Componentes R1'!G841*$D$24</x:f>
        <x:v>0</x:v>
      </x:c>
      <x:c r="F16" s="439">
        <x:f>'Reporte Componentes R1'!H841*$D$24</x:f>
        <x:v>0</x:v>
      </x:c>
      <x:c r="G16" s="439">
        <x:f>'Reporte Componentes R1'!I841*$D$24</x:f>
        <x:v>0</x:v>
      </x:c>
      <x:c r="H16" s="439">
        <x:f>'Reporte Componentes R1'!J841*$D$24</x:f>
        <x:v>0</x:v>
      </x:c>
      <x:c r="I16" s="439">
        <x:f>'Reporte Componentes R1'!K841*$D$24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R1'!M841*$P$24</x:f>
        <x:v>0</x:v>
      </x:c>
      <x:c r="Q16" s="439">
        <x:f>'Reporte Componentes R1'!N841*$P$24</x:f>
        <x:v>0</x:v>
      </x:c>
      <x:c r="R16" s="439">
        <x:f>'Reporte Componentes R1'!O841*$P$24</x:f>
        <x:v>0</x:v>
      </x:c>
      <x:c r="S16" s="439">
        <x:f>'Reporte Componentes R1'!P841*$P$24</x:f>
        <x:v>0</x:v>
      </x:c>
      <x:c r="T16" s="439">
        <x:f>'Reporte Componentes R1'!Q841*$P$24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75" thickBot="1" x14ac:dyDescent="0.2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75" thickBot="1" x14ac:dyDescent="0.2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75" thickBot="1" x14ac:dyDescent="0.2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75" thickBot="1" x14ac:dyDescent="0.2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2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2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75" x14ac:dyDescent="0.25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topLeftCell="A97" zoomScaleNormal="100" workbookViewId="0">
      <x:selection activeCell="A110" sqref="A1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20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4.85546875" style="271" bestFit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38" width="11.42578125" style="1"/>
    <x:col min="39" max="39" width="15.855468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7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75" x14ac:dyDescent="0.25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75" thickBot="1" x14ac:dyDescent="0.2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46281</x:v>
      </x:c>
      <x:c r="J7" s="2" t="s">
        <x:v>28</x:v>
      </x:c>
      <x:c r="K7" s="9" t="n"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2">
      <x:c r="B9" s="303">
        <x:v>1</x:v>
      </x:c>
      <x:c r="C9" s="304" t="s">
        <x:v>10</x:v>
      </x:c>
      <x:c r="D9" s="386">
        <x:f>'Reporte Componentes R1'!F89</x:f>
        <x:v>0</x:v>
      </x:c>
      <x:c r="E9" s="292">
        <x:f>'Reporte Componentes R1'!G89</x:f>
        <x:v>0</x:v>
      </x:c>
      <x:c r="F9" s="292">
        <x:f>'Reporte Componentes R1'!H89</x:f>
        <x:v>0</x:v>
      </x:c>
      <x:c r="G9" s="292">
        <x:f>'Reporte Componentes R1'!I89</x:f>
        <x:v>0</x:v>
      </x:c>
      <x:c r="H9" s="292">
        <x:f>'Reporte Componentes R1'!J89</x:f>
        <x:v>0</x:v>
      </x:c>
      <x:c r="I9" s="292">
        <x:f>'Reporte Componentes R1'!K89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R1'!L89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R1'!M89</x:f>
        <x:v>0</x:v>
      </x:c>
      <x:c r="V9" s="308">
        <x:f>'Reporte Componentes R1'!N89</x:f>
        <x:v>0</x:v>
      </x:c>
      <x:c r="W9" s="308">
        <x:f>'Reporte Componentes R1'!O89</x:f>
        <x:v>0</x:v>
      </x:c>
      <x:c r="X9" s="308">
        <x:f>'Reporte Componentes R1'!P89</x:f>
        <x:v>0</x:v>
      </x:c>
      <x:c r="Y9" s="309">
        <x:f>'Reporte Componentes R1'!Q89</x:f>
        <x:v>0</x:v>
      </x:c>
      <x:c r="Z9" s="310">
        <x:f>L9*-1</x:f>
        <x:v>-189185988</x:v>
      </x:c>
      <x:c r="AA9" s="311">
        <x:f>'Reporte Componentes R1'!R89+'Reporte Componentes R1'!U89+'Reporte Componentes R1'!V89</x:f>
        <x:v>0</x:v>
      </x:c>
      <x:c r="AB9" s="312">
        <x:f>N9</x:f>
        <x:v>0</x:v>
      </x:c>
      <x:c r="AC9" s="320">
        <x:f>'Reporte Componentes R1'!T89+'Reporte Componentes R1'!W89+'Reporte Componentes R1'!X89+'Reporte Componentes R1'!Y89+'Reporte Componentes R1'!Z89+'Reporte Componentes R1'!S89</x:f>
        <x:v>0</x:v>
      </x:c>
      <x:c r="AD9" s="291">
        <x:f>-J9+AE9</x:f>
        <x:v>0</x:v>
      </x:c>
      <x:c r="AE9" s="291">
        <x:f>'Reporte Componentes R1'!F90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R1'!F323</x:f>
        <x:v>0</x:v>
      </x:c>
      <x:c r="E10" s="292">
        <x:f>'Reporte Componentes R1'!G323</x:f>
        <x:v>0</x:v>
      </x:c>
      <x:c r="F10" s="292">
        <x:f>'Reporte Componentes R1'!H323</x:f>
        <x:v>0</x:v>
      </x:c>
      <x:c r="G10" s="292">
        <x:f>'Reporte Componentes R1'!I323</x:f>
        <x:v>0</x:v>
      </x:c>
      <x:c r="H10" s="292">
        <x:f>'Reporte Componentes R1'!J323</x:f>
        <x:v>0</x:v>
      </x:c>
      <x:c r="I10" s="292">
        <x:f>'Reporte Componentes R1'!K323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R1'!L323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R1'!M323</x:f>
        <x:v>0</x:v>
      </x:c>
      <x:c r="V10" s="317">
        <x:f>'Reporte Componentes R1'!N323</x:f>
        <x:v>0</x:v>
      </x:c>
      <x:c r="W10" s="317">
        <x:f>'Reporte Componentes R1'!O323</x:f>
        <x:v>0</x:v>
      </x:c>
      <x:c r="X10" s="317">
        <x:f>'Reporte Componentes R1'!P323</x:f>
        <x:v>0</x:v>
      </x:c>
      <x:c r="Y10" s="318">
        <x:f>'Reporte Componentes R1'!Q323</x:f>
        <x:v>0</x:v>
      </x:c>
      <x:c r="Z10" s="319">
        <x:f>L10*-1</x:f>
        <x:v>-266580256</x:v>
      </x:c>
      <x:c r="AA10" s="320">
        <x:f>'Reporte Componentes R1'!R323+'Reporte Componentes R1'!U323+'Reporte Componentes R1'!V323</x:f>
        <x:v>0</x:v>
      </x:c>
      <x:c r="AB10" s="321">
        <x:f>N10</x:f>
        <x:v>0</x:v>
      </x:c>
      <x:c r="AC10" s="320">
        <x:f>'Reporte Componentes R1'!T323+'Reporte Componentes R1'!W323+'Reporte Componentes R1'!X323+'Reporte Componentes R1'!Y323+'Reporte Componentes R1'!Z323+'Reporte Componentes R1'!S323</x:f>
        <x:v>0</x:v>
      </x:c>
      <x:c r="AD10" s="291">
        <x:f t="shared" ref="AD10:AD13" si="0">-J10+AE10</x:f>
        <x:v>0</x:v>
      </x:c>
      <x:c r="AE10" s="291">
        <x:f>'Reporte Componentes R1'!F324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R1'!F484</x:f>
        <x:v>0</x:v>
      </x:c>
      <x:c r="E11" s="292">
        <x:f>'Reporte Componentes R1'!G484</x:f>
        <x:v>0</x:v>
      </x:c>
      <x:c r="F11" s="292">
        <x:f>'Reporte Componentes R1'!H484</x:f>
        <x:v>0</x:v>
      </x:c>
      <x:c r="G11" s="292">
        <x:f>'Reporte Componentes R1'!I484</x:f>
        <x:v>0</x:v>
      </x:c>
      <x:c r="H11" s="292">
        <x:f>'Reporte Componentes R1'!J484</x:f>
        <x:v>0</x:v>
      </x:c>
      <x:c r="I11" s="292">
        <x:f>'Reporte Componentes R1'!K484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R1'!L484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R1'!M484</x:f>
        <x:v>0</x:v>
      </x:c>
      <x:c r="V11" s="317">
        <x:f>'Reporte Componentes R1'!N484</x:f>
        <x:v>0</x:v>
      </x:c>
      <x:c r="W11" s="317">
        <x:f>'Reporte Componentes R1'!O484</x:f>
        <x:v>0</x:v>
      </x:c>
      <x:c r="X11" s="317">
        <x:f>'Reporte Componentes R1'!P484</x:f>
        <x:v>0</x:v>
      </x:c>
      <x:c r="Y11" s="318">
        <x:f>'Reporte Componentes R1'!Q484</x:f>
        <x:v>0</x:v>
      </x:c>
      <x:c r="Z11" s="319">
        <x:f>L11*-1</x:f>
        <x:v>-154788536</x:v>
      </x:c>
      <x:c r="AA11" s="320">
        <x:f>'Reporte Componentes R1'!R484+'Reporte Componentes R1'!U484+'Reporte Componentes R1'!V484</x:f>
        <x:v>0</x:v>
      </x:c>
      <x:c r="AB11" s="321">
        <x:f>N11</x:f>
        <x:v>0</x:v>
      </x:c>
      <x:c r="AC11" s="320">
        <x:f>'Reporte Componentes R1'!T484+'Reporte Componentes R1'!W484+'Reporte Componentes R1'!X484+'Reporte Componentes R1'!Y484+'Reporte Componentes R1'!Z484+'Reporte Componentes R1'!S484</x:f>
        <x:v>0</x:v>
      </x:c>
      <x:c r="AD11" s="291">
        <x:f t="shared" si="0"/>
        <x:v>0</x:v>
      </x:c>
      <x:c r="AE11" s="291">
        <x:f>'Reporte Componentes R1'!F485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R1'!F692</x:f>
        <x:v>0</x:v>
      </x:c>
      <x:c r="E12" s="292">
        <x:f>'Reporte Componentes R1'!G692</x:f>
        <x:v>0</x:v>
      </x:c>
      <x:c r="F12" s="292">
        <x:f>'Reporte Componentes R1'!H692</x:f>
        <x:v>0</x:v>
      </x:c>
      <x:c r="G12" s="292">
        <x:f>'Reporte Componentes R1'!I692</x:f>
        <x:v>0</x:v>
      </x:c>
      <x:c r="H12" s="292">
        <x:f>'Reporte Componentes R1'!J692</x:f>
        <x:v>0</x:v>
      </x:c>
      <x:c r="I12" s="292">
        <x:f>'Reporte Componentes R1'!K692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R1'!L692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R1'!M692</x:f>
        <x:v>0</x:v>
      </x:c>
      <x:c r="V12" s="317">
        <x:f>'Reporte Componentes R1'!N692</x:f>
        <x:v>0</x:v>
      </x:c>
      <x:c r="W12" s="317">
        <x:f>'Reporte Componentes R1'!O692</x:f>
        <x:v>0</x:v>
      </x:c>
      <x:c r="X12" s="317">
        <x:f>'Reporte Componentes R1'!P692</x:f>
        <x:v>0</x:v>
      </x:c>
      <x:c r="Y12" s="318">
        <x:f>'Reporte Componentes R1'!Q692</x:f>
        <x:v>0</x:v>
      </x:c>
      <x:c r="Z12" s="319">
        <x:f>L12*-1</x:f>
        <x:v>-120391083</x:v>
      </x:c>
      <x:c r="AA12" s="320">
        <x:f>'Reporte Componentes R1'!R692+'Reporte Componentes R1'!U692+'Reporte Componentes R1'!V692</x:f>
        <x:v>0</x:v>
      </x:c>
      <x:c r="AB12" s="321">
        <x:f>N12</x:f>
        <x:v>0</x:v>
      </x:c>
      <x:c r="AC12" s="320">
        <x:f>'Reporte Componentes R1'!T692+'Reporte Componentes R1'!W692+'Reporte Componentes R1'!X692+'Reporte Componentes R1'!Y692+'Reporte Componentes R1'!Z692+'Reporte Componentes R1'!S692</x:f>
        <x:v>0</x:v>
      </x:c>
      <x:c r="AD12" s="291">
        <x:f t="shared" si="0"/>
        <x:v>0</x:v>
      </x:c>
      <x:c r="AE12" s="291">
        <x:f>'Reporte Componentes R1'!F693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R1'!F811</x:f>
        <x:v>0</x:v>
      </x:c>
      <x:c r="E13" s="297">
        <x:f>'Reporte Componentes R1'!G811</x:f>
        <x:v>0</x:v>
      </x:c>
      <x:c r="F13" s="297">
        <x:f>'Reporte Componentes R1'!H811</x:f>
        <x:v>0</x:v>
      </x:c>
      <x:c r="G13" s="297">
        <x:f>'Reporte Componentes R1'!I811</x:f>
        <x:v>0</x:v>
      </x:c>
      <x:c r="H13" s="297">
        <x:f>'Reporte Componentes R1'!J811</x:f>
        <x:v>0</x:v>
      </x:c>
      <x:c r="I13" s="297">
        <x:f>'Reporte Componentes R1'!K811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R1'!L811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R1'!M811</x:f>
        <x:v>0</x:v>
      </x:c>
      <x:c r="V13" s="297">
        <x:f>'Reporte Componentes R1'!N811</x:f>
        <x:v>0</x:v>
      </x:c>
      <x:c r="W13" s="297">
        <x:f>'Reporte Componentes R1'!O811</x:f>
        <x:v>0</x:v>
      </x:c>
      <x:c r="X13" s="297">
        <x:f>'Reporte Componentes R1'!P811</x:f>
        <x:v>0</x:v>
      </x:c>
      <x:c r="Y13" s="289">
        <x:f>'Reporte Componentes R1'!Q811</x:f>
        <x:v>0</x:v>
      </x:c>
      <x:c r="Z13" s="319">
        <x:f>L13*-1</x:f>
        <x:v>-128990446</x:v>
      </x:c>
      <x:c r="AA13" s="320">
        <x:f>'Reporte Componentes R1'!R811+'Reporte Componentes R1'!U811+'Reporte Componentes R1'!V811</x:f>
        <x:v>0</x:v>
      </x:c>
      <x:c r="AB13" s="321">
        <x:f>N13</x:f>
        <x:v>0</x:v>
      </x:c>
      <x:c r="AC13" s="320">
        <x:f>'Reporte Componentes R1'!T811+'Reporte Componentes R1'!W811+'Reporte Componentes R1'!X811+'Reporte Componentes R1'!Y811+'Reporte Componentes R1'!Z811+'Reporte Componentes R1'!S811</x:f>
        <x:v>0</x:v>
      </x:c>
      <x:c r="AD13" s="291">
        <x:f t="shared" si="0"/>
        <x:v>0</x:v>
      </x:c>
      <x:c r="AE13" s="291">
        <x:f>'Reporte Componentes R1'!F812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2026092</x:v>
      </x:c>
      <x:c r="AE22" s="84"/>
      <x:c r="AF22" s="48"/>
      <x:c r="AG22" s="27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R2'!E57</x:f>
        <x:v>0</x:v>
      </x:c>
      <x:c r="E28" s="292">
        <x:f>'Rem. Anticipos R2'!F57</x:f>
        <x:v>0</x:v>
      </x:c>
      <x:c r="F28" s="292">
        <x:f>'Rem. Anticipos R2'!G57</x:f>
        <x:v>0</x:v>
      </x:c>
      <x:c r="G28" s="292">
        <x:f>'Rem. Anticipos R2'!H57</x:f>
        <x:v>0</x:v>
      </x:c>
      <x:c r="H28" s="292">
        <x:f>'Rem. Anticipos R2'!I57</x:f>
        <x:v>0</x:v>
      </x:c>
      <x:c r="I28" s="292">
        <x:f>'Rem. Anticipos R2'!J57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R2'!L57</x:f>
        <x:v>0</x:v>
      </x:c>
      <x:c r="V28" s="308">
        <x:f>'Rem. Anticipos R2'!M57</x:f>
        <x:v>0</x:v>
      </x:c>
      <x:c r="W28" s="308">
        <x:f>'Rem. Anticipos R2'!N57</x:f>
        <x:v>0</x:v>
      </x:c>
      <x:c r="X28" s="308">
        <x:f>'Rem. Anticipos R2'!O57</x:f>
        <x:v>0</x:v>
      </x:c>
      <x:c r="Y28" s="308">
        <x:f>'Rem. Anticipos R2'!P57</x:f>
        <x:v>0</x:v>
      </x:c>
      <x:c r="Z28" s="310">
        <x:f>L28*-1</x:f>
        <x:v>0</x:v>
      </x:c>
      <x:c r="AA28" s="311">
        <x:f>'Rem. Anticipos R2'!Q57</x:f>
        <x:v>0</x:v>
      </x:c>
      <x:c r="AB28" s="294">
        <x:f>N28</x:f>
        <x:v>0</x:v>
      </x:c>
      <x:c r="AC28" s="311">
        <x:f>'Rem. Anticipos R2'!R57</x:f>
        <x:v>0</x:v>
      </x:c>
      <x:c r="AD28" s="291">
        <x:f>-J28+AE28</x:f>
        <x:v>0</x:v>
      </x:c>
      <x:c r="AE28" s="291">
        <x:f>'Rem. Anticipos R2'!E58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R2'!E178</x:f>
        <x:v>0</x:v>
      </x:c>
      <x:c r="E29" s="292">
        <x:f>'Rem. Anticipos R2'!F178</x:f>
        <x:v>0</x:v>
      </x:c>
      <x:c r="F29" s="292">
        <x:f>'Rem. Anticipos R2'!G178</x:f>
        <x:v>0</x:v>
      </x:c>
      <x:c r="G29" s="292">
        <x:f>'Rem. Anticipos R2'!H178</x:f>
        <x:v>0</x:v>
      </x:c>
      <x:c r="H29" s="292">
        <x:f>'Rem. Anticipos R2'!I178</x:f>
        <x:v>0</x:v>
      </x:c>
      <x:c r="I29" s="292">
        <x:f>'Rem. Anticipos R2'!J178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R2'!K178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R2'!L178</x:f>
        <x:v>0</x:v>
      </x:c>
      <x:c r="V29" s="317">
        <x:f>'Rem. Anticipos R2'!M178</x:f>
        <x:v>0</x:v>
      </x:c>
      <x:c r="W29" s="317">
        <x:f>'Rem. Anticipos R2'!N178</x:f>
        <x:v>0</x:v>
      </x:c>
      <x:c r="X29" s="317">
        <x:f>'Rem. Anticipos R2'!O178</x:f>
        <x:v>0</x:v>
      </x:c>
      <x:c r="Y29" s="318">
        <x:f>'Rem. Anticipos R2'!P178</x:f>
        <x:v>0</x:v>
      </x:c>
      <x:c r="Z29" s="319">
        <x:f>L29*-1</x:f>
        <x:v>0</x:v>
      </x:c>
      <x:c r="AA29" s="320">
        <x:f>'Rem. Anticipos R2'!Q178</x:f>
        <x:v>0</x:v>
      </x:c>
      <x:c r="AB29" s="294">
        <x:f>N29</x:f>
        <x:v>0</x:v>
      </x:c>
      <x:c r="AC29" s="320">
        <x:f>'Rem. Anticipos R2'!R178</x:f>
        <x:v>0</x:v>
      </x:c>
      <x:c r="AD29" s="291">
        <x:f>-J29+AE29</x:f>
        <x:v>0</x:v>
      </x:c>
      <x:c r="AE29" s="291">
        <x:f>'Rem. Anticipos R2'!E179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R2'!E299</x:f>
        <x:v>0</x:v>
      </x:c>
      <x:c r="E30" s="292">
        <x:f>'Rem. Anticipos R2'!F299</x:f>
        <x:v>0</x:v>
      </x:c>
      <x:c r="F30" s="292">
        <x:f>'Rem. Anticipos R2'!G299</x:f>
        <x:v>0</x:v>
      </x:c>
      <x:c r="G30" s="292">
        <x:f>'Rem. Anticipos R2'!H299</x:f>
        <x:v>0</x:v>
      </x:c>
      <x:c r="H30" s="292">
        <x:f>'Rem. Anticipos R2'!I299</x:f>
        <x:v>0</x:v>
      </x:c>
      <x:c r="I30" s="292">
        <x:f>'Rem. Anticipos R2'!J299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R2'!K299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R2'!L299</x:f>
        <x:v>0</x:v>
      </x:c>
      <x:c r="V30" s="317">
        <x:f>'Rem. Anticipos R2'!M299</x:f>
        <x:v>0</x:v>
      </x:c>
      <x:c r="W30" s="317">
        <x:f>'Rem. Anticipos R2'!N299</x:f>
        <x:v>0</x:v>
      </x:c>
      <x:c r="X30" s="317">
        <x:f>'Rem. Anticipos R2'!O299</x:f>
        <x:v>0</x:v>
      </x:c>
      <x:c r="Y30" s="318">
        <x:f>'Rem. Anticipos R2'!P299</x:f>
        <x:v>0</x:v>
      </x:c>
      <x:c r="Z30" s="319">
        <x:f>L30*-1</x:f>
        <x:v>0</x:v>
      </x:c>
      <x:c r="AA30" s="320">
        <x:f>'Rem. Anticipos R2'!Q299</x:f>
        <x:v>0</x:v>
      </x:c>
      <x:c r="AB30" s="294">
        <x:f>N30</x:f>
        <x:v>0</x:v>
      </x:c>
      <x:c r="AC30" s="320">
        <x:f>'Rem. Anticipos R2'!R299</x:f>
        <x:v>0</x:v>
      </x:c>
      <x:c r="AD30" s="291">
        <x:f t="shared" ref="AD30:AD32" si="9">-J30+AE30</x:f>
        <x:v>0</x:v>
      </x:c>
      <x:c r="AE30" s="291">
        <x:f>'Rem. Anticipos R2'!E300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R2'!E423</x:f>
        <x:v>0</x:v>
      </x:c>
      <x:c r="E31" s="292">
        <x:f>'Rem. Anticipos R2'!F423</x:f>
        <x:v>0</x:v>
      </x:c>
      <x:c r="F31" s="292">
        <x:f>'Rem. Anticipos R2'!G423</x:f>
        <x:v>0</x:v>
      </x:c>
      <x:c r="G31" s="292">
        <x:f>'Rem. Anticipos R2'!H423</x:f>
        <x:v>0</x:v>
      </x:c>
      <x:c r="H31" s="292">
        <x:f>'Rem. Anticipos R2'!I423</x:f>
        <x:v>0</x:v>
      </x:c>
      <x:c r="I31" s="292">
        <x:f>'Rem. Anticipos R2'!J423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R2'!K423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R2'!L423</x:f>
        <x:v>0</x:v>
      </x:c>
      <x:c r="V31" s="317">
        <x:f>'Rem. Anticipos R2'!M423</x:f>
        <x:v>0</x:v>
      </x:c>
      <x:c r="W31" s="317">
        <x:f>'Rem. Anticipos R2'!N423</x:f>
        <x:v>0</x:v>
      </x:c>
      <x:c r="X31" s="317">
        <x:f>'Rem. Anticipos R2'!O423</x:f>
        <x:v>0</x:v>
      </x:c>
      <x:c r="Y31" s="318">
        <x:f>'Rem. Anticipos R2'!P423</x:f>
        <x:v>0</x:v>
      </x:c>
      <x:c r="Z31" s="319">
        <x:f>L31*-1</x:f>
        <x:v>0</x:v>
      </x:c>
      <x:c r="AA31" s="320">
        <x:f>'Rem. Anticipos R2'!Q423</x:f>
        <x:v>0</x:v>
      </x:c>
      <x:c r="AB31" s="294">
        <x:f>N31</x:f>
        <x:v>0</x:v>
      </x:c>
      <x:c r="AC31" s="320">
        <x:f>'Rem. Anticipos R2'!R423</x:f>
        <x:v>0</x:v>
      </x:c>
      <x:c r="AD31" s="291">
        <x:f t="shared" si="9"/>
        <x:v>0</x:v>
      </x:c>
      <x:c r="AE31" s="291">
        <x:f>'Rem. Anticipos R2'!E424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R2'!E510</x:f>
        <x:v>0</x:v>
      </x:c>
      <x:c r="E32" s="297">
        <x:f>'Rem. Anticipos R2'!F510</x:f>
        <x:v>0</x:v>
      </x:c>
      <x:c r="F32" s="297">
        <x:f>'Rem. Anticipos R2'!G510</x:f>
        <x:v>0</x:v>
      </x:c>
      <x:c r="G32" s="297">
        <x:f>'Rem. Anticipos R2'!H510</x:f>
        <x:v>0</x:v>
      </x:c>
      <x:c r="H32" s="297">
        <x:f>'Rem. Anticipos R2'!I510</x:f>
        <x:v>0</x:v>
      </x:c>
      <x:c r="I32" s="297">
        <x:f>'Rem. Anticipos R2'!J510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R2'!K510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R2'!L510</x:f>
        <x:v>0</x:v>
      </x:c>
      <x:c r="V32" s="297">
        <x:f>'Rem. Anticipos R2'!M510</x:f>
        <x:v>0</x:v>
      </x:c>
      <x:c r="W32" s="297">
        <x:f>'Rem. Anticipos R2'!N510</x:f>
        <x:v>0</x:v>
      </x:c>
      <x:c r="X32" s="297">
        <x:f>'Rem. Anticipos R2'!O510</x:f>
        <x:v>0</x:v>
      </x:c>
      <x:c r="Y32" s="289">
        <x:f>'Rem. Anticipos R2'!P510</x:f>
        <x:v>0</x:v>
      </x:c>
      <x:c r="Z32" s="319">
        <x:f>L32*-1</x:f>
        <x:v>0</x:v>
      </x:c>
      <x:c r="AA32" s="320">
        <x:f>'Rem. Anticipos R2'!Q510</x:f>
        <x:v>0</x:v>
      </x:c>
      <x:c r="AB32" s="294">
        <x:f>N32</x:f>
        <x:v>0</x:v>
      </x:c>
      <x:c r="AC32" s="320">
        <x:f>'Rem. Anticipos R2'!R510</x:f>
        <x:v>0</x:v>
      </x:c>
      <x:c r="AD32" s="291">
        <x:f t="shared" si="9"/>
        <x:v>0</x:v>
      </x:c>
      <x:c r="AE32" s="291">
        <x:f>'Rem. Anticipos R2'!E511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2026092</x:v>
      </x:c>
      <x:c r="AE41" s="84"/>
      <x:c r="AF41" s="48"/>
      <x:c r="AG41" s="27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R1'!F91</x:f>
        <x:v>0</x:v>
      </x:c>
      <x:c r="E47" s="292">
        <x:f>'Reporte Componentes R1'!G91</x:f>
        <x:v>0</x:v>
      </x:c>
      <x:c r="F47" s="292">
        <x:f>'Reporte Componentes R1'!H91</x:f>
        <x:v>0</x:v>
      </x:c>
      <x:c r="G47" s="292">
        <x:f>'Reporte Componentes R1'!I91</x:f>
        <x:v>0</x:v>
      </x:c>
      <x:c r="H47" s="292">
        <x:f>'Reporte Componentes R1'!J91</x:f>
        <x:v>0</x:v>
      </x:c>
      <x:c r="I47" s="292">
        <x:f>'Reporte Componentes R1'!K91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R1'!M91</x:f>
        <x:v>0</x:v>
      </x:c>
      <x:c r="V47" s="308">
        <x:f>'Reporte Componentes R1'!N91</x:f>
        <x:v>0</x:v>
      </x:c>
      <x:c r="W47" s="308">
        <x:f>'Reporte Componentes R1'!O91</x:f>
        <x:v>0</x:v>
      </x:c>
      <x:c r="X47" s="308">
        <x:f>'Reporte Componentes R1'!P91</x:f>
        <x:v>0</x:v>
      </x:c>
      <x:c r="Y47" s="309">
        <x:f>'Reporte Componentes R1'!Q91</x:f>
        <x:v>0</x:v>
      </x:c>
      <x:c r="Z47" s="310">
        <x:f>-L47</x:f>
        <x:v>0</x:v>
      </x:c>
      <x:c r="AA47" s="320">
        <x:f>'Reporte Componentes R1'!R91+'Reporte Componentes R1'!V91+'Reporte Componentes R1'!U91</x:f>
        <x:v>0</x:v>
      </x:c>
      <x:c r="AB47" s="294">
        <x:f>N47</x:f>
        <x:v>0</x:v>
      </x:c>
      <x:c r="AC47" s="311">
        <x:f>'Reporte Componentes R1'!T91+'Reporte Componentes R1'!W91+'Reporte Componentes R1'!X91+'Reporte Componentes R1'!Y91+'Reporte Componentes R1'!Z91+'Reporte Componentes R1'!S91</x:f>
        <x:v>0</x:v>
      </x:c>
      <x:c r="AD47" s="291">
        <x:f>-J47+AE47</x:f>
        <x:v>0</x:v>
      </x:c>
      <x:c r="AE47" s="291">
        <x:f>'Reporte Componentes R1'!F92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R1'!F325</x:f>
        <x:v>0</x:v>
      </x:c>
      <x:c r="E48" s="292">
        <x:f>'Reporte Componentes R1'!G325</x:f>
        <x:v>0</x:v>
      </x:c>
      <x:c r="F48" s="292">
        <x:f>'Reporte Componentes R1'!H325</x:f>
        <x:v>0</x:v>
      </x:c>
      <x:c r="G48" s="292">
        <x:f>'Reporte Componentes R1'!I325</x:f>
        <x:v>0</x:v>
      </x:c>
      <x:c r="H48" s="292">
        <x:f>'Reporte Componentes R1'!J325</x:f>
        <x:v>0</x:v>
      </x:c>
      <x:c r="I48" s="292">
        <x:f>'Reporte Componentes R1'!K325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R1'!L325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R1'!M325</x:f>
        <x:v>0</x:v>
      </x:c>
      <x:c r="V48" s="317">
        <x:f>'Reporte Componentes R1'!N325</x:f>
        <x:v>0</x:v>
      </x:c>
      <x:c r="W48" s="317">
        <x:f>'Reporte Componentes R1'!O325</x:f>
        <x:v>0</x:v>
      </x:c>
      <x:c r="X48" s="317">
        <x:f>'Reporte Componentes R1'!P325</x:f>
        <x:v>0</x:v>
      </x:c>
      <x:c r="Y48" s="318">
        <x:f>'Reporte Componentes R1'!Q325</x:f>
        <x:v>0</x:v>
      </x:c>
      <x:c r="Z48" s="319">
        <x:f>-L48</x:f>
        <x:v>0</x:v>
      </x:c>
      <x:c r="AA48" s="320">
        <x:f>'Reporte Componentes R1'!R325+'Reporte Componentes R1'!V325+'Reporte Componentes R1'!U325</x:f>
        <x:v>0</x:v>
      </x:c>
      <x:c r="AB48" s="294">
        <x:f>N48</x:f>
        <x:v>0</x:v>
      </x:c>
      <x:c r="AC48" s="320">
        <x:f>'Reporte Componentes R1'!T325+'Reporte Componentes R1'!W325+'Reporte Componentes R1'!X325+'Reporte Componentes R1'!Y325+'Reporte Componentes R1'!Z325+'Reporte Componentes R1'!S325</x:f>
        <x:v>0</x:v>
      </x:c>
      <x:c r="AD48" s="291">
        <x:f t="shared" ref="AD48:AD51" si="18">-J48+AE48</x:f>
        <x:v>0</x:v>
      </x:c>
      <x:c r="AE48" s="291">
        <x:f>'Reporte Componentes R1'!F326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R1'!F486</x:f>
        <x:v>0</x:v>
      </x:c>
      <x:c r="E49" s="292">
        <x:f>'Reporte Componentes R1'!G486</x:f>
        <x:v>0</x:v>
      </x:c>
      <x:c r="F49" s="292">
        <x:f>'Reporte Componentes R1'!H486</x:f>
        <x:v>0</x:v>
      </x:c>
      <x:c r="G49" s="292">
        <x:f>'Reporte Componentes R1'!I486</x:f>
        <x:v>0</x:v>
      </x:c>
      <x:c r="H49" s="292">
        <x:f>'Reporte Componentes R1'!J486</x:f>
        <x:v>0</x:v>
      </x:c>
      <x:c r="I49" s="292">
        <x:f>'Reporte Componentes R1'!K486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R1'!L486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R1'!M486</x:f>
        <x:v>0</x:v>
      </x:c>
      <x:c r="V49" s="317">
        <x:f>'Reporte Componentes R1'!N486</x:f>
        <x:v>0</x:v>
      </x:c>
      <x:c r="W49" s="317">
        <x:f>'Reporte Componentes R1'!O486</x:f>
        <x:v>0</x:v>
      </x:c>
      <x:c r="X49" s="317">
        <x:f>'Reporte Componentes R1'!P486</x:f>
        <x:v>0</x:v>
      </x:c>
      <x:c r="Y49" s="318">
        <x:f>'Reporte Componentes R1'!Q486</x:f>
        <x:v>0</x:v>
      </x:c>
      <x:c r="Z49" s="319">
        <x:f>-L49</x:f>
        <x:v>0</x:v>
      </x:c>
      <x:c r="AA49" s="320">
        <x:f>'Reporte Componentes R1'!R486+'Reporte Componentes R1'!V486+'Reporte Componentes R1'!U486</x:f>
        <x:v>0</x:v>
      </x:c>
      <x:c r="AB49" s="294">
        <x:f>N49</x:f>
        <x:v>0</x:v>
      </x:c>
      <x:c r="AC49" s="320">
        <x:f>'Reporte Componentes R1'!T486+'Reporte Componentes R1'!W486+'Reporte Componentes R1'!X486+'Reporte Componentes R1'!Y486+'Reporte Componentes R1'!Z486+'Reporte Componentes R1'!S486</x:f>
        <x:v>0</x:v>
      </x:c>
      <x:c r="AD49" s="291">
        <x:f t="shared" si="18"/>
        <x:v>0</x:v>
      </x:c>
      <x:c r="AE49" s="291">
        <x:f>'Reporte Componentes R1'!F487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R1'!F694</x:f>
        <x:v>0</x:v>
      </x:c>
      <x:c r="E50" s="292">
        <x:f>'Reporte Componentes R1'!G694</x:f>
        <x:v>0</x:v>
      </x:c>
      <x:c r="F50" s="292">
        <x:f>'Reporte Componentes R1'!H694</x:f>
        <x:v>0</x:v>
      </x:c>
      <x:c r="G50" s="292">
        <x:f>'Reporte Componentes R1'!I694</x:f>
        <x:v>0</x:v>
      </x:c>
      <x:c r="H50" s="292">
        <x:f>'Reporte Componentes R1'!J694</x:f>
        <x:v>0</x:v>
      </x:c>
      <x:c r="I50" s="292">
        <x:f>'Reporte Componentes R1'!K694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R1'!L694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R1'!M694</x:f>
        <x:v>0</x:v>
      </x:c>
      <x:c r="V50" s="317">
        <x:f>'Reporte Componentes R1'!N694</x:f>
        <x:v>0</x:v>
      </x:c>
      <x:c r="W50" s="317">
        <x:f>'Reporte Componentes R1'!O694</x:f>
        <x:v>0</x:v>
      </x:c>
      <x:c r="X50" s="317">
        <x:f>'Reporte Componentes R1'!P694</x:f>
        <x:v>0</x:v>
      </x:c>
      <x:c r="Y50" s="318">
        <x:f>'Reporte Componentes R1'!Q694</x:f>
        <x:v>0</x:v>
      </x:c>
      <x:c r="Z50" s="319">
        <x:f>-L50</x:f>
        <x:v>0</x:v>
      </x:c>
      <x:c r="AA50" s="320">
        <x:f>'Reporte Componentes R1'!R694+'Reporte Componentes R1'!V694+'Reporte Componentes R1'!U694</x:f>
        <x:v>0</x:v>
      </x:c>
      <x:c r="AB50" s="294">
        <x:f>N50</x:f>
        <x:v>0</x:v>
      </x:c>
      <x:c r="AC50" s="320">
        <x:f>'Reporte Componentes R1'!T694+'Reporte Componentes R1'!W694+'Reporte Componentes R1'!X694+'Reporte Componentes R1'!Y694+'Reporte Componentes R1'!Z694+'Reporte Componentes R1'!S694</x:f>
        <x:v>0</x:v>
      </x:c>
      <x:c r="AD50" s="291">
        <x:f t="shared" si="18"/>
        <x:v>0</x:v>
      </x:c>
      <x:c r="AE50" s="291">
        <x:f>'Reporte Componentes R1'!F695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R1'!F813</x:f>
        <x:v>0</x:v>
      </x:c>
      <x:c r="E51" s="297">
        <x:f>'Reporte Componentes R1'!G813</x:f>
        <x:v>0</x:v>
      </x:c>
      <x:c r="F51" s="297">
        <x:f>'Reporte Componentes R1'!H813</x:f>
        <x:v>0</x:v>
      </x:c>
      <x:c r="G51" s="297">
        <x:f>'Reporte Componentes R1'!I813</x:f>
        <x:v>0</x:v>
      </x:c>
      <x:c r="H51" s="297">
        <x:f>'Reporte Componentes R1'!J813</x:f>
        <x:v>0</x:v>
      </x:c>
      <x:c r="I51" s="297">
        <x:f>'Reporte Componentes R1'!K813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R1'!L813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R1'!M813</x:f>
        <x:v>0</x:v>
      </x:c>
      <x:c r="V51" s="297">
        <x:f>'Reporte Componentes R1'!N813</x:f>
        <x:v>0</x:v>
      </x:c>
      <x:c r="W51" s="297">
        <x:f>'Reporte Componentes R1'!O813</x:f>
        <x:v>0</x:v>
      </x:c>
      <x:c r="X51" s="297">
        <x:f>'Reporte Componentes R1'!P813</x:f>
        <x:v>0</x:v>
      </x:c>
      <x:c r="Y51" s="289">
        <x:f>'Reporte Componentes R1'!Q813</x:f>
        <x:v>0</x:v>
      </x:c>
      <x:c r="Z51" s="319">
        <x:f>-L51</x:f>
        <x:v>0</x:v>
      </x:c>
      <x:c r="AA51" s="320">
        <x:f>'Reporte Componentes R1'!R813+'Reporte Componentes R1'!V813+'Reporte Componentes R1'!U813</x:f>
        <x:v>0</x:v>
      </x:c>
      <x:c r="AB51" s="294">
        <x:f>N51</x:f>
        <x:v>0</x:v>
      </x:c>
      <x:c r="AC51" s="320">
        <x:f>'Reporte Componentes R1'!T813+'Reporte Componentes R1'!W813+'Reporte Componentes R1'!X813+'Reporte Componentes R1'!Y813+'Reporte Componentes R1'!Z813+'Reporte Componentes R1'!S813</x:f>
        <x:v>0</x:v>
      </x:c>
      <x:c r="AD51" s="291">
        <x:f t="shared" si="18"/>
        <x:v>0</x:v>
      </x:c>
      <x:c r="AE51" s="291">
        <x:f>'Reporte Componentes R1'!F814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2026092</x:v>
      </x:c>
      <x:c r="AE60" s="84"/>
      <x:c r="AF60" s="48"/>
      <x:c r="AG60" s="27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8">
        <x:f>'Reversion Pagos R4'!N79</x:f>
        <x:v>0</x:v>
      </x:c>
      <x:c r="Z66" s="310">
        <x:f>-L66</x:f>
        <x:v>0</x:v>
      </x:c>
      <x:c r="AA66" s="320">
        <x:f>'Reversion Pagos R4'!O79</x:f>
        <x:v>0</x:v>
      </x:c>
      <x:c r="AB66" s="294">
        <x:f>N66</x:f>
        <x:v>0</x:v>
      </x:c>
      <x:c r="AC66" s="320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7">-L67</x:f>
        <x:v>0</x:v>
      </x:c>
      <x:c r="AA67" s="320">
        <x:f>'Reversion Pagos R4'!O180</x:f>
        <x:v>0</x:v>
      </x:c>
      <x:c r="AB67" s="294">
        <x:f t="shared" ref="AB67:AB70" si="28">N67</x:f>
        <x:v>0</x:v>
      </x:c>
      <x:c r="AC67" s="320">
        <x:f>+'Reversion Pagos R4'!Q180+'Reversion Pagos R4'!R180</x:f>
        <x:v>0</x:v>
      </x:c>
      <x:c r="AD67" s="291">
        <x:f>-J67+AE67</x:f>
        <x:v>0</x:v>
      </x:c>
      <x:c r="AE67" s="291">
        <x:f>'Reversion Pagos R4'!D181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7"/>
        <x:v>0</x:v>
      </x:c>
      <x:c r="AA68" s="320">
        <x:f>'Reversion Pagos R4'!O217</x:f>
        <x:v>0</x:v>
      </x:c>
      <x:c r="AB68" s="294">
        <x:f t="shared" si="28"/>
        <x:v>0</x:v>
      </x:c>
      <x:c r="AC68" s="320">
        <x:f>+'Reversion Pagos R4'!Q217+'Reversion Pagos R4'!R217</x:f>
        <x:v>0</x:v>
      </x:c>
      <x:c r="AD68" s="291">
        <x:f t="shared" ref="AD68:AD69" si="30">-J68+AE68</x:f>
        <x:v>0</x:v>
      </x:c>
      <x:c r="AE68" s="291">
        <x:f>'Reversion Pagos R4'!D218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7"/>
        <x:v>0</x:v>
      </x:c>
      <x:c r="AA69" s="320">
        <x:f>'Reversion Pagos R4'!O332</x:f>
        <x:v>0</x:v>
      </x:c>
      <x:c r="AB69" s="294">
        <x:f t="shared" si="28"/>
        <x:v>0</x:v>
      </x:c>
      <x:c r="AC69" s="320">
        <x:f>+'Reversion Pagos R4'!Q332+'Reversion Pagos R4'!R332</x:f>
        <x:v>0</x:v>
      </x:c>
      <x:c r="AD69" s="291">
        <x:f t="shared" si="30"/>
        <x:v>0</x:v>
      </x:c>
      <x:c r="AE69" s="291">
        <x:f>'Reversion Pagos R4'!D333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7"/>
        <x:v>0</x:v>
      </x:c>
      <x:c r="AA70" s="320">
        <x:f>'Reversion Pagos R4'!O373</x:f>
        <x:v>0</x:v>
      </x:c>
      <x:c r="AB70" s="294">
        <x:f t="shared" si="28"/>
        <x:v>0</x:v>
      </x:c>
      <x:c r="AC70" s="320">
        <x:f>+'Reversion Pagos R4'!Q373+'Reversion Pagos R4'!R373</x:f>
        <x:v>0</x:v>
      </x:c>
      <x:c r="AD70" s="291">
        <x:f>-J70+AE70</x:f>
        <x:v>0</x:v>
      </x:c>
      <x:c r="AE70" s="291">
        <x:f>'Reversion Pagos R4'!D374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2026092</x:v>
      </x:c>
      <x:c r="AE79" s="84"/>
      <x:c r="AF79" s="48"/>
      <x:c r="AG79" s="27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2026092</x:v>
      </x:c>
      <x:c r="AE98" s="84"/>
      <x:c r="AF98" s="48"/>
      <x:c r="AG98" s="272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75" x14ac:dyDescent="0.25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2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2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2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2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5" thickBot="1" x14ac:dyDescent="0.2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2026092</x:v>
      </x:c>
      <x:c r="O117" s="10"/>
      <x:c r="P117" s="2"/>
      <x:c r="Q117" s="4"/>
      <x:c r="AA117" s="305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2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2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4" width="16.8554687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 t="n">
        <x:f>'Recaudo EAAB Reciprocidad'!F21+'Recaudo EAAB + Ciud Limp'!F21+'Recaudo Directa Occidente'!F21+'Recaudo ENEL'!F21+'Recaudo ENERBIT'!F21</x:f>
        <x:v>16084033919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">
      <x:c r="B4" s="314">
        <x:v>2</x:v>
      </x:c>
      <x:c r="C4" s="292" t="n">
        <x:f>'Recaudo EAAB Reciprocidad'!F22+'Recaudo EAAB + Ciud Limp'!F22+'Recaudo Directa Occidente'!F22+'Recaudo ENEL'!F22+'Recaudo ENERBIT'!F22</x:f>
        <x:v>22419728549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">
      <x:c r="B5" s="314">
        <x:v>3</x:v>
      </x:c>
      <x:c r="C5" s="292" t="n">
        <x:f>'Recaudo EAAB Reciprocidad'!F23+'Recaudo EAAB + Ciud Limp'!F23+'Recaudo Directa Occidente'!F23+'Recaudo ENEL'!F23+'Recaudo ENERBIT'!F23</x:f>
        <x:v>15363489329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">
      <x:c r="B6" s="314">
        <x:v>4</x:v>
      </x:c>
      <x:c r="C6" s="292" t="n">
        <x:f>'Recaudo EAAB Reciprocidad'!F24+'Recaudo EAAB + Ciud Limp'!F24+'Recaudo Directa Occidente'!F24+'Recaudo ENEL'!F24+'Recaudo ENERBIT'!F24</x:f>
        <x:v>7745607559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">
      <x:c r="B7" s="314">
        <x:v>5</x:v>
      </x:c>
      <x:c r="C7" s="292" t="n">
        <x:f>'Recaudo EAAB Reciprocidad'!F25+'Recaudo EAAB + Ciud Limp'!F25+'Recaudo Directa Occidente'!F25+'Recaudo ENEL'!F25+'Recaudo ENERBIT'!F25</x:f>
        <x:v>12368419343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5" thickBot="1" x14ac:dyDescent="0.25">
      <x:c r="B8" s="341" t="s">
        <x:v>89</x:v>
      </x:c>
      <x:c r="C8" s="356" t="n">
        <x:f>'Recaudo EAAB Reciprocidad'!F26+'Recaudo EAAB + Ciud Limp'!F26+'Recaudo Directa Occidente'!F26+'Recaudo ENEL'!F26+'Recaudo ENERBIT'!F26</x:f>
        <x:v>437900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5" thickBot="1" x14ac:dyDescent="0.25">
      <x:c r="B9" s="327"/>
      <x:c r="C9" s="290" t="n">
        <x:f>SUM(C3:C8)</x:f>
        <x:v>73981716599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 t="n">
        <x:f>'Valida - Control Recaudo'!F10</x:f>
        <x:v>73981716599</x:v>
      </x:c>
    </x:row>
    <x:row r="15" spans="2:16" x14ac:dyDescent="0.2">
      <x:c r="C15" s="249" t="b">
        <x:f>C14=C9</x:f>
        <x:v>1</x:v>
      </x:c>
    </x:row>
    <x:row r="16" spans="2:16" x14ac:dyDescent="0.2">
      <x:c r="C16" s="355"/>
    </x:row>
    <x:row r="18" spans="3:18" ht="13.5" thickBot="1" x14ac:dyDescent="0.25">
      <x:c r="D18" s="701" t="s">
        <x:v>269</x:v>
      </x:c>
      <x:c r="E18" s="701"/>
    </x:row>
    <x:row r="19" spans="3:18" ht="36.75" thickBot="1" x14ac:dyDescent="0.2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3.5" thickBot="1" x14ac:dyDescent="0.25">
      <x:c r="D27" s="701" t="s">
        <x:v>270</x:v>
      </x:c>
    </x:row>
    <x:row r="28" spans="3:18" ht="57" customHeight="1" thickBot="1" x14ac:dyDescent="0.2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">
      <x:c r="K35" s="141"/>
      <x:c r="P35" s="270">
        <x:f>P33-G33</x:f>
        <x:v>0</x:v>
      </x:c>
    </x:row>
    <x:row r="36" spans="4:17" x14ac:dyDescent="0.2">
      <x:c r="F36" s="141"/>
      <x:c r="L36" s="141"/>
      <x:c r="P36" s="141"/>
    </x:row>
    <x:row r="37" spans="4:17" x14ac:dyDescent="0.2">
      <x:c r="E37" s="141"/>
      <x:c r="P37" s="601"/>
    </x:row>
    <x:row r="38" spans="4:17" x14ac:dyDescent="0.2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4.85546875" style="1" bestFit="1" customWidth="1"/>
    <x:col min="5" max="5" width="15.42578125" style="1" bestFit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1.140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2026092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18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R1'!F94</x:f>
        <x:v>0</x:v>
      </x:c>
      <x:c r="E9" s="292">
        <x:f>'Reporte Componentes R1'!G94</x:f>
        <x:v>0</x:v>
      </x:c>
      <x:c r="F9" s="292">
        <x:f>'Reporte Componentes R1'!H94</x:f>
        <x:v>0</x:v>
      </x:c>
      <x:c r="G9" s="292">
        <x:f>'Reporte Componentes R1'!I94</x:f>
        <x:v>0</x:v>
      </x:c>
      <x:c r="H9" s="292">
        <x:f>'Reporte Componentes R1'!J94</x:f>
        <x:v>0</x:v>
      </x:c>
      <x:c r="I9" s="292">
        <x:f>'Reporte Componentes R1'!K94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R1'!M94</x:f>
        <x:v>0</x:v>
      </x:c>
      <x:c r="V9" s="308">
        <x:f>'Reporte Componentes R1'!N94</x:f>
        <x:v>0</x:v>
      </x:c>
      <x:c r="W9" s="308">
        <x:f>'Reporte Componentes R1'!O94</x:f>
        <x:v>0</x:v>
      </x:c>
      <x:c r="X9" s="308">
        <x:f>'Reporte Componentes R1'!P94</x:f>
        <x:v>0</x:v>
      </x:c>
      <x:c r="Y9" s="309">
        <x:f>'Reporte Componentes R1'!Q94</x:f>
        <x:v>0</x:v>
      </x:c>
      <x:c r="Z9" s="310">
        <x:f>L9*-1</x:f>
        <x:v>0</x:v>
      </x:c>
      <x:c r="AA9" s="311">
        <x:f>'Reporte Componentes R1'!R94+'Reporte Componentes R1'!V94+'Reporte Componentes R1'!U94</x:f>
        <x:v>0</x:v>
      </x:c>
      <x:c r="AB9" s="294">
        <x:f>N9</x:f>
        <x:v>0</x:v>
      </x:c>
      <x:c r="AC9" s="311">
        <x:f>'Reporte Componentes R1'!T94+'Reporte Componentes R1'!W94+'Reporte Componentes R1'!X94+'Reporte Componentes R1'!Y94+'Reporte Componentes R1'!Z94+'Reporte Componentes R1'!S94</x:f>
        <x:v>0</x:v>
      </x:c>
      <x:c r="AD9" s="291">
        <x:f>-J9+AE9</x:f>
        <x:v>0</x:v>
      </x:c>
      <x:c r="AE9" s="291">
        <x:f>'Reporte Componentes R1'!F95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R1'!F328</x:f>
        <x:v>0</x:v>
      </x:c>
      <x:c r="E10" s="292">
        <x:f>'Reporte Componentes R1'!G328</x:f>
        <x:v>0</x:v>
      </x:c>
      <x:c r="F10" s="292">
        <x:f>'Reporte Componentes R1'!H328</x:f>
        <x:v>0</x:v>
      </x:c>
      <x:c r="G10" s="292">
        <x:f>'Reporte Componentes R1'!I328</x:f>
        <x:v>0</x:v>
      </x:c>
      <x:c r="H10" s="292">
        <x:f>'Reporte Componentes R1'!J328</x:f>
        <x:v>0</x:v>
      </x:c>
      <x:c r="I10" s="292">
        <x:f>'Reporte Componentes R1'!K328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R1'!L328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R1'!M328</x:f>
        <x:v>0</x:v>
      </x:c>
      <x:c r="V10" s="317">
        <x:f>'Reporte Componentes R1'!N328</x:f>
        <x:v>0</x:v>
      </x:c>
      <x:c r="W10" s="317">
        <x:f>'Reporte Componentes R1'!O328</x:f>
        <x:v>0</x:v>
      </x:c>
      <x:c r="X10" s="317">
        <x:f>'Reporte Componentes R1'!P328</x:f>
        <x:v>0</x:v>
      </x:c>
      <x:c r="Y10" s="318">
        <x:f>'Reporte Componentes R1'!Q328</x:f>
        <x:v>0</x:v>
      </x:c>
      <x:c r="Z10" s="319">
        <x:f>L10*-1</x:f>
        <x:v>0</x:v>
      </x:c>
      <x:c r="AA10" s="320">
        <x:f>'Reporte Componentes R1'!R328+'Reporte Componentes R1'!V328+'Reporte Componentes R1'!U328</x:f>
        <x:v>0</x:v>
      </x:c>
      <x:c r="AB10" s="294">
        <x:f>N10</x:f>
        <x:v>0</x:v>
      </x:c>
      <x:c r="AC10" s="320">
        <x:f>'Reporte Componentes R1'!T328+'Reporte Componentes R1'!W328+'Reporte Componentes R1'!X328+'Reporte Componentes R1'!Y328+'Reporte Componentes R1'!Z328++'Reporte Componentes R1'!S328</x:f>
        <x:v>0</x:v>
      </x:c>
      <x:c r="AD10" s="291">
        <x:f t="shared" ref="AD10:AD13" si="2">-J10+AE10</x:f>
        <x:v>0</x:v>
      </x:c>
      <x:c r="AE10" s="291">
        <x:f>'Reporte Componentes R1'!F329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R1'!F489</x:f>
        <x:v>0</x:v>
      </x:c>
      <x:c r="E11" s="292">
        <x:f>'Reporte Componentes R1'!G489</x:f>
        <x:v>0</x:v>
      </x:c>
      <x:c r="F11" s="292">
        <x:f>'Reporte Componentes R1'!H489</x:f>
        <x:v>0</x:v>
      </x:c>
      <x:c r="G11" s="292">
        <x:f>'Reporte Componentes R1'!I489</x:f>
        <x:v>0</x:v>
      </x:c>
      <x:c r="H11" s="292">
        <x:f>'Reporte Componentes R1'!J489</x:f>
        <x:v>0</x:v>
      </x:c>
      <x:c r="I11" s="292">
        <x:f>'Reporte Componentes R1'!K489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R1'!L489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R1'!M489</x:f>
        <x:v>0</x:v>
      </x:c>
      <x:c r="V11" s="317">
        <x:f>'Reporte Componentes R1'!N489</x:f>
        <x:v>0</x:v>
      </x:c>
      <x:c r="W11" s="317">
        <x:f>'Reporte Componentes R1'!O489</x:f>
        <x:v>0</x:v>
      </x:c>
      <x:c r="X11" s="317">
        <x:f>'Reporte Componentes R1'!P489</x:f>
        <x:v>0</x:v>
      </x:c>
      <x:c r="Y11" s="318">
        <x:f>'Reporte Componentes R1'!Q489</x:f>
        <x:v>0</x:v>
      </x:c>
      <x:c r="Z11" s="319">
        <x:f>L11*-1</x:f>
        <x:v>0</x:v>
      </x:c>
      <x:c r="AA11" s="320">
        <x:f>'Reporte Componentes R1'!R489+'Reporte Componentes R1'!V489+'Reporte Componentes R1'!U489</x:f>
        <x:v>0</x:v>
      </x:c>
      <x:c r="AB11" s="294">
        <x:f>N11</x:f>
        <x:v>0</x:v>
      </x:c>
      <x:c r="AC11" s="320">
        <x:f>'Reporte Componentes R1'!T489+'Reporte Componentes R1'!W489+'Reporte Componentes R1'!X489+'Reporte Componentes R1'!Y489+'Reporte Componentes R1'!Z489++'Reporte Componentes R1'!S489</x:f>
        <x:v>0</x:v>
      </x:c>
      <x:c r="AD11" s="291">
        <x:f t="shared" si="2"/>
        <x:v>0</x:v>
      </x:c>
      <x:c r="AE11" s="291">
        <x:f>'Reporte Componentes R1'!F490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R1'!F697</x:f>
        <x:v>0</x:v>
      </x:c>
      <x:c r="E12" s="292">
        <x:f>'Reporte Componentes R1'!G697</x:f>
        <x:v>0</x:v>
      </x:c>
      <x:c r="F12" s="292">
        <x:f>'Reporte Componentes R1'!H697</x:f>
        <x:v>0</x:v>
      </x:c>
      <x:c r="G12" s="292">
        <x:f>'Reporte Componentes R1'!I697</x:f>
        <x:v>0</x:v>
      </x:c>
      <x:c r="H12" s="292">
        <x:f>'Reporte Componentes R1'!J697</x:f>
        <x:v>0</x:v>
      </x:c>
      <x:c r="I12" s="292">
        <x:f>'Reporte Componentes R1'!K697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R1'!L697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R1'!M697</x:f>
        <x:v>0</x:v>
      </x:c>
      <x:c r="V12" s="317">
        <x:f>'Reporte Componentes R1'!N697</x:f>
        <x:v>0</x:v>
      </x:c>
      <x:c r="W12" s="317">
        <x:f>'Reporte Componentes R1'!O697</x:f>
        <x:v>0</x:v>
      </x:c>
      <x:c r="X12" s="317">
        <x:f>'Reporte Componentes R1'!P697</x:f>
        <x:v>0</x:v>
      </x:c>
      <x:c r="Y12" s="318">
        <x:f>'Reporte Componentes R1'!Q697</x:f>
        <x:v>0</x:v>
      </x:c>
      <x:c r="Z12" s="319">
        <x:f>L12*-1</x:f>
        <x:v>0</x:v>
      </x:c>
      <x:c r="AA12" s="320">
        <x:f>'Reporte Componentes R1'!R697+'Reporte Componentes R1'!V697+'Reporte Componentes R1'!U697</x:f>
        <x:v>0</x:v>
      </x:c>
      <x:c r="AB12" s="294">
        <x:f>N12</x:f>
        <x:v>0</x:v>
      </x:c>
      <x:c r="AC12" s="320">
        <x:f>'Reporte Componentes R1'!T697+'Reporte Componentes R1'!W697+'Reporte Componentes R1'!X697+'Reporte Componentes R1'!Y697+'Reporte Componentes R1'!Z697++'Reporte Componentes R1'!S697</x:f>
        <x:v>0</x:v>
      </x:c>
      <x:c r="AD12" s="291">
        <x:f t="shared" si="2"/>
        <x:v>0</x:v>
      </x:c>
      <x:c r="AE12" s="291">
        <x:f>'Reporte Componentes R1'!F698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R1'!F816</x:f>
        <x:v>0</x:v>
      </x:c>
      <x:c r="E13" s="297">
        <x:f>'Reporte Componentes R1'!G816</x:f>
        <x:v>0</x:v>
      </x:c>
      <x:c r="F13" s="297">
        <x:f>'Reporte Componentes R1'!H816</x:f>
        <x:v>0</x:v>
      </x:c>
      <x:c r="G13" s="297">
        <x:f>'Reporte Componentes R1'!I816</x:f>
        <x:v>0</x:v>
      </x:c>
      <x:c r="H13" s="297">
        <x:f>'Reporte Componentes R1'!J816</x:f>
        <x:v>0</x:v>
      </x:c>
      <x:c r="I13" s="297">
        <x:f>'Reporte Componentes R1'!K816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R1'!L816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R1'!M816</x:f>
        <x:v>0</x:v>
      </x:c>
      <x:c r="V13" s="297">
        <x:f>'Reporte Componentes R1'!N816</x:f>
        <x:v>0</x:v>
      </x:c>
      <x:c r="W13" s="297">
        <x:f>'Reporte Componentes R1'!O816</x:f>
        <x:v>0</x:v>
      </x:c>
      <x:c r="X13" s="297">
        <x:f>'Reporte Componentes R1'!P816</x:f>
        <x:v>0</x:v>
      </x:c>
      <x:c r="Y13" s="289">
        <x:f>'Reporte Componentes R1'!Q816</x:f>
        <x:v>0</x:v>
      </x:c>
      <x:c r="Z13" s="319">
        <x:f>L13*-1</x:f>
        <x:v>0</x:v>
      </x:c>
      <x:c r="AA13" s="320">
        <x:f>'Reporte Componentes R1'!R816+'Reporte Componentes R1'!V816+'Reporte Componentes R1'!U816</x:f>
        <x:v>0</x:v>
      </x:c>
      <x:c r="AB13" s="294">
        <x:f>N13</x:f>
        <x:v>0</x:v>
      </x:c>
      <x:c r="AC13" s="320">
        <x:f>'Reporte Componentes R1'!T816+'Reporte Componentes R1'!W816+'Reporte Componentes R1'!X816+'Reporte Componentes R1'!Y816+'Reporte Componentes R1'!Z816+'Reporte Componentes R1'!S816</x:f>
        <x:v>0</x:v>
      </x:c>
      <x:c r="AD13" s="291">
        <x:f t="shared" si="2"/>
        <x:v>0</x:v>
      </x:c>
      <x:c r="AE13" s="291">
        <x:f>'Reporte Componentes R1'!F817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R2'!E60</x:f>
        <x:v>0</x:v>
      </x:c>
      <x:c r="E28" s="292">
        <x:f>'Rem. Anticipos R2'!F60</x:f>
        <x:v>0</x:v>
      </x:c>
      <x:c r="F28" s="292">
        <x:f>'Rem. Anticipos R2'!G60</x:f>
        <x:v>0</x:v>
      </x:c>
      <x:c r="G28" s="292">
        <x:f>'Rem. Anticipos R2'!H60</x:f>
        <x:v>0</x:v>
      </x:c>
      <x:c r="H28" s="292">
        <x:f>'Rem. Anticipos R2'!I60</x:f>
        <x:v>0</x:v>
      </x:c>
      <x:c r="I28" s="292">
        <x:f>'Rem. Anticipos R2'!J60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R2'!L60</x:f>
        <x:v>0</x:v>
      </x:c>
      <x:c r="V28" s="308">
        <x:f>'Rem. Anticipos R2'!M60</x:f>
        <x:v>0</x:v>
      </x:c>
      <x:c r="W28" s="308">
        <x:f>'Rem. Anticipos R2'!N60</x:f>
        <x:v>0</x:v>
      </x:c>
      <x:c r="X28" s="308">
        <x:f>'Rem. Anticipos R2'!O60</x:f>
        <x:v>0</x:v>
      </x:c>
      <x:c r="Y28" s="309">
        <x:f>'Rem. Anticipos R2'!P60</x:f>
        <x:v>0</x:v>
      </x:c>
      <x:c r="Z28" s="310">
        <x:f>L28*-1</x:f>
        <x:v>0</x:v>
      </x:c>
      <x:c r="AA28" s="311">
        <x:f>'Rem. Anticipos R2'!Q60</x:f>
        <x:v>0</x:v>
      </x:c>
      <x:c r="AB28" s="294">
        <x:f>N28</x:f>
        <x:v>0</x:v>
      </x:c>
      <x:c r="AC28" s="311">
        <x:f>'Rem. Anticipos R2'!R60</x:f>
        <x:v>0</x:v>
      </x:c>
      <x:c r="AD28" s="291">
        <x:f>-J28+AE28</x:f>
        <x:v>0</x:v>
      </x:c>
      <x:c r="AE28" s="291">
        <x:f>'Rem. Anticipos R2'!E61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R2'!E181</x:f>
        <x:v>0</x:v>
      </x:c>
      <x:c r="E29" s="292">
        <x:f>'Rem. Anticipos R2'!F181</x:f>
        <x:v>0</x:v>
      </x:c>
      <x:c r="F29" s="292">
        <x:f>'Rem. Anticipos R2'!G181</x:f>
        <x:v>0</x:v>
      </x:c>
      <x:c r="G29" s="292">
        <x:f>'Rem. Anticipos R2'!H181</x:f>
        <x:v>0</x:v>
      </x:c>
      <x:c r="H29" s="292">
        <x:f>'Rem. Anticipos R2'!I181</x:f>
        <x:v>0</x:v>
      </x:c>
      <x:c r="I29" s="292">
        <x:f>'Rem. Anticipos R2'!J181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R2'!L181</x:f>
        <x:v>0</x:v>
      </x:c>
      <x:c r="V29" s="317">
        <x:f>'Rem. Anticipos R2'!M181</x:f>
        <x:v>0</x:v>
      </x:c>
      <x:c r="W29" s="317">
        <x:f>'Rem. Anticipos R2'!N181</x:f>
        <x:v>0</x:v>
      </x:c>
      <x:c r="X29" s="317">
        <x:f>'Rem. Anticipos R2'!O181</x:f>
        <x:v>0</x:v>
      </x:c>
      <x:c r="Y29" s="318">
        <x:f>'Rem. Anticipos R2'!P181</x:f>
        <x:v>0</x:v>
      </x:c>
      <x:c r="Z29" s="319">
        <x:f>L29*-1</x:f>
        <x:v>0</x:v>
      </x:c>
      <x:c r="AA29" s="320">
        <x:f>'Rem. Anticipos R2'!Q181</x:f>
        <x:v>0</x:v>
      </x:c>
      <x:c r="AB29" s="294">
        <x:f>N29</x:f>
        <x:v>0</x:v>
      </x:c>
      <x:c r="AC29" s="320">
        <x:f>'Rem. Anticipos R2'!R181</x:f>
        <x:v>0</x:v>
      </x:c>
      <x:c r="AD29" s="291">
        <x:f>-J29+AE29</x:f>
        <x:v>0</x:v>
      </x:c>
      <x:c r="AE29" s="291">
        <x:f>'Rem. Anticipos R2'!E182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R2'!E302</x:f>
        <x:v>0</x:v>
      </x:c>
      <x:c r="E30" s="292">
        <x:f>'Rem. Anticipos R2'!F302</x:f>
        <x:v>0</x:v>
      </x:c>
      <x:c r="F30" s="292">
        <x:f>'Rem. Anticipos R2'!G302</x:f>
        <x:v>0</x:v>
      </x:c>
      <x:c r="G30" s="292">
        <x:f>'Rem. Anticipos R2'!H302</x:f>
        <x:v>0</x:v>
      </x:c>
      <x:c r="H30" s="292">
        <x:f>'Rem. Anticipos R2'!I302</x:f>
        <x:v>0</x:v>
      </x:c>
      <x:c r="I30" s="292">
        <x:f>'Rem. Anticipos R2'!J302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R2'!K302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R2'!L302</x:f>
        <x:v>0</x:v>
      </x:c>
      <x:c r="V30" s="317">
        <x:f>'Rem. Anticipos R2'!M302</x:f>
        <x:v>0</x:v>
      </x:c>
      <x:c r="W30" s="317">
        <x:f>'Rem. Anticipos R2'!N302</x:f>
        <x:v>0</x:v>
      </x:c>
      <x:c r="X30" s="317">
        <x:f>'Rem. Anticipos R2'!O302</x:f>
        <x:v>0</x:v>
      </x:c>
      <x:c r="Y30" s="318">
        <x:f>'Rem. Anticipos R2'!P302</x:f>
        <x:v>0</x:v>
      </x:c>
      <x:c r="Z30" s="319">
        <x:f>L30*-1</x:f>
        <x:v>0</x:v>
      </x:c>
      <x:c r="AA30" s="320">
        <x:f>'Rem. Anticipos R2'!Q302</x:f>
        <x:v>0</x:v>
      </x:c>
      <x:c r="AB30" s="294">
        <x:f>N30</x:f>
        <x:v>0</x:v>
      </x:c>
      <x:c r="AC30" s="320">
        <x:f>'Rem. Anticipos R2'!R302</x:f>
        <x:v>0</x:v>
      </x:c>
      <x:c r="AD30" s="291">
        <x:f t="shared" ref="AD30:AD32" si="10">-J30+AE30</x:f>
        <x:v>0</x:v>
      </x:c>
      <x:c r="AE30" s="291">
        <x:f>'Rem. Anticipos R2'!E303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R2'!E426</x:f>
        <x:v>0</x:v>
      </x:c>
      <x:c r="E31" s="292">
        <x:f>'Rem. Anticipos R2'!F426</x:f>
        <x:v>0</x:v>
      </x:c>
      <x:c r="F31" s="292">
        <x:f>'Rem. Anticipos R2'!G426</x:f>
        <x:v>0</x:v>
      </x:c>
      <x:c r="G31" s="292">
        <x:f>'Rem. Anticipos R2'!H426</x:f>
        <x:v>0</x:v>
      </x:c>
      <x:c r="H31" s="292">
        <x:f>'Rem. Anticipos R2'!I426</x:f>
        <x:v>0</x:v>
      </x:c>
      <x:c r="I31" s="292">
        <x:f>'Rem. Anticipos R2'!J426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R2'!L426</x:f>
        <x:v>0</x:v>
      </x:c>
      <x:c r="V31" s="317">
        <x:f>'Rem. Anticipos R2'!M426</x:f>
        <x:v>0</x:v>
      </x:c>
      <x:c r="W31" s="317">
        <x:f>'Rem. Anticipos R2'!N426</x:f>
        <x:v>0</x:v>
      </x:c>
      <x:c r="X31" s="317">
        <x:f>'Rem. Anticipos R2'!O426</x:f>
        <x:v>0</x:v>
      </x:c>
      <x:c r="Y31" s="318">
        <x:f>'Rem. Anticipos R2'!P426</x:f>
        <x:v>0</x:v>
      </x:c>
      <x:c r="Z31" s="319">
        <x:f>L31*-1</x:f>
        <x:v>0</x:v>
      </x:c>
      <x:c r="AA31" s="320">
        <x:f>'Rem. Anticipos R2'!Q426</x:f>
        <x:v>0</x:v>
      </x:c>
      <x:c r="AB31" s="294">
        <x:f>N31</x:f>
        <x:v>0</x:v>
      </x:c>
      <x:c r="AC31" s="320">
        <x:f>'Rem. Anticipos R2'!R426</x:f>
        <x:v>0</x:v>
      </x:c>
      <x:c r="AD31" s="291">
        <x:f t="shared" si="10"/>
        <x:v>0</x:v>
      </x:c>
      <x:c r="AE31" s="291">
        <x:f>'Rem. Anticipos R2'!E427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R2'!E513</x:f>
        <x:v>0</x:v>
      </x:c>
      <x:c r="E32" s="297">
        <x:f>'Rem. Anticipos R2'!F513</x:f>
        <x:v>0</x:v>
      </x:c>
      <x:c r="F32" s="297">
        <x:f>'Rem. Anticipos R2'!G513</x:f>
        <x:v>0</x:v>
      </x:c>
      <x:c r="G32" s="297">
        <x:f>'Rem. Anticipos R2'!H513</x:f>
        <x:v>0</x:v>
      </x:c>
      <x:c r="H32" s="297">
        <x:f>'Rem. Anticipos R2'!I513</x:f>
        <x:v>0</x:v>
      </x:c>
      <x:c r="I32" s="297">
        <x:f>'Rem. Anticipos R2'!J513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R2'!L513</x:f>
        <x:v>0</x:v>
      </x:c>
      <x:c r="V32" s="297">
        <x:f>'Rem. Anticipos R2'!M513</x:f>
        <x:v>0</x:v>
      </x:c>
      <x:c r="W32" s="297">
        <x:f>'Rem. Anticipos R2'!N513</x:f>
        <x:v>0</x:v>
      </x:c>
      <x:c r="X32" s="297">
        <x:f>'Rem. Anticipos R2'!O513</x:f>
        <x:v>0</x:v>
      </x:c>
      <x:c r="Y32" s="289">
        <x:f>'Rem. Anticipos R2'!P513</x:f>
        <x:v>0</x:v>
      </x:c>
      <x:c r="Z32" s="319">
        <x:f>L32*-1</x:f>
        <x:v>0</x:v>
      </x:c>
      <x:c r="AA32" s="320">
        <x:f>'Rem. Anticipos R2'!Q513</x:f>
        <x:v>0</x:v>
      </x:c>
      <x:c r="AB32" s="294">
        <x:f>N32</x:f>
        <x:v>0</x:v>
      </x:c>
      <x:c r="AC32" s="320">
        <x:f>'Rem. Anticipos R2'!R513</x:f>
        <x:v>0</x:v>
      </x:c>
      <x:c r="AD32" s="291">
        <x:f t="shared" si="10"/>
        <x:v>0</x:v>
      </x:c>
      <x:c r="AE32" s="291">
        <x:f>'Rem. Anticipos R2'!E514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R1'!F96</x:f>
        <x:v>0</x:v>
      </x:c>
      <x:c r="E47" s="292">
        <x:f>'Reporte Componentes R1'!G96</x:f>
        <x:v>0</x:v>
      </x:c>
      <x:c r="F47" s="292">
        <x:f>'Reporte Componentes R1'!H96</x:f>
        <x:v>0</x:v>
      </x:c>
      <x:c r="G47" s="292">
        <x:f>'Reporte Componentes R1'!I96</x:f>
        <x:v>0</x:v>
      </x:c>
      <x:c r="H47" s="292">
        <x:f>'Reporte Componentes R1'!J96</x:f>
        <x:v>0</x:v>
      </x:c>
      <x:c r="I47" s="292">
        <x:f>'Reporte Componentes R1'!K96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R1'!M96</x:f>
        <x:v>0</x:v>
      </x:c>
      <x:c r="V47" s="308">
        <x:f>'Reporte Componentes R1'!N96</x:f>
        <x:v>0</x:v>
      </x:c>
      <x:c r="W47" s="308">
        <x:f>'Reporte Componentes R1'!O96</x:f>
        <x:v>0</x:v>
      </x:c>
      <x:c r="X47" s="308">
        <x:f>'Reporte Componentes R1'!P96</x:f>
        <x:v>0</x:v>
      </x:c>
      <x:c r="Y47" s="309">
        <x:f>'Reporte Componentes R1'!Q96</x:f>
        <x:v>0</x:v>
      </x:c>
      <x:c r="Z47" s="310">
        <x:f>-L47</x:f>
        <x:v>0</x:v>
      </x:c>
      <x:c r="AA47" s="311">
        <x:f>'Reporte Componentes R1'!R96+'Reporte Componentes R1'!V96+'Reporte Componentes R1'!U96</x:f>
        <x:v>0</x:v>
      </x:c>
      <x:c r="AB47" s="294">
        <x:f>N47</x:f>
        <x:v>0</x:v>
      </x:c>
      <x:c r="AC47" s="311">
        <x:f>'Reporte Componentes R1'!T96+'Reporte Componentes R1'!W96+'Reporte Componentes R1'!X96+'Reporte Componentes R1'!Y96+'Reporte Componentes R1'!Z96+'Reporte Componentes R1'!S96</x:f>
        <x:v>0</x:v>
      </x:c>
      <x:c r="AD47" s="291">
        <x:f>-J47+AE47</x:f>
        <x:v>0</x:v>
      </x:c>
      <x:c r="AE47" s="291">
        <x:f>'Reporte Componentes R1'!F97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R1'!F330</x:f>
        <x:v>0</x:v>
      </x:c>
      <x:c r="E48" s="292">
        <x:f>'Reporte Componentes R1'!G330</x:f>
        <x:v>0</x:v>
      </x:c>
      <x:c r="F48" s="292">
        <x:f>'Reporte Componentes R1'!H330</x:f>
        <x:v>0</x:v>
      </x:c>
      <x:c r="G48" s="292">
        <x:f>'Reporte Componentes R1'!I330</x:f>
        <x:v>0</x:v>
      </x:c>
      <x:c r="H48" s="292">
        <x:f>'Reporte Componentes R1'!J330</x:f>
        <x:v>0</x:v>
      </x:c>
      <x:c r="I48" s="292">
        <x:f>'Reporte Componentes R1'!K330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R1'!L330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R1'!M330</x:f>
        <x:v>0</x:v>
      </x:c>
      <x:c r="V48" s="317">
        <x:f>'Reporte Componentes R1'!N330</x:f>
        <x:v>0</x:v>
      </x:c>
      <x:c r="W48" s="317">
        <x:f>'Reporte Componentes R1'!O330</x:f>
        <x:v>0</x:v>
      </x:c>
      <x:c r="X48" s="317">
        <x:f>'Reporte Componentes R1'!P330</x:f>
        <x:v>0</x:v>
      </x:c>
      <x:c r="Y48" s="318">
        <x:f>'Reporte Componentes R1'!Q330</x:f>
        <x:v>0</x:v>
      </x:c>
      <x:c r="Z48" s="319">
        <x:f>-L48</x:f>
        <x:v>0</x:v>
      </x:c>
      <x:c r="AA48" s="320">
        <x:f>'Reporte Componentes R1'!R330+'Reporte Componentes R1'!V330+'Reporte Componentes R1'!U330</x:f>
        <x:v>0</x:v>
      </x:c>
      <x:c r="AB48" s="294">
        <x:f>N48</x:f>
        <x:v>0</x:v>
      </x:c>
      <x:c r="AC48" s="320">
        <x:f>'Reporte Componentes R1'!T330+'Reporte Componentes R1'!W330+'Reporte Componentes R1'!X330+'Reporte Componentes R1'!Y330+'Reporte Componentes R1'!Z330+'Reporte Componentes R1'!S330</x:f>
        <x:v>0</x:v>
      </x:c>
      <x:c r="AD48" s="291">
        <x:f t="shared" ref="AD48:AD51" si="18">-J48+AE48</x:f>
        <x:v>0</x:v>
      </x:c>
      <x:c r="AE48" s="291">
        <x:f>'Reporte Componentes R1'!F331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R1'!F491</x:f>
        <x:v>0</x:v>
      </x:c>
      <x:c r="E49" s="292">
        <x:f>'Reporte Componentes R1'!G491</x:f>
        <x:v>0</x:v>
      </x:c>
      <x:c r="F49" s="292">
        <x:f>'Reporte Componentes R1'!H491</x:f>
        <x:v>0</x:v>
      </x:c>
      <x:c r="G49" s="292">
        <x:f>'Reporte Componentes R1'!I491</x:f>
        <x:v>0</x:v>
      </x:c>
      <x:c r="H49" s="292">
        <x:f>'Reporte Componentes R1'!J491</x:f>
        <x:v>0</x:v>
      </x:c>
      <x:c r="I49" s="292">
        <x:f>'Reporte Componentes R1'!K491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R1'!L491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R1'!M491</x:f>
        <x:v>0</x:v>
      </x:c>
      <x:c r="V49" s="317">
        <x:f>'Reporte Componentes R1'!N491</x:f>
        <x:v>0</x:v>
      </x:c>
      <x:c r="W49" s="317">
        <x:f>'Reporte Componentes R1'!O491</x:f>
        <x:v>0</x:v>
      </x:c>
      <x:c r="X49" s="317">
        <x:f>'Reporte Componentes R1'!P491</x:f>
        <x:v>0</x:v>
      </x:c>
      <x:c r="Y49" s="318">
        <x:f>'Reporte Componentes R1'!Q491</x:f>
        <x:v>0</x:v>
      </x:c>
      <x:c r="Z49" s="319">
        <x:f>-L49</x:f>
        <x:v>0</x:v>
      </x:c>
      <x:c r="AA49" s="320">
        <x:f>'Reporte Componentes R1'!R491+'Reporte Componentes R1'!V491+'Reporte Componentes R1'!U491</x:f>
        <x:v>0</x:v>
      </x:c>
      <x:c r="AB49" s="294">
        <x:f>N49</x:f>
        <x:v>0</x:v>
      </x:c>
      <x:c r="AC49" s="320">
        <x:f>'Reporte Componentes R1'!T491+'Reporte Componentes R1'!W491+'Reporte Componentes R1'!X491+'Reporte Componentes R1'!Y491+'Reporte Componentes R1'!Z491+'Reporte Componentes R1'!S491</x:f>
        <x:v>0</x:v>
      </x:c>
      <x:c r="AD49" s="291">
        <x:f t="shared" si="18"/>
        <x:v>0</x:v>
      </x:c>
      <x:c r="AE49" s="291">
        <x:f>'Reporte Componentes R1'!F492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R1'!F699</x:f>
        <x:v>0</x:v>
      </x:c>
      <x:c r="E50" s="292">
        <x:f>'Reporte Componentes R1'!G699</x:f>
        <x:v>0</x:v>
      </x:c>
      <x:c r="F50" s="292">
        <x:f>'Reporte Componentes R1'!H699</x:f>
        <x:v>0</x:v>
      </x:c>
      <x:c r="G50" s="292">
        <x:f>'Reporte Componentes R1'!I699</x:f>
        <x:v>0</x:v>
      </x:c>
      <x:c r="H50" s="292">
        <x:f>'Reporte Componentes R1'!J699</x:f>
        <x:v>0</x:v>
      </x:c>
      <x:c r="I50" s="292">
        <x:f>'Reporte Componentes R1'!K699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R1'!L699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R1'!M699</x:f>
        <x:v>0</x:v>
      </x:c>
      <x:c r="V50" s="317">
        <x:f>'Reporte Componentes R1'!N699</x:f>
        <x:v>0</x:v>
      </x:c>
      <x:c r="W50" s="317">
        <x:f>'Reporte Componentes R1'!O699</x:f>
        <x:v>0</x:v>
      </x:c>
      <x:c r="X50" s="317">
        <x:f>'Reporte Componentes R1'!P699</x:f>
        <x:v>0</x:v>
      </x:c>
      <x:c r="Y50" s="318">
        <x:f>'Reporte Componentes R1'!Q699</x:f>
        <x:v>0</x:v>
      </x:c>
      <x:c r="Z50" s="319">
        <x:f>-L50</x:f>
        <x:v>0</x:v>
      </x:c>
      <x:c r="AA50" s="320">
        <x:f>'Reporte Componentes R1'!R699+'Reporte Componentes R1'!V699+'Reporte Componentes R1'!U699</x:f>
        <x:v>0</x:v>
      </x:c>
      <x:c r="AB50" s="294">
        <x:f>N50</x:f>
        <x:v>0</x:v>
      </x:c>
      <x:c r="AC50" s="320">
        <x:f>'Reporte Componentes R1'!T699+'Reporte Componentes R1'!W699+'Reporte Componentes R1'!X699+'Reporte Componentes R1'!Y699+'Reporte Componentes R1'!Z699+'Reporte Componentes R1'!S699</x:f>
        <x:v>0</x:v>
      </x:c>
      <x:c r="AD50" s="291">
        <x:f t="shared" si="18"/>
        <x:v>0</x:v>
      </x:c>
      <x:c r="AE50" s="291">
        <x:f>'Reporte Componentes R1'!F700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R1'!F818</x:f>
        <x:v>0</x:v>
      </x:c>
      <x:c r="E51" s="297">
        <x:f>'Reporte Componentes R1'!G818</x:f>
        <x:v>0</x:v>
      </x:c>
      <x:c r="F51" s="297">
        <x:f>'Reporte Componentes R1'!H818</x:f>
        <x:v>0</x:v>
      </x:c>
      <x:c r="G51" s="297">
        <x:f>'Reporte Componentes R1'!I818</x:f>
        <x:v>0</x:v>
      </x:c>
      <x:c r="H51" s="297">
        <x:f>'Reporte Componentes R1'!J818</x:f>
        <x:v>0</x:v>
      </x:c>
      <x:c r="I51" s="297">
        <x:f>'Reporte Componentes R1'!K818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R1'!L818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R1'!M818</x:f>
        <x:v>0</x:v>
      </x:c>
      <x:c r="V51" s="297">
        <x:f>'Reporte Componentes R1'!N818</x:f>
        <x:v>0</x:v>
      </x:c>
      <x:c r="W51" s="297">
        <x:f>'Reporte Componentes R1'!O818</x:f>
        <x:v>0</x:v>
      </x:c>
      <x:c r="X51" s="297">
        <x:f>'Reporte Componentes R1'!P818</x:f>
        <x:v>0</x:v>
      </x:c>
      <x:c r="Y51" s="289">
        <x:f>'Reporte Componentes R1'!Q818</x:f>
        <x:v>0</x:v>
      </x:c>
      <x:c r="Z51" s="319">
        <x:f>-L51</x:f>
        <x:v>0</x:v>
      </x:c>
      <x:c r="AA51" s="320">
        <x:f>'Reporte Componentes R1'!R818+'Reporte Componentes R1'!V818+'Reporte Componentes R1'!U818</x:f>
        <x:v>0</x:v>
      </x:c>
      <x:c r="AB51" s="294">
        <x:f>N51</x:f>
        <x:v>0</x:v>
      </x:c>
      <x:c r="AC51" s="320">
        <x:f>'Reporte Componentes R1'!T818+'Reporte Componentes R1'!W818+'Reporte Componentes R1'!X818+'Reporte Componentes R1'!Y818+'Reporte Componentes R1'!Z818+'Reporte Componentes R1'!S818</x:f>
        <x:v>0</x:v>
      </x:c>
      <x:c r="AD51" s="291">
        <x:f t="shared" si="18"/>
        <x:v>0</x:v>
      </x:c>
      <x:c r="AE51" s="291">
        <x:f>'Reporte Componentes R1'!F819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R4'!D82</x:f>
        <x:v>0</x:v>
      </x:c>
      <x:c r="E66" s="292">
        <x:f>'Reversion Pagos R4'!E82</x:f>
        <x:v>0</x:v>
      </x:c>
      <x:c r="F66" s="292">
        <x:f>'Reversion Pagos R4'!F82</x:f>
        <x:v>0</x:v>
      </x:c>
      <x:c r="G66" s="292">
        <x:f>'Reversion Pagos R4'!G82</x:f>
        <x:v>0</x:v>
      </x:c>
      <x:c r="H66" s="292">
        <x:f>'Reversion Pagos R4'!H82</x:f>
        <x:v>0</x:v>
      </x:c>
      <x:c r="I66" s="292">
        <x:f>'Reversion Pagos R4'!I82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8">
        <x:f>'Reversion Pagos R4'!K82</x:f>
        <x:v>0</x:v>
      </x:c>
      <x:c r="W66" s="308">
        <x:f>'Reversion Pagos R4'!L82</x:f>
        <x:v>0</x:v>
      </x:c>
      <x:c r="X66" s="308">
        <x:f>'Reversion Pagos R4'!M82</x:f>
        <x:v>0</x:v>
      </x:c>
      <x:c r="Y66" s="309">
        <x:f>'Reversion Pagos R4'!N82</x:f>
        <x:v>0</x:v>
      </x:c>
      <x:c r="Z66" s="310">
        <x:f>-L66</x:f>
        <x:v>0</x:v>
      </x:c>
      <x:c r="AA66" s="320">
        <x:f>'Reversion Pagos R4'!O82</x:f>
        <x:v>0</x:v>
      </x:c>
      <x:c r="AB66" s="294">
        <x:f>N66</x:f>
        <x:v>0</x:v>
      </x:c>
      <x:c r="AC66" s="320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R4'!D183</x:f>
        <x:v>0</x:v>
      </x:c>
      <x:c r="E67" s="292">
        <x:f>'Reversion Pagos R4'!E183</x:f>
        <x:v>0</x:v>
      </x:c>
      <x:c r="F67" s="292">
        <x:f>'Reversion Pagos R4'!F183</x:f>
        <x:v>0</x:v>
      </x:c>
      <x:c r="G67" s="292">
        <x:f>'Reversion Pagos R4'!G183</x:f>
        <x:v>0</x:v>
      </x:c>
      <x:c r="H67" s="292">
        <x:f>'Reversion Pagos R4'!H183</x:f>
        <x:v>0</x:v>
      </x:c>
      <x:c r="I67" s="292">
        <x:f>'Reversion Pagos R4'!I183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7">
        <x:f>'Reversion Pagos R4'!K183</x:f>
        <x:v>0</x:v>
      </x:c>
      <x:c r="W67" s="317">
        <x:f>'Reversion Pagos R4'!L183</x:f>
        <x:v>0</x:v>
      </x:c>
      <x:c r="X67" s="317">
        <x:f>'Reversion Pagos R4'!M183</x:f>
        <x:v>0</x:v>
      </x:c>
      <x:c r="Y67" s="318">
        <x:f>'Reversion Pagos R4'!N183</x:f>
        <x:v>0</x:v>
      </x:c>
      <x:c r="Z67" s="319">
        <x:f t="shared" ref="Z67:Z70" si="27">-L67</x:f>
        <x:v>0</x:v>
      </x:c>
      <x:c r="AA67" s="320">
        <x:f>'Reversion Pagos R4'!O183</x:f>
        <x:v>0</x:v>
      </x:c>
      <x:c r="AB67" s="294">
        <x:f t="shared" ref="AB67:AB70" si="28">N67</x:f>
        <x:v>0</x:v>
      </x:c>
      <x:c r="AC67" s="320">
        <x:f>+'Reversion Pagos R4'!Q183+'Reversion Pagos R4'!R183</x:f>
        <x:v>0</x:v>
      </x:c>
      <x:c r="AD67" s="291">
        <x:f t="shared" ref="AD67:AD70" si="29">-J67+AE67</x:f>
        <x:v>0</x:v>
      </x:c>
      <x:c r="AE67" s="291">
        <x:f>'Reversion Pagos R4'!D184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R4'!D220</x:f>
        <x:v>0</x:v>
      </x:c>
      <x:c r="E68" s="292">
        <x:f>'Reversion Pagos R4'!E220</x:f>
        <x:v>0</x:v>
      </x:c>
      <x:c r="F68" s="292">
        <x:f>'Reversion Pagos R4'!F220</x:f>
        <x:v>0</x:v>
      </x:c>
      <x:c r="G68" s="292">
        <x:f>'Reversion Pagos R4'!G220</x:f>
        <x:v>0</x:v>
      </x:c>
      <x:c r="H68" s="292">
        <x:f>'Reversion Pagos R4'!H220</x:f>
        <x:v>0</x:v>
      </x:c>
      <x:c r="I68" s="292">
        <x:f>'Reversion Pagos R4'!I220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7">
        <x:f>'Reversion Pagos R4'!K220</x:f>
        <x:v>0</x:v>
      </x:c>
      <x:c r="W68" s="317">
        <x:f>'Reversion Pagos R4'!L220</x:f>
        <x:v>0</x:v>
      </x:c>
      <x:c r="X68" s="317">
        <x:f>'Reversion Pagos R4'!M220</x:f>
        <x:v>0</x:v>
      </x:c>
      <x:c r="Y68" s="318">
        <x:f>'Reversion Pagos R4'!N220</x:f>
        <x:v>0</x:v>
      </x:c>
      <x:c r="Z68" s="319">
        <x:f t="shared" si="27"/>
        <x:v>0</x:v>
      </x:c>
      <x:c r="AA68" s="320">
        <x:f>'Reversion Pagos R4'!O220</x:f>
        <x:v>0</x:v>
      </x:c>
      <x:c r="AB68" s="294">
        <x:f t="shared" si="28"/>
        <x:v>0</x:v>
      </x:c>
      <x:c r="AC68" s="320">
        <x:f>+'Reversion Pagos R4'!Q220+'Reversion Pagos R4'!R220</x:f>
        <x:v>0</x:v>
      </x:c>
      <x:c r="AD68" s="291">
        <x:f t="shared" si="29"/>
        <x:v>0</x:v>
      </x:c>
      <x:c r="AE68" s="291">
        <x:f>'Reversion Pagos R4'!D221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R4'!D335</x:f>
        <x:v>0</x:v>
      </x:c>
      <x:c r="E69" s="292">
        <x:f>'Reversion Pagos R4'!E335</x:f>
        <x:v>0</x:v>
      </x:c>
      <x:c r="F69" s="292">
        <x:f>'Reversion Pagos R4'!F335</x:f>
        <x:v>0</x:v>
      </x:c>
      <x:c r="G69" s="292">
        <x:f>'Reversion Pagos R4'!G335</x:f>
        <x:v>0</x:v>
      </x:c>
      <x:c r="H69" s="292">
        <x:f>'Reversion Pagos R4'!H335</x:f>
        <x:v>0</x:v>
      </x:c>
      <x:c r="I69" s="292">
        <x:f>'Reversion Pagos R4'!I335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7">
        <x:f>'Reversion Pagos R4'!K335</x:f>
        <x:v>0</x:v>
      </x:c>
      <x:c r="W69" s="317">
        <x:f>'Reversion Pagos R4'!L335</x:f>
        <x:v>0</x:v>
      </x:c>
      <x:c r="X69" s="317">
        <x:f>'Reversion Pagos R4'!M335</x:f>
        <x:v>0</x:v>
      </x:c>
      <x:c r="Y69" s="318">
        <x:f>'Reversion Pagos R4'!N335</x:f>
        <x:v>0</x:v>
      </x:c>
      <x:c r="Z69" s="319">
        <x:f t="shared" si="27"/>
        <x:v>0</x:v>
      </x:c>
      <x:c r="AA69" s="320">
        <x:f>'Reversion Pagos R4'!O335</x:f>
        <x:v>0</x:v>
      </x:c>
      <x:c r="AB69" s="294">
        <x:f t="shared" si="28"/>
        <x:v>0</x:v>
      </x:c>
      <x:c r="AC69" s="320">
        <x:f>+'Reversion Pagos R4'!Q335+'Reversion Pagos R4'!R335</x:f>
        <x:v>0</x:v>
      </x:c>
      <x:c r="AD69" s="291">
        <x:f t="shared" si="29"/>
        <x:v>0</x:v>
      </x:c>
      <x:c r="AE69" s="291">
        <x:f>'Reversion Pagos R4'!D336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7"/>
        <x:v>0</x:v>
      </x:c>
      <x:c r="AA70" s="320">
        <x:f>'Reversion Pagos R4'!O376</x:f>
        <x:v>0</x:v>
      </x:c>
      <x:c r="AB70" s="294">
        <x:f t="shared" si="28"/>
        <x:v>0</x:v>
      </x:c>
      <x:c r="AC70" s="320">
        <x:f>+'Reversion Pagos R4'!Q376+'Reversion Pagos R4'!R376</x:f>
        <x:v>0</x:v>
      </x:c>
      <x:c r="AD70" s="291">
        <x:f t="shared" si="29"/>
        <x:v>0</x:v>
      </x:c>
      <x:c r="AE70" s="291">
        <x:f>'Reversion Pagos R4'!D377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Recaudo'!D9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9.8554687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2026092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R1'!F99</x:f>
        <x:v>0</x:v>
      </x:c>
      <x:c r="E9" s="292">
        <x:f>'Reporte Componentes R1'!G99</x:f>
        <x:v>0</x:v>
      </x:c>
      <x:c r="F9" s="292">
        <x:f>'Reporte Componentes R1'!H99</x:f>
        <x:v>0</x:v>
      </x:c>
      <x:c r="G9" s="292">
        <x:f>'Reporte Componentes R1'!I99</x:f>
        <x:v>0</x:v>
      </x:c>
      <x:c r="H9" s="292">
        <x:f>'Reporte Componentes R1'!J99</x:f>
        <x:v>0</x:v>
      </x:c>
      <x:c r="I9" s="292">
        <x:f>'Reporte Componentes R1'!K99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R1'!L99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R1'!M99</x:f>
        <x:v>0</x:v>
      </x:c>
      <x:c r="V9" s="308">
        <x:f>'Reporte Componentes R1'!N99</x:f>
        <x:v>0</x:v>
      </x:c>
      <x:c r="W9" s="308">
        <x:f>'Reporte Componentes R1'!O99</x:f>
        <x:v>0</x:v>
      </x:c>
      <x:c r="X9" s="308">
        <x:f>'Reporte Componentes R1'!P99</x:f>
        <x:v>0</x:v>
      </x:c>
      <x:c r="Y9" s="309">
        <x:f>'Reporte Componentes R1'!Q99</x:f>
        <x:v>0</x:v>
      </x:c>
      <x:c r="Z9" s="310">
        <x:f>L9*-1</x:f>
        <x:v>-189185988</x:v>
      </x:c>
      <x:c r="AA9" s="311">
        <x:f>'Reporte Componentes R1'!R99+'Reporte Componentes R1'!V99+'Reporte Componentes R1'!U99</x:f>
        <x:v>0</x:v>
      </x:c>
      <x:c r="AB9" s="294">
        <x:f>N9</x:f>
        <x:v>0</x:v>
      </x:c>
      <x:c r="AC9" s="311">
        <x:f>'Reporte Componentes R1'!T99+'Reporte Componentes R1'!W99+'Reporte Componentes R1'!X99+'Reporte Componentes R1'!Y99+'Reporte Componentes R1'!Z99+'Reporte Componentes R1'!S99</x:f>
        <x:v>0</x:v>
      </x:c>
      <x:c r="AD9" s="291">
        <x:f>-J9+AE9</x:f>
        <x:v>0</x:v>
      </x:c>
      <x:c r="AE9" s="291">
        <x:f>'Reporte Componentes R1'!F100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R1'!F333</x:f>
        <x:v>0</x:v>
      </x:c>
      <x:c r="E10" s="292">
        <x:f>'Reporte Componentes R1'!G333</x:f>
        <x:v>0</x:v>
      </x:c>
      <x:c r="F10" s="292">
        <x:f>'Reporte Componentes R1'!H333</x:f>
        <x:v>0</x:v>
      </x:c>
      <x:c r="G10" s="292">
        <x:f>'Reporte Componentes R1'!I333</x:f>
        <x:v>0</x:v>
      </x:c>
      <x:c r="H10" s="292">
        <x:f>'Reporte Componentes R1'!J333</x:f>
        <x:v>0</x:v>
      </x:c>
      <x:c r="I10" s="292">
        <x:f>'Reporte Componentes R1'!K333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R1'!L333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R1'!M333</x:f>
        <x:v>0</x:v>
      </x:c>
      <x:c r="V10" s="317">
        <x:f>'Reporte Componentes R1'!N333</x:f>
        <x:v>0</x:v>
      </x:c>
      <x:c r="W10" s="317">
        <x:f>'Reporte Componentes R1'!O333</x:f>
        <x:v>0</x:v>
      </x:c>
      <x:c r="X10" s="317">
        <x:f>'Reporte Componentes R1'!P333</x:f>
        <x:v>0</x:v>
      </x:c>
      <x:c r="Y10" s="318">
        <x:f>'Reporte Componentes R1'!Q333</x:f>
        <x:v>0</x:v>
      </x:c>
      <x:c r="Z10" s="319">
        <x:f>L10*-1</x:f>
        <x:v>-266580256</x:v>
      </x:c>
      <x:c r="AA10" s="320">
        <x:f>'Reporte Componentes R1'!R333+'Reporte Componentes R1'!V333+'Reporte Componentes R1'!U333</x:f>
        <x:v>0</x:v>
      </x:c>
      <x:c r="AB10" s="294">
        <x:f>N10</x:f>
        <x:v>0</x:v>
      </x:c>
      <x:c r="AC10" s="320">
        <x:f>'Reporte Componentes R1'!T333+'Reporte Componentes R1'!W333+'Reporte Componentes R1'!X333+'Reporte Componentes R1'!Y333+'Reporte Componentes R1'!Z333+'Reporte Componentes R1'!S333</x:f>
        <x:v>0</x:v>
      </x:c>
      <x:c r="AD10" s="291">
        <x:f t="shared" ref="AD10:AD13" si="1">-J10+AE10</x:f>
        <x:v>0</x:v>
      </x:c>
      <x:c r="AE10" s="291">
        <x:f>'Reporte Componentes R1'!F334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R1'!F494</x:f>
        <x:v>0</x:v>
      </x:c>
      <x:c r="E11" s="292">
        <x:f>'Reporte Componentes R1'!G494</x:f>
        <x:v>0</x:v>
      </x:c>
      <x:c r="F11" s="292">
        <x:f>'Reporte Componentes R1'!H494</x:f>
        <x:v>0</x:v>
      </x:c>
      <x:c r="G11" s="292">
        <x:f>'Reporte Componentes R1'!I494</x:f>
        <x:v>0</x:v>
      </x:c>
      <x:c r="H11" s="292">
        <x:f>'Reporte Componentes R1'!J494</x:f>
        <x:v>0</x:v>
      </x:c>
      <x:c r="I11" s="292">
        <x:f>'Reporte Componentes R1'!K494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R1'!L494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R1'!M494</x:f>
        <x:v>0</x:v>
      </x:c>
      <x:c r="V11" s="317">
        <x:f>'Reporte Componentes R1'!N494</x:f>
        <x:v>0</x:v>
      </x:c>
      <x:c r="W11" s="317">
        <x:f>'Reporte Componentes R1'!O494</x:f>
        <x:v>0</x:v>
      </x:c>
      <x:c r="X11" s="317">
        <x:f>'Reporte Componentes R1'!P494</x:f>
        <x:v>0</x:v>
      </x:c>
      <x:c r="Y11" s="318">
        <x:f>'Reporte Componentes R1'!Q494</x:f>
        <x:v>0</x:v>
      </x:c>
      <x:c r="Z11" s="319">
        <x:f>L11*-1</x:f>
        <x:v>-154788536</x:v>
      </x:c>
      <x:c r="AA11" s="320">
        <x:f>'Reporte Componentes R1'!R494+'Reporte Componentes R1'!V494+'Reporte Componentes R1'!U494</x:f>
        <x:v>0</x:v>
      </x:c>
      <x:c r="AB11" s="294">
        <x:f>N11</x:f>
        <x:v>0</x:v>
      </x:c>
      <x:c r="AC11" s="320">
        <x:f>'Reporte Componentes R1'!T494+'Reporte Componentes R1'!W494+'Reporte Componentes R1'!X494+'Reporte Componentes R1'!Y494+'Reporte Componentes R1'!Z494+'Reporte Componentes R1'!S494</x:f>
        <x:v>0</x:v>
      </x:c>
      <x:c r="AD11" s="291">
        <x:f t="shared" si="1"/>
        <x:v>0</x:v>
      </x:c>
      <x:c r="AE11" s="291">
        <x:f>'Reporte Componentes R1'!F495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R1'!F702</x:f>
        <x:v>0</x:v>
      </x:c>
      <x:c r="E12" s="292">
        <x:f>'Reporte Componentes R1'!G702</x:f>
        <x:v>0</x:v>
      </x:c>
      <x:c r="F12" s="292">
        <x:f>'Reporte Componentes R1'!H702</x:f>
        <x:v>0</x:v>
      </x:c>
      <x:c r="G12" s="292">
        <x:f>'Reporte Componentes R1'!I702</x:f>
        <x:v>0</x:v>
      </x:c>
      <x:c r="H12" s="292">
        <x:f>'Reporte Componentes R1'!J702</x:f>
        <x:v>0</x:v>
      </x:c>
      <x:c r="I12" s="292">
        <x:f>'Reporte Componentes R1'!K702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R1'!L702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R1'!M702</x:f>
        <x:v>0</x:v>
      </x:c>
      <x:c r="V12" s="317">
        <x:f>'Reporte Componentes R1'!N702</x:f>
        <x:v>0</x:v>
      </x:c>
      <x:c r="W12" s="317">
        <x:f>'Reporte Componentes R1'!O702</x:f>
        <x:v>0</x:v>
      </x:c>
      <x:c r="X12" s="317">
        <x:f>'Reporte Componentes R1'!P702</x:f>
        <x:v>0</x:v>
      </x:c>
      <x:c r="Y12" s="318">
        <x:f>'Reporte Componentes R1'!Q702</x:f>
        <x:v>0</x:v>
      </x:c>
      <x:c r="Z12" s="319">
        <x:f>L12*-1</x:f>
        <x:v>-120391083</x:v>
      </x:c>
      <x:c r="AA12" s="320">
        <x:f>'Reporte Componentes R1'!R702+'Reporte Componentes R1'!V702+'Reporte Componentes R1'!U702</x:f>
        <x:v>0</x:v>
      </x:c>
      <x:c r="AB12" s="294">
        <x:f>N12</x:f>
        <x:v>0</x:v>
      </x:c>
      <x:c r="AC12" s="320">
        <x:f>'Reporte Componentes R1'!T702+'Reporte Componentes R1'!W702+'Reporte Componentes R1'!X702+'Reporte Componentes R1'!Y702+'Reporte Componentes R1'!Z702+'Reporte Componentes R1'!S702</x:f>
        <x:v>0</x:v>
      </x:c>
      <x:c r="AD12" s="291">
        <x:f t="shared" si="1"/>
        <x:v>0</x:v>
      </x:c>
      <x:c r="AE12" s="291">
        <x:f>'Reporte Componentes R1'!F703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R1'!F821</x:f>
        <x:v>0</x:v>
      </x:c>
      <x:c r="E13" s="297">
        <x:f>'Reporte Componentes R1'!G821</x:f>
        <x:v>0</x:v>
      </x:c>
      <x:c r="F13" s="297">
        <x:f>'Reporte Componentes R1'!H821</x:f>
        <x:v>0</x:v>
      </x:c>
      <x:c r="G13" s="297">
        <x:f>'Reporte Componentes R1'!I821</x:f>
        <x:v>0</x:v>
      </x:c>
      <x:c r="H13" s="297">
        <x:f>'Reporte Componentes R1'!J821</x:f>
        <x:v>0</x:v>
      </x:c>
      <x:c r="I13" s="297">
        <x:f>'Reporte Componentes R1'!K821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R1'!L821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R1'!M821</x:f>
        <x:v>0</x:v>
      </x:c>
      <x:c r="V13" s="297">
        <x:f>'Reporte Componentes R1'!N821</x:f>
        <x:v>0</x:v>
      </x:c>
      <x:c r="W13" s="297">
        <x:f>'Reporte Componentes R1'!O821</x:f>
        <x:v>0</x:v>
      </x:c>
      <x:c r="X13" s="297">
        <x:f>'Reporte Componentes R1'!P821</x:f>
        <x:v>0</x:v>
      </x:c>
      <x:c r="Y13" s="289">
        <x:f>'Reporte Componentes R1'!Q821</x:f>
        <x:v>0</x:v>
      </x:c>
      <x:c r="Z13" s="319">
        <x:f>L13*-1</x:f>
        <x:v>-128990446</x:v>
      </x:c>
      <x:c r="AA13" s="320">
        <x:f>'Reporte Componentes R1'!R821+'Reporte Componentes R1'!V821+'Reporte Componentes R1'!U821</x:f>
        <x:v>0</x:v>
      </x:c>
      <x:c r="AB13" s="294">
        <x:f>N13</x:f>
        <x:v>0</x:v>
      </x:c>
      <x:c r="AC13" s="320">
        <x:f>'Reporte Componentes R1'!T821+'Reporte Componentes R1'!W821+'Reporte Componentes R1'!X821+'Reporte Componentes R1'!Y821+'Reporte Componentes R1'!Z821+'Reporte Componentes R1'!S821</x:f>
        <x:v>0</x:v>
      </x:c>
      <x:c r="AD13" s="291">
        <x:f t="shared" si="1"/>
        <x:v>0</x:v>
      </x:c>
      <x:c r="AE13" s="291">
        <x:f>'Reporte Componentes R1'!F822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75" thickBot="1" x14ac:dyDescent="0.25">
      <x:c r="B28" s="303">
        <x:v>1</x:v>
      </x:c>
      <x:c r="C28" s="304" t="s">
        <x:v>10</x:v>
      </x:c>
      <x:c r="D28" s="291">
        <x:f>'Rem. Anticipos R2'!E63</x:f>
        <x:v>0</x:v>
      </x:c>
      <x:c r="E28" s="292">
        <x:f>'Rem. Anticipos R2'!F63</x:f>
        <x:v>0</x:v>
      </x:c>
      <x:c r="F28" s="292">
        <x:f>'Rem. Anticipos R2'!G63</x:f>
        <x:v>0</x:v>
      </x:c>
      <x:c r="G28" s="292">
        <x:f>'Rem. Anticipos R2'!H63</x:f>
        <x:v>0</x:v>
      </x:c>
      <x:c r="H28" s="292">
        <x:f>'Rem. Anticipos R2'!I63</x:f>
        <x:v>0</x:v>
      </x:c>
      <x:c r="I28" s="292">
        <x:f>'Rem. Anticipos R2'!J63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R2'!L63</x:f>
        <x:v>0</x:v>
      </x:c>
      <x:c r="V28" s="308">
        <x:f>'Rem. Anticipos R2'!M63</x:f>
        <x:v>0</x:v>
      </x:c>
      <x:c r="W28" s="308">
        <x:f>'Rem. Anticipos R2'!N63</x:f>
        <x:v>0</x:v>
      </x:c>
      <x:c r="X28" s="308">
        <x:f>'Rem. Anticipos R2'!O63</x:f>
        <x:v>0</x:v>
      </x:c>
      <x:c r="Y28" s="309">
        <x:f>'Rem. Anticipos R2'!P63</x:f>
        <x:v>0</x:v>
      </x:c>
      <x:c r="Z28" s="310">
        <x:f>L28*-1</x:f>
        <x:v>0</x:v>
      </x:c>
      <x:c r="AA28" s="311">
        <x:f>'Rem. Anticipos R2'!Q63</x:f>
        <x:v>0</x:v>
      </x:c>
      <x:c r="AB28" s="294">
        <x:f>N28</x:f>
        <x:v>0</x:v>
      </x:c>
      <x:c r="AC28" s="311">
        <x:f>'Rem. Anticipos R2'!R63</x:f>
        <x:v>0</x:v>
      </x:c>
      <x:c r="AD28" s="291">
        <x:f>-J28+AE28</x:f>
        <x:v>0</x:v>
      </x:c>
      <x:c r="AE28" s="291">
        <x:f>'Rem. Anticipos R2'!E64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R2'!E184</x:f>
        <x:v>0</x:v>
      </x:c>
      <x:c r="E29" s="292">
        <x:f>'Rem. Anticipos R2'!F184</x:f>
        <x:v>0</x:v>
      </x:c>
      <x:c r="F29" s="292">
        <x:f>'Rem. Anticipos R2'!G184</x:f>
        <x:v>0</x:v>
      </x:c>
      <x:c r="G29" s="292">
        <x:f>'Rem. Anticipos R2'!H184</x:f>
        <x:v>0</x:v>
      </x:c>
      <x:c r="H29" s="292">
        <x:f>'Rem. Anticipos R2'!I184</x:f>
        <x:v>0</x:v>
      </x:c>
      <x:c r="I29" s="292">
        <x:f>'Rem. Anticipos R2'!J184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R2'!K184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R2'!L184</x:f>
        <x:v>0</x:v>
      </x:c>
      <x:c r="V29" s="317">
        <x:f>'Rem. Anticipos R2'!M184</x:f>
        <x:v>0</x:v>
      </x:c>
      <x:c r="W29" s="317">
        <x:f>'Rem. Anticipos R2'!N184</x:f>
        <x:v>0</x:v>
      </x:c>
      <x:c r="X29" s="317">
        <x:f>'Rem. Anticipos R2'!O184</x:f>
        <x:v>0</x:v>
      </x:c>
      <x:c r="Y29" s="318">
        <x:f>'Rem. Anticipos R2'!P184</x:f>
        <x:v>0</x:v>
      </x:c>
      <x:c r="Z29" s="319">
        <x:f>L29*-1</x:f>
        <x:v>0</x:v>
      </x:c>
      <x:c r="AA29" s="320">
        <x:f>'Rem. Anticipos R2'!Q184</x:f>
        <x:v>0</x:v>
      </x:c>
      <x:c r="AB29" s="294">
        <x:f>N29</x:f>
        <x:v>0</x:v>
      </x:c>
      <x:c r="AC29" s="320">
        <x:f>'Rem. Anticipos R2'!R184</x:f>
        <x:v>0</x:v>
      </x:c>
      <x:c r="AD29" s="291">
        <x:f>-J29+AE29</x:f>
        <x:v>0</x:v>
      </x:c>
      <x:c r="AE29" s="291">
        <x:f>'Rem. Anticipos R2'!E185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R2'!E305</x:f>
        <x:v>0</x:v>
      </x:c>
      <x:c r="E30" s="292">
        <x:f>'Rem. Anticipos R2'!F305</x:f>
        <x:v>0</x:v>
      </x:c>
      <x:c r="F30" s="292">
        <x:f>'Rem. Anticipos R2'!G305</x:f>
        <x:v>0</x:v>
      </x:c>
      <x:c r="G30" s="292">
        <x:f>'Rem. Anticipos R2'!H305</x:f>
        <x:v>0</x:v>
      </x:c>
      <x:c r="H30" s="292">
        <x:f>'Rem. Anticipos R2'!I305</x:f>
        <x:v>0</x:v>
      </x:c>
      <x:c r="I30" s="292">
        <x:f>'Rem. Anticipos R2'!J305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R2'!L305</x:f>
        <x:v>0</x:v>
      </x:c>
      <x:c r="V30" s="317">
        <x:f>'Rem. Anticipos R2'!M305</x:f>
        <x:v>0</x:v>
      </x:c>
      <x:c r="W30" s="317">
        <x:f>'Rem. Anticipos R2'!N305</x:f>
        <x:v>0</x:v>
      </x:c>
      <x:c r="X30" s="317">
        <x:f>'Rem. Anticipos R2'!O305</x:f>
        <x:v>0</x:v>
      </x:c>
      <x:c r="Y30" s="318">
        <x:f>'Rem. Anticipos R2'!P305</x:f>
        <x:v>0</x:v>
      </x:c>
      <x:c r="Z30" s="319">
        <x:f>L30*-1</x:f>
        <x:v>0</x:v>
      </x:c>
      <x:c r="AA30" s="320">
        <x:f>'Rem. Anticipos R2'!Q305</x:f>
        <x:v>0</x:v>
      </x:c>
      <x:c r="AB30" s="294">
        <x:f>N30</x:f>
        <x:v>0</x:v>
      </x:c>
      <x:c r="AC30" s="320">
        <x:f>'Rem. Anticipos R2'!R305</x:f>
        <x:v>0</x:v>
      </x:c>
      <x:c r="AD30" s="291">
        <x:f t="shared" ref="AD30:AD32" si="10">-J30+AE30</x:f>
        <x:v>0</x:v>
      </x:c>
      <x:c r="AE30" s="291">
        <x:f>'Rem. Anticipos R2'!E306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R2'!E429</x:f>
        <x:v>0</x:v>
      </x:c>
      <x:c r="E31" s="292">
        <x:f>'Rem. Anticipos R2'!F429</x:f>
        <x:v>0</x:v>
      </x:c>
      <x:c r="F31" s="292">
        <x:f>'Rem. Anticipos R2'!G429</x:f>
        <x:v>0</x:v>
      </x:c>
      <x:c r="G31" s="292">
        <x:f>'Rem. Anticipos R2'!H429</x:f>
        <x:v>0</x:v>
      </x:c>
      <x:c r="H31" s="292">
        <x:f>'Rem. Anticipos R2'!I429</x:f>
        <x:v>0</x:v>
      </x:c>
      <x:c r="I31" s="292">
        <x:f>'Rem. Anticipos R2'!J429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R2'!L429</x:f>
        <x:v>0</x:v>
      </x:c>
      <x:c r="V31" s="317">
        <x:f>'Rem. Anticipos R2'!M429</x:f>
        <x:v>0</x:v>
      </x:c>
      <x:c r="W31" s="317">
        <x:f>'Rem. Anticipos R2'!N429</x:f>
        <x:v>0</x:v>
      </x:c>
      <x:c r="X31" s="317">
        <x:f>'Rem. Anticipos R2'!O429</x:f>
        <x:v>0</x:v>
      </x:c>
      <x:c r="Y31" s="318">
        <x:f>'Rem. Anticipos R2'!P429</x:f>
        <x:v>0</x:v>
      </x:c>
      <x:c r="Z31" s="319">
        <x:f>L31*-1</x:f>
        <x:v>0</x:v>
      </x:c>
      <x:c r="AA31" s="320">
        <x:f>'Rem. Anticipos R2'!Q429</x:f>
        <x:v>0</x:v>
      </x:c>
      <x:c r="AB31" s="294">
        <x:f>N31</x:f>
        <x:v>0</x:v>
      </x:c>
      <x:c r="AC31" s="320">
        <x:f>'Rem. Anticipos R2'!R429</x:f>
        <x:v>0</x:v>
      </x:c>
      <x:c r="AD31" s="291">
        <x:f t="shared" si="10"/>
        <x:v>0</x:v>
      </x:c>
      <x:c r="AE31" s="291">
        <x:f>'Rem. Anticipos R2'!E430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R2'!E516</x:f>
        <x:v>0</x:v>
      </x:c>
      <x:c r="E32" s="297">
        <x:f>'Rem. Anticipos R2'!F516</x:f>
        <x:v>0</x:v>
      </x:c>
      <x:c r="F32" s="297">
        <x:f>'Rem. Anticipos R2'!G516</x:f>
        <x:v>0</x:v>
      </x:c>
      <x:c r="G32" s="297">
        <x:f>'Rem. Anticipos R2'!H516</x:f>
        <x:v>0</x:v>
      </x:c>
      <x:c r="H32" s="297">
        <x:f>'Rem. Anticipos R2'!I516</x:f>
        <x:v>0</x:v>
      </x:c>
      <x:c r="I32" s="297">
        <x:f>'Rem. Anticipos R2'!J516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R2'!K516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R2'!L516</x:f>
        <x:v>0</x:v>
      </x:c>
      <x:c r="V32" s="297">
        <x:f>'Rem. Anticipos R2'!M516</x:f>
        <x:v>0</x:v>
      </x:c>
      <x:c r="W32" s="297">
        <x:f>'Rem. Anticipos R2'!N516</x:f>
        <x:v>0</x:v>
      </x:c>
      <x:c r="X32" s="297">
        <x:f>'Rem. Anticipos R2'!O516</x:f>
        <x:v>0</x:v>
      </x:c>
      <x:c r="Y32" s="289">
        <x:f>'Rem. Anticipos R2'!P516</x:f>
        <x:v>0</x:v>
      </x:c>
      <x:c r="Z32" s="319">
        <x:f>L32*-1</x:f>
        <x:v>0</x:v>
      </x:c>
      <x:c r="AA32" s="320">
        <x:f>'Rem. Anticipos R2'!Q516</x:f>
        <x:v>0</x:v>
      </x:c>
      <x:c r="AB32" s="294">
        <x:f>N32</x:f>
        <x:v>0</x:v>
      </x:c>
      <x:c r="AC32" s="320">
        <x:f>'Rem. Anticipos R2'!R516</x:f>
        <x:v>0</x:v>
      </x:c>
      <x:c r="AD32" s="291">
        <x:f t="shared" si="10"/>
        <x:v>0</x:v>
      </x:c>
      <x:c r="AE32" s="291">
        <x:f>'Rem. Anticipos R2'!E517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75" thickBot="1" x14ac:dyDescent="0.25">
      <x:c r="B47" s="303">
        <x:v>1</x:v>
      </x:c>
      <x:c r="C47" s="304" t="s">
        <x:v>10</x:v>
      </x:c>
      <x:c r="D47" s="291">
        <x:f>'Reporte Componentes R1'!F101</x:f>
        <x:v>0</x:v>
      </x:c>
      <x:c r="E47" s="292">
        <x:f>'Reporte Componentes R1'!G101</x:f>
        <x:v>0</x:v>
      </x:c>
      <x:c r="F47" s="292">
        <x:f>'Reporte Componentes R1'!H101</x:f>
        <x:v>0</x:v>
      </x:c>
      <x:c r="G47" s="292">
        <x:f>'Reporte Componentes R1'!I101</x:f>
        <x:v>0</x:v>
      </x:c>
      <x:c r="H47" s="292">
        <x:f>'Reporte Componentes R1'!J101</x:f>
        <x:v>0</x:v>
      </x:c>
      <x:c r="I47" s="292">
        <x:f>'Reporte Componentes R1'!K101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R1'!M101</x:f>
        <x:v>0</x:v>
      </x:c>
      <x:c r="V47" s="308">
        <x:f>'Reporte Componentes R1'!N101</x:f>
        <x:v>0</x:v>
      </x:c>
      <x:c r="W47" s="308">
        <x:f>'Reporte Componentes R1'!O101</x:f>
        <x:v>0</x:v>
      </x:c>
      <x:c r="X47" s="308">
        <x:f>'Reporte Componentes R1'!P101</x:f>
        <x:v>0</x:v>
      </x:c>
      <x:c r="Y47" s="309">
        <x:f>'Reporte Componentes R1'!Q101</x:f>
        <x:v>0</x:v>
      </x:c>
      <x:c r="Z47" s="310">
        <x:f>-L47</x:f>
        <x:v>0</x:v>
      </x:c>
      <x:c r="AA47" s="320">
        <x:f>'Reporte Componentes R1'!R101+'Reporte Componentes R1'!V101+'Reporte Componentes R1'!U101</x:f>
        <x:v>0</x:v>
      </x:c>
      <x:c r="AB47" s="294">
        <x:f>N47</x:f>
        <x:v>0</x:v>
      </x:c>
      <x:c r="AC47" s="311">
        <x:f>'Reporte Componentes R1'!T101+'Reporte Componentes R1'!W101+'Reporte Componentes R1'!X101+'Reporte Componentes R1'!Y101+'Reporte Componentes R1'!Z101+'Reporte Componentes R1'!S101</x:f>
        <x:v>0</x:v>
      </x:c>
      <x:c r="AD47" s="291">
        <x:f>-J47+AE47</x:f>
        <x:v>0</x:v>
      </x:c>
      <x:c r="AE47" s="291">
        <x:f>'Reporte Componentes R1'!F102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R1'!F335</x:f>
        <x:v>0</x:v>
      </x:c>
      <x:c r="E48" s="292">
        <x:f>'Reporte Componentes R1'!G335</x:f>
        <x:v>0</x:v>
      </x:c>
      <x:c r="F48" s="292">
        <x:f>'Reporte Componentes R1'!H335</x:f>
        <x:v>0</x:v>
      </x:c>
      <x:c r="G48" s="292">
        <x:f>'Reporte Componentes R1'!I335</x:f>
        <x:v>0</x:v>
      </x:c>
      <x:c r="H48" s="292">
        <x:f>'Reporte Componentes R1'!J335</x:f>
        <x:v>0</x:v>
      </x:c>
      <x:c r="I48" s="292">
        <x:f>'Reporte Componentes R1'!K335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R1'!L335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R1'!M335</x:f>
        <x:v>0</x:v>
      </x:c>
      <x:c r="V48" s="317">
        <x:f>'Reporte Componentes R1'!N335</x:f>
        <x:v>0</x:v>
      </x:c>
      <x:c r="W48" s="317">
        <x:f>'Reporte Componentes R1'!O335</x:f>
        <x:v>0</x:v>
      </x:c>
      <x:c r="X48" s="317">
        <x:f>'Reporte Componentes R1'!P335</x:f>
        <x:v>0</x:v>
      </x:c>
      <x:c r="Y48" s="318">
        <x:f>'Reporte Componentes R1'!Q335</x:f>
        <x:v>0</x:v>
      </x:c>
      <x:c r="Z48" s="319">
        <x:f>-L48</x:f>
        <x:v>0</x:v>
      </x:c>
      <x:c r="AA48" s="320">
        <x:f>'Reporte Componentes R1'!R335+'Reporte Componentes R1'!V335+'Reporte Componentes R1'!U335</x:f>
        <x:v>0</x:v>
      </x:c>
      <x:c r="AB48" s="294">
        <x:f>N48</x:f>
        <x:v>0</x:v>
      </x:c>
      <x:c r="AC48" s="320">
        <x:f>'Reporte Componentes R1'!T335+'Reporte Componentes R1'!W335+'Reporte Componentes R1'!X335+'Reporte Componentes R1'!Y335+'Reporte Componentes R1'!Z335+'Reporte Componentes R1'!S335</x:f>
        <x:v>0</x:v>
      </x:c>
      <x:c r="AD48" s="291">
        <x:f t="shared" ref="AD48:AD51" si="17">-J48+AE48</x:f>
        <x:v>0</x:v>
      </x:c>
      <x:c r="AE48" s="291">
        <x:f>'Reporte Componentes R1'!F336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R1'!F496</x:f>
        <x:v>0</x:v>
      </x:c>
      <x:c r="E49" s="292">
        <x:f>'Reporte Componentes R1'!G496</x:f>
        <x:v>0</x:v>
      </x:c>
      <x:c r="F49" s="292">
        <x:f>'Reporte Componentes R1'!H496</x:f>
        <x:v>0</x:v>
      </x:c>
      <x:c r="G49" s="292">
        <x:f>'Reporte Componentes R1'!I496</x:f>
        <x:v>0</x:v>
      </x:c>
      <x:c r="H49" s="292">
        <x:f>'Reporte Componentes R1'!J496</x:f>
        <x:v>0</x:v>
      </x:c>
      <x:c r="I49" s="292">
        <x:f>'Reporte Componentes R1'!K496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R1'!L496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R1'!M496</x:f>
        <x:v>0</x:v>
      </x:c>
      <x:c r="V49" s="317">
        <x:f>'Reporte Componentes R1'!N496</x:f>
        <x:v>0</x:v>
      </x:c>
      <x:c r="W49" s="317">
        <x:f>'Reporte Componentes R1'!O496</x:f>
        <x:v>0</x:v>
      </x:c>
      <x:c r="X49" s="317">
        <x:f>'Reporte Componentes R1'!P496</x:f>
        <x:v>0</x:v>
      </x:c>
      <x:c r="Y49" s="318">
        <x:f>'Reporte Componentes R1'!Q496</x:f>
        <x:v>0</x:v>
      </x:c>
      <x:c r="Z49" s="319">
        <x:f>-L49</x:f>
        <x:v>0</x:v>
      </x:c>
      <x:c r="AA49" s="320">
        <x:f>'Reporte Componentes R1'!R496+'Reporte Componentes R1'!V496+'Reporte Componentes R1'!U496</x:f>
        <x:v>0</x:v>
      </x:c>
      <x:c r="AB49" s="294">
        <x:f>N49</x:f>
        <x:v>0</x:v>
      </x:c>
      <x:c r="AC49" s="320">
        <x:f>'Reporte Componentes R1'!T496+'Reporte Componentes R1'!W496+'Reporte Componentes R1'!X496+'Reporte Componentes R1'!Y496+'Reporte Componentes R1'!Z496+'Reporte Componentes R1'!S496</x:f>
        <x:v>0</x:v>
      </x:c>
      <x:c r="AD49" s="291">
        <x:f t="shared" si="17"/>
        <x:v>0</x:v>
      </x:c>
      <x:c r="AE49" s="291">
        <x:f>'Reporte Componentes R1'!F497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R1'!F704</x:f>
        <x:v>0</x:v>
      </x:c>
      <x:c r="E50" s="292">
        <x:f>'Reporte Componentes R1'!G704</x:f>
        <x:v>0</x:v>
      </x:c>
      <x:c r="F50" s="292">
        <x:f>'Reporte Componentes R1'!H704</x:f>
        <x:v>0</x:v>
      </x:c>
      <x:c r="G50" s="292">
        <x:f>'Reporte Componentes R1'!I704</x:f>
        <x:v>0</x:v>
      </x:c>
      <x:c r="H50" s="292">
        <x:f>'Reporte Componentes R1'!J704</x:f>
        <x:v>0</x:v>
      </x:c>
      <x:c r="I50" s="292">
        <x:f>'Reporte Componentes R1'!K704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R1'!L704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R1'!M704</x:f>
        <x:v>0</x:v>
      </x:c>
      <x:c r="V50" s="317">
        <x:f>'Reporte Componentes R1'!N704</x:f>
        <x:v>0</x:v>
      </x:c>
      <x:c r="W50" s="317">
        <x:f>'Reporte Componentes R1'!O704</x:f>
        <x:v>0</x:v>
      </x:c>
      <x:c r="X50" s="317">
        <x:f>'Reporte Componentes R1'!P704</x:f>
        <x:v>0</x:v>
      </x:c>
      <x:c r="Y50" s="318">
        <x:f>'Reporte Componentes R1'!Q704</x:f>
        <x:v>0</x:v>
      </x:c>
      <x:c r="Z50" s="319">
        <x:f>-L50</x:f>
        <x:v>0</x:v>
      </x:c>
      <x:c r="AA50" s="320">
        <x:f>'Reporte Componentes R1'!R704+'Reporte Componentes R1'!V704+'Reporte Componentes R1'!U704</x:f>
        <x:v>0</x:v>
      </x:c>
      <x:c r="AB50" s="294">
        <x:f>N50</x:f>
        <x:v>0</x:v>
      </x:c>
      <x:c r="AC50" s="320">
        <x:f>'Reporte Componentes R1'!T704+'Reporte Componentes R1'!W704+'Reporte Componentes R1'!X704+'Reporte Componentes R1'!Y704+'Reporte Componentes R1'!Z704+'Reporte Componentes R1'!S704</x:f>
        <x:v>0</x:v>
      </x:c>
      <x:c r="AD50" s="291">
        <x:f t="shared" si="17"/>
        <x:v>0</x:v>
      </x:c>
      <x:c r="AE50" s="291">
        <x:f>'Reporte Componentes R1'!F705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R1'!F823</x:f>
        <x:v>0</x:v>
      </x:c>
      <x:c r="E51" s="297">
        <x:f>'Reporte Componentes R1'!G823</x:f>
        <x:v>0</x:v>
      </x:c>
      <x:c r="F51" s="297">
        <x:f>'Reporte Componentes R1'!H823</x:f>
        <x:v>0</x:v>
      </x:c>
      <x:c r="G51" s="297">
        <x:f>'Reporte Componentes R1'!I823</x:f>
        <x:v>0</x:v>
      </x:c>
      <x:c r="H51" s="297">
        <x:f>'Reporte Componentes R1'!J823</x:f>
        <x:v>0</x:v>
      </x:c>
      <x:c r="I51" s="297">
        <x:f>'Reporte Componentes R1'!K823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R1'!L823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R1'!M823</x:f>
        <x:v>0</x:v>
      </x:c>
      <x:c r="V51" s="297">
        <x:f>'Reporte Componentes R1'!N823</x:f>
        <x:v>0</x:v>
      </x:c>
      <x:c r="W51" s="297">
        <x:f>'Reporte Componentes R1'!O823</x:f>
        <x:v>0</x:v>
      </x:c>
      <x:c r="X51" s="297">
        <x:f>'Reporte Componentes R1'!P823</x:f>
        <x:v>0</x:v>
      </x:c>
      <x:c r="Y51" s="289">
        <x:f>'Reporte Componentes R1'!Q823</x:f>
        <x:v>0</x:v>
      </x:c>
      <x:c r="Z51" s="319">
        <x:f>-L51</x:f>
        <x:v>0</x:v>
      </x:c>
      <x:c r="AA51" s="320">
        <x:f>'Reporte Componentes R1'!R823+'Reporte Componentes R1'!V823+'Reporte Componentes R1'!U823</x:f>
        <x:v>0</x:v>
      </x:c>
      <x:c r="AB51" s="294">
        <x:f>N51</x:f>
        <x:v>0</x:v>
      </x:c>
      <x:c r="AC51" s="320">
        <x:f>'Reporte Componentes R1'!T823+'Reporte Componentes R1'!W823+'Reporte Componentes R1'!X823+'Reporte Componentes R1'!Y823+'Reporte Componentes R1'!Z823+'Reporte Componentes R1'!S823</x:f>
        <x:v>0</x:v>
      </x:c>
      <x:c r="AD51" s="291">
        <x:f t="shared" si="17"/>
        <x:v>0</x:v>
      </x:c>
      <x:c r="AE51" s="291">
        <x:f>'Reporte Componentes R1'!F824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9">
        <x:f>'Reversion Pagos R4'!N85</x:f>
        <x:v>0</x:v>
      </x:c>
      <x:c r="Z66" s="310">
        <x:f>-L66</x:f>
        <x:v>0</x:v>
      </x:c>
      <x:c r="AA66" s="311">
        <x:f>+'Reversion Pagos R4'!O85</x:f>
        <x:v>0</x:v>
      </x:c>
      <x:c r="AB66" s="294">
        <x:f>N66</x:f>
        <x:v>0</x:v>
      </x:c>
      <x:c r="AC66" s="311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R4'!D379</x:f>
        <x:v>0</x:v>
      </x:c>
      <x:c r="E70" s="297">
        <x:f>'Reversion Pagos R4'!E379</x:f>
        <x:v>0</x:v>
      </x:c>
      <x:c r="F70" s="297">
        <x:f>'Reversion Pagos R4'!F379</x:f>
        <x:v>0</x:v>
      </x:c>
      <x:c r="G70" s="297">
        <x:f>'Reversion Pagos R4'!G379</x:f>
        <x:v>0</x:v>
      </x:c>
      <x:c r="H70" s="297">
        <x:f>'Reversion Pagos R4'!H379</x:f>
        <x:v>0</x:v>
      </x:c>
      <x:c r="I70" s="297">
        <x:f>'Reversion Pagos R4'!I379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R4'!P379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R4'!J379</x:f>
        <x:v>0</x:v>
      </x:c>
      <x:c r="V70" s="297">
        <x:f>'Reversion Pagos R4'!K379</x:f>
        <x:v>0</x:v>
      </x:c>
      <x:c r="W70" s="297">
        <x:f>'Reversion Pagos R4'!L379</x:f>
        <x:v>0</x:v>
      </x:c>
      <x:c r="X70" s="297">
        <x:f>'Reversion Pagos R4'!M379</x:f>
        <x:v>0</x:v>
      </x:c>
      <x:c r="Y70" s="289">
        <x:f>'Reversion Pagos R4'!N379</x:f>
        <x:v>0</x:v>
      </x:c>
      <x:c r="Z70" s="319">
        <x:f t="shared" si="26"/>
        <x:v>0</x:v>
      </x:c>
      <x:c r="AA70" s="320">
        <x:f>'Reversion Pagos R4'!O379</x:f>
        <x:v>0</x:v>
      </x:c>
      <x:c r="AB70" s="294">
        <x:f t="shared" si="27"/>
        <x:v>0</x:v>
      </x:c>
      <x:c r="AC70" s="320">
        <x:f>'Reversion Pagos R4'!Q379+'Reversion Pagos R4'!R379</x:f>
        <x:v>0</x:v>
      </x:c>
      <x:c r="AD70" s="291">
        <x:f t="shared" si="28"/>
        <x:v>0</x:v>
      </x:c>
      <x:c r="AE70" s="291">
        <x:f>'Reversion Pagos R4'!D380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Recaudo'!D7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2026092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R1'!F104</x:f>
        <x:v>0</x:v>
      </x:c>
      <x:c r="E9" s="291">
        <x:f>'Reporte Componentes R1'!G104</x:f>
        <x:v>0</x:v>
      </x:c>
      <x:c r="F9" s="291">
        <x:f>'Reporte Componentes R1'!H104</x:f>
        <x:v>0</x:v>
      </x:c>
      <x:c r="G9" s="291">
        <x:f>'Reporte Componentes R1'!I104</x:f>
        <x:v>0</x:v>
      </x:c>
      <x:c r="H9" s="291">
        <x:f>'Reporte Componentes R1'!J104</x:f>
        <x:v>0</x:v>
      </x:c>
      <x:c r="I9" s="291">
        <x:f>'Reporte Componentes R1'!K104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R1'!M104</x:f>
        <x:v>0</x:v>
      </x:c>
      <x:c r="V9" s="307">
        <x:f>'Reporte Componentes R1'!N104</x:f>
        <x:v>0</x:v>
      </x:c>
      <x:c r="W9" s="307">
        <x:f>'Reporte Componentes R1'!O104</x:f>
        <x:v>0</x:v>
      </x:c>
      <x:c r="X9" s="307">
        <x:f>'Reporte Componentes R1'!P104</x:f>
        <x:v>0</x:v>
      </x:c>
      <x:c r="Y9" s="307">
        <x:f>'Reporte Componentes R1'!Q104</x:f>
        <x:v>0</x:v>
      </x:c>
      <x:c r="Z9" s="319">
        <x:f>L9*-1</x:f>
        <x:v>0</x:v>
      </x:c>
      <x:c r="AA9" s="320">
        <x:f>'Reporte Componentes R1'!R104+'Reporte Componentes R1'!V304+'Reporte Componentes R1'!U104</x:f>
        <x:v>0</x:v>
      </x:c>
      <x:c r="AB9" s="294">
        <x:f>N9</x:f>
        <x:v>0</x:v>
      </x:c>
      <x:c r="AC9" s="320">
        <x:f>'Reporte Componentes R1'!T104+'Reporte Componentes R1'!W104+'Reporte Componentes R1'!X104+'Reporte Componentes R1'!Y104+'Reporte Componentes R1'!Z104+'Reporte Componentes R1'!S104</x:f>
        <x:v>0</x:v>
      </x:c>
      <x:c r="AD9" s="291">
        <x:f>-J9+AE9</x:f>
        <x:v>0</x:v>
      </x:c>
      <x:c r="AE9" s="291">
        <x:f>'Reporte Componentes R1'!F105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R1'!F338</x:f>
        <x:v>0</x:v>
      </x:c>
      <x:c r="E10" s="291">
        <x:f>'Reporte Componentes R1'!G338</x:f>
        <x:v>0</x:v>
      </x:c>
      <x:c r="F10" s="291">
        <x:f>'Reporte Componentes R1'!H338</x:f>
        <x:v>0</x:v>
      </x:c>
      <x:c r="G10" s="291">
        <x:f>'Reporte Componentes R1'!I338</x:f>
        <x:v>0</x:v>
      </x:c>
      <x:c r="H10" s="291">
        <x:f>'Reporte Componentes R1'!J338</x:f>
        <x:v>0</x:v>
      </x:c>
      <x:c r="I10" s="291">
        <x:f>'Reporte Componentes R1'!K338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R1'!L338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R1'!M338</x:f>
        <x:v>0</x:v>
      </x:c>
      <x:c r="V10" s="316">
        <x:f>'Reporte Componentes R1'!N338</x:f>
        <x:v>0</x:v>
      </x:c>
      <x:c r="W10" s="316">
        <x:f>'Reporte Componentes R1'!O338</x:f>
        <x:v>0</x:v>
      </x:c>
      <x:c r="X10" s="316">
        <x:f>'Reporte Componentes R1'!P338</x:f>
        <x:v>0</x:v>
      </x:c>
      <x:c r="Y10" s="316">
        <x:f>'Reporte Componentes R1'!Q338</x:f>
        <x:v>0</x:v>
      </x:c>
      <x:c r="Z10" s="319">
        <x:f>L10*-1</x:f>
        <x:v>0</x:v>
      </x:c>
      <x:c r="AA10" s="320">
        <x:f>'Reporte Componentes R1'!R338+'Reporte Componentes R1'!V338+'Reporte Componentes R1'!U338</x:f>
        <x:v>0</x:v>
      </x:c>
      <x:c r="AB10" s="294">
        <x:f>N10</x:f>
        <x:v>0</x:v>
      </x:c>
      <x:c r="AC10" s="320">
        <x:f>'Reporte Componentes R1'!T439+'Reporte Componentes R1'!W439+'Reporte Componentes R1'!X439+'Reporte Componentes R1'!Y439+'Reporte Componentes R1'!Z439+'Reporte Componentes R1'!S439</x:f>
        <x:v>0</x:v>
      </x:c>
      <x:c r="AD10" s="291">
        <x:f t="shared" ref="AD10:AD13" si="2">-J10+AE10</x:f>
        <x:v>0</x:v>
      </x:c>
      <x:c r="AE10" s="291">
        <x:f>'Reporte Componentes R1'!F339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R1'!F499</x:f>
        <x:v>0</x:v>
      </x:c>
      <x:c r="E11" s="291">
        <x:f>'Reporte Componentes R1'!G499</x:f>
        <x:v>0</x:v>
      </x:c>
      <x:c r="F11" s="291">
        <x:f>'Reporte Componentes R1'!H499</x:f>
        <x:v>0</x:v>
      </x:c>
      <x:c r="G11" s="291">
        <x:f>'Reporte Componentes R1'!I499</x:f>
        <x:v>0</x:v>
      </x:c>
      <x:c r="H11" s="291">
        <x:f>'Reporte Componentes R1'!J499</x:f>
        <x:v>0</x:v>
      </x:c>
      <x:c r="I11" s="291">
        <x:f>'Reporte Componentes R1'!K499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R1'!L499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R1'!M499</x:f>
        <x:v>0</x:v>
      </x:c>
      <x:c r="V11" s="316">
        <x:f>'Reporte Componentes R1'!N499</x:f>
        <x:v>0</x:v>
      </x:c>
      <x:c r="W11" s="316">
        <x:f>'Reporte Componentes R1'!O499</x:f>
        <x:v>0</x:v>
      </x:c>
      <x:c r="X11" s="316">
        <x:f>'Reporte Componentes R1'!P499</x:f>
        <x:v>0</x:v>
      </x:c>
      <x:c r="Y11" s="316">
        <x:f>'Reporte Componentes R1'!Q499</x:f>
        <x:v>0</x:v>
      </x:c>
      <x:c r="Z11" s="319">
        <x:f>L11*-1</x:f>
        <x:v>0</x:v>
      </x:c>
      <x:c r="AA11" s="320">
        <x:f>'Reporte Componentes R1'!R499+'Reporte Componentes R1'!V499+'Reporte Componentes R1'!U499</x:f>
        <x:v>0</x:v>
      </x:c>
      <x:c r="AB11" s="294">
        <x:f>N11</x:f>
        <x:v>0</x:v>
      </x:c>
      <x:c r="AC11" s="320">
        <x:f>'Reporte Componentes R1'!T499+'Reporte Componentes R1'!W499+'Reporte Componentes R1'!X499+'Reporte Componentes R1'!Y499+'Reporte Componentes R1'!Z499+'Reporte Componentes R1'!S499</x:f>
        <x:v>0</x:v>
      </x:c>
      <x:c r="AD11" s="291">
        <x:f t="shared" si="2"/>
        <x:v>0</x:v>
      </x:c>
      <x:c r="AE11" s="291">
        <x:f>'Reporte Componentes R1'!F500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R1'!F707</x:f>
        <x:v>0</x:v>
      </x:c>
      <x:c r="E12" s="291">
        <x:f>'Reporte Componentes R1'!G707</x:f>
        <x:v>0</x:v>
      </x:c>
      <x:c r="F12" s="291">
        <x:f>'Reporte Componentes R1'!H707</x:f>
        <x:v>0</x:v>
      </x:c>
      <x:c r="G12" s="291">
        <x:f>'Reporte Componentes R1'!I707</x:f>
        <x:v>0</x:v>
      </x:c>
      <x:c r="H12" s="291">
        <x:f>'Reporte Componentes R1'!J707</x:f>
        <x:v>0</x:v>
      </x:c>
      <x:c r="I12" s="291">
        <x:f>'Reporte Componentes R1'!K707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R1'!M707</x:f>
        <x:v>0</x:v>
      </x:c>
      <x:c r="V12" s="316">
        <x:f>'Reporte Componentes R1'!N707</x:f>
        <x:v>0</x:v>
      </x:c>
      <x:c r="W12" s="316">
        <x:f>'Reporte Componentes R1'!O707</x:f>
        <x:v>0</x:v>
      </x:c>
      <x:c r="X12" s="316">
        <x:f>'Reporte Componentes R1'!P707</x:f>
        <x:v>0</x:v>
      </x:c>
      <x:c r="Y12" s="316">
        <x:f>'Reporte Componentes R1'!Q707</x:f>
        <x:v>0</x:v>
      </x:c>
      <x:c r="Z12" s="319">
        <x:f>L12*-1</x:f>
        <x:v>0</x:v>
      </x:c>
      <x:c r="AA12" s="320">
        <x:f>'Reporte Componentes R1'!R707+'Reporte Componentes R1'!V707+'Reporte Componentes R1'!U707</x:f>
        <x:v>0</x:v>
      </x:c>
      <x:c r="AB12" s="294">
        <x:f>N12</x:f>
        <x:v>0</x:v>
      </x:c>
      <x:c r="AC12" s="320">
        <x:f>'Reporte Componentes R1'!T707+'Reporte Componentes R1'!W707+'Reporte Componentes R1'!X707+'Reporte Componentes R1'!Y707+'Reporte Componentes R1'!Z707+'Reporte Componentes R1'!S707</x:f>
        <x:v>0</x:v>
      </x:c>
      <x:c r="AD12" s="291">
        <x:f t="shared" si="2"/>
        <x:v>0</x:v>
      </x:c>
      <x:c r="AE12" s="291">
        <x:f>'Reporte Componentes R1'!F708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R1'!F826</x:f>
        <x:v>0</x:v>
      </x:c>
      <x:c r="E13" s="296">
        <x:f>'Reporte Componentes R1'!G826</x:f>
        <x:v>0</x:v>
      </x:c>
      <x:c r="F13" s="296">
        <x:f>'Reporte Componentes R1'!H826</x:f>
        <x:v>0</x:v>
      </x:c>
      <x:c r="G13" s="296">
        <x:f>'Reporte Componentes R1'!I826</x:f>
        <x:v>0</x:v>
      </x:c>
      <x:c r="H13" s="296">
        <x:f>'Reporte Componentes R1'!J826</x:f>
        <x:v>0</x:v>
      </x:c>
      <x:c r="I13" s="296">
        <x:f>'Reporte Componentes R1'!K826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R1'!L826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R1'!M826</x:f>
        <x:v>0</x:v>
      </x:c>
      <x:c r="V13" s="296">
        <x:f>'Reporte Componentes R1'!N826</x:f>
        <x:v>0</x:v>
      </x:c>
      <x:c r="W13" s="296">
        <x:f>'Reporte Componentes R1'!O826</x:f>
        <x:v>0</x:v>
      </x:c>
      <x:c r="X13" s="296">
        <x:f>'Reporte Componentes R1'!P826</x:f>
        <x:v>0</x:v>
      </x:c>
      <x:c r="Y13" s="296">
        <x:f>'Reporte Componentes R1'!Q826</x:f>
        <x:v>0</x:v>
      </x:c>
      <x:c r="Z13" s="319">
        <x:f>L13*-1</x:f>
        <x:v>0</x:v>
      </x:c>
      <x:c r="AA13" s="320">
        <x:f>'Reporte Componentes R1'!R826+'Reporte Componentes R1'!V826+'Reporte Componentes R1'!U826</x:f>
        <x:v>0</x:v>
      </x:c>
      <x:c r="AB13" s="294">
        <x:f>N13</x:f>
        <x:v>0</x:v>
      </x:c>
      <x:c r="AC13" s="320">
        <x:f>'Reporte Componentes R1'!T826+'Reporte Componentes R1'!W826+'Reporte Componentes R1'!X826+'Reporte Componentes R1'!Y826+'Reporte Componentes R1'!Z826+'Reporte Componentes R1'!S826</x:f>
        <x:v>0</x:v>
      </x:c>
      <x:c r="AD13" s="291">
        <x:f t="shared" si="2"/>
        <x:v>0</x:v>
      </x:c>
      <x:c r="AE13" s="291">
        <x:f>'Reporte Componentes R1'!F827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R2'!E66</x:f>
        <x:v>0</x:v>
      </x:c>
      <x:c r="E28" s="291">
        <x:f>'Rem. Anticipos R2'!F66</x:f>
        <x:v>0</x:v>
      </x:c>
      <x:c r="F28" s="291">
        <x:f>'Rem. Anticipos R2'!G66</x:f>
        <x:v>0</x:v>
      </x:c>
      <x:c r="G28" s="291">
        <x:f>'Rem. Anticipos R2'!H66</x:f>
        <x:v>0</x:v>
      </x:c>
      <x:c r="H28" s="291">
        <x:f>'Rem. Anticipos R2'!I66</x:f>
        <x:v>0</x:v>
      </x:c>
      <x:c r="I28" s="291">
        <x:f>'Rem. Anticipos R2'!J66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R2'!L66</x:f>
        <x:v>0</x:v>
      </x:c>
      <x:c r="V28" s="307">
        <x:f>'Rem. Anticipos R2'!M66</x:f>
        <x:v>0</x:v>
      </x:c>
      <x:c r="W28" s="307">
        <x:f>'Rem. Anticipos R2'!N66</x:f>
        <x:v>0</x:v>
      </x:c>
      <x:c r="X28" s="307">
        <x:f>'Rem. Anticipos R2'!O66</x:f>
        <x:v>0</x:v>
      </x:c>
      <x:c r="Y28" s="307">
        <x:f>'Rem. Anticipos R2'!P66</x:f>
        <x:v>0</x:v>
      </x:c>
      <x:c r="Z28" s="310">
        <x:f>L28*-1</x:f>
        <x:v>0</x:v>
      </x:c>
      <x:c r="AA28" s="311">
        <x:f>'Rem. Anticipos R2'!Q66</x:f>
        <x:v>0</x:v>
      </x:c>
      <x:c r="AB28" s="294">
        <x:f>N28</x:f>
        <x:v>0</x:v>
      </x:c>
      <x:c r="AC28" s="311">
        <x:f>'Rem. Anticipos R2'!R66</x:f>
        <x:v>0</x:v>
      </x:c>
      <x:c r="AD28" s="291">
        <x:f>-J28+AE28</x:f>
        <x:v>0</x:v>
      </x:c>
      <x:c r="AE28" s="291">
        <x:f>'Rem. Anticipos R2'!E67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R2'!E187</x:f>
        <x:v>0</x:v>
      </x:c>
      <x:c r="E29" s="292">
        <x:f>'Rem. Anticipos R2'!F187</x:f>
        <x:v>0</x:v>
      </x:c>
      <x:c r="F29" s="292">
        <x:f>'Rem. Anticipos R2'!G187</x:f>
        <x:v>0</x:v>
      </x:c>
      <x:c r="G29" s="292">
        <x:f>'Rem. Anticipos R2'!H187</x:f>
        <x:v>0</x:v>
      </x:c>
      <x:c r="H29" s="292">
        <x:f>'Rem. Anticipos R2'!I187</x:f>
        <x:v>0</x:v>
      </x:c>
      <x:c r="I29" s="292">
        <x:f>'Rem. Anticipos R2'!J187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R2'!K187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R2'!L187</x:f>
        <x:v>0</x:v>
      </x:c>
      <x:c r="V29" s="317">
        <x:f>'Rem. Anticipos R2'!M187</x:f>
        <x:v>0</x:v>
      </x:c>
      <x:c r="W29" s="317">
        <x:f>'Rem. Anticipos R2'!N187</x:f>
        <x:v>0</x:v>
      </x:c>
      <x:c r="X29" s="317">
        <x:f>'Rem. Anticipos R2'!O187</x:f>
        <x:v>0</x:v>
      </x:c>
      <x:c r="Y29" s="318">
        <x:f>'Rem. Anticipos R2'!P187</x:f>
        <x:v>0</x:v>
      </x:c>
      <x:c r="Z29" s="319">
        <x:f>L29*-1</x:f>
        <x:v>0</x:v>
      </x:c>
      <x:c r="AA29" s="320">
        <x:f>'Rem. Anticipos R2'!Q187</x:f>
        <x:v>0</x:v>
      </x:c>
      <x:c r="AB29" s="294">
        <x:f>N29</x:f>
        <x:v>0</x:v>
      </x:c>
      <x:c r="AC29" s="320">
        <x:f>'Rem. Anticipos R2'!R187</x:f>
        <x:v>0</x:v>
      </x:c>
      <x:c r="AD29" s="291">
        <x:f>-J29+AE29</x:f>
        <x:v>0</x:v>
      </x:c>
      <x:c r="AE29" s="291">
        <x:f>'Rem. Anticipos R2'!E188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R2'!E308</x:f>
        <x:v>0</x:v>
      </x:c>
      <x:c r="E30" s="291">
        <x:f>'Rem. Anticipos R2'!F308</x:f>
        <x:v>0</x:v>
      </x:c>
      <x:c r="F30" s="291">
        <x:f>'Rem. Anticipos R2'!G308</x:f>
        <x:v>0</x:v>
      </x:c>
      <x:c r="G30" s="291">
        <x:f>'Rem. Anticipos R2'!H308</x:f>
        <x:v>0</x:v>
      </x:c>
      <x:c r="H30" s="291">
        <x:f>'Rem. Anticipos R2'!I308</x:f>
        <x:v>0</x:v>
      </x:c>
      <x:c r="I30" s="291">
        <x:f>'Rem. Anticipos R2'!J308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R2'!K308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R2'!L308</x:f>
        <x:v>0</x:v>
      </x:c>
      <x:c r="V30" s="316">
        <x:f>'Rem. Anticipos R2'!M308</x:f>
        <x:v>0</x:v>
      </x:c>
      <x:c r="W30" s="316">
        <x:f>'Rem. Anticipos R2'!N308</x:f>
        <x:v>0</x:v>
      </x:c>
      <x:c r="X30" s="316">
        <x:f>'Rem. Anticipos R2'!O308</x:f>
        <x:v>0</x:v>
      </x:c>
      <x:c r="Y30" s="316">
        <x:f>'Rem. Anticipos R2'!P308</x:f>
        <x:v>0</x:v>
      </x:c>
      <x:c r="Z30" s="319">
        <x:f>L30*-1</x:f>
        <x:v>0</x:v>
      </x:c>
      <x:c r="AA30" s="320">
        <x:f>'Rem. Anticipos R2'!Q308</x:f>
        <x:v>0</x:v>
      </x:c>
      <x:c r="AB30" s="294">
        <x:f>N30</x:f>
        <x:v>0</x:v>
      </x:c>
      <x:c r="AC30" s="320">
        <x:f>'Rem. Anticipos R2'!R308</x:f>
        <x:v>0</x:v>
      </x:c>
      <x:c r="AD30" s="291">
        <x:f t="shared" ref="AD30:AD32" si="10">-J30+AE30</x:f>
        <x:v>0</x:v>
      </x:c>
      <x:c r="AE30" s="291">
        <x:f>'Rem. Anticipos R2'!E309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R2'!E432</x:f>
        <x:v>0</x:v>
      </x:c>
      <x:c r="E31" s="291">
        <x:f>'Rem. Anticipos R2'!F432</x:f>
        <x:v>0</x:v>
      </x:c>
      <x:c r="F31" s="291">
        <x:f>'Rem. Anticipos R2'!G432</x:f>
        <x:v>0</x:v>
      </x:c>
      <x:c r="G31" s="291">
        <x:f>'Rem. Anticipos R2'!H432</x:f>
        <x:v>0</x:v>
      </x:c>
      <x:c r="H31" s="291">
        <x:f>'Rem. Anticipos R2'!I432</x:f>
        <x:v>0</x:v>
      </x:c>
      <x:c r="I31" s="291">
        <x:f>'Rem. Anticipos R2'!J432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R2'!K432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R2'!L432</x:f>
        <x:v>0</x:v>
      </x:c>
      <x:c r="V31" s="316">
        <x:f>'Rem. Anticipos R2'!M432</x:f>
        <x:v>0</x:v>
      </x:c>
      <x:c r="W31" s="316">
        <x:f>'Rem. Anticipos R2'!N432</x:f>
        <x:v>0</x:v>
      </x:c>
      <x:c r="X31" s="316">
        <x:f>'Rem. Anticipos R2'!O432</x:f>
        <x:v>0</x:v>
      </x:c>
      <x:c r="Y31" s="316">
        <x:f>'Rem. Anticipos R2'!P432</x:f>
        <x:v>0</x:v>
      </x:c>
      <x:c r="Z31" s="319">
        <x:f>L31*-1</x:f>
        <x:v>0</x:v>
      </x:c>
      <x:c r="AA31" s="320">
        <x:f>'Rem. Anticipos R2'!Q432</x:f>
        <x:v>0</x:v>
      </x:c>
      <x:c r="AB31" s="294">
        <x:f>N31</x:f>
        <x:v>0</x:v>
      </x:c>
      <x:c r="AC31" s="320">
        <x:f>'Rem. Anticipos R2'!R432</x:f>
        <x:v>0</x:v>
      </x:c>
      <x:c r="AD31" s="291">
        <x:f t="shared" si="10"/>
        <x:v>0</x:v>
      </x:c>
      <x:c r="AE31" s="291">
        <x:f>'Rem. Anticipos R2'!E433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R2'!E519</x:f>
        <x:v>0</x:v>
      </x:c>
      <x:c r="E32" s="296">
        <x:f>'Rem. Anticipos R2'!F519</x:f>
        <x:v>0</x:v>
      </x:c>
      <x:c r="F32" s="296">
        <x:f>'Rem. Anticipos R2'!G519</x:f>
        <x:v>0</x:v>
      </x:c>
      <x:c r="G32" s="296">
        <x:f>'Rem. Anticipos R2'!H519</x:f>
        <x:v>0</x:v>
      </x:c>
      <x:c r="H32" s="296">
        <x:f>'Rem. Anticipos R2'!I519</x:f>
        <x:v>0</x:v>
      </x:c>
      <x:c r="I32" s="296">
        <x:f>'Rem. Anticipos R2'!J519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R2'!K519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R2'!L519</x:f>
        <x:v>0</x:v>
      </x:c>
      <x:c r="V32" s="297">
        <x:f>'Rem. Anticipos R2'!M519</x:f>
        <x:v>0</x:v>
      </x:c>
      <x:c r="W32" s="297">
        <x:f>'Rem. Anticipos R2'!N519</x:f>
        <x:v>0</x:v>
      </x:c>
      <x:c r="X32" s="297">
        <x:f>'Rem. Anticipos R2'!O519</x:f>
        <x:v>0</x:v>
      </x:c>
      <x:c r="Y32" s="289">
        <x:f>'Rem. Anticipos R2'!P519</x:f>
        <x:v>0</x:v>
      </x:c>
      <x:c r="Z32" s="319">
        <x:f>L32*-1</x:f>
        <x:v>0</x:v>
      </x:c>
      <x:c r="AA32" s="320">
        <x:f>'Rem. Anticipos R2'!Q519</x:f>
        <x:v>0</x:v>
      </x:c>
      <x:c r="AB32" s="294">
        <x:f>N32</x:f>
        <x:v>0</x:v>
      </x:c>
      <x:c r="AC32" s="320">
        <x:f>'Rem. Anticipos R2'!R519</x:f>
        <x:v>0</x:v>
      </x:c>
      <x:c r="AD32" s="291">
        <x:f t="shared" si="10"/>
        <x:v>0</x:v>
      </x:c>
      <x:c r="AE32" s="291">
        <x:f>'Rem. Anticipos R2'!E520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R1'!F106</x:f>
        <x:v>0</x:v>
      </x:c>
      <x:c r="E47" s="291">
        <x:f>'Reporte Componentes R1'!G106</x:f>
        <x:v>0</x:v>
      </x:c>
      <x:c r="F47" s="291">
        <x:f>'Reporte Componentes R1'!H106</x:f>
        <x:v>0</x:v>
      </x:c>
      <x:c r="G47" s="291">
        <x:f>'Reporte Componentes R1'!I106</x:f>
        <x:v>0</x:v>
      </x:c>
      <x:c r="H47" s="291">
        <x:f>'Reporte Componentes R1'!J106</x:f>
        <x:v>0</x:v>
      </x:c>
      <x:c r="I47" s="291">
        <x:f>'Reporte Componentes R1'!K106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R1'!M106</x:f>
        <x:v>0</x:v>
      </x:c>
      <x:c r="V47" s="307">
        <x:f>'Reporte Componentes R1'!N106</x:f>
        <x:v>0</x:v>
      </x:c>
      <x:c r="W47" s="307">
        <x:f>'Reporte Componentes R1'!O106</x:f>
        <x:v>0</x:v>
      </x:c>
      <x:c r="X47" s="307">
        <x:f>'Reporte Componentes R1'!P106</x:f>
        <x:v>0</x:v>
      </x:c>
      <x:c r="Y47" s="307">
        <x:f>'Reporte Componentes R1'!Q106</x:f>
        <x:v>0</x:v>
      </x:c>
      <x:c r="Z47" s="310">
        <x:f>-L47</x:f>
        <x:v>0</x:v>
      </x:c>
      <x:c r="AA47" s="320">
        <x:f>'Reporte Componentes R1'!R106+'Reporte Componentes R1'!V106+'Reporte Componentes R1'!U106</x:f>
        <x:v>0</x:v>
      </x:c>
      <x:c r="AB47" s="294">
        <x:f>N47</x:f>
        <x:v>0</x:v>
      </x:c>
      <x:c r="AC47" s="311">
        <x:f>'Reporte Componentes R1'!T106+'Reporte Componentes R1'!W106+'Reporte Componentes R1'!X106+'Reporte Componentes R1'!Y106+'Reporte Componentes R1'!Z106+'Reporte Componentes R1'!S106</x:f>
        <x:v>0</x:v>
      </x:c>
      <x:c r="AD47" s="291">
        <x:f>-J47+AE47</x:f>
        <x:v>0</x:v>
      </x:c>
      <x:c r="AE47" s="291">
        <x:f>'Reporte Componentes R1'!F107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R1'!F340</x:f>
        <x:v>0</x:v>
      </x:c>
      <x:c r="E48" s="291">
        <x:f>'Reporte Componentes R1'!G340</x:f>
        <x:v>0</x:v>
      </x:c>
      <x:c r="F48" s="291">
        <x:f>'Reporte Componentes R1'!H340</x:f>
        <x:v>0</x:v>
      </x:c>
      <x:c r="G48" s="291">
        <x:f>'Reporte Componentes R1'!I340</x:f>
        <x:v>0</x:v>
      </x:c>
      <x:c r="H48" s="291">
        <x:f>'Reporte Componentes R1'!J340</x:f>
        <x:v>0</x:v>
      </x:c>
      <x:c r="I48" s="291">
        <x:f>'Reporte Componentes R1'!K340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R1'!M340</x:f>
        <x:v>0</x:v>
      </x:c>
      <x:c r="V48" s="316">
        <x:f>'Reporte Componentes R1'!N340</x:f>
        <x:v>0</x:v>
      </x:c>
      <x:c r="W48" s="316">
        <x:f>'Reporte Componentes R1'!O340</x:f>
        <x:v>0</x:v>
      </x:c>
      <x:c r="X48" s="316">
        <x:f>'Reporte Componentes R1'!P340</x:f>
        <x:v>0</x:v>
      </x:c>
      <x:c r="Y48" s="316">
        <x:f>'Reporte Componentes R1'!Q340</x:f>
        <x:v>0</x:v>
      </x:c>
      <x:c r="Z48" s="319">
        <x:f>-L48</x:f>
        <x:v>0</x:v>
      </x:c>
      <x:c r="AA48" s="320">
        <x:f>'Reporte Componentes R1'!R340+'Reporte Componentes R1'!V340+'Reporte Componentes R1'!U340</x:f>
        <x:v>0</x:v>
      </x:c>
      <x:c r="AB48" s="294">
        <x:f>N48</x:f>
        <x:v>0</x:v>
      </x:c>
      <x:c r="AC48" s="320">
        <x:f>'Reporte Componentes R1'!T340+'Reporte Componentes R1'!W340+'Reporte Componentes R1'!X340+'Reporte Componentes R1'!Y340+'Reporte Componentes R1'!Z340+'Reporte Componentes R1'!S340</x:f>
        <x:v>0</x:v>
      </x:c>
      <x:c r="AD48" s="291">
        <x:f t="shared" ref="AD48:AD51" si="16">-J48+AE48</x:f>
        <x:v>0</x:v>
      </x:c>
      <x:c r="AE48" s="291">
        <x:f>'Reporte Componentes R1'!F341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R1'!F501</x:f>
        <x:v>0</x:v>
      </x:c>
      <x:c r="E49" s="291">
        <x:f>'Reporte Componentes R1'!G501</x:f>
        <x:v>0</x:v>
      </x:c>
      <x:c r="F49" s="291">
        <x:f>'Reporte Componentes R1'!H501</x:f>
        <x:v>0</x:v>
      </x:c>
      <x:c r="G49" s="291">
        <x:f>'Reporte Componentes R1'!I501</x:f>
        <x:v>0</x:v>
      </x:c>
      <x:c r="H49" s="291">
        <x:f>'Reporte Componentes R1'!J501</x:f>
        <x:v>0</x:v>
      </x:c>
      <x:c r="I49" s="291">
        <x:f>'Reporte Componentes R1'!K501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R1'!M501</x:f>
        <x:v>0</x:v>
      </x:c>
      <x:c r="V49" s="316">
        <x:f>'Reporte Componentes R1'!N501</x:f>
        <x:v>0</x:v>
      </x:c>
      <x:c r="W49" s="316">
        <x:f>'Reporte Componentes R1'!O501</x:f>
        <x:v>0</x:v>
      </x:c>
      <x:c r="X49" s="316">
        <x:f>'Reporte Componentes R1'!P501</x:f>
        <x:v>0</x:v>
      </x:c>
      <x:c r="Y49" s="316">
        <x:f>'Reporte Componentes R1'!Q501</x:f>
        <x:v>0</x:v>
      </x:c>
      <x:c r="Z49" s="319">
        <x:f>-L49</x:f>
        <x:v>0</x:v>
      </x:c>
      <x:c r="AA49" s="320">
        <x:f>'Reporte Componentes R1'!R501+'Reporte Componentes R1'!V501+'Reporte Componentes R1'!U501</x:f>
        <x:v>0</x:v>
      </x:c>
      <x:c r="AB49" s="294">
        <x:f>N49</x:f>
        <x:v>0</x:v>
      </x:c>
      <x:c r="AC49" s="320">
        <x:f>'Reporte Componentes R1'!T501+'Reporte Componentes R1'!W501+'Reporte Componentes R1'!X501+'Reporte Componentes R1'!Y501+'Reporte Componentes R1'!Z501+'Reporte Componentes R1'!S501</x:f>
        <x:v>0</x:v>
      </x:c>
      <x:c r="AD49" s="291">
        <x:f t="shared" si="16"/>
        <x:v>0</x:v>
      </x:c>
      <x:c r="AE49" s="291">
        <x:f>'Reporte Componentes R1'!F502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R1'!F709</x:f>
        <x:v>0</x:v>
      </x:c>
      <x:c r="E50" s="291">
        <x:f>'Reporte Componentes R1'!G709</x:f>
        <x:v>0</x:v>
      </x:c>
      <x:c r="F50" s="291">
        <x:f>'Reporte Componentes R1'!H709</x:f>
        <x:v>0</x:v>
      </x:c>
      <x:c r="G50" s="291">
        <x:f>'Reporte Componentes R1'!I709</x:f>
        <x:v>0</x:v>
      </x:c>
      <x:c r="H50" s="291">
        <x:f>'Reporte Componentes R1'!J709</x:f>
        <x:v>0</x:v>
      </x:c>
      <x:c r="I50" s="291">
        <x:f>'Reporte Componentes R1'!K709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R1'!L709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R1'!M709</x:f>
        <x:v>0</x:v>
      </x:c>
      <x:c r="V50" s="316">
        <x:f>'Reporte Componentes R1'!N709</x:f>
        <x:v>0</x:v>
      </x:c>
      <x:c r="W50" s="316">
        <x:f>'Reporte Componentes R1'!O709</x:f>
        <x:v>0</x:v>
      </x:c>
      <x:c r="X50" s="316">
        <x:f>'Reporte Componentes R1'!P709</x:f>
        <x:v>0</x:v>
      </x:c>
      <x:c r="Y50" s="316">
        <x:f>'Reporte Componentes R1'!Q709</x:f>
        <x:v>0</x:v>
      </x:c>
      <x:c r="Z50" s="319">
        <x:f>-L50</x:f>
        <x:v>0</x:v>
      </x:c>
      <x:c r="AA50" s="320">
        <x:f>'Reporte Componentes R1'!R709+'Reporte Componentes R1'!V709+'Reporte Componentes R1'!U709</x:f>
        <x:v>0</x:v>
      </x:c>
      <x:c r="AB50" s="294">
        <x:f>N50</x:f>
        <x:v>0</x:v>
      </x:c>
      <x:c r="AC50" s="320">
        <x:f>'Reporte Componentes R1'!T709+'Reporte Componentes R1'!W709+'Reporte Componentes R1'!X709+'Reporte Componentes R1'!Y709+'Reporte Componentes R1'!Z709+'Reporte Componentes R1'!S709</x:f>
        <x:v>0</x:v>
      </x:c>
      <x:c r="AD50" s="291">
        <x:f t="shared" si="16"/>
        <x:v>0</x:v>
      </x:c>
      <x:c r="AE50" s="291">
        <x:f>'Reporte Componentes R1'!F710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R1'!F828</x:f>
        <x:v>0</x:v>
      </x:c>
      <x:c r="E51" s="296">
        <x:f>'Reporte Componentes R1'!G828</x:f>
        <x:v>0</x:v>
      </x:c>
      <x:c r="F51" s="296">
        <x:f>'Reporte Componentes R1'!H828</x:f>
        <x:v>0</x:v>
      </x:c>
      <x:c r="G51" s="296">
        <x:f>'Reporte Componentes R1'!I828</x:f>
        <x:v>0</x:v>
      </x:c>
      <x:c r="H51" s="296">
        <x:f>'Reporte Componentes R1'!J828</x:f>
        <x:v>0</x:v>
      </x:c>
      <x:c r="I51" s="296">
        <x:f>'Reporte Componentes R1'!K828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R1'!L828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R1'!M828</x:f>
        <x:v>0</x:v>
      </x:c>
      <x:c r="V51" s="296">
        <x:f>'Reporte Componentes R1'!N828</x:f>
        <x:v>0</x:v>
      </x:c>
      <x:c r="W51" s="296">
        <x:f>'Reporte Componentes R1'!O828</x:f>
        <x:v>0</x:v>
      </x:c>
      <x:c r="X51" s="296">
        <x:f>'Reporte Componentes R1'!P828</x:f>
        <x:v>0</x:v>
      </x:c>
      <x:c r="Y51" s="289">
        <x:f>'Reporte Componentes R1'!Q828</x:f>
        <x:v>0</x:v>
      </x:c>
      <x:c r="Z51" s="319">
        <x:f>-L51</x:f>
        <x:v>0</x:v>
      </x:c>
      <x:c r="AA51" s="320">
        <x:f>'Reporte Componentes R1'!R828+'Reporte Componentes R1'!V828+'Reporte Componentes R1'!U828</x:f>
        <x:v>0</x:v>
      </x:c>
      <x:c r="AB51" s="294">
        <x:f>N51</x:f>
        <x:v>0</x:v>
      </x:c>
      <x:c r="AC51" s="320">
        <x:f>'Reporte Componentes R1'!T828+'Reporte Componentes R1'!W828+'Reporte Componentes R1'!X828+'Reporte Componentes R1'!Y828+'Reporte Componentes R1'!Z828+'Reporte Componentes R1'!S828</x:f>
        <x:v>0</x:v>
      </x:c>
      <x:c r="AD51" s="291">
        <x:f t="shared" si="16"/>
        <x:v>0</x:v>
      </x:c>
      <x:c r="AE51" s="291">
        <x:f>'Reporte Componentes R1'!F829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R4'!D88</x:f>
        <x:v>0</x:v>
      </x:c>
      <x:c r="E66" s="291">
        <x:f>'Reversion Pagos R4'!E88</x:f>
        <x:v>0</x:v>
      </x:c>
      <x:c r="F66" s="291">
        <x:f>'Reversion Pagos R4'!F88</x:f>
        <x:v>0</x:v>
      </x:c>
      <x:c r="G66" s="291">
        <x:f>'Reversion Pagos R4'!G88</x:f>
        <x:v>0</x:v>
      </x:c>
      <x:c r="H66" s="291">
        <x:f>'Reversion Pagos R4'!H88</x:f>
        <x:v>0</x:v>
      </x:c>
      <x:c r="I66" s="291">
        <x:f>'Reversion Pagos R4'!I88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7">
        <x:f>'Reversion Pagos R4'!K88</x:f>
        <x:v>0</x:v>
      </x:c>
      <x:c r="W66" s="307">
        <x:f>'Reversion Pagos R4'!L88</x:f>
        <x:v>0</x:v>
      </x:c>
      <x:c r="X66" s="307">
        <x:f>'Reversion Pagos R4'!M88</x:f>
        <x:v>0</x:v>
      </x:c>
      <x:c r="Y66" s="307">
        <x:f>'Reversion Pagos R4'!N88</x:f>
        <x:v>0</x:v>
      </x:c>
      <x:c r="Z66" s="310">
        <x:f>-L66</x:f>
        <x:v>0</x:v>
      </x:c>
      <x:c r="AA66" s="311">
        <x:f>+'Reversion Pagos R4'!O88</x:f>
        <x:v>0</x:v>
      </x:c>
      <x:c r="AB66" s="294">
        <x:f>N66</x:f>
        <x:v>0</x:v>
      </x:c>
      <x:c r="AC66" s="311">
        <x:f>+'Reversion Pagos R4'!Q88+'Reversion Pagos R4'!R88</x:f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R4'!D189</x:f>
        <x:v>0</x:v>
      </x:c>
      <x:c r="E67" s="291">
        <x:f>'Reversion Pagos R4'!E189</x:f>
        <x:v>0</x:v>
      </x:c>
      <x:c r="F67" s="291">
        <x:f>'Reversion Pagos R4'!F189</x:f>
        <x:v>0</x:v>
      </x:c>
      <x:c r="G67" s="291">
        <x:f>'Reversion Pagos R4'!G189</x:f>
        <x:v>0</x:v>
      </x:c>
      <x:c r="H67" s="291">
        <x:f>'Reversion Pagos R4'!H189</x:f>
        <x:v>0</x:v>
      </x:c>
      <x:c r="I67" s="291">
        <x:f>'Reversion Pagos R4'!I189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6">
        <x:f>'Reversion Pagos R4'!K189</x:f>
        <x:v>0</x:v>
      </x:c>
      <x:c r="W67" s="316">
        <x:f>'Reversion Pagos R4'!L189</x:f>
        <x:v>0</x:v>
      </x:c>
      <x:c r="X67" s="316">
        <x:f>'Reversion Pagos R4'!M189</x:f>
        <x:v>0</x:v>
      </x:c>
      <x:c r="Y67" s="316">
        <x:f>'Reversion Pagos R4'!N189</x:f>
        <x:v>0</x:v>
      </x:c>
      <x:c r="Z67" s="319">
        <x:f t="shared" ref="Z67:Z70" si="25">-L67</x:f>
        <x:v>0</x:v>
      </x:c>
      <x:c r="AA67" s="320">
        <x:f>'Reversion Pagos R4'!O189</x:f>
        <x:v>0</x:v>
      </x:c>
      <x:c r="AB67" s="294">
        <x:f t="shared" ref="AB67:AB70" si="26">N67</x:f>
        <x:v>0</x:v>
      </x:c>
      <x:c r="AC67" s="320">
        <x:f>'Reversion Pagos R4'!Q189+'Reversion Pagos R4'!R189</x:f>
        <x:v>0</x:v>
      </x:c>
      <x:c r="AD67" s="291">
        <x:f t="shared" ref="AD67:AD70" si="27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R4'!D226</x:f>
        <x:v>0</x:v>
      </x:c>
      <x:c r="E68" s="291">
        <x:f>'Reversion Pagos R4'!E226</x:f>
        <x:v>0</x:v>
      </x:c>
      <x:c r="F68" s="291">
        <x:f>'Reversion Pagos R4'!F226</x:f>
        <x:v>0</x:v>
      </x:c>
      <x:c r="G68" s="291">
        <x:f>'Reversion Pagos R4'!G226</x:f>
        <x:v>0</x:v>
      </x:c>
      <x:c r="H68" s="291">
        <x:f>'Reversion Pagos R4'!H226</x:f>
        <x:v>0</x:v>
      </x:c>
      <x:c r="I68" s="291">
        <x:f>'Reversion Pagos R4'!I226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6">
        <x:f>'Reversion Pagos R4'!K226</x:f>
        <x:v>0</x:v>
      </x:c>
      <x:c r="W68" s="316">
        <x:f>'Reversion Pagos R4'!L226</x:f>
        <x:v>0</x:v>
      </x:c>
      <x:c r="X68" s="316">
        <x:f>'Reversion Pagos R4'!M226</x:f>
        <x:v>0</x:v>
      </x:c>
      <x:c r="Y68" s="316">
        <x:f>'Reversion Pagos R4'!N226</x:f>
        <x:v>0</x:v>
      </x:c>
      <x:c r="Z68" s="319">
        <x:f t="shared" si="25"/>
        <x:v>0</x:v>
      </x:c>
      <x:c r="AA68" s="320">
        <x:f>'Reversion Pagos R4'!O226</x:f>
        <x:v>0</x:v>
      </x:c>
      <x:c r="AB68" s="294">
        <x:f t="shared" si="26"/>
        <x:v>0</x:v>
      </x:c>
      <x:c r="AC68" s="320">
        <x:f>'Reversion Pagos R4'!Q226+'Reversion Pagos R4'!R226</x:f>
        <x:v>0</x:v>
      </x:c>
      <x:c r="AD68" s="291">
        <x:f t="shared" si="27"/>
        <x:v>0</x:v>
      </x:c>
      <x:c r="AE68" s="291">
        <x:f>'Reversion Pagos R4'!D227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R4'!D341</x:f>
        <x:v>0</x:v>
      </x:c>
      <x:c r="E69" s="291">
        <x:f>'Reversion Pagos R4'!E341</x:f>
        <x:v>0</x:v>
      </x:c>
      <x:c r="F69" s="291">
        <x:f>'Reversion Pagos R4'!F341</x:f>
        <x:v>0</x:v>
      </x:c>
      <x:c r="G69" s="291">
        <x:f>'Reversion Pagos R4'!G341</x:f>
        <x:v>0</x:v>
      </x:c>
      <x:c r="H69" s="291">
        <x:f>'Reversion Pagos R4'!H341</x:f>
        <x:v>0</x:v>
      </x:c>
      <x:c r="I69" s="291">
        <x:f>'Reversion Pagos R4'!I341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6">
        <x:f>'Reversion Pagos R4'!K341</x:f>
        <x:v>0</x:v>
      </x:c>
      <x:c r="W69" s="316">
        <x:f>'Reversion Pagos R4'!L341</x:f>
        <x:v>0</x:v>
      </x:c>
      <x:c r="X69" s="316">
        <x:f>'Reversion Pagos R4'!M341</x:f>
        <x:v>0</x:v>
      </x:c>
      <x:c r="Y69" s="316">
        <x:f>'Reversion Pagos R4'!N341</x:f>
        <x:v>0</x:v>
      </x:c>
      <x:c r="Z69" s="319">
        <x:f t="shared" si="25"/>
        <x:v>0</x:v>
      </x:c>
      <x:c r="AA69" s="320">
        <x:f>'Reversion Pagos R4'!O341</x:f>
        <x:v>0</x:v>
      </x:c>
      <x:c r="AB69" s="294">
        <x:f t="shared" si="26"/>
        <x:v>0</x:v>
      </x:c>
      <x:c r="AC69" s="320">
        <x:f>'Reversion Pagos R4'!Q341+'Reversion Pagos R4'!R341</x:f>
        <x:v>0</x:v>
      </x:c>
      <x:c r="AD69" s="291">
        <x:f t="shared" si="27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R4'!D382</x:f>
        <x:v>0</x:v>
      </x:c>
      <x:c r="E70" s="296">
        <x:f>'Reversion Pagos R4'!E382</x:f>
        <x:v>0</x:v>
      </x:c>
      <x:c r="F70" s="296">
        <x:f>'Reversion Pagos R4'!F382</x:f>
        <x:v>0</x:v>
      </x:c>
      <x:c r="G70" s="296">
        <x:f>'Reversion Pagos R4'!G382</x:f>
        <x:v>0</x:v>
      </x:c>
      <x:c r="H70" s="296">
        <x:f>'Reversion Pagos R4'!H382</x:f>
        <x:v>0</x:v>
      </x:c>
      <x:c r="I70" s="296">
        <x:f>'Reversion Pagos R4'!I382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R4'!P382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R4'!J382</x:f>
        <x:v>0</x:v>
      </x:c>
      <x:c r="V70" s="296">
        <x:f>'Reversion Pagos R4'!K382</x:f>
        <x:v>0</x:v>
      </x:c>
      <x:c r="W70" s="296">
        <x:f>'Reversion Pagos R4'!L382</x:f>
        <x:v>0</x:v>
      </x:c>
      <x:c r="X70" s="296">
        <x:f>'Reversion Pagos R4'!M382</x:f>
        <x:v>0</x:v>
      </x:c>
      <x:c r="Y70" s="296">
        <x:f>'Reversion Pagos R4'!N382</x:f>
        <x:v>0</x:v>
      </x:c>
      <x:c r="Z70" s="319">
        <x:f t="shared" si="25"/>
        <x:v>0</x:v>
      </x:c>
      <x:c r="AA70" s="320">
        <x:f>'Reversion Pagos R4'!O382</x:f>
        <x:v>0</x:v>
      </x:c>
      <x:c r="AB70" s="294">
        <x:f t="shared" si="26"/>
        <x:v>0</x:v>
      </x:c>
      <x:c r="AC70" s="320">
        <x:f>'Reversion Pagos R4'!Q382+'Reversion Pagos R4'!R382</x:f>
        <x:v>0</x:v>
      </x:c>
      <x:c r="AD70" s="291">
        <x:f t="shared" si="27"/>
        <x:v>0</x:v>
      </x:c>
      <x:c r="AE70" s="291">
        <x:f>'Reversion Pagos R4'!D383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Recaudo'!D8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2026092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R1'!F109</x:f>
        <x:v>0</x:v>
      </x:c>
      <x:c r="E9" s="292">
        <x:f>'Reporte Componentes R1'!G109</x:f>
        <x:v>0</x:v>
      </x:c>
      <x:c r="F9" s="292">
        <x:f>'Reporte Componentes R1'!H109</x:f>
        <x:v>0</x:v>
      </x:c>
      <x:c r="G9" s="292">
        <x:f>'Reporte Componentes R1'!I109</x:f>
        <x:v>0</x:v>
      </x:c>
      <x:c r="H9" s="292">
        <x:f>'Reporte Componentes R1'!J109</x:f>
        <x:v>0</x:v>
      </x:c>
      <x:c r="I9" s="292">
        <x:f>'Reporte Componentes R1'!K109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R1'!L109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R1'!M109</x:f>
        <x:v>0</x:v>
      </x:c>
      <x:c r="V9" s="308">
        <x:f>'Reporte Componentes R1'!N109</x:f>
        <x:v>0</x:v>
      </x:c>
      <x:c r="W9" s="308">
        <x:f>'Reporte Componentes R1'!O109</x:f>
        <x:v>0</x:v>
      </x:c>
      <x:c r="X9" s="308">
        <x:f>'Reporte Componentes R1'!P109</x:f>
        <x:v>0</x:v>
      </x:c>
      <x:c r="Y9" s="309">
        <x:f>'Reporte Componentes R1'!Q109</x:f>
        <x:v>0</x:v>
      </x:c>
      <x:c r="Z9" s="310">
        <x:f>L9*-1</x:f>
        <x:v>0</x:v>
      </x:c>
      <x:c r="AA9" s="311">
        <x:f>'Reporte Componentes R1'!R109+'Reporte Componentes R1'!V109+'Reporte Componentes R1'!U109</x:f>
        <x:v>0</x:v>
      </x:c>
      <x:c r="AB9" s="294">
        <x:f>N9</x:f>
        <x:v>0</x:v>
      </x:c>
      <x:c r="AC9" s="311">
        <x:f>'Reporte Componentes R1'!T109+'Reporte Componentes R1'!W109+'Reporte Componentes R1'!X109+'Reporte Componentes R1'!Y109+'Reporte Componentes R1'!Z109+'Reporte Componentes R1'!S109</x:f>
        <x:v>0</x:v>
      </x:c>
      <x:c r="AD9" s="291">
        <x:f>-J9+AE9</x:f>
        <x:v>0</x:v>
      </x:c>
      <x:c r="AE9" s="291">
        <x:f>'Reporte Componentes R1'!F110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R1'!F343</x:f>
        <x:v>0</x:v>
      </x:c>
      <x:c r="E10" s="292">
        <x:f>'Reporte Componentes R1'!G343</x:f>
        <x:v>0</x:v>
      </x:c>
      <x:c r="F10" s="292">
        <x:f>'Reporte Componentes R1'!H343</x:f>
        <x:v>0</x:v>
      </x:c>
      <x:c r="G10" s="292">
        <x:f>'Reporte Componentes R1'!I343</x:f>
        <x:v>0</x:v>
      </x:c>
      <x:c r="H10" s="292">
        <x:f>'Reporte Componentes R1'!J343</x:f>
        <x:v>0</x:v>
      </x:c>
      <x:c r="I10" s="292">
        <x:f>'Reporte Componentes R1'!K343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R1'!L343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R1'!M343</x:f>
        <x:v>0</x:v>
      </x:c>
      <x:c r="V10" s="317">
        <x:f>'Reporte Componentes R1'!N343</x:f>
        <x:v>0</x:v>
      </x:c>
      <x:c r="W10" s="317">
        <x:f>'Reporte Componentes R1'!O343</x:f>
        <x:v>0</x:v>
      </x:c>
      <x:c r="X10" s="317">
        <x:f>'Reporte Componentes R1'!P343</x:f>
        <x:v>0</x:v>
      </x:c>
      <x:c r="Y10" s="318">
        <x:f>'Reporte Componentes R1'!Q343</x:f>
        <x:v>0</x:v>
      </x:c>
      <x:c r="Z10" s="319">
        <x:f>L10*-1</x:f>
        <x:v>0</x:v>
      </x:c>
      <x:c r="AA10" s="320">
        <x:f>'Reporte Componentes R1'!R343+'Reporte Componentes R1'!V343+'Reporte Componentes R1'!U343</x:f>
        <x:v>0</x:v>
      </x:c>
      <x:c r="AB10" s="294">
        <x:f>N10</x:f>
        <x:v>0</x:v>
      </x:c>
      <x:c r="AC10" s="320">
        <x:f>'Reporte Componentes R1'!T343+'Reporte Componentes R1'!W343+'Reporte Componentes R1'!X343+'Reporte Componentes R1'!Y343+'Reporte Componentes R1'!Z343+'Reporte Componentes R1'!S343</x:f>
        <x:v>0</x:v>
      </x:c>
      <x:c r="AD10" s="291">
        <x:f t="shared" ref="AD10:AD13" si="2">-J10+AE10</x:f>
        <x:v>0</x:v>
      </x:c>
      <x:c r="AE10" s="291">
        <x:f>'Reporte Componentes R1'!F344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R1'!F504</x:f>
        <x:v>0</x:v>
      </x:c>
      <x:c r="E11" s="292">
        <x:f>'Reporte Componentes R1'!G504</x:f>
        <x:v>0</x:v>
      </x:c>
      <x:c r="F11" s="292">
        <x:f>'Reporte Componentes R1'!H504</x:f>
        <x:v>0</x:v>
      </x:c>
      <x:c r="G11" s="292">
        <x:f>'Reporte Componentes R1'!I504</x:f>
        <x:v>0</x:v>
      </x:c>
      <x:c r="H11" s="292">
        <x:f>'Reporte Componentes R1'!J504</x:f>
        <x:v>0</x:v>
      </x:c>
      <x:c r="I11" s="292">
        <x:f>'Reporte Componentes R1'!K504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R1'!L504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R1'!M504</x:f>
        <x:v>0</x:v>
      </x:c>
      <x:c r="V11" s="317">
        <x:f>'Reporte Componentes R1'!N504</x:f>
        <x:v>0</x:v>
      </x:c>
      <x:c r="W11" s="317">
        <x:f>'Reporte Componentes R1'!O504</x:f>
        <x:v>0</x:v>
      </x:c>
      <x:c r="X11" s="317">
        <x:f>'Reporte Componentes R1'!P504</x:f>
        <x:v>0</x:v>
      </x:c>
      <x:c r="Y11" s="318">
        <x:f>'Reporte Componentes R1'!Q504</x:f>
        <x:v>0</x:v>
      </x:c>
      <x:c r="Z11" s="319">
        <x:f>L11*-1</x:f>
        <x:v>0</x:v>
      </x:c>
      <x:c r="AA11" s="320">
        <x:f>'Reporte Componentes R1'!R504+'Reporte Componentes R1'!V504+'Reporte Componentes R1'!U504</x:f>
        <x:v>0</x:v>
      </x:c>
      <x:c r="AB11" s="294">
        <x:f>N11</x:f>
        <x:v>0</x:v>
      </x:c>
      <x:c r="AC11" s="320">
        <x:f>'Reporte Componentes R1'!T504+'Reporte Componentes R1'!W504+'Reporte Componentes R1'!X504+'Reporte Componentes R1'!Y504+'Reporte Componentes R1'!Z504+'Reporte Componentes R1'!S504</x:f>
        <x:v>0</x:v>
      </x:c>
      <x:c r="AD11" s="291">
        <x:f t="shared" si="2"/>
        <x:v>0</x:v>
      </x:c>
      <x:c r="AE11" s="291">
        <x:f>'Reporte Componentes R1'!F505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R1'!F712</x:f>
        <x:v>0</x:v>
      </x:c>
      <x:c r="E12" s="292">
        <x:f>'Reporte Componentes R1'!G712</x:f>
        <x:v>0</x:v>
      </x:c>
      <x:c r="F12" s="292">
        <x:f>'Reporte Componentes R1'!H712</x:f>
        <x:v>0</x:v>
      </x:c>
      <x:c r="G12" s="292">
        <x:f>'Reporte Componentes R1'!I712</x:f>
        <x:v>0</x:v>
      </x:c>
      <x:c r="H12" s="292">
        <x:f>'Reporte Componentes R1'!J712</x:f>
        <x:v>0</x:v>
      </x:c>
      <x:c r="I12" s="292">
        <x:f>'Reporte Componentes R1'!K712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R1'!L712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R1'!M712</x:f>
        <x:v>0</x:v>
      </x:c>
      <x:c r="V12" s="317">
        <x:f>'Reporte Componentes R1'!N712</x:f>
        <x:v>0</x:v>
      </x:c>
      <x:c r="W12" s="317">
        <x:f>'Reporte Componentes R1'!O712</x:f>
        <x:v>0</x:v>
      </x:c>
      <x:c r="X12" s="317">
        <x:f>'Reporte Componentes R1'!P712</x:f>
        <x:v>0</x:v>
      </x:c>
      <x:c r="Y12" s="318">
        <x:f>'Reporte Componentes R1'!Q712</x:f>
        <x:v>0</x:v>
      </x:c>
      <x:c r="Z12" s="319">
        <x:f>L12*-1</x:f>
        <x:v>0</x:v>
      </x:c>
      <x:c r="AA12" s="320">
        <x:f>'Reporte Componentes R1'!R712+'Reporte Componentes R1'!V712+'Reporte Componentes R1'!U712</x:f>
        <x:v>0</x:v>
      </x:c>
      <x:c r="AB12" s="294">
        <x:f>N12</x:f>
        <x:v>0</x:v>
      </x:c>
      <x:c r="AC12" s="320">
        <x:f>'Reporte Componentes R1'!T712+'Reporte Componentes R1'!W712+'Reporte Componentes R1'!X712+'Reporte Componentes R1'!Y712+'Reporte Componentes R1'!Z712+'Reporte Componentes R1'!S712</x:f>
        <x:v>0</x:v>
      </x:c>
      <x:c r="AD12" s="291">
        <x:f t="shared" si="2"/>
        <x:v>0</x:v>
      </x:c>
      <x:c r="AE12" s="291">
        <x:f>'Reporte Componentes R1'!F713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R1'!F831</x:f>
        <x:v>0</x:v>
      </x:c>
      <x:c r="E13" s="297">
        <x:f>'Reporte Componentes R1'!G831</x:f>
        <x:v>0</x:v>
      </x:c>
      <x:c r="F13" s="297">
        <x:f>'Reporte Componentes R1'!H831</x:f>
        <x:v>0</x:v>
      </x:c>
      <x:c r="G13" s="297">
        <x:f>'Reporte Componentes R1'!I831</x:f>
        <x:v>0</x:v>
      </x:c>
      <x:c r="H13" s="297">
        <x:f>'Reporte Componentes R1'!J831</x:f>
        <x:v>0</x:v>
      </x:c>
      <x:c r="I13" s="297">
        <x:f>'Reporte Componentes R1'!K831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R1'!L831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R1'!M831</x:f>
        <x:v>0</x:v>
      </x:c>
      <x:c r="V13" s="297">
        <x:f>'Reporte Componentes R1'!N831</x:f>
        <x:v>0</x:v>
      </x:c>
      <x:c r="W13" s="297">
        <x:f>'Reporte Componentes R1'!O831</x:f>
        <x:v>0</x:v>
      </x:c>
      <x:c r="X13" s="297">
        <x:f>'Reporte Componentes R1'!P831</x:f>
        <x:v>0</x:v>
      </x:c>
      <x:c r="Y13" s="289">
        <x:f>'Reporte Componentes R1'!Q831</x:f>
        <x:v>0</x:v>
      </x:c>
      <x:c r="Z13" s="319">
        <x:f>L13*-1</x:f>
        <x:v>0</x:v>
      </x:c>
      <x:c r="AA13" s="320">
        <x:f>'Reporte Componentes R1'!R831+'Reporte Componentes R1'!V831+'Reporte Componentes R1'!U831</x:f>
        <x:v>0</x:v>
      </x:c>
      <x:c r="AB13" s="294">
        <x:f>N13</x:f>
        <x:v>0</x:v>
      </x:c>
      <x:c r="AC13" s="320">
        <x:f>'Reporte Componentes R1'!T831+'Reporte Componentes R1'!W831+'Reporte Componentes R1'!X831+'Reporte Componentes R1'!Y831+'Reporte Componentes R1'!Z831+'Reporte Componentes R1'!S831</x:f>
        <x:v>0</x:v>
      </x:c>
      <x:c r="AD13" s="291">
        <x:f t="shared" si="2"/>
        <x:v>0</x:v>
      </x:c>
      <x:c r="AE13" s="291">
        <x:f>'Reporte Componentes R1'!F832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R2'!E69</x:f>
        <x:v>0</x:v>
      </x:c>
      <x:c r="E28" s="292">
        <x:f>'Rem. Anticipos R2'!F69</x:f>
        <x:v>0</x:v>
      </x:c>
      <x:c r="F28" s="292">
        <x:f>'Rem. Anticipos R2'!G69</x:f>
        <x:v>0</x:v>
      </x:c>
      <x:c r="G28" s="292">
        <x:f>'Rem. Anticipos R2'!H69</x:f>
        <x:v>0</x:v>
      </x:c>
      <x:c r="H28" s="292">
        <x:f>'Rem. Anticipos R2'!I69</x:f>
        <x:v>0</x:v>
      </x:c>
      <x:c r="I28" s="292">
        <x:f>'Rem. Anticipos R2'!J69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R2'!L69</x:f>
        <x:v>0</x:v>
      </x:c>
      <x:c r="V28" s="308">
        <x:f>'Rem. Anticipos R2'!M69</x:f>
        <x:v>0</x:v>
      </x:c>
      <x:c r="W28" s="308">
        <x:f>'Rem. Anticipos R2'!N69</x:f>
        <x:v>0</x:v>
      </x:c>
      <x:c r="X28" s="308">
        <x:f>'Rem. Anticipos R2'!O69</x:f>
        <x:v>0</x:v>
      </x:c>
      <x:c r="Y28" s="308">
        <x:f>'Rem. Anticipos R2'!P69</x:f>
        <x:v>0</x:v>
      </x:c>
      <x:c r="Z28" s="310">
        <x:f>L28*-1</x:f>
        <x:v>0</x:v>
      </x:c>
      <x:c r="AA28" s="311">
        <x:f>'Rem. Anticipos R2'!Q69</x:f>
        <x:v>0</x:v>
      </x:c>
      <x:c r="AB28" s="294">
        <x:f>N28</x:f>
        <x:v>0</x:v>
      </x:c>
      <x:c r="AC28" s="311">
        <x:f>'Rem. Anticipos R2'!R69</x:f>
        <x:v>0</x:v>
      </x:c>
      <x:c r="AD28" s="291">
        <x:f>-J28+AE28</x:f>
        <x:v>0</x:v>
      </x:c>
      <x:c r="AE28" s="291">
        <x:f>'Rem. Anticipos R2'!E70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R2'!E190</x:f>
        <x:v>0</x:v>
      </x:c>
      <x:c r="E29" s="292">
        <x:f>'Rem. Anticipos R2'!F190</x:f>
        <x:v>0</x:v>
      </x:c>
      <x:c r="F29" s="292">
        <x:f>'Rem. Anticipos R2'!G190</x:f>
        <x:v>0</x:v>
      </x:c>
      <x:c r="G29" s="292">
        <x:f>'Rem. Anticipos R2'!H190</x:f>
        <x:v>0</x:v>
      </x:c>
      <x:c r="H29" s="292">
        <x:f>'Rem. Anticipos R2'!I190</x:f>
        <x:v>0</x:v>
      </x:c>
      <x:c r="I29" s="292">
        <x:f>'Rem. Anticipos R2'!J190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R2'!L190</x:f>
        <x:v>0</x:v>
      </x:c>
      <x:c r="V29" s="317">
        <x:f>'Rem. Anticipos R2'!M190</x:f>
        <x:v>0</x:v>
      </x:c>
      <x:c r="W29" s="317">
        <x:f>'Rem. Anticipos R2'!N190</x:f>
        <x:v>0</x:v>
      </x:c>
      <x:c r="X29" s="317">
        <x:f>'Rem. Anticipos R2'!O190</x:f>
        <x:v>0</x:v>
      </x:c>
      <x:c r="Y29" s="318">
        <x:f>'Rem. Anticipos R2'!P190</x:f>
        <x:v>0</x:v>
      </x:c>
      <x:c r="Z29" s="319">
        <x:f>L29*-1</x:f>
        <x:v>0</x:v>
      </x:c>
      <x:c r="AA29" s="320">
        <x:f>'Rem. Anticipos R2'!Q190</x:f>
        <x:v>0</x:v>
      </x:c>
      <x:c r="AB29" s="294">
        <x:f>N29</x:f>
        <x:v>0</x:v>
      </x:c>
      <x:c r="AC29" s="320">
        <x:f>'Rem. Anticipos R2'!R190</x:f>
        <x:v>0</x:v>
      </x:c>
      <x:c r="AD29" s="291">
        <x:f>-J29+AE29</x:f>
        <x:v>0</x:v>
      </x:c>
      <x:c r="AE29" s="291">
        <x:f>'Rem. Anticipos R2'!E191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R2'!E311</x:f>
        <x:v>0</x:v>
      </x:c>
      <x:c r="E30" s="292">
        <x:f>'Rem. Anticipos R2'!F311</x:f>
        <x:v>0</x:v>
      </x:c>
      <x:c r="F30" s="292">
        <x:f>'Rem. Anticipos R2'!G311</x:f>
        <x:v>0</x:v>
      </x:c>
      <x:c r="G30" s="292">
        <x:f>'Rem. Anticipos R2'!H311</x:f>
        <x:v>0</x:v>
      </x:c>
      <x:c r="H30" s="292">
        <x:f>'Rem. Anticipos R2'!I311</x:f>
        <x:v>0</x:v>
      </x:c>
      <x:c r="I30" s="292">
        <x:f>'Rem. Anticipos R2'!J311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R2'!K311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R2'!L311</x:f>
        <x:v>0</x:v>
      </x:c>
      <x:c r="V30" s="317">
        <x:f>'Rem. Anticipos R2'!M311</x:f>
        <x:v>0</x:v>
      </x:c>
      <x:c r="W30" s="317">
        <x:f>'Rem. Anticipos R2'!N311</x:f>
        <x:v>0</x:v>
      </x:c>
      <x:c r="X30" s="317">
        <x:f>'Rem. Anticipos R2'!O311</x:f>
        <x:v>0</x:v>
      </x:c>
      <x:c r="Y30" s="318">
        <x:f>'Rem. Anticipos R2'!P311</x:f>
        <x:v>0</x:v>
      </x:c>
      <x:c r="Z30" s="319">
        <x:f>L30*-1</x:f>
        <x:v>0</x:v>
      </x:c>
      <x:c r="AA30" s="320">
        <x:f>'Rem. Anticipos R2'!Q311</x:f>
        <x:v>0</x:v>
      </x:c>
      <x:c r="AB30" s="294">
        <x:f>N30</x:f>
        <x:v>0</x:v>
      </x:c>
      <x:c r="AC30" s="320">
        <x:f>'Rem. Anticipos R2'!R311</x:f>
        <x:v>0</x:v>
      </x:c>
      <x:c r="AD30" s="291">
        <x:f t="shared" ref="AD30:AD32" si="10">-J30+AE30</x:f>
        <x:v>0</x:v>
      </x:c>
      <x:c r="AE30" s="291">
        <x:f>'Rem. Anticipos R2'!E312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R2'!E435</x:f>
        <x:v>0</x:v>
      </x:c>
      <x:c r="E31" s="292">
        <x:f>'Rem. Anticipos R2'!F435</x:f>
        <x:v>0</x:v>
      </x:c>
      <x:c r="F31" s="292">
        <x:f>'Rem. Anticipos R2'!G435</x:f>
        <x:v>0</x:v>
      </x:c>
      <x:c r="G31" s="292">
        <x:f>'Rem. Anticipos R2'!H435</x:f>
        <x:v>0</x:v>
      </x:c>
      <x:c r="H31" s="292">
        <x:f>'Rem. Anticipos R2'!I435</x:f>
        <x:v>0</x:v>
      </x:c>
      <x:c r="I31" s="292">
        <x:f>'Rem. Anticipos R2'!J435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R2'!L435</x:f>
        <x:v>0</x:v>
      </x:c>
      <x:c r="V31" s="317">
        <x:f>'Rem. Anticipos R2'!M435</x:f>
        <x:v>0</x:v>
      </x:c>
      <x:c r="W31" s="317">
        <x:f>'Rem. Anticipos R2'!N435</x:f>
        <x:v>0</x:v>
      </x:c>
      <x:c r="X31" s="317">
        <x:f>'Rem. Anticipos R2'!O435</x:f>
        <x:v>0</x:v>
      </x:c>
      <x:c r="Y31" s="318">
        <x:f>'Rem. Anticipos R2'!P435</x:f>
        <x:v>0</x:v>
      </x:c>
      <x:c r="Z31" s="319">
        <x:f>L31*-1</x:f>
        <x:v>0</x:v>
      </x:c>
      <x:c r="AA31" s="320">
        <x:f>'Rem. Anticipos R2'!Q435</x:f>
        <x:v>0</x:v>
      </x:c>
      <x:c r="AB31" s="294">
        <x:f>N31</x:f>
        <x:v>0</x:v>
      </x:c>
      <x:c r="AC31" s="320">
        <x:f>'Rem. Anticipos R2'!R435</x:f>
        <x:v>0</x:v>
      </x:c>
      <x:c r="AD31" s="291">
        <x:f t="shared" si="10"/>
        <x:v>0</x:v>
      </x:c>
      <x:c r="AE31" s="291">
        <x:f>'Rem. Anticipos R2'!E436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R2'!E522</x:f>
        <x:v>0</x:v>
      </x:c>
      <x:c r="E32" s="297">
        <x:f>'Rem. Anticipos R2'!F522</x:f>
        <x:v>0</x:v>
      </x:c>
      <x:c r="F32" s="297">
        <x:f>'Rem. Anticipos R2'!G522</x:f>
        <x:v>0</x:v>
      </x:c>
      <x:c r="G32" s="297">
        <x:f>'Rem. Anticipos R2'!H522</x:f>
        <x:v>0</x:v>
      </x:c>
      <x:c r="H32" s="297">
        <x:f>'Rem. Anticipos R2'!I522</x:f>
        <x:v>0</x:v>
      </x:c>
      <x:c r="I32" s="297">
        <x:f>'Rem. Anticipos R2'!J522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R2'!L522</x:f>
        <x:v>0</x:v>
      </x:c>
      <x:c r="V32" s="297">
        <x:f>'Rem. Anticipos R2'!M522</x:f>
        <x:v>0</x:v>
      </x:c>
      <x:c r="W32" s="297">
        <x:f>'Rem. Anticipos R2'!N522</x:f>
        <x:v>0</x:v>
      </x:c>
      <x:c r="X32" s="297">
        <x:f>'Rem. Anticipos R2'!O522</x:f>
        <x:v>0</x:v>
      </x:c>
      <x:c r="Y32" s="289">
        <x:f>'Rem. Anticipos R2'!P522</x:f>
        <x:v>0</x:v>
      </x:c>
      <x:c r="Z32" s="319">
        <x:f>L32*-1</x:f>
        <x:v>0</x:v>
      </x:c>
      <x:c r="AA32" s="320">
        <x:f>'Rem. Anticipos R2'!Q522</x:f>
        <x:v>0</x:v>
      </x:c>
      <x:c r="AB32" s="294">
        <x:f>N32</x:f>
        <x:v>0</x:v>
      </x:c>
      <x:c r="AC32" s="320">
        <x:f>'Rem. Anticipos R2'!R522</x:f>
        <x:v>0</x:v>
      </x:c>
      <x:c r="AD32" s="291">
        <x:f t="shared" si="10"/>
        <x:v>0</x:v>
      </x:c>
      <x:c r="AE32" s="291">
        <x:f>'Rem. Anticipos R2'!E523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R1'!F111</x:f>
        <x:v>0</x:v>
      </x:c>
      <x:c r="E47" s="292">
        <x:f>'Reporte Componentes R1'!G111</x:f>
        <x:v>0</x:v>
      </x:c>
      <x:c r="F47" s="292">
        <x:f>'Reporte Componentes R1'!H111</x:f>
        <x:v>0</x:v>
      </x:c>
      <x:c r="G47" s="292">
        <x:f>'Reporte Componentes R1'!I111</x:f>
        <x:v>0</x:v>
      </x:c>
      <x:c r="H47" s="292">
        <x:f>'Reporte Componentes R1'!J111</x:f>
        <x:v>0</x:v>
      </x:c>
      <x:c r="I47" s="292">
        <x:f>'Reporte Componentes R1'!K111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R1'!M111</x:f>
        <x:v>0</x:v>
      </x:c>
      <x:c r="V47" s="308">
        <x:f>'Reporte Componentes R1'!N111</x:f>
        <x:v>0</x:v>
      </x:c>
      <x:c r="W47" s="308">
        <x:f>'Reporte Componentes R1'!O111</x:f>
        <x:v>0</x:v>
      </x:c>
      <x:c r="X47" s="308">
        <x:f>'Reporte Componentes R1'!P111</x:f>
        <x:v>0</x:v>
      </x:c>
      <x:c r="Y47" s="309">
        <x:f>'Reporte Componentes R1'!Q111</x:f>
        <x:v>0</x:v>
      </x:c>
      <x:c r="Z47" s="310">
        <x:f>-L47</x:f>
        <x:v>0</x:v>
      </x:c>
      <x:c r="AA47" s="311">
        <x:f>'Reporte Componentes R1'!R111+'Reporte Componentes R1'!V111+'Reporte Componentes R1'!U111</x:f>
        <x:v>0</x:v>
      </x:c>
      <x:c r="AB47" s="294">
        <x:f>N47</x:f>
        <x:v>0</x:v>
      </x:c>
      <x:c r="AC47" s="311">
        <x:f>'Reporte Componentes R1'!T111+'Reporte Componentes R1'!S111+'Reporte Componentes R1'!W111+'Reporte Componentes R1'!X111+'Reporte Componentes R1'!Y111+'Reporte Componentes R1'!Z111</x:f>
        <x:v>0</x:v>
      </x:c>
      <x:c r="AD47" s="291">
        <x:f>-J47+AE47</x:f>
        <x:v>0</x:v>
      </x:c>
      <x:c r="AE47" s="291">
        <x:f>'Reporte Componentes R1'!F112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R1'!F345</x:f>
        <x:v>0</x:v>
      </x:c>
      <x:c r="E48" s="292">
        <x:f>'Reporte Componentes R1'!G345</x:f>
        <x:v>0</x:v>
      </x:c>
      <x:c r="F48" s="292">
        <x:f>'Reporte Componentes R1'!H345</x:f>
        <x:v>0</x:v>
      </x:c>
      <x:c r="G48" s="292">
        <x:f>'Reporte Componentes R1'!I345</x:f>
        <x:v>0</x:v>
      </x:c>
      <x:c r="H48" s="292">
        <x:f>'Reporte Componentes R1'!J345</x:f>
        <x:v>0</x:v>
      </x:c>
      <x:c r="I48" s="292">
        <x:f>'Reporte Componentes R1'!K345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R1'!L345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R1'!M345</x:f>
        <x:v>0</x:v>
      </x:c>
      <x:c r="V48" s="317">
        <x:f>'Reporte Componentes R1'!N345</x:f>
        <x:v>0</x:v>
      </x:c>
      <x:c r="W48" s="317">
        <x:f>'Reporte Componentes R1'!O345</x:f>
        <x:v>0</x:v>
      </x:c>
      <x:c r="X48" s="317">
        <x:f>'Reporte Componentes R1'!P345</x:f>
        <x:v>0</x:v>
      </x:c>
      <x:c r="Y48" s="318">
        <x:f>'Reporte Componentes R1'!Q345</x:f>
        <x:v>0</x:v>
      </x:c>
      <x:c r="Z48" s="319">
        <x:f>-L48</x:f>
        <x:v>0</x:v>
      </x:c>
      <x:c r="AA48" s="320">
        <x:f>'Reporte Componentes R1'!R345+'Reporte Componentes R1'!V345+'Reporte Componentes R1'!U345</x:f>
        <x:v>0</x:v>
      </x:c>
      <x:c r="AB48" s="294">
        <x:f>N48</x:f>
        <x:v>0</x:v>
      </x:c>
      <x:c r="AC48" s="320">
        <x:f>'Reporte Componentes R1'!T345+'Reporte Componentes R1'!S345+'Reporte Componentes R1'!W345+'Reporte Componentes R1'!X345+'Reporte Componentes R1'!Y345+'Reporte Componentes R1'!Z345</x:f>
        <x:v>0</x:v>
      </x:c>
      <x:c r="AD48" s="291">
        <x:f t="shared" ref="AD48:AD51" si="16">-J48+AE48</x:f>
        <x:v>0</x:v>
      </x:c>
      <x:c r="AE48" s="291">
        <x:f>'Reporte Componentes R1'!F346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R1'!F506</x:f>
        <x:v>0</x:v>
      </x:c>
      <x:c r="E49" s="292">
        <x:f>'Reporte Componentes R1'!G506</x:f>
        <x:v>0</x:v>
      </x:c>
      <x:c r="F49" s="292">
        <x:f>'Reporte Componentes R1'!H506</x:f>
        <x:v>0</x:v>
      </x:c>
      <x:c r="G49" s="292">
        <x:f>'Reporte Componentes R1'!I506</x:f>
        <x:v>0</x:v>
      </x:c>
      <x:c r="H49" s="292">
        <x:f>'Reporte Componentes R1'!J506</x:f>
        <x:v>0</x:v>
      </x:c>
      <x:c r="I49" s="292">
        <x:f>'Reporte Componentes R1'!K506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R1'!L506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R1'!M506</x:f>
        <x:v>0</x:v>
      </x:c>
      <x:c r="V49" s="317">
        <x:f>'Reporte Componentes R1'!N506</x:f>
        <x:v>0</x:v>
      </x:c>
      <x:c r="W49" s="317">
        <x:f>'Reporte Componentes R1'!O506</x:f>
        <x:v>0</x:v>
      </x:c>
      <x:c r="X49" s="317">
        <x:f>'Reporte Componentes R1'!P506</x:f>
        <x:v>0</x:v>
      </x:c>
      <x:c r="Y49" s="318">
        <x:f>'Reporte Componentes R1'!Q506</x:f>
        <x:v>0</x:v>
      </x:c>
      <x:c r="Z49" s="319">
        <x:f>-L49</x:f>
        <x:v>0</x:v>
      </x:c>
      <x:c r="AA49" s="320">
        <x:f>'Reporte Componentes R1'!R506+'Reporte Componentes R1'!V506+'Reporte Componentes R1'!U506</x:f>
        <x:v>0</x:v>
      </x:c>
      <x:c r="AB49" s="294">
        <x:f>N49</x:f>
        <x:v>0</x:v>
      </x:c>
      <x:c r="AC49" s="320">
        <x:f>'Reporte Componentes R1'!T506+'Reporte Componentes R1'!S506+'Reporte Componentes R1'!W506+'Reporte Componentes R1'!X506+'Reporte Componentes R1'!Y506+'Reporte Componentes R1'!Z506</x:f>
        <x:v>0</x:v>
      </x:c>
      <x:c r="AD49" s="291">
        <x:f t="shared" si="16"/>
        <x:v>0</x:v>
      </x:c>
      <x:c r="AE49" s="291">
        <x:f>'Reporte Componentes R1'!F507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R1'!F714</x:f>
        <x:v>0</x:v>
      </x:c>
      <x:c r="E50" s="292">
        <x:f>'Reporte Componentes R1'!G714</x:f>
        <x:v>0</x:v>
      </x:c>
      <x:c r="F50" s="292">
        <x:f>'Reporte Componentes R1'!H714</x:f>
        <x:v>0</x:v>
      </x:c>
      <x:c r="G50" s="292">
        <x:f>'Reporte Componentes R1'!I714</x:f>
        <x:v>0</x:v>
      </x:c>
      <x:c r="H50" s="292">
        <x:f>'Reporte Componentes R1'!J714</x:f>
        <x:v>0</x:v>
      </x:c>
      <x:c r="I50" s="292">
        <x:f>'Reporte Componentes R1'!K714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R1'!L714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R1'!M714</x:f>
        <x:v>0</x:v>
      </x:c>
      <x:c r="V50" s="317">
        <x:f>'Reporte Componentes R1'!N714</x:f>
        <x:v>0</x:v>
      </x:c>
      <x:c r="W50" s="317">
        <x:f>'Reporte Componentes R1'!O714</x:f>
        <x:v>0</x:v>
      </x:c>
      <x:c r="X50" s="317">
        <x:f>'Reporte Componentes R1'!P714</x:f>
        <x:v>0</x:v>
      </x:c>
      <x:c r="Y50" s="318">
        <x:f>'Reporte Componentes R1'!Q714</x:f>
        <x:v>0</x:v>
      </x:c>
      <x:c r="Z50" s="319">
        <x:f>-L50</x:f>
        <x:v>0</x:v>
      </x:c>
      <x:c r="AA50" s="320">
        <x:f>'Reporte Componentes R1'!R714+'Reporte Componentes R1'!V714+'Reporte Componentes R1'!U714</x:f>
        <x:v>0</x:v>
      </x:c>
      <x:c r="AB50" s="294">
        <x:f>N50</x:f>
        <x:v>0</x:v>
      </x:c>
      <x:c r="AC50" s="320">
        <x:f>'Reporte Componentes R1'!T714+'Reporte Componentes R1'!S714+'Reporte Componentes R1'!W714+'Reporte Componentes R1'!X714+'Reporte Componentes R1'!Y714+'Reporte Componentes R1'!Z714</x:f>
        <x:v>0</x:v>
      </x:c>
      <x:c r="AD50" s="291">
        <x:f t="shared" si="16"/>
        <x:v>0</x:v>
      </x:c>
      <x:c r="AE50" s="291">
        <x:f>'Reporte Componentes R1'!F715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R1'!F833</x:f>
        <x:v>0</x:v>
      </x:c>
      <x:c r="E51" s="297">
        <x:f>'Reporte Componentes R1'!G833</x:f>
        <x:v>0</x:v>
      </x:c>
      <x:c r="F51" s="297">
        <x:f>'Reporte Componentes R1'!H833</x:f>
        <x:v>0</x:v>
      </x:c>
      <x:c r="G51" s="297">
        <x:f>'Reporte Componentes R1'!I833</x:f>
        <x:v>0</x:v>
      </x:c>
      <x:c r="H51" s="297">
        <x:f>'Reporte Componentes R1'!J833</x:f>
        <x:v>0</x:v>
      </x:c>
      <x:c r="I51" s="297">
        <x:f>'Reporte Componentes R1'!K833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R1'!L833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R1'!M833</x:f>
        <x:v>0</x:v>
      </x:c>
      <x:c r="V51" s="297">
        <x:f>'Reporte Componentes R1'!N833</x:f>
        <x:v>0</x:v>
      </x:c>
      <x:c r="W51" s="297">
        <x:f>'Reporte Componentes R1'!O833</x:f>
        <x:v>0</x:v>
      </x:c>
      <x:c r="X51" s="297">
        <x:f>'Reporte Componentes R1'!P833</x:f>
        <x:v>0</x:v>
      </x:c>
      <x:c r="Y51" s="289">
        <x:f>'Reporte Componentes R1'!Q833</x:f>
        <x:v>0</x:v>
      </x:c>
      <x:c r="Z51" s="319">
        <x:f>-L51</x:f>
        <x:v>0</x:v>
      </x:c>
      <x:c r="AA51" s="320">
        <x:f>'Reporte Componentes R1'!R833+'Reporte Componentes R1'!V833+'Reporte Componentes R1'!U833</x:f>
        <x:v>0</x:v>
      </x:c>
      <x:c r="AB51" s="294">
        <x:f>N51</x:f>
        <x:v>0</x:v>
      </x:c>
      <x:c r="AC51" s="320">
        <x:f>'Reporte Componentes R1'!T833+'Reporte Componentes R1'!S833+'Reporte Componentes R1'!W833+'Reporte Componentes R1'!X833+'Reporte Componentes R1'!Y833+'Reporte Componentes R1'!Z833</x:f>
        <x:v>0</x:v>
      </x:c>
      <x:c r="AD51" s="291">
        <x:f t="shared" si="16"/>
        <x:v>0</x:v>
      </x:c>
      <x:c r="AE51" s="291">
        <x:f>'Reporte Componentes R1'!F834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R4'!D91</x:f>
        <x:v>0</x:v>
      </x:c>
      <x:c r="E66" s="292">
        <x:f>'Reversion Pagos R4'!E91</x:f>
        <x:v>0</x:v>
      </x:c>
      <x:c r="F66" s="292">
        <x:f>'Reversion Pagos R4'!F91</x:f>
        <x:v>0</x:v>
      </x:c>
      <x:c r="G66" s="292">
        <x:f>'Reversion Pagos R4'!G91</x:f>
        <x:v>0</x:v>
      </x:c>
      <x:c r="H66" s="292">
        <x:f>'Reversion Pagos R4'!H91</x:f>
        <x:v>0</x:v>
      </x:c>
      <x:c r="I66" s="292">
        <x:f>'Reversion Pagos R4'!I91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R4'!P91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R4'!J91</x:f>
        <x:v>0</x:v>
      </x:c>
      <x:c r="V66" s="308">
        <x:f>'Reversion Pagos R4'!K91</x:f>
        <x:v>0</x:v>
      </x:c>
      <x:c r="W66" s="308">
        <x:f>'Reversion Pagos R4'!L91</x:f>
        <x:v>0</x:v>
      </x:c>
      <x:c r="X66" s="308">
        <x:f>'Reversion Pagos R4'!M91</x:f>
        <x:v>0</x:v>
      </x:c>
      <x:c r="Y66" s="308">
        <x:f>'Reversion Pagos R4'!N91</x:f>
        <x:v>0</x:v>
      </x:c>
      <x:c r="Z66" s="310">
        <x:f>-L66</x:f>
        <x:v>0</x:v>
      </x:c>
      <x:c r="AA66" s="320">
        <x:f>'Reversion Pagos R4'!O91</x:f>
        <x:v>0</x:v>
      </x:c>
      <x:c r="AB66" s="294">
        <x:f>N66</x:f>
        <x:v>0</x:v>
      </x:c>
      <x:c r="AC66" s="320">
        <x:f>+'Reversion Pagos R4'!Q91+'Reversion Pagos R4'!R91</x:f>
        <x:v>0</x:v>
      </x:c>
      <x:c r="AD66" s="291">
        <x:f>-J66+AE66</x:f>
        <x:v>0</x:v>
      </x:c>
      <x:c r="AE66" s="291">
        <x:f>'Reversion Pagos R4'!D92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R4'!D192</x:f>
        <x:v>0</x:v>
      </x:c>
      <x:c r="E67" s="292">
        <x:f>'Reversion Pagos R4'!E192</x:f>
        <x:v>0</x:v>
      </x:c>
      <x:c r="F67" s="292">
        <x:f>'Reversion Pagos R4'!F192</x:f>
        <x:v>0</x:v>
      </x:c>
      <x:c r="G67" s="292">
        <x:f>'Reversion Pagos R4'!G192</x:f>
        <x:v>0</x:v>
      </x:c>
      <x:c r="H67" s="292">
        <x:f>'Reversion Pagos R4'!H192</x:f>
        <x:v>0</x:v>
      </x:c>
      <x:c r="I67" s="292">
        <x:f>'Reversion Pagos R4'!I192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R4'!P192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R4'!J192</x:f>
        <x:v>0</x:v>
      </x:c>
      <x:c r="V67" s="317">
        <x:f>'Reversion Pagos R4'!K192</x:f>
        <x:v>0</x:v>
      </x:c>
      <x:c r="W67" s="317">
        <x:f>'Reversion Pagos R4'!L192</x:f>
        <x:v>0</x:v>
      </x:c>
      <x:c r="X67" s="317">
        <x:f>'Reversion Pagos R4'!M192</x:f>
        <x:v>0</x:v>
      </x:c>
      <x:c r="Y67" s="318">
        <x:f>'Reversion Pagos R4'!N192</x:f>
        <x:v>0</x:v>
      </x:c>
      <x:c r="Z67" s="319">
        <x:f t="shared" ref="Z67:Z70" si="26">-L67</x:f>
        <x:v>0</x:v>
      </x:c>
      <x:c r="AA67" s="320">
        <x:f>'Reversion Pagos R4'!O192</x:f>
        <x:v>0</x:v>
      </x:c>
      <x:c r="AB67" s="294">
        <x:f t="shared" ref="AB67:AB70" si="27">N67</x:f>
        <x:v>0</x:v>
      </x:c>
      <x:c r="AC67" s="320">
        <x:f>+'Reversion Pagos R4'!Q192+'Reversion Pagos R4'!R192</x:f>
        <x:v>0</x:v>
      </x:c>
      <x:c r="AD67" s="291">
        <x:f t="shared" ref="AD67:AD70" si="28">-J67+AE67</x:f>
        <x:v>0</x:v>
      </x:c>
      <x:c r="AE67" s="291">
        <x:f>'Reversion Pagos R4'!D193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R4'!D229</x:f>
        <x:v>0</x:v>
      </x:c>
      <x:c r="E68" s="292">
        <x:f>'Reversion Pagos R4'!E229</x:f>
        <x:v>0</x:v>
      </x:c>
      <x:c r="F68" s="292">
        <x:f>'Reversion Pagos R4'!F229</x:f>
        <x:v>0</x:v>
      </x:c>
      <x:c r="G68" s="292">
        <x:f>'Reversion Pagos R4'!G229</x:f>
        <x:v>0</x:v>
      </x:c>
      <x:c r="H68" s="292">
        <x:f>'Reversion Pagos R4'!H229</x:f>
        <x:v>0</x:v>
      </x:c>
      <x:c r="I68" s="292">
        <x:f>'Reversion Pagos R4'!I229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R4'!P229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R4'!J229</x:f>
        <x:v>0</x:v>
      </x:c>
      <x:c r="V68" s="317">
        <x:f>'Reversion Pagos R4'!K229</x:f>
        <x:v>0</x:v>
      </x:c>
      <x:c r="W68" s="317">
        <x:f>'Reversion Pagos R4'!L229</x:f>
        <x:v>0</x:v>
      </x:c>
      <x:c r="X68" s="317">
        <x:f>'Reversion Pagos R4'!M229</x:f>
        <x:v>0</x:v>
      </x:c>
      <x:c r="Y68" s="318">
        <x:f>'Reversion Pagos R4'!N229</x:f>
        <x:v>0</x:v>
      </x:c>
      <x:c r="Z68" s="319">
        <x:f t="shared" si="26"/>
        <x:v>0</x:v>
      </x:c>
      <x:c r="AA68" s="320">
        <x:f>'Reversion Pagos R4'!O229</x:f>
        <x:v>0</x:v>
      </x:c>
      <x:c r="AB68" s="294">
        <x:f t="shared" si="27"/>
        <x:v>0</x:v>
      </x:c>
      <x:c r="AC68" s="320">
        <x:f>+'Reversion Pagos R4'!Q229+'Reversion Pagos R4'!R229</x:f>
        <x:v>0</x:v>
      </x:c>
      <x:c r="AD68" s="291">
        <x:f t="shared" si="28"/>
        <x:v>0</x:v>
      </x:c>
      <x:c r="AE68" s="291">
        <x:f>'Reversion Pagos R4'!D230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R4'!D344</x:f>
        <x:v>0</x:v>
      </x:c>
      <x:c r="E69" s="292">
        <x:f>'Reversion Pagos R4'!E344</x:f>
        <x:v>0</x:v>
      </x:c>
      <x:c r="F69" s="292">
        <x:f>'Reversion Pagos R4'!F344</x:f>
        <x:v>0</x:v>
      </x:c>
      <x:c r="G69" s="292">
        <x:f>'Reversion Pagos R4'!G344</x:f>
        <x:v>0</x:v>
      </x:c>
      <x:c r="H69" s="292">
        <x:f>'Reversion Pagos R4'!H344</x:f>
        <x:v>0</x:v>
      </x:c>
      <x:c r="I69" s="292">
        <x:f>'Reversion Pagos R4'!I344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R4'!P344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R4'!J344</x:f>
        <x:v>0</x:v>
      </x:c>
      <x:c r="V69" s="317">
        <x:f>'Reversion Pagos R4'!K344</x:f>
        <x:v>0</x:v>
      </x:c>
      <x:c r="W69" s="317">
        <x:f>'Reversion Pagos R4'!L344</x:f>
        <x:v>0</x:v>
      </x:c>
      <x:c r="X69" s="317">
        <x:f>'Reversion Pagos R4'!M344</x:f>
        <x:v>0</x:v>
      </x:c>
      <x:c r="Y69" s="318">
        <x:f>'Reversion Pagos R4'!N344</x:f>
        <x:v>0</x:v>
      </x:c>
      <x:c r="Z69" s="319">
        <x:f t="shared" si="26"/>
        <x:v>0</x:v>
      </x:c>
      <x:c r="AA69" s="320">
        <x:f>'Reversion Pagos R4'!O344</x:f>
        <x:v>0</x:v>
      </x:c>
      <x:c r="AB69" s="294">
        <x:f t="shared" si="27"/>
        <x:v>0</x:v>
      </x:c>
      <x:c r="AC69" s="320">
        <x:f>+'Reversion Pagos R4'!Q344+'Reversion Pagos R4'!R344</x:f>
        <x:v>0</x:v>
      </x:c>
      <x:c r="AD69" s="291">
        <x:f t="shared" si="28"/>
        <x:v>0</x:v>
      </x:c>
      <x:c r="AE69" s="291">
        <x:f>'Reversion Pagos R4'!D345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R4'!D385</x:f>
        <x:v>0</x:v>
      </x:c>
      <x:c r="E70" s="297">
        <x:f>'Reversion Pagos R4'!E385</x:f>
        <x:v>0</x:v>
      </x:c>
      <x:c r="F70" s="297">
        <x:f>'Reversion Pagos R4'!F385</x:f>
        <x:v>0</x:v>
      </x:c>
      <x:c r="G70" s="297">
        <x:f>'Reversion Pagos R4'!G385</x:f>
        <x:v>0</x:v>
      </x:c>
      <x:c r="H70" s="297">
        <x:f>'Reversion Pagos R4'!H385</x:f>
        <x:v>0</x:v>
      </x:c>
      <x:c r="I70" s="297">
        <x:f>'Reversion Pagos R4'!I385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R4'!P385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R4'!J385</x:f>
        <x:v>0</x:v>
      </x:c>
      <x:c r="V70" s="297">
        <x:f>'Reversion Pagos R4'!K385</x:f>
        <x:v>0</x:v>
      </x:c>
      <x:c r="W70" s="297">
        <x:f>'Reversion Pagos R4'!L385</x:f>
        <x:v>0</x:v>
      </x:c>
      <x:c r="X70" s="297">
        <x:f>'Reversion Pagos R4'!M385</x:f>
        <x:v>0</x:v>
      </x:c>
      <x:c r="Y70" s="289">
        <x:f>'Reversion Pagos R4'!N385</x:f>
        <x:v>0</x:v>
      </x:c>
      <x:c r="Z70" s="319">
        <x:f t="shared" si="26"/>
        <x:v>0</x:v>
      </x:c>
      <x:c r="AA70" s="320">
        <x:f>'Reversion Pagos R4'!O385</x:f>
        <x:v>0</x:v>
      </x:c>
      <x:c r="AB70" s="294">
        <x:f t="shared" si="27"/>
        <x:v>0</x:v>
      </x:c>
      <x:c r="AC70" s="320">
        <x:f>+'Reversion Pagos R4'!Q385+'Reversion Pagos R4'!R385</x:f>
        <x:v>0</x:v>
      </x:c>
      <x:c r="AD70" s="291">
        <x:f t="shared" si="28"/>
        <x:v>0</x:v>
      </x:c>
      <x:c r="AE70" s="291">
        <x:f>'Reversion Pagos R4'!D386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2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Recaudo'!D10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2026092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R1'!F114</x:f>
        <x:v>0</x:v>
      </x:c>
      <x:c r="E9" s="292">
        <x:f>'Reporte Componentes R1'!G114</x:f>
        <x:v>0</x:v>
      </x:c>
      <x:c r="F9" s="292">
        <x:f>'Reporte Componentes R1'!H114</x:f>
        <x:v>0</x:v>
      </x:c>
      <x:c r="G9" s="292">
        <x:f>'Reporte Componentes R1'!I114</x:f>
        <x:v>0</x:v>
      </x:c>
      <x:c r="H9" s="292">
        <x:f>'Reporte Componentes R1'!J114</x:f>
        <x:v>0</x:v>
      </x:c>
      <x:c r="I9" s="292">
        <x:f>'Reporte Componentes R1'!K114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R1'!L114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R1'!M114</x:f>
        <x:v>0</x:v>
      </x:c>
      <x:c r="V9" s="308">
        <x:f>'Reporte Componentes R1'!N114</x:f>
        <x:v>0</x:v>
      </x:c>
      <x:c r="W9" s="308">
        <x:f>'Reporte Componentes R1'!O114</x:f>
        <x:v>0</x:v>
      </x:c>
      <x:c r="X9" s="308">
        <x:f>'Reporte Componentes R1'!P114</x:f>
        <x:v>0</x:v>
      </x:c>
      <x:c r="Y9" s="309">
        <x:f>'Reporte Componentes R1'!Q114</x:f>
        <x:v>0</x:v>
      </x:c>
      <x:c r="Z9" s="310">
        <x:f>L9*-1</x:f>
        <x:v>0</x:v>
      </x:c>
      <x:c r="AA9" s="311">
        <x:f>'Reporte Componentes R1'!R114+'Reporte Componentes R1'!S114</x:f>
        <x:v>0</x:v>
      </x:c>
      <x:c r="AB9" s="294">
        <x:f>N9</x:f>
        <x:v>0</x:v>
      </x:c>
      <x:c r="AC9" s="311">
        <x:f>'Reporte Componentes R1'!Z114</x:f>
        <x:v>0</x:v>
      </x:c>
      <x:c r="AD9" s="291">
        <x:f>-J9+AE9</x:f>
        <x:v>0</x:v>
      </x:c>
      <x:c r="AE9" s="291">
        <x:f>'Reporte Componentes R1'!F115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R1'!F348</x:f>
        <x:v>0</x:v>
      </x:c>
      <x:c r="E10" s="292">
        <x:f>'Reporte Componentes R1'!G348</x:f>
        <x:v>0</x:v>
      </x:c>
      <x:c r="F10" s="292">
        <x:f>'Reporte Componentes R1'!H348</x:f>
        <x:v>0</x:v>
      </x:c>
      <x:c r="G10" s="292">
        <x:f>'Reporte Componentes R1'!I348</x:f>
        <x:v>0</x:v>
      </x:c>
      <x:c r="H10" s="292">
        <x:f>'Reporte Componentes R1'!J348</x:f>
        <x:v>0</x:v>
      </x:c>
      <x:c r="I10" s="292">
        <x:f>'Reporte Componentes R1'!K348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R1'!M348</x:f>
        <x:v>0</x:v>
      </x:c>
      <x:c r="V10" s="317">
        <x:f>'Reporte Componentes R1'!N348</x:f>
        <x:v>0</x:v>
      </x:c>
      <x:c r="W10" s="317">
        <x:f>'Reporte Componentes R1'!O348</x:f>
        <x:v>0</x:v>
      </x:c>
      <x:c r="X10" s="317">
        <x:f>'Reporte Componentes R1'!P348</x:f>
        <x:v>0</x:v>
      </x:c>
      <x:c r="Y10" s="318">
        <x:f>'Reporte Componentes R1'!Q348</x:f>
        <x:v>0</x:v>
      </x:c>
      <x:c r="Z10" s="319">
        <x:f>L10*-1</x:f>
        <x:v>0</x:v>
      </x:c>
      <x:c r="AA10" s="320">
        <x:f>'Reporte Componentes R1'!R348+'Reporte Componentes R1'!S348+'Reporte Componentes R1'!T348</x:f>
        <x:v>0</x:v>
      </x:c>
      <x:c r="AB10" s="294">
        <x:f>N10</x:f>
        <x:v>0</x:v>
      </x:c>
      <x:c r="AC10" s="320">
        <x:f>'Reporte Componentes R1'!Z348</x:f>
        <x:v>0</x:v>
      </x:c>
      <x:c r="AD10" s="291">
        <x:f t="shared" ref="AD10:AD13" si="2">-J10+AE10</x:f>
        <x:v>0</x:v>
      </x:c>
      <x:c r="AE10" s="291">
        <x:f>'Reporte Componentes R1'!F349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R1'!F509</x:f>
        <x:v>0</x:v>
      </x:c>
      <x:c r="E11" s="292">
        <x:f>'Reporte Componentes R1'!G509</x:f>
        <x:v>0</x:v>
      </x:c>
      <x:c r="F11" s="292">
        <x:f>'Reporte Componentes R1'!H509</x:f>
        <x:v>0</x:v>
      </x:c>
      <x:c r="G11" s="292">
        <x:f>'Reporte Componentes R1'!I509</x:f>
        <x:v>0</x:v>
      </x:c>
      <x:c r="H11" s="292">
        <x:f>'Reporte Componentes R1'!J509</x:f>
        <x:v>0</x:v>
      </x:c>
      <x:c r="I11" s="292">
        <x:f>'Reporte Componentes R1'!K509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R1'!M509</x:f>
        <x:v>0</x:v>
      </x:c>
      <x:c r="V11" s="317">
        <x:f>'Reporte Componentes R1'!N509</x:f>
        <x:v>0</x:v>
      </x:c>
      <x:c r="W11" s="317">
        <x:f>'Reporte Componentes R1'!O509</x:f>
        <x:v>0</x:v>
      </x:c>
      <x:c r="X11" s="317">
        <x:f>'Reporte Componentes R1'!P509</x:f>
        <x:v>0</x:v>
      </x:c>
      <x:c r="Y11" s="318">
        <x:f>'Reporte Componentes R1'!Q509</x:f>
        <x:v>0</x:v>
      </x:c>
      <x:c r="Z11" s="319">
        <x:f>L11*-1</x:f>
        <x:v>0</x:v>
      </x:c>
      <x:c r="AA11" s="320">
        <x:f>'Reporte Componentes R1'!R509+'Reporte Componentes R1'!S509+'Reporte Componentes R1'!T509</x:f>
        <x:v>0</x:v>
      </x:c>
      <x:c r="AB11" s="294">
        <x:f>N11</x:f>
        <x:v>0</x:v>
      </x:c>
      <x:c r="AC11" s="320">
        <x:f>'Reporte Componentes R1'!X509</x:f>
        <x:v>0</x:v>
      </x:c>
      <x:c r="AD11" s="291">
        <x:f t="shared" si="2"/>
        <x:v>0</x:v>
      </x:c>
      <x:c r="AE11" s="291">
        <x:f>'Reporte Componentes R1'!F510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R1'!F717</x:f>
        <x:v>0</x:v>
      </x:c>
      <x:c r="E12" s="292">
        <x:f>'Reporte Componentes R1'!G717</x:f>
        <x:v>0</x:v>
      </x:c>
      <x:c r="F12" s="292">
        <x:f>'Reporte Componentes R1'!H717</x:f>
        <x:v>0</x:v>
      </x:c>
      <x:c r="G12" s="292">
        <x:f>'Reporte Componentes R1'!I717</x:f>
        <x:v>0</x:v>
      </x:c>
      <x:c r="H12" s="292">
        <x:f>'Reporte Componentes R1'!J717</x:f>
        <x:v>0</x:v>
      </x:c>
      <x:c r="I12" s="292">
        <x:f>'Reporte Componentes R1'!K717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R1'!M717</x:f>
        <x:v>0</x:v>
      </x:c>
      <x:c r="V12" s="317">
        <x:f>'Reporte Componentes R1'!N717</x:f>
        <x:v>0</x:v>
      </x:c>
      <x:c r="W12" s="317">
        <x:f>'Reporte Componentes R1'!O717</x:f>
        <x:v>0</x:v>
      </x:c>
      <x:c r="X12" s="317">
        <x:f>'Reporte Componentes R1'!P717</x:f>
        <x:v>0</x:v>
      </x:c>
      <x:c r="Y12" s="318">
        <x:f>'Reporte Componentes R1'!Q717</x:f>
        <x:v>0</x:v>
      </x:c>
      <x:c r="Z12" s="319">
        <x:f>L12*-1</x:f>
        <x:v>0</x:v>
      </x:c>
      <x:c r="AA12" s="320">
        <x:f>'Reporte Componentes R1'!R717+'Reporte Componentes R1'!S717</x:f>
        <x:v>0</x:v>
      </x:c>
      <x:c r="AB12" s="294">
        <x:f>N12</x:f>
        <x:v>0</x:v>
      </x:c>
      <x:c r="AC12" s="320">
        <x:f>'Reporte Componentes R1'!X717</x:f>
        <x:v>0</x:v>
      </x:c>
      <x:c r="AD12" s="291">
        <x:f t="shared" si="2"/>
        <x:v>0</x:v>
      </x:c>
      <x:c r="AE12" s="291">
        <x:f>'Reporte Componentes R1'!F718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R1'!F836</x:f>
        <x:v>0</x:v>
      </x:c>
      <x:c r="E13" s="297">
        <x:f>'Reporte Componentes R1'!G836</x:f>
        <x:v>0</x:v>
      </x:c>
      <x:c r="F13" s="297">
        <x:f>'Reporte Componentes R1'!H836</x:f>
        <x:v>0</x:v>
      </x:c>
      <x:c r="G13" s="297">
        <x:f>'Reporte Componentes R1'!I836</x:f>
        <x:v>0</x:v>
      </x:c>
      <x:c r="H13" s="297">
        <x:f>'Reporte Componentes R1'!J836</x:f>
        <x:v>0</x:v>
      </x:c>
      <x:c r="I13" s="297">
        <x:f>'Reporte Componentes R1'!K836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R1'!M836</x:f>
        <x:v>0</x:v>
      </x:c>
      <x:c r="V13" s="297">
        <x:f>'Reporte Componentes R1'!N836</x:f>
        <x:v>0</x:v>
      </x:c>
      <x:c r="W13" s="297">
        <x:f>'Reporte Componentes R1'!O836</x:f>
        <x:v>0</x:v>
      </x:c>
      <x:c r="X13" s="297">
        <x:f>'Reporte Componentes R1'!P836</x:f>
        <x:v>0</x:v>
      </x:c>
      <x:c r="Y13" s="289">
        <x:f>'Reporte Componentes R1'!Q836</x:f>
        <x:v>0</x:v>
      </x:c>
      <x:c r="Z13" s="319">
        <x:f>L13*-1</x:f>
        <x:v>0</x:v>
      </x:c>
      <x:c r="AA13" s="320">
        <x:f>'Reporte Componentes R1'!R836+'Reporte Componentes R1'!S836+'Reporte Componentes R1'!T836</x:f>
        <x:v>0</x:v>
      </x:c>
      <x:c r="AB13" s="294">
        <x:f>N13</x:f>
        <x:v>0</x:v>
      </x:c>
      <x:c r="AC13" s="320">
        <x:f>'Reporte Componentes R1'!X836</x:f>
        <x:v>0</x:v>
      </x:c>
      <x:c r="AD13" s="291">
        <x:f t="shared" si="2"/>
        <x:v>0</x:v>
      </x:c>
      <x:c r="AE13" s="291">
        <x:f>'Reporte Componentes R1'!F837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R2'!E72</x:f>
        <x:v>0</x:v>
      </x:c>
      <x:c r="E28" s="292">
        <x:f>'Rem. Anticipos R2'!F72</x:f>
        <x:v>0</x:v>
      </x:c>
      <x:c r="F28" s="292">
        <x:f>'Rem. Anticipos R2'!G72</x:f>
        <x:v>0</x:v>
      </x:c>
      <x:c r="G28" s="292">
        <x:f>'Rem. Anticipos R2'!H72</x:f>
        <x:v>0</x:v>
      </x:c>
      <x:c r="H28" s="292">
        <x:f>'Rem. Anticipos R2'!I72</x:f>
        <x:v>0</x:v>
      </x:c>
      <x:c r="I28" s="292">
        <x:f>'Rem. Anticipos R2'!J72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R2'!K72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R2'!L72</x:f>
        <x:v>0</x:v>
      </x:c>
      <x:c r="V28" s="308">
        <x:f>'Rem. Anticipos R2'!M72</x:f>
        <x:v>0</x:v>
      </x:c>
      <x:c r="W28" s="308">
        <x:f>'Rem. Anticipos R2'!N72</x:f>
        <x:v>0</x:v>
      </x:c>
      <x:c r="X28" s="308">
        <x:f>'Rem. Anticipos R2'!O72</x:f>
        <x:v>0</x:v>
      </x:c>
      <x:c r="Y28" s="308">
        <x:f>'Rem. Anticipos R2'!P72</x:f>
        <x:v>0</x:v>
      </x:c>
      <x:c r="Z28" s="310">
        <x:f>L28*-1</x:f>
        <x:v>0</x:v>
      </x:c>
      <x:c r="AA28" s="311">
        <x:f>'Rem. Anticipos R2'!Q72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R2'!E73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R2'!E193</x:f>
        <x:v>0</x:v>
      </x:c>
      <x:c r="E29" s="292">
        <x:f>'Rem. Anticipos R2'!F193</x:f>
        <x:v>0</x:v>
      </x:c>
      <x:c r="F29" s="292">
        <x:f>'Rem. Anticipos R2'!G193</x:f>
        <x:v>0</x:v>
      </x:c>
      <x:c r="G29" s="292">
        <x:f>'Rem. Anticipos R2'!H193</x:f>
        <x:v>0</x:v>
      </x:c>
      <x:c r="H29" s="292">
        <x:f>'Rem. Anticipos R2'!I193</x:f>
        <x:v>0</x:v>
      </x:c>
      <x:c r="I29" s="292">
        <x:f>'Rem. Anticipos R2'!J193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R2'!K193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R2'!L193</x:f>
        <x:v>0</x:v>
      </x:c>
      <x:c r="V29" s="317">
        <x:f>'Rem. Anticipos R2'!M193</x:f>
        <x:v>0</x:v>
      </x:c>
      <x:c r="W29" s="317">
        <x:f>'Rem. Anticipos R2'!N193</x:f>
        <x:v>0</x:v>
      </x:c>
      <x:c r="X29" s="317">
        <x:f>'Rem. Anticipos R2'!O193</x:f>
        <x:v>0</x:v>
      </x:c>
      <x:c r="Y29" s="318">
        <x:f>'Rem. Anticipos R2'!P193</x:f>
        <x:v>0</x:v>
      </x:c>
      <x:c r="Z29" s="319">
        <x:f>L29*-1</x:f>
        <x:v>0</x:v>
      </x:c>
      <x:c r="AA29" s="320">
        <x:f>'Rem. Anticipos R2'!Q193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R2'!E194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R2'!E314</x:f>
        <x:v>0</x:v>
      </x:c>
      <x:c r="E30" s="292">
        <x:f>'Rem. Anticipos R2'!F314</x:f>
        <x:v>0</x:v>
      </x:c>
      <x:c r="F30" s="292">
        <x:f>'Rem. Anticipos R2'!G314</x:f>
        <x:v>0</x:v>
      </x:c>
      <x:c r="G30" s="292">
        <x:f>'Rem. Anticipos R2'!H314</x:f>
        <x:v>0</x:v>
      </x:c>
      <x:c r="H30" s="292">
        <x:f>'Rem. Anticipos R2'!I314</x:f>
        <x:v>0</x:v>
      </x:c>
      <x:c r="I30" s="292">
        <x:f>'Rem. Anticipos R2'!J314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R2'!L314</x:f>
        <x:v>0</x:v>
      </x:c>
      <x:c r="V30" s="317">
        <x:f>'Rem. Anticipos R2'!M314</x:f>
        <x:v>0</x:v>
      </x:c>
      <x:c r="W30" s="317">
        <x:f>'Rem. Anticipos R2'!N314</x:f>
        <x:v>0</x:v>
      </x:c>
      <x:c r="X30" s="317">
        <x:f>'Rem. Anticipos R2'!O314</x:f>
        <x:v>0</x:v>
      </x:c>
      <x:c r="Y30" s="318">
        <x:f>'Rem. Anticipos R2'!P314</x:f>
        <x:v>0</x:v>
      </x:c>
      <x:c r="Z30" s="319">
        <x:f>L30*-1</x:f>
        <x:v>0</x:v>
      </x:c>
      <x:c r="AA30" s="320">
        <x:f>'Rem. Anticipos R2'!Q314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R2'!E315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R2'!E438</x:f>
        <x:v>0</x:v>
      </x:c>
      <x:c r="E31" s="292">
        <x:f>'Rem. Anticipos R2'!F438</x:f>
        <x:v>0</x:v>
      </x:c>
      <x:c r="F31" s="292">
        <x:f>'Rem. Anticipos R2'!G438</x:f>
        <x:v>0</x:v>
      </x:c>
      <x:c r="G31" s="292">
        <x:f>'Rem. Anticipos R2'!H438</x:f>
        <x:v>0</x:v>
      </x:c>
      <x:c r="H31" s="292">
        <x:f>'Rem. Anticipos R2'!I438</x:f>
        <x:v>0</x:v>
      </x:c>
      <x:c r="I31" s="292">
        <x:f>'Rem. Anticipos R2'!J438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R2'!L438</x:f>
        <x:v>0</x:v>
      </x:c>
      <x:c r="V31" s="317">
        <x:f>'Rem. Anticipos R2'!M438</x:f>
        <x:v>0</x:v>
      </x:c>
      <x:c r="W31" s="317">
        <x:f>'Rem. Anticipos R2'!N438</x:f>
        <x:v>0</x:v>
      </x:c>
      <x:c r="X31" s="317">
        <x:f>'Rem. Anticipos R2'!O438</x:f>
        <x:v>0</x:v>
      </x:c>
      <x:c r="Y31" s="318">
        <x:f>'Rem. Anticipos R2'!P438</x:f>
        <x:v>0</x:v>
      </x:c>
      <x:c r="Z31" s="319">
        <x:f>L31*-1</x:f>
        <x:v>0</x:v>
      </x:c>
      <x:c r="AA31" s="320">
        <x:f>'Rem. Anticipos R2'!Q438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R2'!E439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R2'!E525</x:f>
        <x:v>0</x:v>
      </x:c>
      <x:c r="E32" s="297">
        <x:f>'Rem. Anticipos R2'!F525</x:f>
        <x:v>0</x:v>
      </x:c>
      <x:c r="F32" s="297">
        <x:f>'Rem. Anticipos R2'!G525</x:f>
        <x:v>0</x:v>
      </x:c>
      <x:c r="G32" s="297">
        <x:f>'Rem. Anticipos R2'!H525</x:f>
        <x:v>0</x:v>
      </x:c>
      <x:c r="H32" s="297">
        <x:f>'Rem. Anticipos R2'!I525</x:f>
        <x:v>0</x:v>
      </x:c>
      <x:c r="I32" s="297">
        <x:f>'Rem. Anticipos R2'!J525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R2'!K525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R2'!L525</x:f>
        <x:v>0</x:v>
      </x:c>
      <x:c r="V32" s="297">
        <x:f>'Rem. Anticipos R2'!M525</x:f>
        <x:v>0</x:v>
      </x:c>
      <x:c r="W32" s="297">
        <x:f>'Rem. Anticipos R2'!N525</x:f>
        <x:v>0</x:v>
      </x:c>
      <x:c r="X32" s="297">
        <x:f>'Rem. Anticipos R2'!O525</x:f>
        <x:v>0</x:v>
      </x:c>
      <x:c r="Y32" s="289">
        <x:f>'Rem. Anticipos R2'!P525</x:f>
        <x:v>0</x:v>
      </x:c>
      <x:c r="Z32" s="319">
        <x:f>L32*-1</x:f>
        <x:v>0</x:v>
      </x:c>
      <x:c r="AA32" s="320">
        <x:f>'Rem. Anticipos R2'!Q525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R2'!E526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R1'!F116</x:f>
        <x:v>0</x:v>
      </x:c>
      <x:c r="E47" s="292">
        <x:f>'Reporte Componentes R1'!G116</x:f>
        <x:v>0</x:v>
      </x:c>
      <x:c r="F47" s="292">
        <x:f>'Reporte Componentes R1'!H116</x:f>
        <x:v>0</x:v>
      </x:c>
      <x:c r="G47" s="292">
        <x:f>'Reporte Componentes R1'!I116</x:f>
        <x:v>0</x:v>
      </x:c>
      <x:c r="H47" s="292">
        <x:f>'Reporte Componentes R1'!J116</x:f>
        <x:v>0</x:v>
      </x:c>
      <x:c r="I47" s="292">
        <x:f>'Reporte Componentes R1'!K116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R1'!M116</x:f>
        <x:v>0</x:v>
      </x:c>
      <x:c r="V47" s="308">
        <x:f>'Reporte Componentes R1'!N116</x:f>
        <x:v>0</x:v>
      </x:c>
      <x:c r="W47" s="308">
        <x:f>'Reporte Componentes R1'!O116</x:f>
        <x:v>0</x:v>
      </x:c>
      <x:c r="X47" s="308">
        <x:f>'Reporte Componentes R1'!P116</x:f>
        <x:v>0</x:v>
      </x:c>
      <x:c r="Y47" s="309">
        <x:f>'Reporte Componentes R1'!Q116</x:f>
        <x:v>0</x:v>
      </x:c>
      <x:c r="Z47" s="310">
        <x:f>-L47</x:f>
        <x:v>0</x:v>
      </x:c>
      <x:c r="AA47" s="311">
        <x:f>'Reporte Componentes R1'!R116+'Reporte Componentes R1'!S116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R1'!F117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R1'!F350</x:f>
        <x:v>0</x:v>
      </x:c>
      <x:c r="E48" s="292">
        <x:f>'Reporte Componentes R1'!G350</x:f>
        <x:v>0</x:v>
      </x:c>
      <x:c r="F48" s="292">
        <x:f>'Reporte Componentes R1'!H350</x:f>
        <x:v>0</x:v>
      </x:c>
      <x:c r="G48" s="292">
        <x:f>'Reporte Componentes R1'!I350</x:f>
        <x:v>0</x:v>
      </x:c>
      <x:c r="H48" s="292">
        <x:f>'Reporte Componentes R1'!J350</x:f>
        <x:v>0</x:v>
      </x:c>
      <x:c r="I48" s="292">
        <x:f>'Reporte Componentes R1'!K350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R1'!L350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R1'!M350</x:f>
        <x:v>0</x:v>
      </x:c>
      <x:c r="V48" s="317">
        <x:f>'Reporte Componentes R1'!N350</x:f>
        <x:v>0</x:v>
      </x:c>
      <x:c r="W48" s="317">
        <x:f>'Reporte Componentes R1'!O350</x:f>
        <x:v>0</x:v>
      </x:c>
      <x:c r="X48" s="317">
        <x:f>'Reporte Componentes R1'!P350</x:f>
        <x:v>0</x:v>
      </x:c>
      <x:c r="Y48" s="318">
        <x:f>'Reporte Componentes R1'!Q350</x:f>
        <x:v>0</x:v>
      </x:c>
      <x:c r="Z48" s="319">
        <x:f>-L48</x:f>
        <x:v>0</x:v>
      </x:c>
      <x:c r="AA48" s="320">
        <x:f>'Reporte Componentes R1'!R350+'Reporte Componentes R1'!S350+'Reporte Componentes R1'!T350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R1'!F351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R1'!F511</x:f>
        <x:v>0</x:v>
      </x:c>
      <x:c r="E49" s="292">
        <x:f>'Reporte Componentes R1'!G511</x:f>
        <x:v>0</x:v>
      </x:c>
      <x:c r="F49" s="292">
        <x:f>'Reporte Componentes R1'!H511</x:f>
        <x:v>0</x:v>
      </x:c>
      <x:c r="G49" s="292">
        <x:f>'Reporte Componentes R1'!I511</x:f>
        <x:v>0</x:v>
      </x:c>
      <x:c r="H49" s="292">
        <x:f>'Reporte Componentes R1'!J511</x:f>
        <x:v>0</x:v>
      </x:c>
      <x:c r="I49" s="292">
        <x:f>'Reporte Componentes R1'!K511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R1'!L511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R1'!M511</x:f>
        <x:v>0</x:v>
      </x:c>
      <x:c r="V49" s="317">
        <x:f>'Reporte Componentes R1'!N511</x:f>
        <x:v>0</x:v>
      </x:c>
      <x:c r="W49" s="317">
        <x:f>'Reporte Componentes R1'!O511</x:f>
        <x:v>0</x:v>
      </x:c>
      <x:c r="X49" s="317">
        <x:f>'Reporte Componentes R1'!P511</x:f>
        <x:v>0</x:v>
      </x:c>
      <x:c r="Y49" s="318">
        <x:f>'Reporte Componentes R1'!Q511</x:f>
        <x:v>0</x:v>
      </x:c>
      <x:c r="Z49" s="319">
        <x:f>-L49</x:f>
        <x:v>0</x:v>
      </x:c>
      <x:c r="AA49" s="320">
        <x:f>'Reporte Componentes R1'!R511+'Reporte Componentes R1'!S511+'Reporte Componentes R1'!T511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R1'!F512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R1'!F719</x:f>
        <x:v>0</x:v>
      </x:c>
      <x:c r="E50" s="292">
        <x:f>'Reporte Componentes R1'!G719</x:f>
        <x:v>0</x:v>
      </x:c>
      <x:c r="F50" s="292">
        <x:f>'Reporte Componentes R1'!H719</x:f>
        <x:v>0</x:v>
      </x:c>
      <x:c r="G50" s="292">
        <x:f>'Reporte Componentes R1'!I719</x:f>
        <x:v>0</x:v>
      </x:c>
      <x:c r="H50" s="292">
        <x:f>'Reporte Componentes R1'!J719</x:f>
        <x:v>0</x:v>
      </x:c>
      <x:c r="I50" s="292">
        <x:f>'Reporte Componentes R1'!K719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R1'!M719</x:f>
        <x:v>0</x:v>
      </x:c>
      <x:c r="V50" s="317">
        <x:f>'Reporte Componentes R1'!N719</x:f>
        <x:v>0</x:v>
      </x:c>
      <x:c r="W50" s="317">
        <x:f>'Reporte Componentes R1'!O719</x:f>
        <x:v>0</x:v>
      </x:c>
      <x:c r="X50" s="317">
        <x:f>'Reporte Componentes R1'!P719</x:f>
        <x:v>0</x:v>
      </x:c>
      <x:c r="Y50" s="318">
        <x:f>'Reporte Componentes R1'!Q719</x:f>
        <x:v>0</x:v>
      </x:c>
      <x:c r="Z50" s="319">
        <x:f>-L50</x:f>
        <x:v>0</x:v>
      </x:c>
      <x:c r="AA50" s="320">
        <x:f>'Reporte Componentes R1'!R719+'Reporte Componentes R1'!S719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R1'!F720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R1'!F838</x:f>
        <x:v>0</x:v>
      </x:c>
      <x:c r="E51" s="297">
        <x:f>'Reporte Componentes R1'!G838</x:f>
        <x:v>0</x:v>
      </x:c>
      <x:c r="F51" s="297">
        <x:f>'Reporte Componentes R1'!H838</x:f>
        <x:v>0</x:v>
      </x:c>
      <x:c r="G51" s="297">
        <x:f>'Reporte Componentes R1'!I838</x:f>
        <x:v>0</x:v>
      </x:c>
      <x:c r="H51" s="297">
        <x:f>'Reporte Componentes R1'!J838</x:f>
        <x:v>0</x:v>
      </x:c>
      <x:c r="I51" s="297">
        <x:f>'Reporte Componentes R1'!K838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R1'!M838</x:f>
        <x:v>0</x:v>
      </x:c>
      <x:c r="V51" s="297">
        <x:f>'Reporte Componentes R1'!N838</x:f>
        <x:v>0</x:v>
      </x:c>
      <x:c r="W51" s="297">
        <x:f>'Reporte Componentes R1'!O838</x:f>
        <x:v>0</x:v>
      </x:c>
      <x:c r="X51" s="297">
        <x:f>'Reporte Componentes R1'!P838</x:f>
        <x:v>0</x:v>
      </x:c>
      <x:c r="Y51" s="289">
        <x:f>'Reporte Componentes R1'!Q838</x:f>
        <x:v>0</x:v>
      </x:c>
      <x:c r="Z51" s="319">
        <x:f>-L51</x:f>
        <x:v>0</x:v>
      </x:c>
      <x:c r="AA51" s="320">
        <x:f>'Reporte Componentes R1'!R838+'Reporte Componentes R1'!S838+'Reporte Componentes R1'!T838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R1'!F839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R4'!D94</x:f>
        <x:v>0</x:v>
      </x:c>
      <x:c r="E66" s="292">
        <x:f>'Reversion Pagos R4'!E94</x:f>
        <x:v>0</x:v>
      </x:c>
      <x:c r="F66" s="292">
        <x:f>'Reversion Pagos R4'!F94</x:f>
        <x:v>0</x:v>
      </x:c>
      <x:c r="G66" s="292">
        <x:f>'Reversion Pagos R4'!G94</x:f>
        <x:v>0</x:v>
      </x:c>
      <x:c r="H66" s="292">
        <x:f>'Reversion Pagos R4'!H94</x:f>
        <x:v>0</x:v>
      </x:c>
      <x:c r="I66" s="292">
        <x:f>'Reversion Pagos R4'!I94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R4'!P94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R4'!J94</x:f>
        <x:v>0</x:v>
      </x:c>
      <x:c r="V66" s="308">
        <x:f>'Reversion Pagos R4'!K94</x:f>
        <x:v>0</x:v>
      </x:c>
      <x:c r="W66" s="308">
        <x:f>'Reversion Pagos R4'!L94</x:f>
        <x:v>0</x:v>
      </x:c>
      <x:c r="X66" s="308">
        <x:f>'Reversion Pagos R4'!M94</x:f>
        <x:v>0</x:v>
      </x:c>
      <x:c r="Y66" s="308">
        <x:f>'Reversion Pagos R4'!N94</x:f>
        <x:v>0</x:v>
      </x:c>
      <x:c r="Z66" s="310">
        <x:f>-L66</x:f>
        <x:v>0</x:v>
      </x:c>
      <x:c r="AA66" s="311">
        <x:f>'Reversion Pagos R4'!O94+'Reversion Pagos R4'!Q94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R4'!D95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R4'!D195</x:f>
        <x:v>0</x:v>
      </x:c>
      <x:c r="E67" s="292">
        <x:f>'Reversion Pagos R4'!E195</x:f>
        <x:v>0</x:v>
      </x:c>
      <x:c r="F67" s="292">
        <x:f>'Reversion Pagos R4'!F195</x:f>
        <x:v>0</x:v>
      </x:c>
      <x:c r="G67" s="292">
        <x:f>'Reversion Pagos R4'!G195</x:f>
        <x:v>0</x:v>
      </x:c>
      <x:c r="H67" s="292">
        <x:f>'Reversion Pagos R4'!H195</x:f>
        <x:v>0</x:v>
      </x:c>
      <x:c r="I67" s="292">
        <x:f>'Reversion Pagos R4'!I195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R4'!P195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R4'!J195</x:f>
        <x:v>0</x:v>
      </x:c>
      <x:c r="V67" s="317">
        <x:f>'Reversion Pagos R4'!K195</x:f>
        <x:v>0</x:v>
      </x:c>
      <x:c r="W67" s="317">
        <x:f>'Reversion Pagos R4'!L195</x:f>
        <x:v>0</x:v>
      </x:c>
      <x:c r="X67" s="317">
        <x:f>'Reversion Pagos R4'!M195</x:f>
        <x:v>0</x:v>
      </x:c>
      <x:c r="Y67" s="318">
        <x:f>'Reversion Pagos R4'!N195</x:f>
        <x:v>0</x:v>
      </x:c>
      <x:c r="Z67" s="319">
        <x:f t="shared" ref="Z67:Z70" si="26">-L67</x:f>
        <x:v>0</x:v>
      </x:c>
      <x:c r="AA67" s="320">
        <x:f>'Reversion Pagos R4'!O195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R4'!D196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R4'!D232</x:f>
        <x:v>0</x:v>
      </x:c>
      <x:c r="E68" s="292">
        <x:f>'Reversion Pagos R4'!E232</x:f>
        <x:v>0</x:v>
      </x:c>
      <x:c r="F68" s="292">
        <x:f>'Reversion Pagos R4'!F232</x:f>
        <x:v>0</x:v>
      </x:c>
      <x:c r="G68" s="292">
        <x:f>'Reversion Pagos R4'!G232</x:f>
        <x:v>0</x:v>
      </x:c>
      <x:c r="H68" s="292">
        <x:f>'Reversion Pagos R4'!H232</x:f>
        <x:v>0</x:v>
      </x:c>
      <x:c r="I68" s="292">
        <x:f>'Reversion Pagos R4'!I232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R4'!P232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R4'!J232</x:f>
        <x:v>0</x:v>
      </x:c>
      <x:c r="V68" s="317">
        <x:f>'Reversion Pagos R4'!K232</x:f>
        <x:v>0</x:v>
      </x:c>
      <x:c r="W68" s="317">
        <x:f>'Reversion Pagos R4'!L232</x:f>
        <x:v>0</x:v>
      </x:c>
      <x:c r="X68" s="317">
        <x:f>'Reversion Pagos R4'!M232</x:f>
        <x:v>0</x:v>
      </x:c>
      <x:c r="Y68" s="318">
        <x:f>'Reversion Pagos R4'!N232</x:f>
        <x:v>0</x:v>
      </x:c>
      <x:c r="Z68" s="319">
        <x:f t="shared" si="26"/>
        <x:v>0</x:v>
      </x:c>
      <x:c r="AA68" s="320">
        <x:f>'Reversion Pagos R4'!O232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R4'!D233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R4'!D347</x:f>
        <x:v>0</x:v>
      </x:c>
      <x:c r="E69" s="292">
        <x:f>'Reversion Pagos R4'!E347</x:f>
        <x:v>0</x:v>
      </x:c>
      <x:c r="F69" s="292">
        <x:f>'Reversion Pagos R4'!F347</x:f>
        <x:v>0</x:v>
      </x:c>
      <x:c r="G69" s="292">
        <x:f>'Reversion Pagos R4'!G347</x:f>
        <x:v>0</x:v>
      </x:c>
      <x:c r="H69" s="292">
        <x:f>'Reversion Pagos R4'!H347</x:f>
        <x:v>0</x:v>
      </x:c>
      <x:c r="I69" s="292">
        <x:f>'Reversion Pagos R4'!I347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R4'!P347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R4'!J347</x:f>
        <x:v>0</x:v>
      </x:c>
      <x:c r="V69" s="317">
        <x:f>'Reversion Pagos R4'!K347</x:f>
        <x:v>0</x:v>
      </x:c>
      <x:c r="W69" s="317">
        <x:f>'Reversion Pagos R4'!L347</x:f>
        <x:v>0</x:v>
      </x:c>
      <x:c r="X69" s="317">
        <x:f>'Reversion Pagos R4'!M347</x:f>
        <x:v>0</x:v>
      </x:c>
      <x:c r="Y69" s="318">
        <x:f>'Reversion Pagos R4'!N347</x:f>
        <x:v>0</x:v>
      </x:c>
      <x:c r="Z69" s="319">
        <x:f t="shared" si="26"/>
        <x:v>0</x:v>
      </x:c>
      <x:c r="AA69" s="320">
        <x:f>'Reversion Pagos R4'!O347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R4'!D348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R4'!D388</x:f>
        <x:v>0</x:v>
      </x:c>
      <x:c r="E70" s="297">
        <x:f>'Reversion Pagos R4'!E388</x:f>
        <x:v>0</x:v>
      </x:c>
      <x:c r="F70" s="297">
        <x:f>'Reversion Pagos R4'!F388</x:f>
        <x:v>0</x:v>
      </x:c>
      <x:c r="G70" s="297">
        <x:f>'Reversion Pagos R4'!G388</x:f>
        <x:v>0</x:v>
      </x:c>
      <x:c r="H70" s="297">
        <x:f>'Reversion Pagos R4'!H388</x:f>
        <x:v>0</x:v>
      </x:c>
      <x:c r="I70" s="297">
        <x:f>'Reversion Pagos R4'!I388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R4'!P388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R4'!J388</x:f>
        <x:v>0</x:v>
      </x:c>
      <x:c r="V70" s="297">
        <x:f>'Reversion Pagos R4'!K388</x:f>
        <x:v>0</x:v>
      </x:c>
      <x:c r="W70" s="297">
        <x:f>'Reversion Pagos R4'!L388</x:f>
        <x:v>0</x:v>
      </x:c>
      <x:c r="X70" s="297">
        <x:f>'Reversion Pagos R4'!M388</x:f>
        <x:v>0</x:v>
      </x:c>
      <x:c r="Y70" s="289">
        <x:f>'Reversion Pagos R4'!N388</x:f>
        <x:v>0</x:v>
      </x:c>
      <x:c r="Z70" s="319">
        <x:f t="shared" si="26"/>
        <x:v>0</x:v>
      </x:c>
      <x:c r="AA70" s="320">
        <x:f>'Reversion Pagos R4'!O388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R4'!D389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2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2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2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2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2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75" thickBot="1" x14ac:dyDescent="0.2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75" thickBot="1" x14ac:dyDescent="0.2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03" t="s">
        <x:v>1</x:v>
      </x:c>
    </x:row>
    <x:row r="14" spans="2:16" x14ac:dyDescent="0.2">
      <x:c r="C14" s="245">
        <x:f>'Valida - Control Recaudo'!E3+'Valida - Control Recaudo'!E5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2026092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2026092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2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2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2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2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2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75" thickBot="1" x14ac:dyDescent="0.2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75" thickBot="1" x14ac:dyDescent="0.2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2">
      <x:c r="B37" s="2"/>
      <x:c r="C37" s="2"/>
      <x:c r="D37" s="24"/>
      <x:c r="Q37" s="4"/>
      <x:c r="AI37" s="305"/>
    </x:row>
    <x:row r="38" spans="1:35" x14ac:dyDescent="0.2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20" customFormat="1" ht="12.75" x14ac:dyDescent="0.2"/>
    <x:row r="2" spans="2:20" customFormat="1" ht="12.75" x14ac:dyDescent="0.2">
      <x:c r="T2" s="142" t="s">
        <x:v>329</x:v>
      </x:c>
    </x:row>
    <x:row r="3" spans="2:20" customFormat="1" x14ac:dyDescent="0.2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">
      <x:c r="F4" s="660" t="s">
        <x:v>29</x:v>
      </x:c>
    </x:row>
    <x:row r="5" spans="2:20" customFormat="1" x14ac:dyDescent="0.2">
      <x:c r="F5" s="660" t="s">
        <x:v>228</x:v>
      </x:c>
    </x:row>
    <x:row r="6" spans="2:20" customFormat="1" x14ac:dyDescent="0.2">
      <x:c r="C6" s="660" t="s">
        <x:v>229</x:v>
      </x:c>
      <x:c r="D6" s="660" t="inlineStr">
        <x:is>
          <x:t>02/10/2026</x:t>
        </x:is>
      </x:c>
      <x:c r="F6" s="660" t="s">
        <x:v>230</x:v>
      </x:c>
    </x:row>
    <x:row r="7" spans="2:20" customFormat="1" x14ac:dyDescent="0.2">
      <x:c r="C7" s="660" t="s">
        <x:v>231</x:v>
      </x:c>
      <x:c r="D7" s="660" t="inlineStr">
        <x:is>
          <x:t>10:43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5" x14ac:dyDescent="0.2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2.75" x14ac:dyDescent="0.2">
      <x:c r="B9" s="641" t="s">
        <x:v>115</x:v>
      </x:c>
      <x:c r="C9" s="641" t="s">
        <x:v>10</x:v>
      </x:c>
      <x:c r="D9" s="642" t="n">
        <x:v>16057292250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-4501501560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2.75" x14ac:dyDescent="0.2">
      <x:c r="B10" s="641" t="s">
        <x:v>116</x:v>
      </x:c>
      <x:c r="C10" s="641" t="s">
        <x:v>11</x:v>
      </x:c>
      <x:c r="D10" s="642" t="n">
        <x:v>22321351879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-3550307908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2.75" x14ac:dyDescent="0.2">
      <x:c r="B11" s="641" t="s">
        <x:v>117</x:v>
      </x:c>
      <x:c r="C11" s="641" t="s">
        <x:v>246</x:v>
      </x:c>
      <x:c r="D11" s="642" t="n">
        <x:v>15232768360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-750589760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2.75" x14ac:dyDescent="0.2">
      <x:c r="B12" s="641" t="s">
        <x:v>247</x:v>
      </x:c>
      <x:c r="C12" s="641" t="s">
        <x:v>13</x:v>
      </x:c>
      <x:c r="D12" s="642" t="n">
        <x:v>7675362502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-714140939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2.75" x14ac:dyDescent="0.2">
      <x:c r="B13" s="641" t="s">
        <x:v>118</x:v>
      </x:c>
      <x:c r="C13" s="641" t="s">
        <x:v>14</x:v>
      </x:c>
      <x:c r="D13" s="642" t="n">
        <x:v>12354444480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-98238892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2.75" x14ac:dyDescent="0.2">
      <x:c r="B14" s="641" t="s">
        <x:v>248</x:v>
      </x:c>
      <x:c r="C14" s="641" t="s">
        <x:v>70</x:v>
      </x:c>
      <x:c r="D14" s="642" t="n">
        <x:v>73641219471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 t="n">
        <x:v>-9614779059</x:v>
      </x:c>
      <x:c r="K14" s="642">
        <x:v>0</x:v>
      </x:c>
      <x:c r="L14" s="642" t="n">
        <x:v>859936309</x:v>
      </x:c>
      <x:c r="M14" s="642">
        <x:v>0</x:v>
      </x:c>
      <x:c r="N14" s="642">
        <x:v>0</x:v>
      </x:c>
      <x:c r="O14" s="642">
        <x:v>0</x:v>
      </x:c>
    </x:row>
    <x:row r="15" spans="2:20" customFormat="1" ht="12.75" x14ac:dyDescent="0.2"/>
    <x:row r="16" spans="2:20" customFormat="1" ht="12.75" x14ac:dyDescent="0.2">
      <x:c r="C16" s="662" t="s">
        <x:v>323</x:v>
      </x:c>
    </x:row>
    <x:row r="18" spans="2:15" x14ac:dyDescent="0.25">
      <x:c r="E18" s="611" t="s">
        <x:v>249</x:v>
      </x:c>
    </x:row>
    <x:row r="19" spans="2:15" x14ac:dyDescent="0.25">
      <x:c r="F19" s="611" t="s">
        <x:v>25</x:v>
      </x:c>
    </x:row>
    <x:row r="22" spans="2:15" ht="36" x14ac:dyDescent="0.25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25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25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25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25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25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25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25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25">
      <x:c r="B32" s="610" t="s">
        <x:v>115</x:v>
      </x:c>
      <x:c r="C32" s="338" t="s">
        <x:v>10</x:v>
      </x:c>
      <x:c r="D32" s="651" t="b">
        <x:f>+D23+'Reporte Componentes R1'!F89+'Rem. Anticipos R2'!E57+'Reversion Pagos R4'!D79+'Reporte Componentes R1'!F91+'AJUSTES - SF-T'!D47=D9</x:f>
        <x:v>1</x:v>
      </x:c>
      <x:c r="E32" s="651" t="b">
        <x:f>+E23+'Reporte Componentes R1'!G89+'Rem. Anticipos R2'!F57+'Reversion Pagos R4'!E79+'Reporte Componentes R1'!G91+'AJUSTES - SF-T'!E47=E9</x:f>
        <x:v>1</x:v>
      </x:c>
      <x:c r="F32" s="651" t="b">
        <x:f>+F23+'Reporte Componentes R1'!H89+'Rem. Anticipos R2'!G57+'Reversion Pagos R4'!F79+'Reporte Componentes R1'!H91+'AJUSTES - SF-T'!F47=F9</x:f>
        <x:v>1</x:v>
      </x:c>
      <x:c r="G32" s="651" t="b">
        <x:f>+G23+'Reporte Componentes R1'!I89+'Rem. Anticipos R2'!H57+'Reversion Pagos R4'!G79+'Reporte Componentes R1'!I91+'AJUSTES - SF-T'!G47=G9</x:f>
        <x:v>1</x:v>
      </x:c>
      <x:c r="H32" s="651" t="b">
        <x:f>+H23+'Reporte Componentes R1'!J89+'Rem. Anticipos R2'!I57+'Reversion Pagos R4'!H79+'Reporte Componentes R1'!J91+'AJUSTES - SF-T'!H47=H9</x:f>
        <x:v>1</x:v>
      </x:c>
      <x:c r="I32" s="651" t="b">
        <x:f>+I23+'Reporte Componentes R1'!K89+'Rem. Anticipos R2'!J57+'Reversion Pagos R4'!I79+'Reporte Componentes R1'!K91+'AJUSTES - SF-T'!I47=I9</x:f>
        <x:v>1</x:v>
      </x:c>
      <x:c r="J32" s="651" t="b">
        <x:f>+'BCE SC POR FACT.'!F3+J23=J9</x:f>
        <x:v>1</x:v>
      </x:c>
      <x:c r="K32" s="651" t="b">
        <x: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x:f>
        <x:v>1</x:v>
      </x:c>
      <x:c r="N32" s="648" t="b">
        <x:f>'Reporte Componentes R1'!L89+'Rem. Anticipos R2'!K57+'Reversion Pagos R4'!P79+'Reporte Componentes R1'!L91+N23=N9</x:f>
        <x:v>1</x:v>
      </x:c>
      <x:c r="O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FACT.'!F3))-INTERVENTORIA!M26))+'Reporte Componentes R1'!L89+'Rem. Anticipos R2'!K57+'Reversion Pagos R4'!P79+'Reporte Componentes R1'!L91+O23+'AJUSTES - SF-T'!O47=O9</x:f>
        <x:v>1</x:v>
      </x:c>
    </x:row>
    <x:row r="33" spans="2:15" x14ac:dyDescent="0.25">
      <x:c r="B33" s="610" t="s">
        <x:v>116</x:v>
      </x:c>
      <x:c r="C33" s="338" t="s">
        <x:v>11</x:v>
      </x:c>
      <x:c r="D33" s="651" t="b">
        <x:f>+D24+'Reporte Componentes R1'!F323+'Rem. Anticipos R2'!E178+'Reversion Pagos R4'!D180+'Reporte Componentes R1'!F325+'AJUSTES - SF-T'!D48=D10</x:f>
        <x:v>1</x:v>
      </x:c>
      <x:c r="E33" s="651" t="b">
        <x:f>+E24+'Reporte Componentes R1'!G323+'Rem. Anticipos R2'!F178+'Reversion Pagos R4'!E180+'Reporte Componentes R1'!G325+'AJUSTES - SF-T'!E48=E10</x:f>
        <x:v>1</x:v>
      </x:c>
      <x:c r="F33" s="651" t="b">
        <x:f>+F24+'Reporte Componentes R1'!H323+'Rem. Anticipos R2'!G178+'Reversion Pagos R4'!F180+'Reporte Componentes R1'!H325+'AJUSTES - SF-T'!F48=F10</x:f>
        <x:v>1</x:v>
      </x:c>
      <x:c r="G33" s="651" t="b">
        <x:f>+G24+'Reporte Componentes R1'!I323+'Rem. Anticipos R2'!H178+'Reversion Pagos R4'!G180+'Reporte Componentes R1'!I325+'AJUSTES - SF-T'!G48=G10</x:f>
        <x:v>1</x:v>
      </x:c>
      <x:c r="H33" s="651" t="b">
        <x:f>+H24+'Reporte Componentes R1'!J323+'Rem. Anticipos R2'!I178+'Reversion Pagos R4'!H180+'Reporte Componentes R1'!J325+'AJUSTES - SF-T'!H48=H10</x:f>
        <x:v>1</x:v>
      </x:c>
      <x:c r="I33" s="651" t="b">
        <x:f>+I24+'Reporte Componentes R1'!K323+'Rem. Anticipos R2'!J178+'Reversion Pagos R4'!I180+'Reporte Componentes R1'!K325+'AJUSTES - SF-T'!I48=I10</x:f>
        <x:v>1</x:v>
      </x:c>
      <x:c r="J33" s="651" t="b">
        <x:f>+'BCE SC POR FACT.'!F4+J24=J10</x:f>
        <x:v>1</x:v>
      </x:c>
      <x:c r="K33" s="648" t="b">
        <x: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x:f>
        <x:v>1</x:v>
      </x:c>
      <x:c r="N33" s="648" t="b">
        <x:f>+'Reporte Componentes R1'!L323+'Rem. Anticipos R2'!K178+'Reversion Pagos R4'!P180+'Reporte Componentes R1'!L325+N24=N10</x:f>
        <x:v>1</x:v>
      </x:c>
      <x:c r="O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FACT.'!F4)))-INTERVENTORIA!M27)+O24+'Reporte Componentes R1'!L323+'Rem. Anticipos R2'!K178+'Reversion Pagos R4'!P180+'Reporte Componentes R1'!L325+'AJUSTES - SF-T'!O48=O10</x:f>
        <x:v>1</x:v>
      </x:c>
    </x:row>
    <x:row r="34" spans="2:15" x14ac:dyDescent="0.25">
      <x:c r="B34" s="610" t="s">
        <x:v>117</x:v>
      </x:c>
      <x:c r="C34" s="338" t="s">
        <x:v>12</x:v>
      </x:c>
      <x:c r="D34" s="651" t="b">
        <x:f>+'Reporte Componentes R1'!F484+'Reporte Componentes R1'!F486+'Rem. Anticipos R2'!E299+'Reversion Pagos R4'!D217+D25+'AJUSTES - SF-T'!D49=D11</x:f>
        <x:v>1</x:v>
      </x:c>
      <x:c r="E34" s="651" t="b">
        <x:f>+'Reporte Componentes R1'!G484+'Reporte Componentes R1'!G486+'Rem. Anticipos R2'!F299+'Reversion Pagos R4'!E217+E25+'AJUSTES - SF-T'!E49=E11</x:f>
        <x:v>1</x:v>
      </x:c>
      <x:c r="F34" s="651" t="b">
        <x:f>+'Reporte Componentes R1'!H484+'Reporte Componentes R1'!H486+'Rem. Anticipos R2'!G299+'Reversion Pagos R4'!F217+F25+'AJUSTES - SF-T'!F49=F11</x:f>
        <x:v>1</x:v>
      </x:c>
      <x:c r="G34" s="651" t="b">
        <x:f>+'Reporte Componentes R1'!I484+'Reporte Componentes R1'!I486+'Rem. Anticipos R2'!H299+'Reversion Pagos R4'!G217+G25+'AJUSTES - SF-T'!G49=G11</x:f>
        <x:v>1</x:v>
      </x:c>
      <x:c r="H34" s="651" t="b">
        <x:f>+'Reporte Componentes R1'!J484+'Reporte Componentes R1'!J486+'Rem. Anticipos R2'!I299+'Reversion Pagos R4'!H217+H25+'AJUSTES - SF-T'!H49=H11</x:f>
        <x:v>1</x:v>
      </x:c>
      <x:c r="I34" s="651" t="b">
        <x:f>+'Reporte Componentes R1'!K484+'Reporte Componentes R1'!K486+'Rem. Anticipos R2'!J299+'Reversion Pagos R4'!I217+I25+'AJUSTES - SF-T'!I49=I11</x:f>
        <x:v>1</x:v>
      </x:c>
      <x:c r="J34" s="651" t="b">
        <x:f>+'BCE SC POR FACT.'!F5+J25=J11</x:f>
        <x:v>1</x:v>
      </x:c>
      <x:c r="K34" s="648" t="b">
        <x: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x:f>
        <x:v>1</x:v>
      </x:c>
      <x:c r="N34" s="648" t="b">
        <x:f>+'Reporte Componentes R1'!L484+'Reporte Componentes R1'!L486+'Rem. Anticipos R2'!K299+'Reversion Pagos R4'!P217+N25=N11</x:f>
        <x:v>1</x:v>
      </x:c>
      <x:c r="O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FACT.'!F5)))-INTERVENTORIA!M28)++'Reporte Componentes R1'!L484+'Reporte Componentes R1'!L486+'Rem. Anticipos R2'!K299+'Reversion Pagos R4'!P217+O25+'AJUSTES - SF-T'!O49=O11</x:f>
        <x:v>1</x:v>
      </x:c>
    </x:row>
    <x:row r="35" spans="2:15" x14ac:dyDescent="0.25">
      <x:c r="B35" s="610" t="s">
        <x:v>247</x:v>
      </x:c>
      <x:c r="C35" s="338" t="s">
        <x:v>13</x:v>
      </x:c>
      <x:c r="D35" s="651" t="b">
        <x:f>+'Reporte Componentes R1'!F692+'Reporte Componentes R1'!F694+'Rem. Anticipos R2'!E423+'Reversion Pagos R4'!D332+D26+'AJUSTES - SF-T'!D50=D12</x:f>
        <x:v>1</x:v>
      </x:c>
      <x:c r="E35" s="651" t="b">
        <x:f>+'Reporte Componentes R1'!G692+'Reporte Componentes R1'!G694+'Rem. Anticipos R2'!F423+'Reversion Pagos R4'!E332+E26+'AJUSTES - SF-T'!E50=E12</x:f>
        <x:v>1</x:v>
      </x:c>
      <x:c r="F35" s="651" t="b">
        <x:f>+'Reporte Componentes R1'!H692+'Reporte Componentes R1'!H694+'Rem. Anticipos R2'!G423+'Reversion Pagos R4'!F332+F26+'AJUSTES - SF-T'!F50=F12</x:f>
        <x:v>1</x:v>
      </x:c>
      <x:c r="G35" s="651" t="b">
        <x:f>+'Reporte Componentes R1'!I692+'Reporte Componentes R1'!I694+'Rem. Anticipos R2'!H423+'Reversion Pagos R4'!G332+G26+'AJUSTES - SF-T'!G50=G12</x:f>
        <x:v>1</x:v>
      </x:c>
      <x:c r="H35" s="651" t="b">
        <x:f>+'Reporte Componentes R1'!J692+'Reporte Componentes R1'!J694+'Rem. Anticipos R2'!I423+'Reversion Pagos R4'!H332+H26+'AJUSTES - SF-T'!H50=H12</x:f>
        <x:v>1</x:v>
      </x:c>
      <x:c r="I35" s="651" t="b">
        <x:f>+'Reporte Componentes R1'!K692+'Reporte Componentes R1'!K694+'Rem. Anticipos R2'!J423+'Reversion Pagos R4'!I332+I26+'AJUSTES - SF-T'!I50=I12</x:f>
        <x:v>1</x:v>
      </x:c>
      <x:c r="J35" s="651" t="b">
        <x:f>+J26+'BCE SC POR FACT.'!F6=J12</x:f>
        <x:v>1</x:v>
      </x:c>
      <x:c r="K35" s="648" t="b">
        <x: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x:f>
        <x:v>1</x:v>
      </x:c>
      <x:c r="N35" s="648" t="b">
        <x:f>+'Reporte Componentes R1'!L692+'Reporte Componentes R1'!L694+'Rem. Anticipos R2'!K423+'Reversion Pagos R4'!P332+N26=N12</x:f>
        <x:v>1</x:v>
      </x:c>
      <x:c r="O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FACT.'!F6)))-INTERVENTORIA!M29)+'Reporte Componentes R1'!L692+'Reporte Componentes R1'!L694+'Rem. Anticipos R2'!K423+'Reversion Pagos R4'!P332+O26+'AJUSTES - SF-T'!O50=O12</x:f>
        <x:v>1</x:v>
      </x:c>
    </x:row>
    <x:row r="36" spans="2:15" x14ac:dyDescent="0.25">
      <x:c r="B36" s="610" t="s">
        <x:v>118</x:v>
      </x:c>
      <x:c r="C36" s="338" t="s">
        <x:v>14</x:v>
      </x:c>
      <x:c r="D36" s="651" t="b">
        <x:f>+D27+'Reporte Componentes R1'!F811+'Reporte Componentes R1'!F813+'Rem. Anticipos R2'!E510+'Reversion Pagos R4'!D373+'AJUSTES - SF-T'!D51=D13</x:f>
        <x:v>1</x:v>
      </x:c>
      <x:c r="E36" s="651" t="b">
        <x:f>+E27+'Reporte Componentes R1'!G811+'Reporte Componentes R1'!G813+'Rem. Anticipos R2'!F510+'Reversion Pagos R4'!E373+'AJUSTES - SF-T'!E51=E13</x:f>
        <x:v>1</x:v>
      </x:c>
      <x:c r="F36" s="651" t="b">
        <x:f>+F27+'Reporte Componentes R1'!H811+'Reporte Componentes R1'!H813+'Rem. Anticipos R2'!G510+'Reversion Pagos R4'!F373+'AJUSTES - SF-T'!F51=F13</x:f>
        <x:v>1</x:v>
      </x:c>
      <x:c r="G36" s="651" t="b">
        <x:f>+G27+'Reporte Componentes R1'!I811+'Reporte Componentes R1'!I813+'Rem. Anticipos R2'!H510+'Reversion Pagos R4'!G373+'AJUSTES - SF-T'!G51=G13</x:f>
        <x:v>1</x:v>
      </x:c>
      <x:c r="H36" s="651" t="b">
        <x:f>+H27+'Reporte Componentes R1'!J811+'Reporte Componentes R1'!J813+'Rem. Anticipos R2'!I510+'Reversion Pagos R4'!H373+'AJUSTES - SF-T'!H51=H13</x:f>
        <x:v>1</x:v>
      </x:c>
      <x:c r="I36" s="651" t="b">
        <x:f>+I27+'Reporte Componentes R1'!K811+'Reporte Componentes R1'!K813+'Rem. Anticipos R2'!J510+'Reversion Pagos R4'!I373+'AJUSTES - SF-T'!I51=I13</x:f>
        <x:v>1</x:v>
      </x:c>
      <x:c r="J36" s="651" t="b">
        <x:f>+'BCE SC POR FACT.'!F7+J27=J13</x:f>
        <x:v>1</x:v>
      </x:c>
      <x:c r="K36" s="648" t="b">
        <x: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x:f>
        <x:v>1</x:v>
      </x:c>
      <x:c r="N36" s="648" t="b">
        <x:f>+'Reporte Componentes R1'!L811+'Reporte Componentes R1'!L813+'Rem. Anticipos R2'!K510+'Reversion Pagos R4'!P373+N27=N13</x:f>
        <x:v>1</x:v>
      </x:c>
      <x:c r="O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FACT.'!F7)))-INTERVENTORIA!M30)+'Reporte Componentes R1'!L811+'Reporte Componentes R1'!L813+'Rem. Anticipos R2'!K510+'Reversion Pagos R4'!P373+O27+'AJUSTES - SF-T'!O51=O13</x:f>
        <x:v>1</x:v>
      </x:c>
    </x:row>
    <x:row r="38" spans="2:15" x14ac:dyDescent="0.25">
      <x:c r="N38" s="652"/>
    </x:row>
    <x:row r="39" spans="2:15" x14ac:dyDescent="0.25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">
      <x:c r="F4" s="660" t="s">
        <x:v>29</x:v>
      </x:c>
    </x:row>
    <x:row r="5" spans="2:15" customFormat="1" x14ac:dyDescent="0.2">
      <x:c r="F5" s="660" t="s">
        <x:v>228</x:v>
      </x:c>
    </x:row>
    <x:row r="6" spans="2:15" customFormat="1" x14ac:dyDescent="0.2">
      <x:c r="C6" s="660" t="s">
        <x:v>229</x:v>
      </x:c>
      <x:c r="D6" s="660" t="inlineStr">
        <x:is>
          <x:t>02/10/2026</x:t>
        </x:is>
      </x:c>
      <x:c r="F6" s="660" t="s">
        <x:v>230</x:v>
      </x:c>
    </x:row>
    <x:row r="7" spans="2:15" customFormat="1" x14ac:dyDescent="0.2">
      <x:c r="C7" s="660" t="s">
        <x:v>231</x:v>
      </x:c>
      <x:c r="D7" s="660" t="inlineStr">
        <x:is>
          <x:t>10:43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5" x14ac:dyDescent="0.2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2.75" x14ac:dyDescent="0.2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2.75" x14ac:dyDescent="0.2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2.75" x14ac:dyDescent="0.2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2.75" x14ac:dyDescent="0.2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2.75" x14ac:dyDescent="0.2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2.75" x14ac:dyDescent="0.2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 t="n">
        <x:v>-859936309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 t="n">
        <x:v>0</x:v>
      </x:c>
    </x:row>
    <x:row r="16" spans="2:15" x14ac:dyDescent="0.25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25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25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25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25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25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.75" thickBot="1" x14ac:dyDescent="0.3">
      <x:c r="M22" s="652"/>
    </x:row>
    <x:row r="23" spans="2:16" ht="36.75" thickBot="1" x14ac:dyDescent="0.3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25">
      <x:c r="B24" s="610" t="s">
        <x:v>115</x:v>
      </x:c>
      <x:c r="C24" s="338" t="s">
        <x:v>10</x:v>
      </x:c>
      <x:c r="D24" s="663" t="b">
        <x:f>+'Reporte Componentes R1'!M89+'Reporte Componentes R1'!M91+'Rem. Anticipos R2'!L57+'Reversion Pagos R4'!J79+D16+'AJUSTES - SF-T'!U47=D9</x:f>
        <x:v>1</x:v>
      </x:c>
      <x:c r="E24" s="648" t="b">
        <x:f>+'Reporte Componentes R1'!N89+'Reporte Componentes R1'!N91+'Rem. Anticipos R2'!M57+'Reversion Pagos R4'!K79+E16+'AJUSTES - SF-T'!V47=E9</x:f>
        <x:v>1</x:v>
      </x:c>
      <x:c r="F24" s="648" t="b">
        <x:f>+'Reporte Componentes R1'!O89+'Reporte Componentes R1'!O91+'Rem. Anticipos R2'!N57+'Reversion Pagos R4'!L79+F16+'AJUSTES - SF-T'!W47=F9</x:f>
        <x:v>1</x:v>
      </x:c>
      <x:c r="G24" s="648" t="b">
        <x:f>+'Reporte Componentes R1'!P89+'Reporte Componentes R1'!P91+'Rem. Anticipos R2'!O57+'Reversion Pagos R4'!M79+G16+'AJUSTES - SF-T'!X47=G9</x:f>
        <x:v>1</x:v>
      </x:c>
      <x:c r="H24" s="648" t="b">
        <x:f>+'Reporte Componentes R1'!Q89+'Reporte Componentes R1'!Q91+'Rem. Anticipos R2'!P57+'Reversion Pagos R4'!N79+H16+'AJUSTES - SF-T'!Y47=H9</x:f>
        <x:v>1</x:v>
      </x:c>
      <x:c r="I24" s="698" t="b">
        <x:f>-INTERVENTORIA!M26+I16=I9</x:f>
        <x:v>1</x:v>
      </x:c>
      <x:c r="J24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x:f>
        <x:v>1</x:v>
      </x:c>
      <x:c r="K24" s="648" t="b">
        <x:f>+DetRetri2026092!N32</x:f>
        <x:v>1</x:v>
      </x:c>
      <x:c r="L24" s="648" t="b">
        <x:f>'Reporte Componentes R1'!F90+'Rem. Anticipos R2'!E58+'Reporte Componentes R1'!F92+'Reversion Pagos R4'!D80+'AJUSTES - SF-T'!AD47+L16=L9</x:f>
        <x:v>1</x:v>
      </x:c>
      <x:c r="M24" s="648" t="b">
        <x:f>-'BCE SC POR FACT.'!F3+'Reporte Componentes R1'!F90+'Rem. Anticipos R2'!E58+'Reporte Componentes R1'!F92+'Reversion Pagos R4'!D80+'AJUSTES - SF-T'!AD47+M16=M9</x:f>
        <x:v>1</x:v>
      </x:c>
      <x:c r="N24" s="648" t="b">
        <x:f>'Reporte Componentes R1'!F90+'Rem. Anticipos R2'!E58+'Reporte Componentes R1'!F92+'Reversion Pagos R4'!D80+'AJUSTES - SF-T'!AD47+L16=L9</x:f>
        <x:v>1</x:v>
      </x:c>
      <x:c r="O24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x:f>
        <x:v>1</x:v>
      </x:c>
    </x:row>
    <x:row r="25" spans="2:16" x14ac:dyDescent="0.25">
      <x:c r="B25" s="610" t="s">
        <x:v>116</x:v>
      </x:c>
      <x:c r="C25" s="338" t="s">
        <x:v>11</x:v>
      </x:c>
      <x:c r="D25" s="654" t="b">
        <x:f>+'Reporte Componentes R1'!M323+'Rem. Anticipos R2'!L178+'Reversion Pagos R4'!J180+'Reporte Componentes R1'!M325+D17+'AJUSTES - SF-T'!U48=D10</x:f>
        <x:v>1</x:v>
      </x:c>
      <x:c r="E25" s="654" t="b">
        <x:f>+'Reporte Componentes R1'!N323+'Rem. Anticipos R2'!M178+'Reversion Pagos R4'!K180+'Reporte Componentes R1'!N325+E17+'AJUSTES - SF-T'!V48=E10</x:f>
        <x:v>1</x:v>
      </x:c>
      <x:c r="F25" s="654" t="b">
        <x:f>+'Reporte Componentes R1'!O323+'Rem. Anticipos R2'!N178+'Reversion Pagos R4'!L180+'Reporte Componentes R1'!O325+F17+'AJUSTES - SF-T'!W48=F10</x:f>
        <x:v>1</x:v>
      </x:c>
      <x:c r="G25" s="654" t="b">
        <x:f>+'Reporte Componentes R1'!P323+'Rem. Anticipos R2'!O178+'Reversion Pagos R4'!M180+'Reporte Componentes R1'!P325+G17+'AJUSTES - SF-T'!X48=G10</x:f>
        <x:v>1</x:v>
      </x:c>
      <x:c r="H25" s="654" t="b">
        <x:f>+'Reporte Componentes R1'!Q323+'Rem. Anticipos R2'!P178+'Reversion Pagos R4'!N180+'Reporte Componentes R1'!Q325+H17+'AJUSTES - SF-T'!Y48=H10</x:f>
        <x:v>1</x:v>
      </x:c>
      <x:c r="I25" s="698" t="b">
        <x:f>-INTERVENTORIA!M27+I17=I10</x:f>
        <x:v>1</x:v>
      </x:c>
      <x:c r="J25" s="654" t="b">
        <x: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x:f>
        <x:v>1</x:v>
      </x:c>
      <x:c r="K25" s="654" t="b">
        <x:f>+DetRetri2026092!N33</x:f>
        <x:v>1</x:v>
      </x:c>
      <x:c r="L25" s="648" t="b">
        <x:f>+'Reporte Componentes R1'!F324+'Rem. Anticipos R2'!E179+'Reporte Componentes R1'!F326+'Reversion Pagos R4'!D181+'AJUSTES - SF-T'!AD48+L17=L10</x:f>
        <x:v>1</x:v>
      </x:c>
      <x:c r="M25" s="715">
        <x:f>-'BCE SC POR FACT.'!F4+'Reporte Componentes R1'!F324+'Rem. Anticipos R2'!E179+'Reporte Componentes R1'!F326+'Reversion Pagos R4'!D181+'AJUSTES - SF-T'!AD48+M17-M10</x:f>
        <x:v>0</x:v>
      </x:c>
      <x:c r="N25" s="648" t="b">
        <x:f>'Reporte Componentes R1'!F324+'Rem. Anticipos R2'!E179+'Reporte Componentes R1'!F326+'Reversion Pagos R4'!D181+'AJUSTES - SF-T'!AD48+L17=L10</x:f>
        <x:v>1</x:v>
      </x:c>
      <x:c r="O25" s="648" t="b">
        <x: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x:f>
        <x:v>0</x:v>
      </x:c>
      <x:c r="P25" s="653"/>
    </x:row>
    <x:row r="26" spans="2:16" x14ac:dyDescent="0.25">
      <x:c r="B26" s="610" t="s">
        <x:v>117</x:v>
      </x:c>
      <x:c r="C26" s="338" t="s">
        <x:v>12</x:v>
      </x:c>
      <x:c r="D26" s="648" t="b">
        <x:f>+'Reporte Componentes R1'!M484+'Reporte Componentes R1'!M486+'Rem. Anticipos R2'!L299+'Reversion Pagos R4'!J217+D18+'AJUSTES - SF-T'!U49=D11</x:f>
        <x:v>1</x:v>
      </x:c>
      <x:c r="E26" s="648" t="b">
        <x:f>+'Reporte Componentes R1'!N484+'Reporte Componentes R1'!N486+'Rem. Anticipos R2'!M299+'Reversion Pagos R4'!K217+E18+'AJUSTES - SF-T'!V49=E11</x:f>
        <x:v>1</x:v>
      </x:c>
      <x:c r="F26" s="648" t="b">
        <x:f>+'Reporte Componentes R1'!O484+'Reporte Componentes R1'!O486+'Rem. Anticipos R2'!N299+'Reversion Pagos R4'!L217+F18+'AJUSTES - SF-T'!W49=F11</x:f>
        <x:v>1</x:v>
      </x:c>
      <x:c r="G26" s="648" t="b">
        <x:f>+'Reporte Componentes R1'!P484+'Reporte Componentes R1'!P486+'Rem. Anticipos R2'!O299+'Reversion Pagos R4'!M217+G18+'AJUSTES - SF-T'!X49=G11</x:f>
        <x:v>1</x:v>
      </x:c>
      <x:c r="H26" s="648" t="b">
        <x:f>+'Reporte Componentes R1'!Q484+'Reporte Componentes R1'!Q486+'Rem. Anticipos R2'!P299+'Reversion Pagos R4'!N217+H18+'AJUSTES - SF-T'!Y49=H11</x:f>
        <x:v>1</x:v>
      </x:c>
      <x:c r="I26" s="698" t="b">
        <x:f>-INTERVENTORIA!M28+I18=I11</x:f>
        <x:v>1</x:v>
      </x:c>
      <x:c r="J26" s="648" t="b">
        <x: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x:f>
        <x:v>1</x:v>
      </x:c>
      <x:c r="K26" s="648" t="b">
        <x:f>+DetRetri2026092!N34</x:f>
        <x:v>1</x:v>
      </x:c>
      <x:c r="L26" s="648" t="b">
        <x:f>+'Reporte Componentes R1'!F485+'Rem. Anticipos R2'!E300+'Reporte Componentes R1'!F487+'Reversion Pagos R4'!D218+'AJUSTES - SF-T'!AD49+L18=L11</x:f>
        <x:v>1</x:v>
      </x:c>
      <x:c r="M26" s="715">
        <x:f>-'BCE SC POR FACT.'!F5+'Reporte Componentes R1'!F485+'Rem. Anticipos R2'!E300+'Reporte Componentes R1'!F487+'Reversion Pagos R4'!D218+'AJUSTES - SF-T'!AD49+M18-M11</x:f>
        <x:v>0</x:v>
      </x:c>
      <x:c r="N26" s="648" t="b">
        <x:f>'Reporte Componentes R1'!F485+'Rem. Anticipos R2'!E300+'Reporte Componentes R1'!F487+'Reversion Pagos R4'!D218+'AJUSTES - SF-T'!AD49+L18=L11</x:f>
        <x:v>1</x:v>
      </x:c>
      <x:c r="O26" s="712" t="b">
        <x: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x:f>
        <x:v>0</x:v>
      </x:c>
    </x:row>
    <x:row r="27" spans="2:16" x14ac:dyDescent="0.25">
      <x:c r="B27" s="610" t="s">
        <x:v>247</x:v>
      </x:c>
      <x:c r="C27" s="338" t="s">
        <x:v>13</x:v>
      </x:c>
      <x:c r="D27" s="648" t="b">
        <x:f>+'Reporte Componentes R1'!M692+'Reporte Componentes R1'!M694+'Rem. Anticipos R2'!L423+'Reversion Pagos R4'!J332+D19+'AJUSTES - SF-T'!U50=D12</x:f>
        <x:v>1</x:v>
      </x:c>
      <x:c r="E27" s="648" t="b">
        <x:f>+'Reporte Componentes R1'!N692+'Reporte Componentes R1'!N694+'Rem. Anticipos R2'!M423+'Reversion Pagos R4'!K332+E19+'AJUSTES - SF-T'!V50=E12</x:f>
        <x:v>1</x:v>
      </x:c>
      <x:c r="F27" s="648" t="b">
        <x:f>+'Reporte Componentes R1'!O692+'Reporte Componentes R1'!O694+'Rem. Anticipos R2'!N423+'Reversion Pagos R4'!L332+F19+'AJUSTES - SF-T'!W50=F12</x:f>
        <x:v>1</x:v>
      </x:c>
      <x:c r="G27" s="648" t="b">
        <x:f>+'Reporte Componentes R1'!P692+'Reporte Componentes R1'!P694+'Rem. Anticipos R2'!O423+'Reversion Pagos R4'!M332+G19+'AJUSTES - SF-T'!X50=G12</x:f>
        <x:v>1</x:v>
      </x:c>
      <x:c r="H27" s="648" t="b">
        <x:f>+'Reporte Componentes R1'!Q692+'Reporte Componentes R1'!Q694+'Rem. Anticipos R2'!P423+'Reversion Pagos R4'!N332+H19+'AJUSTES - SF-T'!Y50=H12</x:f>
        <x:v>1</x:v>
      </x:c>
      <x:c r="I27" s="698" t="b">
        <x:f>-INTERVENTORIA!M29+I19=I12</x:f>
        <x:v>1</x:v>
      </x:c>
      <x:c r="J27" s="648" t="b">
        <x: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x:f>
        <x:v>1</x:v>
      </x:c>
      <x:c r="K27" s="648" t="b">
        <x:f>+DetRetri2026092!N35</x:f>
        <x:v>1</x:v>
      </x:c>
      <x:c r="L27" s="648" t="b">
        <x:f>+'Reporte Componentes R1'!F693+'Rem. Anticipos R2'!E424+'Reporte Componentes R1'!F695+'Reversion Pagos R4'!D333+'AJUSTES - SF-T'!AD50+L19=L12</x:f>
        <x:v>1</x:v>
      </x:c>
      <x:c r="M27" s="715">
        <x:f>-'BCE SC POR FACT.'!F6+'Reporte Componentes R1'!F693+'Rem. Anticipos R2'!E424+'Reporte Componentes R1'!F695+'Reversion Pagos R4'!D333+'AJUSTES - SF-T'!AD50+M19-M12</x:f>
        <x:v>0</x:v>
      </x:c>
      <x:c r="N27" s="648" t="b">
        <x:f>'Reporte Componentes R1'!F693+'Rem. Anticipos R2'!E424+'Reporte Componentes R1'!F695+'Reversion Pagos R4'!D333+'AJUSTES - SF-T'!AD50+L19=L12</x:f>
        <x:v>1</x:v>
      </x:c>
      <x:c r="O27" s="712" t="b">
        <x: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x:f>
        <x:v>1</x:v>
      </x:c>
    </x:row>
    <x:row r="28" spans="2:16" x14ac:dyDescent="0.25">
      <x:c r="B28" s="610" t="s">
        <x:v>118</x:v>
      </x:c>
      <x:c r="C28" s="338" t="s">
        <x:v>14</x:v>
      </x:c>
      <x:c r="D28" s="648" t="b">
        <x:f>+'Reporte Componentes R1'!M811+'Reporte Componentes R1'!M813+'Rem. Anticipos R2'!L510+'Reversion Pagos R4'!J373+D20+'AJUSTES - SF-T'!U51=D13</x:f>
        <x:v>1</x:v>
      </x:c>
      <x:c r="E28" s="648" t="b">
        <x:f>+'Reporte Componentes R1'!N811+'Reporte Componentes R1'!N813+'Rem. Anticipos R2'!M510+'Reversion Pagos R4'!K373+E20+'AJUSTES - SF-T'!V51=E13</x:f>
        <x:v>1</x:v>
      </x:c>
      <x:c r="F28" s="648" t="b">
        <x:f>+'Reporte Componentes R1'!O811+'Reporte Componentes R1'!O813+'Rem. Anticipos R2'!N510+'Reversion Pagos R4'!L373+F20+'AJUSTES - SF-T'!W51=F13</x:f>
        <x:v>1</x:v>
      </x:c>
      <x:c r="G28" s="648" t="b">
        <x:f>+'Reporte Componentes R1'!P811+'Reporte Componentes R1'!P813+'Rem. Anticipos R2'!O510+'Reversion Pagos R4'!M373+G20+'AJUSTES - SF-T'!X51=G13</x:f>
        <x:v>1</x:v>
      </x:c>
      <x:c r="H28" s="648" t="b">
        <x:f>+'Reporte Componentes R1'!Q811+'Reporte Componentes R1'!Q813+'Rem. Anticipos R2'!P510+'Reversion Pagos R4'!N373+H20+'AJUSTES - SF-T'!Y51=H13</x:f>
        <x:v>1</x:v>
      </x:c>
      <x:c r="I28" s="698" t="b">
        <x:f>-INTERVENTORIA!M30+I20=I13</x:f>
        <x:v>1</x:v>
      </x:c>
      <x:c r="J28" s="650" t="b">
        <x: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x:f>
        <x:v>1</x:v>
      </x:c>
      <x:c r="K28" s="648" t="b">
        <x:f>+DetRetri2026092!N36</x:f>
        <x:v>1</x:v>
      </x:c>
      <x:c r="L28" s="648" t="b">
        <x:f>+'Reporte Componentes R1'!F812+'Rem. Anticipos R2'!E511+'Reporte Componentes R1'!F814+'Reversion Pagos R4'!D374+'AJUSTES - SF-T'!AD51+L20=L13</x:f>
        <x:v>1</x:v>
      </x:c>
      <x:c r="M28" s="648" t="b">
        <x:f>-'BCE SC POR FACT.'!F7+'Reporte Componentes R1'!F812+'Rem. Anticipos R2'!E511+'Reporte Componentes R1'!F814+'Reversion Pagos R4'!D374+'AJUSTES - SF-T'!AD51+M20=M13</x:f>
        <x:v>1</x:v>
      </x:c>
      <x:c r="N28" s="648" t="b">
        <x:f>'Reporte Componentes R1'!F812+'Rem. Anticipos R2'!E511+'Reporte Componentes R1'!F814+'Reversion Pagos R4'!D374+'AJUSTES - SF-T'!AD51+L20=L13</x:f>
        <x:v>1</x:v>
      </x:c>
      <x:c r="O28" s="648" t="b">
        <x: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x:f>
        <x:v>0</x:v>
      </x:c>
    </x:row>
    <x:row r="29" spans="2:16" x14ac:dyDescent="0.25">
      <x:c r="C29" s="649" t="s">
        <x:v>2</x:v>
      </x:c>
      <x:c r="D29" s="648" t="b">
        <x: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x:f>
        <x:v>1</x:v>
      </x:c>
      <x:c r="E29" s="648" t="b">
        <x: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x:f>
        <x:v>1</x:v>
      </x:c>
      <x:c r="F29" s="648" t="b">
        <x: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x:f>
        <x:v>1</x:v>
      </x:c>
      <x:c r="G29" s="648" t="b">
        <x: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x:f>
        <x:v>1</x:v>
      </x:c>
      <x:c r="H29" s="648" t="b">
        <x: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x:f>
        <x:v>1</x:v>
      </x:c>
      <x:c r="I29" s="698" t="b">
        <x:f>-INTERVENTORIA!M31+I21=I14</x:f>
        <x:v>1</x:v>
      </x:c>
      <x:c r="J29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x:f>
        <x:v>1</x:v>
      </x:c>
      <x:c r="K29" s="648" t="b">
        <x: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x:f>
        <x:v>1</x:v>
      </x:c>
      <x:c r="L29" s="711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M29" s="648" t="b">
        <x: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x:f>
        <x:v>1</x:v>
      </x:c>
      <x:c r="N29" s="648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O29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x:f>
        <x:v>0</x:v>
      </x:c>
    </x:row>
    <x:row r="30" spans="2:16" x14ac:dyDescent="0.25">
      <x:c r="M30" s="655"/>
    </x:row>
    <x:row r="31" spans="2:16" x14ac:dyDescent="0.25">
      <x:c r="I31" s="697"/>
      <x:c r="J31" s="699"/>
    </x:row>
    <x:row r="32" spans="2:16" x14ac:dyDescent="0.25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3.85546875" style="1" bestFit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2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2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2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2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75" thickBot="1" x14ac:dyDescent="0.2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5" thickBot="1" x14ac:dyDescent="0.2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2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2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2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2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2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75" thickBot="1" x14ac:dyDescent="0.2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5" thickBot="1" x14ac:dyDescent="0.2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2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2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2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2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2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2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2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75" thickBot="1" x14ac:dyDescent="0.2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5" thickBot="1" x14ac:dyDescent="0.2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2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2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2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2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2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2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2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75" thickBot="1" x14ac:dyDescent="0.2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5" thickBot="1" x14ac:dyDescent="0.2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2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2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75" thickBot="1" x14ac:dyDescent="0.2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2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2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2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2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75" thickBot="1" x14ac:dyDescent="0.2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5" thickBot="1" x14ac:dyDescent="0.2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75" thickBot="1" x14ac:dyDescent="0.2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75" thickBot="1" x14ac:dyDescent="0.2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2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2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2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2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2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75" thickBot="1" x14ac:dyDescent="0.2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5" thickBot="1" x14ac:dyDescent="0.2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75" thickBot="1" x14ac:dyDescent="0.2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75" thickBot="1" x14ac:dyDescent="0.2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2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2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2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2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75" thickBot="1" x14ac:dyDescent="0.2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75" thickBot="1" x14ac:dyDescent="0.2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2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2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2026092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2026092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75" x14ac:dyDescent="0.2"/>
  <x:cols>
    <x:col min="1" max="1" width="2.42578125" customWidth="1"/>
    <x:col min="3" max="3" width="36.85546875" bestFit="1" customWidth="1"/>
    <x:col min="4" max="4" width="12" bestFit="1" customWidth="1"/>
    <x:col min="5" max="5" width="12.140625" customWidth="1"/>
    <x:col min="6" max="6" width="9.140625" customWidth="1"/>
    <x:col min="7" max="7" width="14.85546875" customWidth="1"/>
    <x:col min="8" max="8" width="15.140625" customWidth="1"/>
    <x:col min="9" max="9" width="20.140625" bestFit="1" customWidth="1"/>
    <x:col min="10" max="10" width="15.42578125" customWidth="1"/>
    <x:col min="11" max="11" width="17.85546875" customWidth="1"/>
    <x:col min="12" max="12" width="20.85546875" customWidth="1"/>
    <x:col min="17" max="17" width="1.140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75" x14ac:dyDescent="0.25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thickBot="1" x14ac:dyDescent="0.2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thickBot="1" x14ac:dyDescent="0.2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">
      <x:c r="B13" s="2"/>
      <x:c r="C13" s="2"/>
      <x:c r="D13" s="448"/>
      <x:c r="Q13" s="4"/>
    </x:row>
    <x:row r="14" spans="1:33" s="1" customFormat="1" ht="12" x14ac:dyDescent="0.2">
      <x:c r="B14" s="2"/>
      <x:c r="C14" s="2"/>
      <x:c r="D14" s="448"/>
      <x:c r="Q14" s="4"/>
    </x:row>
    <x:row r="15" spans="1:33" s="1" customFormat="1" ht="12" x14ac:dyDescent="0.2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75" x14ac:dyDescent="0.25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thickBot="1" x14ac:dyDescent="0.2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thickBot="1" x14ac:dyDescent="0.2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">
      <x:c r="B28" s="2"/>
      <x:c r="C28" s="2"/>
      <x:c r="D28" s="448"/>
      <x:c r="Q28" s="4"/>
    </x:row>
    <x:row r="29" spans="1:17" s="1" customFormat="1" ht="12" x14ac:dyDescent="0.2">
      <x:c r="B29" s="2"/>
      <x:c r="C29" s="2"/>
      <x:c r="D29" s="448"/>
      <x:c r="Q29" s="4"/>
    </x:row>
    <x:row r="30" spans="1:17" s="1" customFormat="1" ht="12" x14ac:dyDescent="0.2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75" x14ac:dyDescent="0.25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thickBot="1" x14ac:dyDescent="0.2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thickBot="1" x14ac:dyDescent="0.2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">
      <x:c r="B42" s="2"/>
      <x:c r="C42" s="2"/>
      <x:c r="D42" s="448"/>
      <x:c r="Q42" s="4"/>
    </x:row>
    <x:row r="43" spans="1:17" s="1" customFormat="1" ht="12" x14ac:dyDescent="0.2">
      <x:c r="B43" s="2"/>
      <x:c r="C43" s="2"/>
      <x:c r="D43" s="448"/>
      <x:c r="Q43" s="4"/>
    </x:row>
    <x:row r="44" spans="1:17" s="1" customFormat="1" ht="12" x14ac:dyDescent="0.2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">
      <x:c r="B45" s="2"/>
      <x:c r="C45" s="2"/>
      <x:c r="D45" s="448"/>
      <x:c r="Q45" s="4"/>
    </x:row>
    <x:row r="46" spans="1:17" s="1" customFormat="1" ht="15.75" x14ac:dyDescent="0.25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thickBot="1" x14ac:dyDescent="0.2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thickBot="1" x14ac:dyDescent="0.2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">
      <x:c r="B56" s="2"/>
      <x:c r="C56" s="2"/>
      <x:c r="D56" s="448"/>
      <x:c r="Q56" s="4"/>
    </x:row>
    <x:row r="57" spans="1:17" s="1" customFormat="1" ht="12" x14ac:dyDescent="0.2">
      <x:c r="B57" s="2"/>
      <x:c r="C57" s="2"/>
      <x:c r="D57" s="448"/>
      <x:c r="Q57" s="4"/>
    </x:row>
    <x:row r="58" spans="1:17" s="1" customFormat="1" ht="12" x14ac:dyDescent="0.2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75" x14ac:dyDescent="0.25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thickBot="1" x14ac:dyDescent="0.2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thickBot="1" x14ac:dyDescent="0.2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">
      <x:c r="B70" s="2"/>
      <x:c r="C70" s="2"/>
      <x:c r="D70" s="448"/>
      <x:c r="Q70" s="4"/>
    </x:row>
    <x:row r="71" spans="1:17" s="1" customFormat="1" ht="12" x14ac:dyDescent="0.2">
      <x:c r="B71" s="2"/>
      <x:c r="C71" s="2"/>
      <x:c r="D71" s="448"/>
      <x:c r="Q71" s="4"/>
    </x:row>
    <x:row r="72" spans="1:17" s="1" customFormat="1" ht="12" x14ac:dyDescent="0.2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75" x14ac:dyDescent="0.25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thickBot="1" x14ac:dyDescent="0.2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thickBot="1" x14ac:dyDescent="0.2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">
      <x:c r="B84" s="2"/>
      <x:c r="C84" s="2"/>
      <x:c r="D84" s="448"/>
      <x:c r="Q84" s="4"/>
    </x:row>
    <x:row r="85" spans="1:17" s="1" customFormat="1" ht="12" x14ac:dyDescent="0.2">
      <x:c r="B85" s="2"/>
      <x:c r="C85" s="2"/>
      <x:c r="D85" s="448"/>
      <x:c r="Q85" s="4"/>
    </x:row>
    <x:row r="86" spans="1:17" s="1" customFormat="1" ht="12" x14ac:dyDescent="0.2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75" x14ac:dyDescent="0.25">
      <x:c r="F88" s="41" t="s">
        <x:v>191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thickBot="1" x14ac:dyDescent="0.2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thickBot="1" x14ac:dyDescent="0.2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">
      <x:c r="B99" s="2"/>
      <x:c r="C99" s="2"/>
      <x:c r="D99" s="448"/>
      <x:c r="Q99" s="4"/>
    </x:row>
    <x:row r="100" spans="1:17" s="1" customFormat="1" ht="12" x14ac:dyDescent="0.2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75" x14ac:dyDescent="0.2"/>
  <x:cols>
    <x:col min="1" max="1" width="4.85546875" customWidth="1"/>
    <x:col min="2" max="2" width="10" customWidth="1"/>
    <x:col min="3" max="3" width="20.42578125" bestFit="1" customWidth="1"/>
    <x:col min="4" max="4" width="17.140625" customWidth="1"/>
    <x:col min="5" max="5" width="16.140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526">
        <x:v>2026092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5" x14ac:dyDescent="0.25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5" x14ac:dyDescent="0.25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5" x14ac:dyDescent="0.25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.75" thickBot="1" x14ac:dyDescent="0.3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5" x14ac:dyDescent="0.25">
      <x:c r="B7" t="s">
        <x:v>1</x:v>
      </x:c>
      <x:c r="C7" s="545" t="s">
        <x:v>339</x:v>
      </x:c>
      <x:c r="D7" s="546" t="n">
        <x:v>68200068115</x:v>
      </x:c>
      <x:c r="E7" s="533" t="n">
        <x:f>SUM(D7:D9)</x:f>
        <x:v>68245142592</x:v>
      </x:c>
      <x:c r="F7" s="534" t="b">
        <x:v>1</x:v>
      </x:c>
      <x:c r="G7" s="143"/>
      <x:c r="H7" s="143"/>
      <x:c r="I7" s="143"/>
    </x:row>
    <x:row r="8" spans="2:9" ht="15" x14ac:dyDescent="0.25">
      <x:c r="C8" s="545" t="s">
        <x:v>326</x:v>
      </x:c>
      <x:c r="D8" s="546" t="n">
        <x:v>38870386</x:v>
      </x:c>
      <x:c r="E8" s="758"/>
      <x:c r="F8" s="534"/>
      <x:c r="G8" s="143"/>
      <x:c r="H8" s="143"/>
      <x:c r="I8" s="143"/>
    </x:row>
    <x:row r="9" spans="2:9" ht="15" x14ac:dyDescent="0.25">
      <x:c r="B9" t="s">
        <x:v>1</x:v>
      </x:c>
      <x:c r="C9" s="545" t="s">
        <x:v>205</x:v>
      </x:c>
      <x:c r="D9" s="546" t="n">
        <x:v>6204091</x:v>
      </x:c>
      <x:c r="E9" s="531"/>
      <x:c r="F9" s="532"/>
      <x:c r="G9" s="143"/>
      <x:c r="H9" s="143"/>
      <x:c r="I9" s="143"/>
    </x:row>
    <x:row r="10" spans="2:9" ht="15.75" thickBot="1" x14ac:dyDescent="0.3">
      <x:c r="C10" s="547" t="s">
        <x:v>206</x:v>
      </x:c>
      <x:c r="D10" s="535" t="n">
        <x:v>5736574007</x:v>
      </x:c>
      <x:c r="E10" s="535" t="n">
        <x:f>SUM(D10)</x:f>
        <x:v>5736574007</x:v>
      </x:c>
      <x:c r="F10" s="536" t="n">
        <x:f>E7+E10</x:f>
        <x:v>73981716599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DetRetri2026092</vt:lpstr>
      <vt:lpstr>DetValiRetri2026092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2026-10-27T03:02:50Z</dcterms:modified>
</cp:coreProperties>
</file>